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89DFE465-88E3-49A2-B1C9-AE5FC4199FA5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9" i="11" l="1"/>
  <c r="K81" i="11"/>
  <c r="K80" i="11"/>
  <c r="H81" i="11"/>
  <c r="H80" i="11"/>
  <c r="H79" i="11"/>
  <c r="F81" i="11" a="1"/>
  <c r="F80" i="11" a="1"/>
  <c r="F79" i="11" a="1"/>
  <c r="E81" i="11" a="1"/>
  <c r="E80" i="11" a="1"/>
  <c r="E79" i="11" a="1"/>
  <c r="F81" i="11" l="1"/>
  <c r="F80" i="11"/>
  <c r="F79" i="11"/>
  <c r="E81" i="11"/>
  <c r="E80" i="11"/>
  <c r="E79" i="11"/>
  <c r="K76" i="11" l="1"/>
  <c r="K75" i="11"/>
  <c r="K74" i="11"/>
  <c r="K73" i="11"/>
  <c r="C81" i="11"/>
  <c r="C80" i="11"/>
  <c r="C79" i="11"/>
  <c r="C78" i="11"/>
  <c r="C76" i="11"/>
  <c r="C75" i="11"/>
  <c r="C74" i="11"/>
  <c r="C73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B81" i="11"/>
  <c r="J81" i="11" a="1"/>
  <c r="B80" i="11"/>
  <c r="J80" i="11" a="1"/>
  <c r="B79" i="11"/>
  <c r="J79" i="11" a="1"/>
  <c r="H76" i="11"/>
  <c r="H75" i="11"/>
  <c r="H74" i="11"/>
  <c r="H73" i="11" a="1"/>
  <c r="G76" i="11" a="1"/>
  <c r="G75" i="11" a="1"/>
  <c r="G74" i="11" a="1"/>
  <c r="G73" i="11" a="1"/>
  <c r="E76" i="11" a="1"/>
  <c r="E75" i="11" a="1"/>
  <c r="E74" i="11" a="1"/>
  <c r="E73" i="11" a="1"/>
  <c r="J81" i="11" l="1"/>
  <c r="J80" i="11"/>
  <c r="J79" i="11"/>
  <c r="H73" i="11"/>
  <c r="G76" i="11"/>
  <c r="G75" i="11"/>
  <c r="G74" i="11"/>
  <c r="G73" i="11"/>
  <c r="E76" i="11"/>
  <c r="E75" i="11"/>
  <c r="E74" i="11"/>
  <c r="E73" i="11"/>
  <c r="K71" i="11" l="1"/>
  <c r="K70" i="11"/>
  <c r="K69" i="11"/>
  <c r="K68" i="11"/>
  <c r="K67" i="11"/>
  <c r="K66" i="11"/>
  <c r="K65" i="11"/>
  <c r="K64" i="11"/>
  <c r="K63" i="11"/>
  <c r="K62" i="11"/>
  <c r="K61" i="11"/>
  <c r="J76" i="11" a="1"/>
  <c r="F70" i="11" a="1"/>
  <c r="G66" i="11" a="1"/>
  <c r="G61" i="11" a="1"/>
  <c r="J69" i="11" a="1"/>
  <c r="F67" i="11" a="1"/>
  <c r="H65" i="11" a="1"/>
  <c r="G63" i="11" a="1"/>
  <c r="B70" i="11"/>
  <c r="E66" i="11" a="1"/>
  <c r="B62" i="11"/>
  <c r="J65" i="11" a="1"/>
  <c r="F64" i="11" a="1"/>
  <c r="H66" i="11" a="1"/>
  <c r="E64" i="11" a="1"/>
  <c r="J71" i="11" a="1"/>
  <c r="H70" i="11" a="1"/>
  <c r="B65" i="11"/>
  <c r="J63" i="11" a="1"/>
  <c r="B69" i="11"/>
  <c r="G69" i="11" a="1"/>
  <c r="H71" i="11" a="1"/>
  <c r="H69" i="11" a="1"/>
  <c r="B75" i="11"/>
  <c r="J70" i="11" a="1"/>
  <c r="F61" i="11" a="1"/>
  <c r="B66" i="11"/>
  <c r="F63" i="11" a="1"/>
  <c r="G64" i="11" a="1"/>
  <c r="J75" i="11" a="1"/>
  <c r="G65" i="11" a="1"/>
  <c r="G68" i="11" a="1"/>
  <c r="E61" i="11" a="1"/>
  <c r="G70" i="11" a="1"/>
  <c r="E71" i="11" a="1"/>
  <c r="J64" i="11" a="1"/>
  <c r="H64" i="11" a="1"/>
  <c r="B67" i="11"/>
  <c r="J66" i="11" a="1"/>
  <c r="F66" i="11" a="1"/>
  <c r="G67" i="11" a="1"/>
  <c r="H62" i="11" a="1"/>
  <c r="E62" i="11" a="1"/>
  <c r="J62" i="11" a="1"/>
  <c r="E65" i="11" a="1"/>
  <c r="E70" i="11" a="1"/>
  <c r="J68" i="11" a="1"/>
  <c r="B63" i="11"/>
  <c r="B74" i="11"/>
  <c r="H63" i="11" a="1"/>
  <c r="B71" i="11"/>
  <c r="E68" i="11" a="1"/>
  <c r="H67" i="11" a="1"/>
  <c r="E67" i="11" a="1"/>
  <c r="B64" i="11"/>
  <c r="E69" i="11" a="1"/>
  <c r="H68" i="11" a="1"/>
  <c r="J74" i="11" a="1"/>
  <c r="H61" i="11" a="1"/>
  <c r="G71" i="11" a="1"/>
  <c r="G62" i="11" a="1"/>
  <c r="E63" i="11" a="1"/>
  <c r="B68" i="11"/>
  <c r="J67" i="11" a="1"/>
  <c r="B76" i="11"/>
  <c r="F69" i="11" a="1"/>
  <c r="J76" i="11" l="1"/>
  <c r="J75" i="11"/>
  <c r="J74" i="11"/>
  <c r="H71" i="1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J71" i="11"/>
  <c r="J70" i="11"/>
  <c r="E69" i="11"/>
  <c r="J69" i="11"/>
  <c r="E68" i="11"/>
  <c r="E67" i="11"/>
  <c r="E66" i="11"/>
  <c r="J68" i="11"/>
  <c r="J67" i="11"/>
  <c r="J66" i="11"/>
  <c r="E65" i="11"/>
  <c r="E64" i="11"/>
  <c r="E63" i="11"/>
  <c r="E62" i="11"/>
  <c r="J65" i="11"/>
  <c r="J64" i="11"/>
  <c r="J63" i="11"/>
  <c r="J62" i="11"/>
  <c r="E61" i="11"/>
  <c r="K155" i="3" l="1"/>
  <c r="K49" i="11"/>
  <c r="B168" i="3" a="1"/>
  <c r="H166" i="3" a="1"/>
  <c r="J170" i="3" a="1"/>
  <c r="C168" i="3" a="1"/>
  <c r="C19" i="6"/>
  <c r="C44" i="6"/>
  <c r="C165" i="3" a="1"/>
  <c r="J164" i="3" a="1"/>
  <c r="B163" i="3" a="1"/>
  <c r="B164" i="3" a="1"/>
  <c r="G164" i="3" a="1"/>
  <c r="C21" i="6"/>
  <c r="H163" i="3" a="1"/>
  <c r="C18" i="6"/>
  <c r="C46" i="6"/>
  <c r="F165" i="3" a="1"/>
  <c r="C162" i="3" a="1"/>
  <c r="F166" i="3" a="1"/>
  <c r="C31" i="6"/>
  <c r="J166" i="3" a="1"/>
  <c r="E164" i="3" a="1"/>
  <c r="B166" i="3" a="1"/>
  <c r="F164" i="3" a="1"/>
  <c r="J155" i="3"/>
  <c r="E168" i="3" a="1"/>
  <c r="C20" i="6"/>
  <c r="G165" i="3" a="1"/>
  <c r="C166" i="3" a="1"/>
  <c r="C43" i="6"/>
  <c r="H168" i="3" a="1"/>
  <c r="C33" i="6"/>
  <c r="E163" i="3" a="1"/>
  <c r="C163" i="3" a="1"/>
  <c r="C34" i="6"/>
  <c r="C45" i="6"/>
  <c r="G168" i="3" a="1"/>
  <c r="B162" i="3" a="1"/>
  <c r="C30" i="6"/>
  <c r="C32" i="6"/>
  <c r="C42" i="6"/>
  <c r="H164" i="3" a="1"/>
  <c r="H165" i="3" a="1"/>
  <c r="C164" i="3" a="1"/>
  <c r="H162" i="3" a="1"/>
  <c r="J163" i="3" a="1"/>
  <c r="J165" i="3" a="1"/>
  <c r="J162" i="3" a="1"/>
  <c r="J168" i="3" a="1"/>
  <c r="E166" i="3" a="1"/>
  <c r="B165" i="3" a="1"/>
  <c r="F162" i="3" a="1"/>
  <c r="E162" i="3" a="1"/>
  <c r="E165" i="3" a="1"/>
  <c r="C22" i="6"/>
  <c r="B57" i="11" a="1"/>
  <c r="H57" i="11" a="1"/>
  <c r="G60" i="11" a="1"/>
  <c r="J59" i="11" a="1"/>
  <c r="B73" i="11" a="1"/>
  <c r="J73" i="11" a="1"/>
  <c r="E60" i="11" a="1"/>
  <c r="E59" i="11" a="1"/>
  <c r="E58" i="11" a="1"/>
  <c r="G59" i="11" a="1"/>
  <c r="J57" i="11" a="1"/>
  <c r="J39" i="11" a="1"/>
  <c r="J58" i="11" a="1"/>
  <c r="B61" i="11" a="1"/>
  <c r="J40" i="11" a="1"/>
  <c r="H60" i="11" a="1"/>
  <c r="F57" i="11" a="1"/>
  <c r="H59" i="11" a="1"/>
  <c r="F60" i="11" a="1"/>
  <c r="B60" i="11" a="1"/>
  <c r="J61" i="11" a="1"/>
  <c r="J49" i="11"/>
  <c r="J41" i="11" a="1"/>
  <c r="F59" i="11" a="1"/>
  <c r="H58" i="11" a="1"/>
  <c r="B58" i="11" a="1"/>
  <c r="J60" i="11" a="1"/>
  <c r="E57" i="11" a="1"/>
  <c r="J38" i="11" a="1"/>
  <c r="J42" i="11" a="1"/>
  <c r="J44" i="11" a="1"/>
  <c r="B59" i="11" a="1"/>
  <c r="I52" i="11" a="1"/>
  <c r="J52" i="11" a="1"/>
  <c r="J158" i="3" a="1"/>
  <c r="I158" i="3" a="1"/>
  <c r="J73" i="11" l="1"/>
  <c r="J57" i="11"/>
  <c r="J61" i="11"/>
  <c r="J58" i="11"/>
  <c r="J59" i="11"/>
  <c r="J60" i="11"/>
  <c r="J44" i="11"/>
  <c r="J40" i="11"/>
  <c r="J39" i="11"/>
  <c r="J41" i="11"/>
  <c r="J42" i="11"/>
  <c r="J38" i="11"/>
  <c r="I158" i="3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52" i="11"/>
  <c r="H57" i="11"/>
  <c r="B61" i="11"/>
  <c r="F59" i="11"/>
  <c r="B57" i="11"/>
  <c r="I52" i="11"/>
  <c r="B59" i="11"/>
  <c r="F60" i="11"/>
  <c r="G59" i="11"/>
  <c r="E60" i="11"/>
  <c r="E58" i="11"/>
  <c r="G60" i="11"/>
  <c r="H59" i="11"/>
  <c r="F57" i="11"/>
  <c r="E57" i="11"/>
  <c r="B58" i="11"/>
  <c r="H58" i="11"/>
  <c r="E59" i="11"/>
  <c r="B60" i="11"/>
  <c r="H60" i="11"/>
  <c r="B73" i="11"/>
  <c r="K31" i="11"/>
  <c r="K13" i="11"/>
  <c r="F163" i="3" a="1"/>
  <c r="G163" i="3" a="1"/>
  <c r="G162" i="3" a="1"/>
  <c r="C25" i="11" a="1"/>
  <c r="C23" i="11" a="1"/>
  <c r="C40" i="11" a="1"/>
  <c r="C42" i="11" a="1"/>
  <c r="C44" i="11" a="1"/>
  <c r="F26" i="11" a="1"/>
  <c r="E44" i="11" a="1"/>
  <c r="H25" i="11" a="1"/>
  <c r="E42" i="11" a="1"/>
  <c r="B39" i="11" a="1"/>
  <c r="B44" i="11" a="1"/>
  <c r="G28" i="11" a="1"/>
  <c r="B41" i="11" a="1"/>
  <c r="H38" i="11" a="1"/>
  <c r="J21" i="11" a="1"/>
  <c r="G26" i="11" a="1"/>
  <c r="C41" i="11" a="1"/>
  <c r="E41" i="11" a="1"/>
  <c r="H22" i="11" a="1"/>
  <c r="B22" i="11" a="1"/>
  <c r="E23" i="11" a="1"/>
  <c r="G20" i="11" a="1"/>
  <c r="J26" i="11" a="1"/>
  <c r="J13" i="11"/>
  <c r="E22" i="11" a="1"/>
  <c r="G44" i="11" a="1"/>
  <c r="C39" i="11" a="1"/>
  <c r="E28" i="11" a="1"/>
  <c r="J31" i="11"/>
  <c r="H40" i="11" a="1"/>
  <c r="H20" i="11" a="1"/>
  <c r="F22" i="11" a="1"/>
  <c r="E40" i="11" a="1"/>
  <c r="G41" i="11" a="1"/>
  <c r="F25" i="11" a="1"/>
  <c r="J25" i="11" a="1"/>
  <c r="B25" i="11" a="1"/>
  <c r="H23" i="11" a="1"/>
  <c r="J20" i="11" a="1"/>
  <c r="C21" i="11" a="1"/>
  <c r="F28" i="11" a="1"/>
  <c r="C38" i="11" a="1"/>
  <c r="E25" i="11" a="1"/>
  <c r="J23" i="11" a="1"/>
  <c r="F41" i="11" a="1"/>
  <c r="E39" i="11" a="1"/>
  <c r="H26" i="11" a="1"/>
  <c r="B23" i="11" a="1"/>
  <c r="B40" i="11" a="1"/>
  <c r="E38" i="11" a="1"/>
  <c r="H41" i="11" a="1"/>
  <c r="G23" i="11" a="1"/>
  <c r="C28" i="11" a="1"/>
  <c r="F23" i="11" a="1"/>
  <c r="E21" i="11" a="1"/>
  <c r="F21" i="11" a="1"/>
  <c r="G22" i="11" a="1"/>
  <c r="G40" i="11" a="1"/>
  <c r="F40" i="11" a="1"/>
  <c r="G25" i="11" a="1"/>
  <c r="H42" i="11" a="1"/>
  <c r="E26" i="11" a="1"/>
  <c r="H44" i="11" a="1"/>
  <c r="F42" i="11" a="1"/>
  <c r="H21" i="11" a="1"/>
  <c r="F20" i="11" a="1"/>
  <c r="H39" i="11" a="1"/>
  <c r="B42" i="11" a="1"/>
  <c r="C22" i="11" a="1"/>
  <c r="B21" i="11" a="1"/>
  <c r="G21" i="11" a="1"/>
  <c r="H28" i="11" a="1"/>
  <c r="B28" i="11" a="1"/>
  <c r="E20" i="11" a="1"/>
  <c r="F38" i="11" a="1"/>
  <c r="C20" i="11" a="1"/>
  <c r="B26" i="11" a="1"/>
  <c r="B20" i="11" a="1"/>
  <c r="J28" i="11" a="1"/>
  <c r="C26" i="11" a="1"/>
  <c r="B38" i="11" a="1"/>
  <c r="J22" i="11" a="1"/>
  <c r="G14" i="11" a="1"/>
  <c r="F58" i="11" a="1"/>
  <c r="G58" i="11" a="1"/>
  <c r="I34" i="11" a="1"/>
  <c r="G57" i="11" a="1"/>
  <c r="J34" i="11" a="1"/>
  <c r="G163" i="3" l="1"/>
  <c r="G58" i="11"/>
  <c r="G162" i="3"/>
  <c r="F163" i="3"/>
  <c r="F58" i="11"/>
  <c r="G57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39" i="11" a="1"/>
  <c r="G166" i="3" a="1"/>
  <c r="F39" i="11" a="1"/>
  <c r="G38" i="11" a="1"/>
  <c r="G166" i="3" l="1"/>
  <c r="F39" i="11"/>
  <c r="G39" i="11"/>
  <c r="G38" i="11"/>
  <c r="G42" i="11" a="1"/>
  <c r="G42" i="11" l="1"/>
  <c r="O22" i="8" a="1"/>
  <c r="G16" i="11" a="1"/>
  <c r="E14" i="11" a="1"/>
  <c r="I14" i="11" a="1"/>
  <c r="I14" i="11" l="1"/>
  <c r="G16" i="11"/>
  <c r="E14" i="11"/>
  <c r="O22" i="8"/>
  <c r="O23" i="8" a="1"/>
  <c r="D23" i="11" a="1"/>
  <c r="D20" i="11" a="1"/>
  <c r="D25" i="11" a="1"/>
  <c r="D28" i="11" a="1"/>
  <c r="D22" i="11" a="1"/>
  <c r="D21" i="11" a="1"/>
  <c r="D26" i="11" a="1"/>
  <c r="D28" i="11" l="1"/>
  <c r="D26" i="11"/>
  <c r="D25" i="11"/>
  <c r="D23" i="11"/>
  <c r="D22" i="11"/>
  <c r="D21" i="11"/>
  <c r="D20" i="11"/>
  <c r="O23" i="8"/>
  <c r="O24" i="8" a="1"/>
  <c r="I20" i="11" a="1"/>
  <c r="I28" i="11" a="1"/>
  <c r="I26" i="11" a="1"/>
  <c r="I21" i="11" a="1"/>
  <c r="I23" i="11" a="1"/>
  <c r="I22" i="11" a="1"/>
  <c r="I25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9" i="8" a="1"/>
  <c r="O28" i="8" a="1"/>
  <c r="O26" i="8" a="1"/>
  <c r="O27" i="8" a="1"/>
  <c r="O25" i="8" a="1"/>
  <c r="O30" i="8" a="1"/>
  <c r="O31" i="8" a="1"/>
  <c r="I22" i="8" a="1"/>
  <c r="O20" i="8" a="1"/>
  <c r="F21" i="8" a="1"/>
  <c r="L21" i="8" a="1"/>
  <c r="R19" i="8" a="1"/>
  <c r="F19" i="8" a="1"/>
  <c r="L20" i="8" a="1"/>
  <c r="F24" i="8" a="1"/>
  <c r="I23" i="8" a="1"/>
  <c r="L19" i="8" a="1"/>
  <c r="F25" i="8" a="1"/>
  <c r="O21" i="8" a="1"/>
  <c r="F20" i="8" a="1"/>
  <c r="O19" i="8" a="1"/>
  <c r="F26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R23" i="8" a="1"/>
  <c r="R31" i="8" a="1"/>
  <c r="I30" i="8" a="1"/>
  <c r="J127" i="7"/>
  <c r="R25" i="8" a="1"/>
  <c r="F28" i="8" a="1"/>
  <c r="R22" i="8" a="1"/>
  <c r="L28" i="8" a="1"/>
  <c r="L24" i="8" a="1"/>
  <c r="I31" i="8" a="1"/>
  <c r="I29" i="8" a="1"/>
  <c r="F30" i="8" a="1"/>
  <c r="L31" i="8" a="1"/>
  <c r="F31" i="8" a="1"/>
  <c r="F27" i="8" a="1"/>
  <c r="J25" i="6"/>
  <c r="R30" i="8" a="1"/>
  <c r="L30" i="8" a="1"/>
  <c r="I27" i="8" a="1"/>
  <c r="R24" i="8" a="1"/>
  <c r="R27" i="8" a="1"/>
  <c r="F29" i="8" a="1"/>
  <c r="I28" i="8" a="1"/>
  <c r="L25" i="8" a="1"/>
  <c r="J79" i="4"/>
  <c r="R21" i="8" a="1"/>
  <c r="L29" i="8" a="1"/>
  <c r="J31" i="7"/>
  <c r="J37" i="6"/>
  <c r="R29" i="8" a="1"/>
  <c r="R20" i="8" a="1"/>
  <c r="R28" i="8" a="1"/>
  <c r="J132" i="3"/>
  <c r="L27" i="8" a="1"/>
  <c r="R26" i="8" a="1"/>
  <c r="E50" i="11" a="1"/>
  <c r="J36" i="4" a="1"/>
  <c r="I21" i="8" a="1"/>
  <c r="E32" i="11" a="1"/>
  <c r="G32" i="11" a="1"/>
  <c r="I26" i="8" a="1"/>
  <c r="J106" i="4" a="1"/>
  <c r="I36" i="4" a="1"/>
  <c r="I105" i="4" a="1"/>
  <c r="G81" i="4" a="1"/>
  <c r="G15" i="4" a="1"/>
  <c r="G158" i="3" a="1"/>
  <c r="I20" i="8" a="1"/>
  <c r="G57" i="4" a="1"/>
  <c r="I25" i="8" a="1"/>
  <c r="F34" i="11" a="1"/>
  <c r="G152" i="4" a="1"/>
  <c r="I156" i="3" a="1"/>
  <c r="I24" i="8" a="1"/>
  <c r="I132" i="4" a="1"/>
  <c r="J132" i="4" a="1"/>
  <c r="G50" i="11" a="1"/>
  <c r="E156" i="3" a="1"/>
  <c r="I57" i="4" a="1"/>
  <c r="I50" i="11" a="1"/>
  <c r="F158" i="3" a="1"/>
  <c r="G131" i="4" a="1"/>
  <c r="I81" i="4" a="1"/>
  <c r="I131" i="4" a="1"/>
  <c r="G36" i="4" a="1"/>
  <c r="J81" i="4" a="1"/>
  <c r="G156" i="3" a="1"/>
  <c r="G34" i="11" a="1"/>
  <c r="G105" i="4" a="1"/>
  <c r="J57" i="4" a="1"/>
  <c r="J131" i="4" a="1"/>
  <c r="G52" i="11" a="1"/>
  <c r="I106" i="4" a="1"/>
  <c r="I15" i="4" a="1"/>
  <c r="J105" i="4" a="1"/>
  <c r="I32" i="11" a="1"/>
  <c r="I152" i="4" a="1"/>
  <c r="C50" i="11" a="1"/>
  <c r="J152" i="4" a="1"/>
  <c r="K52" i="11" a="1"/>
  <c r="J15" i="4" a="1"/>
  <c r="K52" i="11" l="1"/>
  <c r="C50" i="11"/>
  <c r="G156" i="3"/>
  <c r="I156" i="3"/>
  <c r="E156" i="3"/>
  <c r="G158" i="3"/>
  <c r="F158" i="3"/>
  <c r="K170" i="3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D162" i="3" a="1"/>
  <c r="J86" i="7"/>
  <c r="J129" i="4"/>
  <c r="J48" i="3"/>
  <c r="J150" i="4"/>
  <c r="J66" i="7"/>
  <c r="J89" i="3"/>
  <c r="J109" i="3"/>
  <c r="D163" i="3" a="1"/>
  <c r="J107" i="7"/>
  <c r="J13" i="6"/>
  <c r="J103" i="4"/>
  <c r="J13" i="7"/>
  <c r="J13" i="5"/>
  <c r="D164" i="3" a="1"/>
  <c r="D166" i="3" a="1"/>
  <c r="J13" i="4"/>
  <c r="D165" i="3" a="1"/>
  <c r="J55" i="4"/>
  <c r="J13" i="3"/>
  <c r="J34" i="4"/>
  <c r="J68" i="3"/>
  <c r="D168" i="3" a="1"/>
  <c r="J40" i="5"/>
  <c r="G81" i="11" a="1"/>
  <c r="G80" i="11" a="1"/>
  <c r="G79" i="11" a="1"/>
  <c r="D81" i="11"/>
  <c r="I81" i="11" s="1" a="1"/>
  <c r="D80" i="11"/>
  <c r="I80" i="11" s="1" a="1"/>
  <c r="D79" i="11"/>
  <c r="I79" i="11" s="1" a="1"/>
  <c r="D76" i="11"/>
  <c r="F65" i="11" a="1"/>
  <c r="I71" i="3" a="1"/>
  <c r="J71" i="3" a="1"/>
  <c r="J109" i="7" a="1"/>
  <c r="J89" i="7" a="1"/>
  <c r="D68" i="11"/>
  <c r="F170" i="3" a="1"/>
  <c r="J88" i="7" a="1"/>
  <c r="D60" i="11" a="1"/>
  <c r="D71" i="11"/>
  <c r="F15" i="4" a="1"/>
  <c r="D75" i="11"/>
  <c r="D38" i="11" a="1"/>
  <c r="I14" i="3" a="1"/>
  <c r="E91" i="3" a="1"/>
  <c r="I92" i="3" a="1"/>
  <c r="D57" i="11" a="1"/>
  <c r="I111" i="3" a="1"/>
  <c r="I129" i="7" a="1"/>
  <c r="D40" i="11" a="1"/>
  <c r="G16" i="3" a="1"/>
  <c r="D74" i="11"/>
  <c r="J16" i="3" a="1"/>
  <c r="F152" i="4" a="1"/>
  <c r="D61" i="11" a="1"/>
  <c r="F36" i="4" a="1"/>
  <c r="D58" i="11" a="1"/>
  <c r="F44" i="11" a="1"/>
  <c r="C46" i="11" a="1"/>
  <c r="E46" i="11" a="1"/>
  <c r="J46" i="11" a="1"/>
  <c r="F131" i="4" a="1"/>
  <c r="F57" i="4" a="1"/>
  <c r="D69" i="11"/>
  <c r="D42" i="11" a="1"/>
  <c r="J50" i="3" a="1"/>
  <c r="I88" i="7" a="1"/>
  <c r="H170" i="3" a="1"/>
  <c r="I34" i="7" a="1"/>
  <c r="F46" i="11" a="1"/>
  <c r="D46" i="11" a="1"/>
  <c r="B46" i="11" a="1"/>
  <c r="J91" i="3" a="1"/>
  <c r="F105" i="4" a="1"/>
  <c r="D44" i="11" a="1"/>
  <c r="J34" i="7" a="1"/>
  <c r="E134" i="3" a="1"/>
  <c r="D39" i="11" a="1"/>
  <c r="J129" i="7" a="1"/>
  <c r="F81" i="4" a="1"/>
  <c r="I70" i="3" a="1"/>
  <c r="B170" i="3" a="1"/>
  <c r="D59" i="11" a="1"/>
  <c r="D63" i="11"/>
  <c r="D41" i="11" a="1"/>
  <c r="I68" i="7" a="1"/>
  <c r="F62" i="11" a="1"/>
  <c r="G111" i="3" a="1"/>
  <c r="E111" i="3" a="1"/>
  <c r="J111" i="3" a="1"/>
  <c r="E50" i="3" a="1"/>
  <c r="J110" i="7" a="1"/>
  <c r="D66" i="11"/>
  <c r="E70" i="3" a="1"/>
  <c r="D62" i="11"/>
  <c r="D170" i="3" a="1"/>
  <c r="E170" i="3" a="1"/>
  <c r="F71" i="11" a="1"/>
  <c r="I89" i="7" a="1"/>
  <c r="C170" i="3" a="1"/>
  <c r="J70" i="3" a="1"/>
  <c r="D65" i="11"/>
  <c r="D70" i="11"/>
  <c r="J92" i="3" a="1"/>
  <c r="F168" i="3" a="1"/>
  <c r="G46" i="11" a="1"/>
  <c r="D64" i="11"/>
  <c r="H46" i="11" a="1"/>
  <c r="I110" i="7" a="1"/>
  <c r="G170" i="3" a="1"/>
  <c r="D73" i="11" a="1"/>
  <c r="J68" i="7" a="1"/>
  <c r="I134" i="3" a="1"/>
  <c r="F68" i="11" a="1"/>
  <c r="G134" i="3" a="1"/>
  <c r="I109" i="7" a="1"/>
  <c r="F74" i="11" a="1"/>
  <c r="F73" i="11" a="1"/>
  <c r="F75" i="11" a="1"/>
  <c r="I16" i="3" a="1"/>
  <c r="J134" i="3" a="1"/>
  <c r="I91" i="3" a="1"/>
  <c r="D67" i="11"/>
  <c r="I50" i="3" a="1"/>
  <c r="G81" i="11" l="1"/>
  <c r="G80" i="11"/>
  <c r="G79" i="11"/>
  <c r="I81" i="11"/>
  <c r="I80" i="11"/>
  <c r="I79" i="11"/>
  <c r="F75" i="11"/>
  <c r="F74" i="11"/>
  <c r="F73" i="11"/>
  <c r="F71" i="11"/>
  <c r="F68" i="11"/>
  <c r="F65" i="11"/>
  <c r="F62" i="11"/>
  <c r="K78" i="11"/>
  <c r="J46" i="11"/>
  <c r="F168" i="3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D73" i="11"/>
  <c r="D61" i="11"/>
  <c r="D59" i="11"/>
  <c r="D57" i="11"/>
  <c r="D58" i="11"/>
  <c r="D60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66" i="3" a="1"/>
  <c r="I165" i="3" a="1"/>
  <c r="I168" i="3" a="1"/>
  <c r="I164" i="3" a="1"/>
  <c r="I162" i="3" a="1"/>
  <c r="I163" i="3" a="1"/>
  <c r="H78" i="11" a="1"/>
  <c r="E78" i="11" a="1"/>
  <c r="G78" i="11" a="1"/>
  <c r="J78" i="11" a="1"/>
  <c r="B78" i="11" a="1"/>
  <c r="I74" i="11" a="1"/>
  <c r="B34" i="7" a="1"/>
  <c r="I61" i="11" a="1"/>
  <c r="F68" i="7" a="1"/>
  <c r="I42" i="11" a="1"/>
  <c r="G34" i="7" a="1"/>
  <c r="I69" i="11" a="1"/>
  <c r="I73" i="11" a="1"/>
  <c r="E68" i="7" a="1"/>
  <c r="I32" i="7" a="1"/>
  <c r="E129" i="7" a="1"/>
  <c r="E15" i="7" a="1"/>
  <c r="I75" i="11" a="1"/>
  <c r="I67" i="11" a="1"/>
  <c r="I60" i="11" a="1"/>
  <c r="I76" i="11" a="1"/>
  <c r="E109" i="7" a="1"/>
  <c r="I70" i="11" a="1"/>
  <c r="F129" i="7" a="1"/>
  <c r="F76" i="11" a="1"/>
  <c r="G129" i="7" a="1"/>
  <c r="F15" i="7" a="1"/>
  <c r="I71" i="11" a="1"/>
  <c r="I66" i="11" a="1"/>
  <c r="I57" i="11" a="1"/>
  <c r="I15" i="7" a="1"/>
  <c r="I46" i="11" a="1"/>
  <c r="D78" i="11" a="1"/>
  <c r="I40" i="11" a="1"/>
  <c r="I68" i="11" a="1"/>
  <c r="E88" i="7" a="1"/>
  <c r="I170" i="3" a="1"/>
  <c r="I44" i="11" a="1"/>
  <c r="I64" i="11" a="1"/>
  <c r="I62" i="11" a="1"/>
  <c r="I38" i="11" a="1"/>
  <c r="I39" i="11" a="1"/>
  <c r="F88" i="7" a="1"/>
  <c r="I63" i="11" a="1"/>
  <c r="I59" i="11" a="1"/>
  <c r="I41" i="11" a="1"/>
  <c r="F78" i="11" a="1"/>
  <c r="J15" i="7" a="1"/>
  <c r="I65" i="11" a="1"/>
  <c r="I58" i="11" a="1"/>
  <c r="F109" i="7" a="1"/>
  <c r="F76" i="11" l="1"/>
  <c r="I76" i="11"/>
  <c r="I75" i="11"/>
  <c r="I74" i="11"/>
  <c r="I62" i="11"/>
  <c r="I71" i="11"/>
  <c r="I70" i="11"/>
  <c r="I69" i="11"/>
  <c r="I68" i="11"/>
  <c r="I67" i="11"/>
  <c r="I65" i="11"/>
  <c r="I66" i="11"/>
  <c r="I63" i="11"/>
  <c r="I64" i="11"/>
  <c r="J78" i="11"/>
  <c r="I165" i="3"/>
  <c r="I163" i="3"/>
  <c r="I166" i="3"/>
  <c r="I164" i="3"/>
  <c r="I162" i="3"/>
  <c r="I168" i="3"/>
  <c r="I170" i="3"/>
  <c r="F78" i="11"/>
  <c r="E78" i="11"/>
  <c r="H78" i="11"/>
  <c r="B78" i="11"/>
  <c r="G78" i="11"/>
  <c r="D78" i="11"/>
  <c r="I60" i="11"/>
  <c r="I58" i="11"/>
  <c r="I57" i="11"/>
  <c r="I59" i="11"/>
  <c r="I61" i="11"/>
  <c r="I73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E38" i="6" a="1"/>
  <c r="F19" i="4" a="1"/>
  <c r="F108" i="4" a="1"/>
  <c r="F93" i="3" a="1"/>
  <c r="F135" i="3" a="1"/>
  <c r="E14" i="6" a="1"/>
  <c r="F72" i="3" a="1"/>
  <c r="F61" i="4" a="1"/>
  <c r="I78" i="11" a="1"/>
  <c r="F40" i="4" a="1"/>
  <c r="F112" i="3" a="1"/>
  <c r="F85" i="4" a="1"/>
  <c r="F156" i="4" a="1"/>
  <c r="F134" i="4" a="1"/>
  <c r="F51" i="3" a="1"/>
  <c r="F21" i="5" a="1"/>
  <c r="F17" i="3" a="1"/>
  <c r="F54" i="5" a="1"/>
  <c r="E26" i="6" a="1"/>
  <c r="I78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H112" i="3" a="1"/>
  <c r="D51" i="3" a="1"/>
  <c r="D85" i="4" a="1"/>
  <c r="D134" i="4" a="1"/>
  <c r="H108" i="4" a="1"/>
  <c r="D40" i="4" a="1"/>
  <c r="D72" i="3" a="1"/>
  <c r="F130" i="7" a="1"/>
  <c r="D93" i="3" a="1"/>
  <c r="D135" i="3" a="1"/>
  <c r="H134" i="4" a="1"/>
  <c r="H40" i="4" a="1"/>
  <c r="D156" i="4" a="1"/>
  <c r="F16" i="7" a="1"/>
  <c r="F69" i="7" a="1"/>
  <c r="H135" i="3" a="1"/>
  <c r="H19" i="4" a="1"/>
  <c r="D21" i="5" a="1"/>
  <c r="H93" i="3" a="1"/>
  <c r="H61" i="4" a="1"/>
  <c r="D112" i="3" a="1"/>
  <c r="H17" i="3" a="1"/>
  <c r="H156" i="4" a="1"/>
  <c r="F111" i="7" a="1"/>
  <c r="F90" i="7" a="1"/>
  <c r="H21" i="5" a="1"/>
  <c r="F35" i="7" a="1"/>
  <c r="H51" i="3" a="1"/>
  <c r="D19" i="4" a="1"/>
  <c r="H54" i="5" a="1"/>
  <c r="D54" i="5" a="1"/>
  <c r="H72" i="3" a="1"/>
  <c r="H85" i="4" a="1"/>
  <c r="D61" i="4" a="1"/>
  <c r="D108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11" i="7" a="1"/>
  <c r="D90" i="7" a="1"/>
  <c r="D69" i="7" a="1"/>
  <c r="D130" i="7" a="1"/>
  <c r="H130" i="7" a="1"/>
  <c r="H35" i="7" a="1"/>
  <c r="H69" i="7" a="1"/>
  <c r="D16" i="7" a="1"/>
  <c r="H111" i="7" a="1"/>
  <c r="H16" i="7" a="1"/>
  <c r="H90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<sst xmlns="http://schemas.openxmlformats.org/spreadsheetml/2006/main" count="1101" uniqueCount="188">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</sst>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5</xdr:row>
          <xdr:rowOff>38100</xdr:rowOff>
        </xdr:from>
        <xdr:to>
          <xdr:col>15</xdr:col>
          <xdr:colOff>327660</xdr:colOff>
          <xdr:row>6</xdr:row>
          <xdr:rowOff>213360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6" sqref="H26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84"/>
  <sheetViews>
    <sheetView tabSelected="1" zoomScale="85" zoomScaleNormal="85" workbookViewId="0">
      <pane ySplit="8" topLeftCell="A53" activePane="bottomLeft" state="frozen"/>
      <selection pane="bottomLeft" activeCell="H81" sqref="H81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25.332031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aca="1" ref="J46" ca="1">visible((""),K46)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 cm="1">
        <f t="array" aca="1" ref="C50" ca="1">defaultValue(D50,K49)</f>
        <v>45</v>
      </c>
      <c r="D50" s="7" t="s">
        <v>19</v>
      </c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1">
        <v>1</v>
      </c>
      <c r="B51" s="15"/>
      <c r="C51" s="7" t="s">
        <v>129</v>
      </c>
      <c r="D51" s="7" t="s">
        <v>128</v>
      </c>
      <c r="E51" s="93" t="s">
        <v>127</v>
      </c>
      <c r="F51" s="93" t="s">
        <v>186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114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1</v>
      </c>
      <c r="E52" s="8">
        <v>1</v>
      </c>
      <c r="F52" s="27"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27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1">
        <v>1</v>
      </c>
      <c r="B53" s="15"/>
      <c r="C53" s="27">
        <v>30</v>
      </c>
      <c r="D53" s="27">
        <v>20</v>
      </c>
      <c r="E53" s="46">
        <v>7</v>
      </c>
      <c r="F53" s="27">
        <v>10</v>
      </c>
      <c r="G53" s="27">
        <v>3</v>
      </c>
      <c r="H53" s="29" t="s">
        <v>143</v>
      </c>
      <c r="I53" s="27">
        <v>0</v>
      </c>
      <c r="J53" s="104" t="s">
        <v>187</v>
      </c>
      <c r="K53" s="105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0</v>
      </c>
      <c r="B54" s="15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2</v>
      </c>
      <c r="B55" s="15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8</v>
      </c>
      <c r="K55" s="6" t="s">
        <v>185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0</v>
      </c>
      <c r="B56" s="15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-3.6</v>
      </c>
      <c r="G57" s="6" cm="1">
        <f t="array" aca="1" ref="G57" ca="1">visible((J52),K57)</f>
        <v>56</v>
      </c>
      <c r="H57" s="6" cm="1">
        <f t="array" ref="H57">visible((C49),K57)</f>
        <v>1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2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-3.6</v>
      </c>
      <c r="G59" s="6" cm="1">
        <f t="array" ref="G59">visible((10),K59)</f>
        <v>10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-3.6</v>
      </c>
      <c r="G60" s="6" cm="1">
        <f t="array" ref="G60">visible((7),K60)</f>
        <v>7</v>
      </c>
      <c r="H60" s="6" cm="1">
        <f t="array" ref="H60">visible((C49),K60)</f>
        <v>1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3</v>
      </c>
      <c r="B61" s="15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-9.6999999999999993</v>
      </c>
      <c r="G61" s="10" cm="1">
        <f t="array" ref="G61">visible((F53),K61)</f>
        <v>10</v>
      </c>
      <c r="H61" s="10" cm="1">
        <f t="array" ref="H61">visible((F52*C49),K61)</f>
        <v>1</v>
      </c>
      <c r="I61" s="10" cm="1">
        <f t="array" aca="1" ref="I61" ca="1">visible(materialNum(D61),K61)</f>
        <v>2</v>
      </c>
      <c r="J61" s="10" t="str" cm="1">
        <f t="array" ref="J61">visible((""),K61)</f>
        <v/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3</v>
      </c>
      <c r="B62" s="15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2</v>
      </c>
      <c r="I62" s="10" cm="1">
        <f t="array" aca="1" ref="I62" ca="1">visible(materialNum(D62),K62)</f>
        <v>2</v>
      </c>
      <c r="J62" s="10" t="str" cm="1">
        <f t="array" ref="J62">visible((""),K62)</f>
        <v/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3</v>
      </c>
      <c r="B63" s="15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-9.6999999999999993</v>
      </c>
      <c r="G63" s="10" cm="1">
        <f t="array" ref="G63">visible((F53-3),K63)</f>
        <v>7</v>
      </c>
      <c r="H63" s="10" cm="1">
        <f t="array" ref="H63">visible((F52*C49),K63)</f>
        <v>1</v>
      </c>
      <c r="I63" s="10" cm="1">
        <f t="array" aca="1" ref="I63" ca="1">visible(materialNum(D63),K63)</f>
        <v>2</v>
      </c>
      <c r="J63" s="10" t="str" cm="1">
        <f t="array" ref="J63">visible((""),K63)</f>
        <v/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3</v>
      </c>
      <c r="B64" s="15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-9.6999999999999993</v>
      </c>
      <c r="G64" s="6" cm="1">
        <f t="array" ref="G64">visible((D53),K64)</f>
        <v>20</v>
      </c>
      <c r="H64" s="6" cm="1">
        <f t="array" ref="H64">visible((D52*C49),K64)</f>
        <v>1</v>
      </c>
      <c r="I64" s="6" cm="1">
        <f t="array" aca="1" ref="I64" ca="1">visible(materialNum(D64),K64)</f>
        <v>2</v>
      </c>
      <c r="J64" s="6" t="str" cm="1">
        <f t="array" ref="J64">visible((""),K64)</f>
        <v/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3</v>
      </c>
      <c r="B65" s="15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2</v>
      </c>
      <c r="I65" s="6" cm="1">
        <f t="array" aca="1" ref="I65" ca="1">visible(materialNum(D65),K65)</f>
        <v>2</v>
      </c>
      <c r="J65" s="6" t="str" cm="1">
        <f t="array" ref="J65">visible((""),K65)</f>
        <v/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3</v>
      </c>
      <c r="B66" s="15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-9.6999999999999993</v>
      </c>
      <c r="G66" s="6" cm="1">
        <f t="array" ref="G66">visible((D53-3),K66)</f>
        <v>17</v>
      </c>
      <c r="H66" s="6" cm="1">
        <f t="array" ref="H66">visible((D52*C49),K66)</f>
        <v>1</v>
      </c>
      <c r="I66" s="6" cm="1">
        <f t="array" aca="1" ref="I66" ca="1">visible(materialNum(D66),K66)</f>
        <v>2</v>
      </c>
      <c r="J66" s="6" t="str" cm="1">
        <f t="array" ref="J66">visible((""),K66)</f>
        <v/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1">
        <v>3</v>
      </c>
      <c r="B67" s="15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-9.6999999999999993</v>
      </c>
      <c r="G67" s="10" cm="1">
        <f t="array" ref="G67">visible((C53),K67)</f>
        <v>30</v>
      </c>
      <c r="H67" s="10" cm="1">
        <f t="array" ref="H67">visible((C52*C49),K67)</f>
        <v>1</v>
      </c>
      <c r="I67" s="10" cm="1">
        <f t="array" aca="1" ref="I67" ca="1">visible(materialNum(D67),K67)</f>
        <v>2</v>
      </c>
      <c r="J67" s="10" t="str" cm="1">
        <f t="array" ref="J67">visible((""),K67)</f>
        <v/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1">
        <v>3</v>
      </c>
      <c r="B68" s="15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2</v>
      </c>
      <c r="I68" s="10" cm="1">
        <f t="array" aca="1" ref="I68" ca="1">visible(materialNum(D68),K68)</f>
        <v>2</v>
      </c>
      <c r="J68" s="10" t="str" cm="1">
        <f t="array" ref="J68">visible((""),K68)</f>
        <v/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1">
        <v>3</v>
      </c>
      <c r="B69" s="15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-9.6999999999999993</v>
      </c>
      <c r="G69" s="10" cm="1">
        <f t="array" ref="G69">visible((C53-3),K69)</f>
        <v>27</v>
      </c>
      <c r="H69" s="10" cm="1">
        <f t="array" ref="H69">visible((C52*C49),K69)</f>
        <v>1</v>
      </c>
      <c r="I69" s="10" cm="1">
        <f t="array" aca="1" ref="I69" ca="1">visible(materialNum(D69),K69)</f>
        <v>2</v>
      </c>
      <c r="J69" s="10" t="str" cm="1">
        <f t="array" ref="J69">visible((""),K69)</f>
        <v/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1">
        <v>3</v>
      </c>
      <c r="B70" s="15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-9.6999999999999993</v>
      </c>
      <c r="G70" s="6" cm="1">
        <f t="array" ref="G70">visible((E53),K70)</f>
        <v>7</v>
      </c>
      <c r="H70" s="6" cm="1">
        <f t="array" ref="H70">visible((E52*C49*2),K70)</f>
        <v>2</v>
      </c>
      <c r="I70" s="6" cm="1">
        <f t="array" aca="1" ref="I70" ca="1">visible(materialNum(D70),K70)</f>
        <v>2</v>
      </c>
      <c r="J70" s="6" t="str" cm="1">
        <f t="array" ref="J70">visible((""),K70)</f>
        <v/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1">
        <v>3</v>
      </c>
      <c r="B71" s="15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2</v>
      </c>
      <c r="I71" s="6" cm="1">
        <f t="array" aca="1" ref="I71" ca="1">visible(materialNum(D71),K71)</f>
        <v>2</v>
      </c>
      <c r="J71" s="6" t="str" cm="1">
        <f t="array" ref="J71">visible((""),K71)</f>
        <v/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1">
        <v>0</v>
      </c>
      <c r="B72" s="15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1">
        <v>4</v>
      </c>
      <c r="B73" s="15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visible(("وش درج خارجى2/3  متساوية"),K73)</f>
        <v>وش درج خارجى2/3  متساوية</v>
      </c>
      <c r="F73" s="9" cm="1">
        <f t="array" aca="1" ref="F73" ca="1">visible(((I52/G53)-0.5-G52),K73)</f>
        <v>22</v>
      </c>
      <c r="G73" s="9" cm="1">
        <f t="array" ref="G73">visible((H52-0.5),K73)</f>
        <v>-0.5</v>
      </c>
      <c r="H73" s="9" cm="1">
        <f t="array" ref="H73">visible((C49*G53),K73)</f>
        <v>3</v>
      </c>
      <c r="I73" s="9" cm="1">
        <f t="array" aca="1" ref="I73" ca="1">visible(materialNum(D73),K73)</f>
        <v>6</v>
      </c>
      <c r="J73" s="9" t="str" cm="1">
        <f t="array" ref="J73">visible((""),K73)</f>
        <v/>
      </c>
      <c r="K73" s="9" t="b">
        <f>G53&lt;=3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1">
        <v>4</v>
      </c>
      <c r="B74" s="15" t="str">
        <f>visible(E49, K74)</f>
        <v/>
      </c>
      <c r="C74" s="9" t="str">
        <f>visible(17,K74)</f>
        <v/>
      </c>
      <c r="D74" s="9" t="str">
        <f ca="1">visible((G50),K74)</f>
        <v/>
      </c>
      <c r="E74" s="9" t="str" cm="1">
        <f t="array" ref="E74">visible(("وش درج خارجى 4 متساوية"),K74)</f>
        <v/>
      </c>
      <c r="F74" s="9" t="str" cm="1">
        <f t="array" aca="1" ref="F74" ca="1">visible(((I52/G53)-0.5-G52),K74)</f>
        <v/>
      </c>
      <c r="G74" s="9" t="str" cm="1">
        <f t="array" ref="G74">visible((H52-0.5),K74)</f>
        <v/>
      </c>
      <c r="H74" s="9" t="str">
        <f>visible(G53*I53,K74)</f>
        <v/>
      </c>
      <c r="I74" s="9" t="str" cm="1">
        <f t="array" aca="1" ref="I74" ca="1">visible(materialNum(D74),K74)</f>
        <v/>
      </c>
      <c r="J74" s="9" t="str" cm="1">
        <f t="array" ref="J74">visible((""),K74)</f>
        <v/>
      </c>
      <c r="K74" s="9" t="b">
        <f>AND(G53=4,I53)</f>
        <v>0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51">
        <v>4</v>
      </c>
      <c r="B75" s="15" t="str">
        <f>visible(E49, K75)</f>
        <v/>
      </c>
      <c r="C75" s="9" t="str">
        <f>visible(18,K75)</f>
        <v/>
      </c>
      <c r="D75" s="9" t="str">
        <f ca="1">visible((G50),K75)</f>
        <v/>
      </c>
      <c r="E75" s="9" t="str" cm="1">
        <f t="array" ref="E75">visible(("وش درج خارجى صغير- 3 مختلفة"),K75)</f>
        <v/>
      </c>
      <c r="F75" s="9" t="str" cm="1">
        <f t="array" aca="1" ref="F75" ca="1">visible(((I52/G53)-0.5-G52),K75)</f>
        <v/>
      </c>
      <c r="G75" s="9" t="str" cm="1">
        <f t="array" ref="G75">visible((H52-0.5),K75)</f>
        <v/>
      </c>
      <c r="H75" s="9" t="str">
        <f>visible(G53*I53,K75)</f>
        <v/>
      </c>
      <c r="I75" s="9" t="str" cm="1">
        <f t="array" aca="1" ref="I75" ca="1">visible(materialNum(D75),K75)</f>
        <v/>
      </c>
      <c r="J75" s="9" t="str" cm="1">
        <f t="array" ref="J75">visible((""),K75)</f>
        <v/>
      </c>
      <c r="K75" s="9" t="b">
        <f>AND(G53=4,NOT(I53))</f>
        <v>0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1">
        <v>4</v>
      </c>
      <c r="B76" s="15" t="str">
        <f>visible(E49, K76)</f>
        <v/>
      </c>
      <c r="C76" s="9" t="str">
        <f>visible(19,K76)</f>
        <v/>
      </c>
      <c r="D76" s="9" t="str">
        <f ca="1">visible((G50),K76)</f>
        <v/>
      </c>
      <c r="E76" s="9" t="str" cm="1">
        <f t="array" ref="E76">visible(("وش درج خارجى كبير- 3 مختلفة"),K76)</f>
        <v/>
      </c>
      <c r="F76" s="9" t="str" cm="1">
        <f t="array" aca="1" ref="F76" ca="1">visible((((I52/G53)*2)-0.5-G52),K76)</f>
        <v/>
      </c>
      <c r="G76" s="9" t="str" cm="1">
        <f t="array" ref="G76">visible((H52-0.5),K76)</f>
        <v/>
      </c>
      <c r="H76" s="9" t="str">
        <f>visible(G53*I53,K76)</f>
        <v/>
      </c>
      <c r="I76" s="9" t="str" cm="1">
        <f t="array" aca="1" ref="I76" ca="1">visible(materialNum(D76),K76)</f>
        <v/>
      </c>
      <c r="J76" s="9" t="str" cm="1">
        <f t="array" ref="J76">visible((""),K76)</f>
        <v/>
      </c>
      <c r="K76" s="9" t="b">
        <f>AND(G53=4,NOT(I53))</f>
        <v>0</v>
      </c>
      <c r="BB76"/>
      <c r="BC76"/>
      <c r="BD76"/>
      <c r="BE76"/>
      <c r="BF76"/>
      <c r="BG76"/>
      <c r="BH76"/>
      <c r="BI76"/>
      <c r="BJ76"/>
    </row>
    <row r="77" spans="1:62" ht="15.6" x14ac:dyDescent="0.3">
      <c r="A77" s="51">
        <v>0</v>
      </c>
      <c r="B77" s="15"/>
      <c r="K77" s="3"/>
      <c r="BB77"/>
      <c r="BC77"/>
      <c r="BD77"/>
      <c r="BE77"/>
      <c r="BF77"/>
      <c r="BG77"/>
      <c r="BH77"/>
      <c r="BI77"/>
      <c r="BJ77"/>
    </row>
    <row r="78" spans="1:62" ht="15.6" x14ac:dyDescent="0.3">
      <c r="A78" s="51">
        <v>5</v>
      </c>
      <c r="B78" s="15" t="str" cm="1">
        <f t="array" ref="B78">visible(E49, K78)</f>
        <v>وحدة سفلية ادراج</v>
      </c>
      <c r="C78" s="19">
        <f>visible(20,K78)</f>
        <v>20</v>
      </c>
      <c r="D78" s="19" t="str" cm="1">
        <f t="array" aca="1" ref="D78" ca="1">visible((E50),K78)</f>
        <v>ظهر</v>
      </c>
      <c r="E78" s="19" t="str" cm="1">
        <f t="array" ref="E78">visible(("ظهر"),K78)</f>
        <v>ظهر</v>
      </c>
      <c r="F78" s="19" cm="1">
        <f t="array" aca="1" ref="F78" ca="1">visible((I52-2),K78)</f>
        <v>76</v>
      </c>
      <c r="G78" s="19" cm="1">
        <f t="array" ref="G78">visible((H52-2),K78)</f>
        <v>-2</v>
      </c>
      <c r="H78" s="19" cm="1">
        <f t="array" ref="H78">visible((C49),K78)</f>
        <v>1</v>
      </c>
      <c r="I78" s="19" cm="1">
        <f t="array" aca="1" ref="I78" ca="1">visible(materialNum(D78),K78)</f>
        <v>2</v>
      </c>
      <c r="J78" s="19" t="str" cm="1">
        <f t="array" ref="J78">visible((""),K78)</f>
        <v/>
      </c>
      <c r="K78" s="19">
        <f>F52</f>
        <v>1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51">
        <v>5</v>
      </c>
      <c r="B79" s="15" t="str">
        <f>visible(E49, K79)</f>
        <v>وحدة سفلية ادراج</v>
      </c>
      <c r="C79" s="19">
        <f>visible(21,K79)</f>
        <v>21</v>
      </c>
      <c r="D79" s="19" t="str">
        <f ca="1">visible((E50),K79)</f>
        <v>ظهر</v>
      </c>
      <c r="E79" s="19" t="str" cm="1">
        <f t="array" ref="E79">visible(("قعر درج داخلي"),K79)</f>
        <v>قعر درج داخلي</v>
      </c>
      <c r="F79" s="19" cm="1">
        <f t="array" ref="F79">visible((H52-3.6-3.6-2.5+2),K79)</f>
        <v>-7.7</v>
      </c>
      <c r="G79" s="19" cm="1">
        <f t="array" aca="1" ref="G79" ca="1">visible((C50-1),K79)</f>
        <v>44</v>
      </c>
      <c r="H79" s="19">
        <f>visible(C49*F52,K79)</f>
        <v>1</v>
      </c>
      <c r="I79" s="19" cm="1">
        <f t="array" aca="1" ref="I79" ca="1">visible(materialNum(D79),K79)</f>
        <v>2</v>
      </c>
      <c r="J79" s="19" t="str" cm="1">
        <f t="array" ref="J79">visible((""),K79)</f>
        <v/>
      </c>
      <c r="K79" s="19" t="b">
        <f>F52&gt;0</f>
        <v>1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51">
        <v>5</v>
      </c>
      <c r="B80" s="15" t="str">
        <f>visible(E49, K80)</f>
        <v>وحدة سفلية ادراج</v>
      </c>
      <c r="C80" s="19">
        <f>visible(22,K80)</f>
        <v>22</v>
      </c>
      <c r="D80" s="19" t="str">
        <f ca="1">visible((E50),K80)</f>
        <v>ظهر</v>
      </c>
      <c r="E80" s="19" t="str" cm="1">
        <f t="array" ref="E80">visible(("قعر درج 30"),K80)</f>
        <v>قعر درج 30</v>
      </c>
      <c r="F80" s="19" cm="1">
        <f t="array" ref="F80">visible((H52-3.6-3.6-2.5+2),K80)</f>
        <v>-7.7</v>
      </c>
      <c r="G80" s="19" cm="1">
        <f t="array" aca="1" ref="G80" ca="1">visible((C50-1),K80)</f>
        <v>44</v>
      </c>
      <c r="H80" s="19">
        <f>visible(C49*C52,K80)</f>
        <v>1</v>
      </c>
      <c r="I80" s="19" cm="1">
        <f t="array" aca="1" ref="I80" ca="1">visible(materialNum(D80),K80)</f>
        <v>2</v>
      </c>
      <c r="J80" s="19" t="str" cm="1">
        <f t="array" ref="J80">visible((""),K80)</f>
        <v/>
      </c>
      <c r="K80" s="19" t="b">
        <f>C52&gt;0</f>
        <v>1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51">
        <v>5</v>
      </c>
      <c r="B81" s="15" t="str">
        <f>visible(E49, K81)</f>
        <v>وحدة سفلية ادراج</v>
      </c>
      <c r="C81" s="19">
        <f>visible(23,K81)</f>
        <v>23</v>
      </c>
      <c r="D81" s="19" t="str">
        <f ca="1">visible((E50),K81)</f>
        <v>ظهر</v>
      </c>
      <c r="E81" s="19" t="str" cm="1">
        <f t="array" ref="E81">visible(("قعر درج 20"),K81)</f>
        <v>قعر درج 20</v>
      </c>
      <c r="F81" s="19" cm="1">
        <f t="array" ref="F81">visible((H52-3.6-3.6-2.5+2),K81)</f>
        <v>-7.7</v>
      </c>
      <c r="G81" s="19" cm="1">
        <f t="array" aca="1" ref="G81" ca="1">visible((C50-1),K81)</f>
        <v>44</v>
      </c>
      <c r="H81" s="19">
        <f>visible(C49*D52,K81)</f>
        <v>1</v>
      </c>
      <c r="I81" s="19" cm="1">
        <f t="array" aca="1" ref="I81" ca="1">visible(materialNum(D81),K81)</f>
        <v>2</v>
      </c>
      <c r="J81" s="19" t="str" cm="1">
        <f t="array" ref="J81">visible((""),K81)</f>
        <v/>
      </c>
      <c r="K81" s="19" t="b">
        <f>D52&gt;0</f>
        <v>1</v>
      </c>
      <c r="BB81"/>
      <c r="BC81"/>
      <c r="BD81"/>
      <c r="BE81"/>
      <c r="BF81"/>
      <c r="BG81"/>
      <c r="BH81"/>
      <c r="BI81"/>
      <c r="BJ81"/>
    </row>
    <row r="82" spans="1:62" ht="15.6" x14ac:dyDescent="0.3">
      <c r="A82" s="51">
        <v>255</v>
      </c>
      <c r="B82" s="15"/>
      <c r="C82"/>
      <c r="D82"/>
      <c r="E82"/>
      <c r="F82"/>
      <c r="G82"/>
      <c r="H82"/>
      <c r="I82"/>
      <c r="J82"/>
      <c r="K82"/>
      <c r="BB82"/>
      <c r="BC82"/>
      <c r="BD82"/>
      <c r="BE82"/>
      <c r="BF82"/>
      <c r="BG82"/>
      <c r="BH82"/>
      <c r="BI82"/>
      <c r="BJ82"/>
    </row>
    <row r="83" spans="1:62" ht="15.6" x14ac:dyDescent="0.3">
      <c r="A83" s="51">
        <v>255</v>
      </c>
      <c r="B83" s="15"/>
      <c r="C83"/>
      <c r="D83"/>
      <c r="E83"/>
      <c r="F83"/>
      <c r="G83"/>
      <c r="H83"/>
      <c r="I83"/>
      <c r="J83"/>
      <c r="K83"/>
      <c r="BB83"/>
      <c r="BC83"/>
      <c r="BD83"/>
      <c r="BE83"/>
      <c r="BF83"/>
      <c r="BG83"/>
      <c r="BH83"/>
      <c r="BI83"/>
      <c r="BJ83"/>
    </row>
    <row r="84" spans="1:62" x14ac:dyDescent="0.3">
      <c r="BB84"/>
      <c r="BC84"/>
      <c r="BD84"/>
      <c r="BE84"/>
      <c r="BF84"/>
      <c r="BG84"/>
      <c r="BH84"/>
      <c r="BI84"/>
      <c r="BJ84"/>
    </row>
  </sheetData>
  <mergeCells count="4">
    <mergeCell ref="E13:H13"/>
    <mergeCell ref="E31:H31"/>
    <mergeCell ref="E49:H49"/>
    <mergeCell ref="J53:K5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" zoomScale="85" zoomScaleNormal="85" workbookViewId="0">
      <selection activeCell="E23" sqref="E23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7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7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7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7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7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7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7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7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e" cm="1">
        <f t="array" ref="D162">visible((I156),K162)</f>
        <v>#VALUE!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t="e" cm="1">
        <f t="array" ref="G162">visible((J158),K162)</f>
        <v>#VALUE!</v>
      </c>
      <c r="H162" s="6" cm="1">
        <f t="array" ref="H162">visible((C155),K162)</f>
        <v>1</v>
      </c>
      <c r="I162" s="6" t="e" cm="1">
        <f t="array" ref="I162">visible(materialNum(D162),K162)</f>
        <v>#VALUE!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e" cm="1">
        <f t="array" ref="D163">visible((I156),K163)</f>
        <v>#VALUE!</v>
      </c>
      <c r="E163" s="6" t="str" cm="1">
        <f t="array" ref="E163">visible(("أجناب"),K163)</f>
        <v>أجناب</v>
      </c>
      <c r="F163" s="6" t="e" cm="1">
        <f t="array" ref="F163">visible((I158),K163)</f>
        <v>#VALUE!</v>
      </c>
      <c r="G163" s="6" t="e" cm="1">
        <f t="array" ref="G163">visible((J158),K163)</f>
        <v>#VALUE!</v>
      </c>
      <c r="H163" s="6" cm="1">
        <f t="array" ref="H163">visible((2 *C155),K163)</f>
        <v>2</v>
      </c>
      <c r="I163" s="6" t="e" cm="1">
        <f t="array" ref="I163">visible(materialNum(D163),K163)</f>
        <v>#VALUE!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e" cm="1">
        <f t="array" ref="D164">visible((I156),K164)</f>
        <v>#VALUE!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t="e" cm="1">
        <f t="array" ref="I164">visible(materialNum(D164),K164)</f>
        <v>#VALUE!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e" cm="1">
        <f t="array" ref="D165">visible((I156),K165)</f>
        <v>#VALUE!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t="e" cm="1">
        <f t="array" ref="I165">visible(materialNum(D165),K165)</f>
        <v>#VALUE!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e" cm="1">
        <f t="array" ref="D166">visible((I156),K166)</f>
        <v>#VALUE!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t="e" cm="1">
        <f t="array" ref="I166">visible(materialNum(D166),K166)</f>
        <v>#VALUE!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e" cm="1">
        <f t="array" ref="D168">visible((G156),K168)</f>
        <v>#VALUE!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t="e" cm="1">
        <f t="array" ref="I168">visible(materialNum(D168),K168)</f>
        <v>#VALUE!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M6" sqref="M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4" t="b">
        <f ca="1">NOT(AND(F15&gt;0,G15&gt;0))</f>
        <v>1</v>
      </c>
      <c r="G16" s="114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3">
        <f>C15+D15</f>
        <v>1</v>
      </c>
      <c r="D17" s="113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14" t="str">
        <f>IF(H16,"عدد الدلف صحيح","عدد الدلف غير صحيح")</f>
        <v>عدد الدلف صحيح</v>
      </c>
      <c r="I17" s="114"/>
      <c r="J17" s="114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4" t="b">
        <f>C17&lt;=2</f>
        <v>1</v>
      </c>
      <c r="D18" s="114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3">
        <f>C36+D36</f>
        <v>2</v>
      </c>
      <c r="D38" s="113"/>
      <c r="E38" s="7">
        <v>0</v>
      </c>
      <c r="F38" s="117" t="str">
        <f ca="1">IF(F37,"المقابض مظبوطة","مينفعش مقبض مخفي مع بيلت ان")</f>
        <v>المقابض مظبوطة</v>
      </c>
      <c r="G38" s="117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4" t="b">
        <f>C38&lt;=2</f>
        <v>1</v>
      </c>
      <c r="D39" s="114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4" t="b">
        <f ca="1">NOT(AND(F57&gt;0,G57&gt;0))</f>
        <v>1</v>
      </c>
      <c r="G58" s="111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3">
        <f>C57+D57</f>
        <v>2</v>
      </c>
      <c r="D59" s="113"/>
      <c r="E59" s="7" t="s">
        <v>106</v>
      </c>
      <c r="F59" s="118" t="str">
        <f ca="1">IF(F58,"المقابض مظبوطة","مينفعش مقبض مخفي مع بيلت ان")</f>
        <v>المقابض مظبوطة</v>
      </c>
      <c r="G59" s="118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4" t="b">
        <f>C59&lt;=2</f>
        <v>1</v>
      </c>
      <c r="D60" s="114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4" t="b">
        <f ca="1">NOT(AND(F81&gt;0,G81&gt;0))</f>
        <v>1</v>
      </c>
      <c r="G82" s="111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3">
        <f>C81+D81</f>
        <v>1</v>
      </c>
      <c r="D83" s="113"/>
      <c r="E83" s="7" t="s">
        <v>106</v>
      </c>
      <c r="F83" s="118" t="str">
        <f ca="1">IF(F82,"المقابض مظبوطة","مينفعش مقبض مخفي مع بيلت ان")</f>
        <v>المقابض مظبوطة</v>
      </c>
      <c r="G83" s="118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4" t="b">
        <f>C83&lt;=2</f>
        <v>1</v>
      </c>
      <c r="D84" s="114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4" t="b">
        <f ca="1">NOT(AND(F105&gt;0,G105&gt;0))</f>
        <v>1</v>
      </c>
      <c r="G106" s="114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7" t="str">
        <f ca="1">IF(F106,"المقابض مظبوطة","مينفعش مقبض مخفي مع بيلت ان")</f>
        <v>المقابض مظبوطة</v>
      </c>
      <c r="G107" s="117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4" t="b">
        <f ca="1">NOT(AND(F131&gt;0,G131&gt;0))</f>
        <v>1</v>
      </c>
      <c r="G132" s="114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7" t="str">
        <f ca="1">IF(F132,"المقابض مظبوطة","مينفعش مقبض مخفي مع بيلت ان")</f>
        <v>المقابض مظبوطة</v>
      </c>
      <c r="G133" s="117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9">
        <f>C152+D152</f>
        <v>1</v>
      </c>
      <c r="D154" s="110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1" t="b">
        <f>C154&lt;=2</f>
        <v>1</v>
      </c>
      <c r="D155" s="112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9" t="s">
        <v>65</v>
      </c>
      <c r="F13" s="119"/>
      <c r="G13" s="119"/>
      <c r="H13" s="119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3">
        <f>G17+H17</f>
        <v>2</v>
      </c>
      <c r="D19" s="113"/>
      <c r="E19" s="8"/>
      <c r="F19" s="46"/>
      <c r="G19" s="46"/>
      <c r="H19" s="46"/>
      <c r="I19" s="8">
        <f>SUM(I17:I18)</f>
        <v>210</v>
      </c>
      <c r="J19" s="117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4" t="b">
        <f>C19&lt;=2</f>
        <v>1</v>
      </c>
      <c r="D20" s="114"/>
      <c r="E20" s="8"/>
      <c r="F20" s="8"/>
      <c r="G20" s="8"/>
      <c r="H20" s="8"/>
      <c r="I20" s="6" t="b">
        <f>I19=I15</f>
        <v>1</v>
      </c>
      <c r="J20" s="117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9" t="s">
        <v>76</v>
      </c>
      <c r="F40" s="119"/>
      <c r="G40" s="119"/>
      <c r="H40" s="119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3">
        <f>G47+H47</f>
        <v>0</v>
      </c>
      <c r="D52" s="113"/>
      <c r="E52" s="8"/>
      <c r="F52" s="46"/>
      <c r="G52" s="46"/>
      <c r="H52" s="46"/>
      <c r="I52" s="8">
        <f>SUM(I44:I51)</f>
        <v>220</v>
      </c>
      <c r="J52" s="117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4" t="b">
        <f>C52&lt;=2</f>
        <v>1</v>
      </c>
      <c r="D53" s="114"/>
      <c r="E53" s="8"/>
      <c r="F53" s="8"/>
      <c r="G53" s="8"/>
      <c r="H53" s="8"/>
      <c r="I53" s="6" t="b">
        <f>I52=I42</f>
        <v>1</v>
      </c>
      <c r="J53" s="117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4" t="b">
        <f>NOT(AND(F100&gt;0,G100&gt;0))</f>
        <v>1</v>
      </c>
      <c r="G101" s="114"/>
      <c r="I101" s="3" t="b">
        <f>_xlfn.XOR(I100&lt;=50,C102=2)</f>
        <v>0</v>
      </c>
    </row>
    <row r="102" spans="2:10" ht="24" hidden="1" customHeight="1" x14ac:dyDescent="0.3">
      <c r="C102" s="114">
        <f>C100+E100</f>
        <v>3</v>
      </c>
      <c r="D102" s="114"/>
      <c r="E102" s="33"/>
      <c r="F102" s="118" t="str">
        <f>IF(F101,"المقابض مظبوطة","مينفعش مقبض مخفي مع بيلت ان")</f>
        <v>المقابض مظبوطة</v>
      </c>
      <c r="G102" s="118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4" t="b">
        <f>C102&lt;=2</f>
        <v>0</v>
      </c>
      <c r="D103" s="114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4" t="b">
        <f>NOT(AND(F120&gt;0,G120&gt;0))</f>
        <v>1</v>
      </c>
      <c r="G121" s="114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8" t="str">
        <f>IF(F121,"المقابض مظبوطة","مينفعش مقبض مخفي مع بيلت ان")</f>
        <v>المقابض مظبوطة</v>
      </c>
      <c r="G122" s="118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4" t="b">
        <f>NOT(AND(F140&gt;0,G140&gt;0))</f>
        <v>1</v>
      </c>
      <c r="G141" s="114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8" t="str">
        <f>IF(F141,"المقابض مظبوطة","مينفعش مقبض مخفي مع بيلت ان")</f>
        <v>المقابض مظبوطة</v>
      </c>
      <c r="G142" s="118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42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5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2024-09-21T19:05:43Z</dcterms:modified>
</cp:coreProperties>
</file>