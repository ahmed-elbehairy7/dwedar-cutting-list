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55A08D41-A0AE-417E-8621-D15892DC2D6E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5" i="5" l="1"/>
  <c r="K96" i="5"/>
  <c r="G94" i="5"/>
  <c r="E95" i="5"/>
  <c r="C66" i="5"/>
  <c r="C64" i="5"/>
  <c r="B95" i="5"/>
  <c r="B96" i="5"/>
  <c r="H95" i="5"/>
  <c r="F95" i="5"/>
  <c r="G30" i="3" a="1"/>
  <c r="E96" i="5"/>
  <c r="E94" i="5"/>
  <c r="C62" i="5"/>
  <c r="C95" i="5"/>
  <c r="C94" i="5"/>
  <c r="G96" i="5"/>
  <c r="G95" i="5"/>
  <c r="C63" i="5"/>
  <c r="F96" i="5"/>
  <c r="C93" i="5"/>
  <c r="H94" i="5"/>
  <c r="F94" i="5"/>
  <c r="C84" i="5"/>
  <c r="C65" i="5"/>
  <c r="C96" i="5"/>
  <c r="B94" i="5"/>
  <c r="H96" i="5"/>
  <c r="C83" i="5"/>
  <c r="G30" i="3" l="1"/>
  <c r="K53" i="1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K35" i="11" l="1"/>
  <c r="K17" i="11"/>
  <c r="F167" i="4"/>
  <c r="H165" i="3"/>
  <c r="H99" i="3"/>
  <c r="H166" i="3"/>
  <c r="F28" i="3" a="1"/>
  <c r="H63" i="5"/>
  <c r="H98" i="3"/>
  <c r="B126" i="4"/>
  <c r="H117" i="4"/>
  <c r="H101" i="3"/>
  <c r="B75" i="5"/>
  <c r="B53" i="3"/>
  <c r="F27" i="11" a="1"/>
  <c r="E74" i="5"/>
  <c r="B96" i="4"/>
  <c r="F121" i="4"/>
  <c r="G85" i="3" a="1"/>
  <c r="E124" i="3"/>
  <c r="G70" i="5"/>
  <c r="B24" i="11" a="1"/>
  <c r="G44" i="11" a="1"/>
  <c r="B79" i="3" a="1"/>
  <c r="H35" i="6"/>
  <c r="H82" i="5"/>
  <c r="H124" i="3"/>
  <c r="F56" i="3" a="1"/>
  <c r="H27" i="11" a="1"/>
  <c r="E93" i="5"/>
  <c r="C65" i="3"/>
  <c r="F148" i="3"/>
  <c r="G80" i="3" a="1"/>
  <c r="C117" i="4"/>
  <c r="F66" i="5"/>
  <c r="H70" i="4"/>
  <c r="H119" i="4"/>
  <c r="E100" i="4"/>
  <c r="B25" i="11" a="1"/>
  <c r="H43" i="11" a="1"/>
  <c r="H130" i="4"/>
  <c r="B99" i="4"/>
  <c r="F24" i="11" a="1"/>
  <c r="E86" i="5"/>
  <c r="F50" i="6"/>
  <c r="G61" i="3" a="1"/>
  <c r="E80" i="5"/>
  <c r="E142" i="4"/>
  <c r="F47" i="3" a="1"/>
  <c r="E49" i="4"/>
  <c r="E146" i="4"/>
  <c r="G121" i="4"/>
  <c r="H146" i="4"/>
  <c r="B64" i="5"/>
  <c r="F164" i="3"/>
  <c r="C163" i="3"/>
  <c r="B23" i="6"/>
  <c r="H93" i="5"/>
  <c r="G60" i="3" a="1"/>
  <c r="H24" i="6"/>
  <c r="B68" i="5"/>
  <c r="E145" i="4"/>
  <c r="H26" i="11" a="1"/>
  <c r="E85" i="5"/>
  <c r="C57" i="3"/>
  <c r="F63" i="5"/>
  <c r="C28" i="4"/>
  <c r="B47" i="3" a="1"/>
  <c r="C86" i="5"/>
  <c r="E64" i="5"/>
  <c r="G72" i="5"/>
  <c r="H163" i="3"/>
  <c r="C53" i="3"/>
  <c r="B98" i="3"/>
  <c r="E122" i="3"/>
  <c r="E62" i="5"/>
  <c r="C53" i="4"/>
  <c r="H66" i="11" a="1"/>
  <c r="H56" i="3" a="1"/>
  <c r="G27" i="3" a="1"/>
  <c r="C37" i="6"/>
  <c r="F44" i="11" a="1"/>
  <c r="B127" i="4"/>
  <c r="G142" i="4"/>
  <c r="E36" i="5"/>
  <c r="G29" i="5"/>
  <c r="E63" i="5"/>
  <c r="H43" i="3" a="1"/>
  <c r="H37" i="6"/>
  <c r="E162" i="3"/>
  <c r="C77" i="3"/>
  <c r="E73" i="5"/>
  <c r="F79" i="3" a="1"/>
  <c r="F117" i="4"/>
  <c r="E143" i="4"/>
  <c r="E28" i="3" a="1"/>
  <c r="C44" i="11" a="1"/>
  <c r="C55" i="3"/>
  <c r="H167" i="3"/>
  <c r="C56" i="4"/>
  <c r="H76" i="5"/>
  <c r="B81" i="5"/>
  <c r="E38" i="5"/>
  <c r="B38" i="5"/>
  <c r="B80" i="3" a="1"/>
  <c r="C122" i="3"/>
  <c r="H71" i="4"/>
  <c r="C56" i="3"/>
  <c r="C124" i="4"/>
  <c r="H33" i="4"/>
  <c r="C68" i="5"/>
  <c r="F48" i="6"/>
  <c r="G100" i="3"/>
  <c r="G83" i="5"/>
  <c r="G30" i="11" a="1"/>
  <c r="H116" i="4"/>
  <c r="H82" i="3"/>
  <c r="B119" i="4"/>
  <c r="F22" i="6"/>
  <c r="F30" i="11" a="1"/>
  <c r="E117" i="4"/>
  <c r="J70" i="3"/>
  <c r="B29" i="5"/>
  <c r="G62" i="5"/>
  <c r="G129" i="4"/>
  <c r="E31" i="5"/>
  <c r="G86" i="5"/>
  <c r="C161" i="3"/>
  <c r="B55" i="3"/>
  <c r="B142" i="3"/>
  <c r="F81" i="3" a="1"/>
  <c r="B26" i="6"/>
  <c r="B167" i="4"/>
  <c r="F43" i="3" a="1"/>
  <c r="E174" i="3"/>
  <c r="B30" i="3" a="1"/>
  <c r="B89" i="5"/>
  <c r="H25" i="3" a="1"/>
  <c r="B48" i="4"/>
  <c r="F123" i="3"/>
  <c r="C25" i="3" a="1"/>
  <c r="G80" i="4"/>
  <c r="F79" i="5"/>
  <c r="E105" i="3"/>
  <c r="E52" i="3" a="1"/>
  <c r="E55" i="3" a="1"/>
  <c r="F49" i="4"/>
  <c r="F138" i="3"/>
  <c r="C144" i="4"/>
  <c r="G141" i="3"/>
  <c r="E127" i="4"/>
  <c r="G25" i="11" a="1"/>
  <c r="G25" i="6"/>
  <c r="B148" i="3"/>
  <c r="E90" i="5"/>
  <c r="B33" i="4"/>
  <c r="B43" i="3" a="1"/>
  <c r="B49" i="4"/>
  <c r="C51" i="3"/>
  <c r="G146" i="4"/>
  <c r="H84" i="5"/>
  <c r="F50" i="3" a="1"/>
  <c r="E144" i="3"/>
  <c r="G64" i="11" a="1"/>
  <c r="C43" i="3"/>
  <c r="G150" i="3"/>
  <c r="C46" i="3"/>
  <c r="B56" i="4"/>
  <c r="C130" i="4"/>
  <c r="C149" i="4"/>
  <c r="H50" i="3" a="1"/>
  <c r="F143" i="4"/>
  <c r="C61" i="11"/>
  <c r="G68" i="5"/>
  <c r="C50" i="3"/>
  <c r="B162" i="3"/>
  <c r="E32" i="5"/>
  <c r="C140" i="3"/>
  <c r="C43" i="11" a="1"/>
  <c r="G71" i="5"/>
  <c r="B119" i="3"/>
  <c r="E25" i="11" a="1"/>
  <c r="G89" i="5"/>
  <c r="C24" i="11" a="1"/>
  <c r="B30" i="5"/>
  <c r="E35" i="4"/>
  <c r="G99" i="4"/>
  <c r="H63" i="11" a="1"/>
  <c r="C121" i="4"/>
  <c r="C64" i="11"/>
  <c r="H61" i="3"/>
  <c r="E141" i="3"/>
  <c r="B80" i="4"/>
  <c r="H27" i="4"/>
  <c r="F66" i="3" a="1"/>
  <c r="E49" i="3" a="1"/>
  <c r="H148" i="3"/>
  <c r="G120" i="4"/>
  <c r="H64" i="5"/>
  <c r="F48" i="4"/>
  <c r="E70" i="5"/>
  <c r="C151" i="3"/>
  <c r="B51" i="3"/>
  <c r="B72" i="5"/>
  <c r="B91" i="5"/>
  <c r="H47" i="6"/>
  <c r="F62" i="5"/>
  <c r="G93" i="5"/>
  <c r="D33" i="4"/>
  <c r="B28" i="4"/>
  <c r="B85" i="5"/>
  <c r="E161" i="3"/>
  <c r="B102" i="4"/>
  <c r="F26" i="3" a="1"/>
  <c r="E38" i="6"/>
  <c r="H54" i="3" a="1"/>
  <c r="H55" i="3" a="1"/>
  <c r="B130" i="4"/>
  <c r="E145" i="3"/>
  <c r="E126" i="3"/>
  <c r="B62" i="5"/>
  <c r="G103" i="3"/>
  <c r="E23" i="6"/>
  <c r="G48" i="6"/>
  <c r="G56" i="3" a="1"/>
  <c r="C89" i="5"/>
  <c r="G36" i="6"/>
  <c r="H48" i="4"/>
  <c r="H45" i="11" a="1"/>
  <c r="C71" i="4"/>
  <c r="G119" i="3"/>
  <c r="H48" i="6"/>
  <c r="C75" i="4"/>
  <c r="C80" i="3"/>
  <c r="H30" i="3" a="1"/>
  <c r="F31" i="5"/>
  <c r="E166" i="4"/>
  <c r="F75" i="5"/>
  <c r="H102" i="4"/>
  <c r="G45" i="11" a="1"/>
  <c r="E101" i="3"/>
  <c r="H75" i="4"/>
  <c r="B50" i="6"/>
  <c r="G75" i="4"/>
  <c r="B63" i="5"/>
  <c r="F30" i="4"/>
  <c r="H171" i="4"/>
  <c r="E48" i="6"/>
  <c r="B22" i="6"/>
  <c r="B71" i="4"/>
  <c r="B120" i="3"/>
  <c r="C27" i="3" a="1"/>
  <c r="G53" i="4"/>
  <c r="C23" i="6"/>
  <c r="F164" i="4"/>
  <c r="E26" i="11" a="1"/>
  <c r="F76" i="5"/>
  <c r="F94" i="4"/>
  <c r="B123" i="3"/>
  <c r="F141" i="3"/>
  <c r="H170" i="3"/>
  <c r="G48" i="11" a="1"/>
  <c r="G53" i="3" a="1"/>
  <c r="G167" i="3"/>
  <c r="B149" i="4"/>
  <c r="G173" i="3"/>
  <c r="F101" i="3"/>
  <c r="G50" i="6"/>
  <c r="C35" i="6"/>
  <c r="E168" i="4"/>
  <c r="C32" i="11" a="1"/>
  <c r="G29" i="11" a="1"/>
  <c r="G75" i="5"/>
  <c r="E129" i="4"/>
  <c r="H51" i="3" a="1"/>
  <c r="E94" i="4"/>
  <c r="F24" i="6"/>
  <c r="H90" i="5"/>
  <c r="F72" i="4"/>
  <c r="C70" i="4"/>
  <c r="H150" i="3"/>
  <c r="H78" i="3" a="1"/>
  <c r="G163" i="3"/>
  <c r="G130" i="4"/>
  <c r="C38" i="5"/>
  <c r="B73" i="5"/>
  <c r="B45" i="3" a="1"/>
  <c r="E66" i="11" a="1"/>
  <c r="H80" i="5"/>
  <c r="G49" i="6"/>
  <c r="B46" i="3" a="1"/>
  <c r="H53" i="3" a="1"/>
  <c r="G23" i="6"/>
  <c r="E130" i="4"/>
  <c r="H61" i="11" a="1"/>
  <c r="C170" i="3"/>
  <c r="H30" i="11" a="1"/>
  <c r="C67" i="3"/>
  <c r="H127" i="4"/>
  <c r="C143" i="3"/>
  <c r="F165" i="3"/>
  <c r="F168" i="4"/>
  <c r="B66" i="3"/>
  <c r="B44" i="3" a="1"/>
  <c r="H66" i="5"/>
  <c r="F151" i="3"/>
  <c r="E28" i="4"/>
  <c r="E164" i="4"/>
  <c r="C63" i="11"/>
  <c r="C79" i="3"/>
  <c r="B36" i="6"/>
  <c r="B24" i="6"/>
  <c r="F47" i="6"/>
  <c r="E116" i="4"/>
  <c r="F174" i="3"/>
  <c r="B84" i="5"/>
  <c r="E82" i="3" a="1"/>
  <c r="C165" i="3"/>
  <c r="B61" i="3"/>
  <c r="H65" i="3"/>
  <c r="E64" i="11" a="1"/>
  <c r="B77" i="3" a="1"/>
  <c r="C165" i="4"/>
  <c r="G30" i="5"/>
  <c r="B164" i="4"/>
  <c r="B43" i="11" a="1"/>
  <c r="C32" i="5"/>
  <c r="H118" i="4"/>
  <c r="D38" i="5"/>
  <c r="B76" i="5"/>
  <c r="F89" i="5"/>
  <c r="B106" i="3"/>
  <c r="E53" i="3" a="1"/>
  <c r="B78" i="4"/>
  <c r="J35" i="11"/>
  <c r="C49" i="4"/>
  <c r="B35" i="5"/>
  <c r="H70" i="5"/>
  <c r="B44" i="11" a="1"/>
  <c r="H38" i="6"/>
  <c r="H145" i="4"/>
  <c r="G24" i="11" a="1"/>
  <c r="F62" i="11" a="1"/>
  <c r="G32" i="5"/>
  <c r="F69" i="4"/>
  <c r="C91" i="5"/>
  <c r="B67" i="3"/>
  <c r="E29" i="11" a="1"/>
  <c r="C26" i="11" a="1"/>
  <c r="F71" i="5"/>
  <c r="G61" i="11" a="1"/>
  <c r="G170" i="3"/>
  <c r="E78" i="4"/>
  <c r="B42" i="11" a="1"/>
  <c r="E71" i="4"/>
  <c r="C171" i="4"/>
  <c r="G122" i="3"/>
  <c r="B62" i="11" a="1"/>
  <c r="E45" i="3" a="1"/>
  <c r="C73" i="5"/>
  <c r="H143" i="4"/>
  <c r="C27" i="11" a="1"/>
  <c r="G47" i="3" a="1"/>
  <c r="G147" i="4"/>
  <c r="G32" i="11" a="1"/>
  <c r="E42" i="11" a="1"/>
  <c r="C128" i="3"/>
  <c r="E43" i="3" a="1"/>
  <c r="H62" i="3"/>
  <c r="C24" i="3" a="1"/>
  <c r="G78" i="4"/>
  <c r="F70" i="4"/>
  <c r="H78" i="4"/>
  <c r="G100" i="4"/>
  <c r="C35" i="4"/>
  <c r="F103" i="3"/>
  <c r="C31" i="5"/>
  <c r="E51" i="3" a="1"/>
  <c r="E143" i="3"/>
  <c r="E120" i="3"/>
  <c r="B32" i="5"/>
  <c r="F53" i="3" a="1"/>
  <c r="B46" i="11" a="1"/>
  <c r="C45" i="11" a="1"/>
  <c r="E22" i="6"/>
  <c r="F41" i="5"/>
  <c r="B70" i="4"/>
  <c r="C124" i="3"/>
  <c r="H95" i="4"/>
  <c r="B82" i="3"/>
  <c r="C96" i="4"/>
  <c r="C98" i="3"/>
  <c r="G46" i="6"/>
  <c r="C151" i="4"/>
  <c r="F45" i="3" a="1"/>
  <c r="C32" i="4"/>
  <c r="C141" i="3"/>
  <c r="C168" i="3"/>
  <c r="H105" i="3"/>
  <c r="C119" i="4"/>
  <c r="C167" i="4"/>
  <c r="B53" i="4"/>
  <c r="G26" i="3" a="1"/>
  <c r="H77" i="3" a="1"/>
  <c r="C51" i="4"/>
  <c r="B54" i="3"/>
  <c r="F24" i="3" a="1"/>
  <c r="E30" i="11" a="1"/>
  <c r="C46" i="11" a="1"/>
  <c r="F145" i="3"/>
  <c r="H30" i="5"/>
  <c r="E81" i="5"/>
  <c r="C108" i="3"/>
  <c r="E29" i="4"/>
  <c r="C38" i="6"/>
  <c r="H50" i="4"/>
  <c r="H29" i="5"/>
  <c r="G35" i="6"/>
  <c r="C116" i="4"/>
  <c r="F142" i="4"/>
  <c r="H32" i="11" a="1"/>
  <c r="C105" i="3"/>
  <c r="C94" i="4"/>
  <c r="H122" i="3"/>
  <c r="B76" i="4"/>
  <c r="G50" i="3" a="1"/>
  <c r="F86" i="5"/>
  <c r="B167" i="3"/>
  <c r="F35" i="5"/>
  <c r="H144" i="3"/>
  <c r="C66" i="11"/>
  <c r="C166" i="4"/>
  <c r="C82" i="3"/>
  <c r="F27" i="3" a="1"/>
  <c r="E48" i="11" a="1"/>
  <c r="G123" i="3"/>
  <c r="H69" i="4"/>
  <c r="F36" i="6"/>
  <c r="B83" i="5"/>
  <c r="G60" i="11" a="1"/>
  <c r="F90" i="5"/>
  <c r="G90" i="5"/>
  <c r="H85" i="3"/>
  <c r="B145" i="4"/>
  <c r="C76" i="4"/>
  <c r="B47" i="6"/>
  <c r="E48" i="4"/>
  <c r="E102" i="4"/>
  <c r="B28" i="3" a="1"/>
  <c r="C28" i="3" a="1"/>
  <c r="B94" i="4"/>
  <c r="E89" i="5"/>
  <c r="E29" i="5"/>
  <c r="H144" i="4"/>
  <c r="H91" i="5"/>
  <c r="G66" i="11" a="1"/>
  <c r="F143" i="3"/>
  <c r="E53" i="4"/>
  <c r="E138" i="3"/>
  <c r="C126" i="4"/>
  <c r="F42" i="11" a="1"/>
  <c r="C148" i="3"/>
  <c r="H168" i="3"/>
  <c r="B35" i="4"/>
  <c r="E167" i="3"/>
  <c r="E170" i="3"/>
  <c r="B66" i="11" a="1"/>
  <c r="G78" i="5"/>
  <c r="B33" i="5"/>
  <c r="E69" i="5"/>
  <c r="H35" i="5"/>
  <c r="B31" i="5"/>
  <c r="B38" i="6"/>
  <c r="D54" i="4"/>
  <c r="I54" i="4" s="1"/>
  <c r="F60" i="11" a="1"/>
  <c r="F116" i="4"/>
  <c r="F26" i="6"/>
  <c r="E35" i="6"/>
  <c r="B104" i="4"/>
  <c r="C99" i="4"/>
  <c r="C69" i="5"/>
  <c r="G128" i="3"/>
  <c r="E30" i="5"/>
  <c r="E150" i="3"/>
  <c r="B46" i="6"/>
  <c r="G47" i="6"/>
  <c r="C69" i="4"/>
  <c r="H80" i="4"/>
  <c r="C147" i="4"/>
  <c r="B90" i="5"/>
  <c r="G26" i="11" a="1"/>
  <c r="B27" i="11" a="1"/>
  <c r="H164" i="4"/>
  <c r="G144" i="3"/>
  <c r="B50" i="4"/>
  <c r="H73" i="4"/>
  <c r="G168" i="3"/>
  <c r="H93" i="4"/>
  <c r="C24" i="6"/>
  <c r="G35" i="4"/>
  <c r="F45" i="11" a="1"/>
  <c r="B121" i="4"/>
  <c r="H62" i="11" a="1"/>
  <c r="C61" i="3"/>
  <c r="E93" i="4"/>
  <c r="E61" i="3" a="1"/>
  <c r="C79" i="5"/>
  <c r="B120" i="4"/>
  <c r="E165" i="4"/>
  <c r="D171" i="4"/>
  <c r="E75" i="5"/>
  <c r="C78" i="3"/>
  <c r="B144" i="3"/>
  <c r="C36" i="6"/>
  <c r="G106" i="3"/>
  <c r="F37" i="6"/>
  <c r="B57" i="3"/>
  <c r="H44" i="11" a="1"/>
  <c r="C48" i="6"/>
  <c r="H66" i="3"/>
  <c r="F72" i="5"/>
  <c r="F49" i="6"/>
  <c r="E69" i="4"/>
  <c r="E82" i="5"/>
  <c r="H30" i="4"/>
  <c r="G124" i="3"/>
  <c r="D78" i="4"/>
  <c r="H24" i="11" a="1"/>
  <c r="H47" i="3" a="1"/>
  <c r="B166" i="4"/>
  <c r="F65" i="3" a="1"/>
  <c r="H143" i="3"/>
  <c r="G51" i="3" a="1"/>
  <c r="G98" i="3"/>
  <c r="G145" i="3"/>
  <c r="E78" i="3" a="1"/>
  <c r="B142" i="4"/>
  <c r="B36" i="5"/>
  <c r="H33" i="5"/>
  <c r="B100" i="4"/>
  <c r="E27" i="4"/>
  <c r="E121" i="3"/>
  <c r="E151" i="4"/>
  <c r="F163" i="3"/>
  <c r="B108" i="3"/>
  <c r="H81" i="3" a="1"/>
  <c r="G101" i="3"/>
  <c r="H164" i="3"/>
  <c r="E102" i="3"/>
  <c r="E47" i="6"/>
  <c r="F29" i="11" a="1"/>
  <c r="C62" i="11"/>
  <c r="C93" i="4"/>
  <c r="E165" i="3"/>
  <c r="F166" i="3"/>
  <c r="F64" i="5"/>
  <c r="C173" i="3"/>
  <c r="B101" i="3"/>
  <c r="H147" i="4"/>
  <c r="H124" i="4"/>
  <c r="G63" i="11" a="1"/>
  <c r="B80" i="5"/>
  <c r="E47" i="3" a="1"/>
  <c r="E97" i="4"/>
  <c r="E63" i="11" a="1"/>
  <c r="E144" i="4"/>
  <c r="C29" i="4"/>
  <c r="E25" i="6"/>
  <c r="C25" i="6"/>
  <c r="B151" i="4"/>
  <c r="C49" i="3"/>
  <c r="E121" i="4"/>
  <c r="H173" i="4"/>
  <c r="B95" i="4"/>
  <c r="B48" i="6"/>
  <c r="H81" i="5"/>
  <c r="B49" i="3"/>
  <c r="E173" i="3"/>
  <c r="B25" i="3" a="1"/>
  <c r="B82" i="5"/>
  <c r="E46" i="11" a="1"/>
  <c r="E98" i="3"/>
  <c r="G104" i="4"/>
  <c r="B52" i="3"/>
  <c r="J17" i="11"/>
  <c r="F142" i="3"/>
  <c r="H31" i="5"/>
  <c r="E79" i="5"/>
  <c r="B79" i="5"/>
  <c r="B41" i="5"/>
  <c r="E140" i="3"/>
  <c r="F63" i="11" a="1"/>
  <c r="H100" i="3"/>
  <c r="G80" i="5"/>
  <c r="C59" i="3"/>
  <c r="C85" i="5"/>
  <c r="C90" i="5"/>
  <c r="C62" i="3"/>
  <c r="C29" i="5"/>
  <c r="B60" i="3"/>
  <c r="H166" i="4"/>
  <c r="H174" i="3"/>
  <c r="E79" i="3" a="1"/>
  <c r="H48" i="3" a="1"/>
  <c r="B164" i="3"/>
  <c r="C138" i="3"/>
  <c r="C127" i="4"/>
  <c r="F55" i="3" a="1"/>
  <c r="G143" i="4"/>
  <c r="E61" i="11" a="1"/>
  <c r="E123" i="3"/>
  <c r="H68" i="5"/>
  <c r="C36" i="5"/>
  <c r="B146" i="4"/>
  <c r="H108" i="3"/>
  <c r="H173" i="3"/>
  <c r="E96" i="4"/>
  <c r="B116" i="4"/>
  <c r="H24" i="3" a="1"/>
  <c r="E168" i="3"/>
  <c r="H151" i="4"/>
  <c r="G45" i="3" a="1"/>
  <c r="H168" i="4"/>
  <c r="F67" i="3" a="1"/>
  <c r="B140" i="3"/>
  <c r="E66" i="5"/>
  <c r="H86" i="5"/>
  <c r="B30" i="11" a="1"/>
  <c r="E103" i="3"/>
  <c r="B86" i="5"/>
  <c r="H79" i="5"/>
  <c r="G27" i="11" a="1"/>
  <c r="H25" i="11" a="1"/>
  <c r="C49" i="6"/>
  <c r="H75" i="5"/>
  <c r="H46" i="3" a="1"/>
  <c r="C102" i="4"/>
  <c r="B129" i="4"/>
  <c r="J17" i="3"/>
  <c r="G54" i="4"/>
  <c r="F168" i="3"/>
  <c r="G41" i="5"/>
  <c r="E126" i="4"/>
  <c r="H145" i="3"/>
  <c r="C102" i="3"/>
  <c r="H49" i="4"/>
  <c r="E91" i="5"/>
  <c r="F121" i="3"/>
  <c r="B48" i="11" a="1"/>
  <c r="E72" i="5"/>
  <c r="C119" i="3"/>
  <c r="C74" i="5"/>
  <c r="F124" i="3"/>
  <c r="H22" i="6"/>
  <c r="F38" i="5"/>
  <c r="H120" i="3"/>
  <c r="E75" i="4"/>
  <c r="B71" i="5"/>
  <c r="E119" i="3"/>
  <c r="F52" i="3" a="1"/>
  <c r="H28" i="3" a="1"/>
  <c r="B27" i="4"/>
  <c r="E66" i="3" a="1"/>
  <c r="E46" i="3" a="1"/>
  <c r="E62" i="11" a="1"/>
  <c r="B122" i="3"/>
  <c r="B39" i="5"/>
  <c r="H62" i="5"/>
  <c r="G108" i="3"/>
  <c r="C118" i="4"/>
  <c r="C22" i="6"/>
  <c r="E142" i="3"/>
  <c r="E147" i="4"/>
  <c r="H162" i="3"/>
  <c r="E108" i="3"/>
  <c r="H149" i="4"/>
  <c r="E62" i="3" a="1"/>
  <c r="F100" i="3"/>
  <c r="E76" i="4"/>
  <c r="C39" i="5"/>
  <c r="E45" i="11" a="1"/>
  <c r="C100" i="4"/>
  <c r="E35" i="5"/>
  <c r="C174" i="3"/>
  <c r="B170" i="3"/>
  <c r="H27" i="3" a="1"/>
  <c r="E54" i="4"/>
  <c r="E148" i="3"/>
  <c r="C41" i="5"/>
  <c r="C45" i="3"/>
  <c r="F70" i="5"/>
  <c r="E33" i="4"/>
  <c r="E44" i="11" a="1"/>
  <c r="E50" i="4"/>
  <c r="H53" i="4"/>
  <c r="F74" i="5"/>
  <c r="G91" i="5"/>
  <c r="B72" i="4"/>
  <c r="G79" i="3" a="1"/>
  <c r="C47" i="6"/>
  <c r="F61" i="11" a="1"/>
  <c r="H76" i="4"/>
  <c r="H69" i="5"/>
  <c r="H23" i="6"/>
  <c r="C47" i="3"/>
  <c r="E78" i="5"/>
  <c r="B139" i="3"/>
  <c r="F34" i="6"/>
  <c r="E166" i="3"/>
  <c r="C142" i="3"/>
  <c r="F25" i="6"/>
  <c r="C46" i="6"/>
  <c r="G69" i="5"/>
  <c r="B61" i="11" a="1"/>
  <c r="H129" i="4"/>
  <c r="G84" i="5"/>
  <c r="G22" i="6"/>
  <c r="G143" i="3"/>
  <c r="H64" i="11" a="1"/>
  <c r="H161" i="3"/>
  <c r="C103" i="3"/>
  <c r="E95" i="4"/>
  <c r="C168" i="4"/>
  <c r="H138" i="3"/>
  <c r="E43" i="11" a="1"/>
  <c r="H39" i="5"/>
  <c r="C120" i="4"/>
  <c r="C48" i="3"/>
  <c r="G46" i="3" a="1"/>
  <c r="B151" i="3"/>
  <c r="E120" i="4"/>
  <c r="F36" i="5"/>
  <c r="C123" i="4"/>
  <c r="E65" i="3" a="1"/>
  <c r="E67" i="3" a="1"/>
  <c r="H84" i="3" a="1"/>
  <c r="F83" i="5"/>
  <c r="B85" i="3"/>
  <c r="E30" i="4"/>
  <c r="C34" i="6"/>
  <c r="C42" i="11" a="1"/>
  <c r="H45" i="3" a="1"/>
  <c r="G97" i="4"/>
  <c r="E84" i="5"/>
  <c r="D127" i="4"/>
  <c r="H59" i="3" a="1"/>
  <c r="H96" i="4"/>
  <c r="H80" i="3" a="1"/>
  <c r="H123" i="4"/>
  <c r="C81" i="5"/>
  <c r="C145" i="4"/>
  <c r="B37" i="6"/>
  <c r="G38" i="6"/>
  <c r="F29" i="5"/>
  <c r="E118" i="4"/>
  <c r="C142" i="4"/>
  <c r="C50" i="4"/>
  <c r="E84" i="3" a="1"/>
  <c r="E171" i="4"/>
  <c r="G105" i="3"/>
  <c r="H121" i="4"/>
  <c r="F98" i="3"/>
  <c r="H139" i="3"/>
  <c r="H49" i="3" a="1"/>
  <c r="G73" i="4"/>
  <c r="B26" i="11" a="1"/>
  <c r="H67" i="3"/>
  <c r="H151" i="3"/>
  <c r="H48" i="11" a="1"/>
  <c r="E30" i="3" a="1"/>
  <c r="H141" i="3"/>
  <c r="C30" i="4"/>
  <c r="F82" i="5"/>
  <c r="E32" i="4"/>
  <c r="C145" i="3"/>
  <c r="E56" i="3" a="1"/>
  <c r="E46" i="6"/>
  <c r="H126" i="3"/>
  <c r="F64" i="11" a="1"/>
  <c r="G151" i="4"/>
  <c r="B150" i="3"/>
  <c r="E39" i="5"/>
  <c r="G59" i="3"/>
  <c r="C78" i="5"/>
  <c r="E85" i="3" a="1"/>
  <c r="E25" i="3" a="1"/>
  <c r="F78" i="5"/>
  <c r="G66" i="5"/>
  <c r="G63" i="5"/>
  <c r="E163" i="3"/>
  <c r="H120" i="4"/>
  <c r="F51" i="4"/>
  <c r="E24" i="6"/>
  <c r="E80" i="4"/>
  <c r="G73" i="5"/>
  <c r="E123" i="4"/>
  <c r="C99" i="3"/>
  <c r="H36" i="6"/>
  <c r="C171" i="3"/>
  <c r="H26" i="6"/>
  <c r="B29" i="11" a="1"/>
  <c r="H60" i="11" a="1"/>
  <c r="G62" i="3" a="1"/>
  <c r="C50" i="6"/>
  <c r="F38" i="6"/>
  <c r="B93" i="4"/>
  <c r="C54" i="3"/>
  <c r="F161" i="3"/>
  <c r="B60" i="11" a="1"/>
  <c r="E151" i="3"/>
  <c r="H83" i="5"/>
  <c r="E27" i="11" a="1"/>
  <c r="B118" i="4"/>
  <c r="G62" i="11" a="1"/>
  <c r="H72" i="5"/>
  <c r="C66" i="3"/>
  <c r="H46" i="6"/>
  <c r="H32" i="5"/>
  <c r="E26" i="3" a="1"/>
  <c r="E65" i="5"/>
  <c r="G56" i="4"/>
  <c r="B165" i="4"/>
  <c r="H52" i="3" a="1"/>
  <c r="B144" i="4"/>
  <c r="H171" i="3"/>
  <c r="H32" i="4"/>
  <c r="E72" i="4"/>
  <c r="B84" i="3" a="1"/>
  <c r="F30" i="5"/>
  <c r="E59" i="3" a="1"/>
  <c r="C100" i="3"/>
  <c r="B163" i="3"/>
  <c r="C25" i="11" a="1"/>
  <c r="H99" i="4"/>
  <c r="F46" i="11" a="1"/>
  <c r="B65" i="5"/>
  <c r="B27" i="3" a="1"/>
  <c r="E139" i="3"/>
  <c r="B74" i="5"/>
  <c r="C80" i="4"/>
  <c r="G74" i="5"/>
  <c r="F27" i="4"/>
  <c r="B147" i="4"/>
  <c r="F46" i="6"/>
  <c r="G140" i="3"/>
  <c r="H142" i="4"/>
  <c r="E81" i="3" a="1"/>
  <c r="E51" i="4"/>
  <c r="E24" i="3" a="1"/>
  <c r="H104" i="4"/>
  <c r="E70" i="4"/>
  <c r="E44" i="3" a="1"/>
  <c r="B174" i="3"/>
  <c r="G24" i="6"/>
  <c r="H42" i="11" a="1"/>
  <c r="C26" i="3" a="1"/>
  <c r="G76" i="5"/>
  <c r="C76" i="5"/>
  <c r="B128" i="3"/>
  <c r="E48" i="3" a="1"/>
  <c r="E164" i="3"/>
  <c r="D91" i="5"/>
  <c r="H103" i="3"/>
  <c r="B75" i="4"/>
  <c r="E99" i="4"/>
  <c r="H85" i="5"/>
  <c r="B59" i="3" a="1"/>
  <c r="F23" i="6"/>
  <c r="E167" i="4"/>
  <c r="E73" i="4"/>
  <c r="C48" i="11" a="1"/>
  <c r="H102" i="3"/>
  <c r="E68" i="5"/>
  <c r="B73" i="4"/>
  <c r="D102" i="4"/>
  <c r="H60" i="3"/>
  <c r="B50" i="3"/>
  <c r="G76" i="4"/>
  <c r="C120" i="3"/>
  <c r="H65" i="5"/>
  <c r="G117" i="4"/>
  <c r="H72" i="4"/>
  <c r="F39" i="5"/>
  <c r="B66" i="5"/>
  <c r="C150" i="3"/>
  <c r="B32" i="4"/>
  <c r="F65" i="5"/>
  <c r="B173" i="4"/>
  <c r="B97" i="4"/>
  <c r="F46" i="3" a="1"/>
  <c r="C80" i="5"/>
  <c r="C97" i="4"/>
  <c r="C139" i="3"/>
  <c r="E26" i="6"/>
  <c r="B117" i="4"/>
  <c r="B105" i="3"/>
  <c r="G102" i="3"/>
  <c r="H128" i="3"/>
  <c r="H57" i="3" a="1"/>
  <c r="C70" i="5"/>
  <c r="H142" i="3"/>
  <c r="H28" i="4"/>
  <c r="G82" i="5"/>
  <c r="B138" i="3"/>
  <c r="B69" i="5"/>
  <c r="E57" i="3" a="1"/>
  <c r="F73" i="5"/>
  <c r="B69" i="4"/>
  <c r="B63" i="11" a="1"/>
  <c r="H54" i="4"/>
  <c r="E171" i="3"/>
  <c r="B168" i="4"/>
  <c r="E83" i="5"/>
  <c r="F32" i="5"/>
  <c r="F93" i="5"/>
  <c r="F69" i="5"/>
  <c r="G37" i="6"/>
  <c r="E128" i="3"/>
  <c r="C71" i="5"/>
  <c r="H78" i="5"/>
  <c r="B166" i="3"/>
  <c r="G33" i="5"/>
  <c r="E99" i="3"/>
  <c r="G54" i="3" a="1"/>
  <c r="G81" i="5"/>
  <c r="B124" i="4"/>
  <c r="H25" i="6"/>
  <c r="H123" i="3"/>
  <c r="G49" i="3" a="1"/>
  <c r="F77" i="3" a="1"/>
  <c r="B29" i="4"/>
  <c r="C33" i="5"/>
  <c r="G31" i="5"/>
  <c r="E149" i="4"/>
  <c r="B103" i="3"/>
  <c r="C26" i="6"/>
  <c r="C146" i="4"/>
  <c r="C129" i="4"/>
  <c r="H51" i="4"/>
  <c r="H26" i="3" a="1"/>
  <c r="C164" i="3"/>
  <c r="B145" i="3"/>
  <c r="D89" i="5"/>
  <c r="B161" i="3"/>
  <c r="C123" i="3"/>
  <c r="F80" i="3" a="1"/>
  <c r="H74" i="5"/>
  <c r="J35" i="3"/>
  <c r="B171" i="3"/>
  <c r="G65" i="5"/>
  <c r="F91" i="5"/>
  <c r="C126" i="3"/>
  <c r="B70" i="5"/>
  <c r="F28" i="4"/>
  <c r="H97" i="4"/>
  <c r="H106" i="3"/>
  <c r="E106" i="3"/>
  <c r="H167" i="4"/>
  <c r="H56" i="4"/>
  <c r="B51" i="4"/>
  <c r="E32" i="11" a="1"/>
  <c r="B121" i="3"/>
  <c r="E24" i="11" a="1"/>
  <c r="H79" i="3" a="1"/>
  <c r="E71" i="5"/>
  <c r="C54" i="4"/>
  <c r="C72" i="5"/>
  <c r="E54" i="3" a="1"/>
  <c r="H46" i="11" a="1"/>
  <c r="B143" i="4"/>
  <c r="F49" i="3" a="1"/>
  <c r="B34" i="6"/>
  <c r="B62" i="3"/>
  <c r="B56" i="3"/>
  <c r="C30" i="5"/>
  <c r="B168" i="3"/>
  <c r="F147" i="4"/>
  <c r="B93" i="5"/>
  <c r="F26" i="11" a="1"/>
  <c r="H121" i="3"/>
  <c r="G64" i="5"/>
  <c r="C75" i="5"/>
  <c r="F171" i="3"/>
  <c r="C106" i="3"/>
  <c r="G164" i="3"/>
  <c r="B124" i="3"/>
  <c r="C121" i="3"/>
  <c r="B65" i="3"/>
  <c r="F165" i="4"/>
  <c r="G121" i="3"/>
  <c r="E104" i="4"/>
  <c r="C101" i="3"/>
  <c r="C72" i="4"/>
  <c r="B25" i="6"/>
  <c r="H49" i="6"/>
  <c r="D126" i="4"/>
  <c r="G116" i="4"/>
  <c r="E50" i="3" a="1"/>
  <c r="F140" i="3"/>
  <c r="E76" i="5"/>
  <c r="C60" i="11"/>
  <c r="G48" i="3" a="1"/>
  <c r="E100" i="3"/>
  <c r="B81" i="3" a="1"/>
  <c r="F32" i="11" a="1"/>
  <c r="C173" i="4"/>
  <c r="C85" i="3"/>
  <c r="E37" i="6"/>
  <c r="G102" i="4"/>
  <c r="G166" i="3"/>
  <c r="B143" i="3"/>
  <c r="B24" i="3" a="1"/>
  <c r="H94" i="4"/>
  <c r="C143" i="4"/>
  <c r="B99" i="3"/>
  <c r="B171" i="4"/>
  <c r="H89" i="5"/>
  <c r="H71" i="5"/>
  <c r="B48" i="3"/>
  <c r="D39" i="5"/>
  <c r="C44" i="3"/>
  <c r="G85" i="5"/>
  <c r="C166" i="3"/>
  <c r="C84" i="3"/>
  <c r="D90" i="5"/>
  <c r="C167" i="3"/>
  <c r="E50" i="6"/>
  <c r="C82" i="5"/>
  <c r="C27" i="4"/>
  <c r="B173" i="3"/>
  <c r="C52" i="3"/>
  <c r="H73" i="5"/>
  <c r="E80" i="3" a="1"/>
  <c r="B45" i="11" a="1"/>
  <c r="H36" i="5"/>
  <c r="B26" i="3" a="1"/>
  <c r="F35" i="6"/>
  <c r="B30" i="4"/>
  <c r="C30" i="11" a="1"/>
  <c r="H50" i="6"/>
  <c r="F25" i="11" a="1"/>
  <c r="E60" i="11" a="1"/>
  <c r="E49" i="6"/>
  <c r="J53" i="11"/>
  <c r="C29" i="11" a="1"/>
  <c r="B102" i="3"/>
  <c r="H44" i="3" a="1"/>
  <c r="H165" i="4"/>
  <c r="H100" i="4"/>
  <c r="F81" i="5"/>
  <c r="E56" i="4"/>
  <c r="E27" i="3" a="1"/>
  <c r="C95" i="4"/>
  <c r="B78" i="5"/>
  <c r="C73" i="4"/>
  <c r="B64" i="11" a="1"/>
  <c r="C35" i="5"/>
  <c r="B78" i="3" a="1"/>
  <c r="C78" i="4"/>
  <c r="B126" i="3"/>
  <c r="B35" i="6"/>
  <c r="G52" i="3" a="1"/>
  <c r="F84" i="5"/>
  <c r="G57" i="3" a="1"/>
  <c r="B141" i="3"/>
  <c r="E33" i="5"/>
  <c r="E77" i="3" a="1"/>
  <c r="B100" i="3"/>
  <c r="C60" i="3"/>
  <c r="E34" i="6"/>
  <c r="C144" i="3"/>
  <c r="C33" i="4"/>
  <c r="H140" i="3"/>
  <c r="H41" i="5"/>
  <c r="F122" i="3"/>
  <c r="C164" i="4"/>
  <c r="C48" i="4"/>
  <c r="H29" i="11" a="1"/>
  <c r="G173" i="4"/>
  <c r="H34" i="6"/>
  <c r="C162" i="3"/>
  <c r="C81" i="3"/>
  <c r="B123" i="4"/>
  <c r="E41" i="5"/>
  <c r="H119" i="3"/>
  <c r="B54" i="4"/>
  <c r="G34" i="6"/>
  <c r="C30" i="3" a="1"/>
  <c r="G79" i="5"/>
  <c r="H35" i="4"/>
  <c r="F80" i="5"/>
  <c r="E36" i="6"/>
  <c r="H38" i="5"/>
  <c r="B32" i="11" a="1"/>
  <c r="F93" i="4"/>
  <c r="F68" i="5"/>
  <c r="C104" i="4"/>
  <c r="E119" i="4"/>
  <c r="E173" i="4"/>
  <c r="F85" i="5"/>
  <c r="G26" i="6"/>
  <c r="B49" i="6"/>
  <c r="F33" i="5"/>
  <c r="H126" i="4"/>
  <c r="B165" i="3"/>
  <c r="F96" i="4"/>
  <c r="E124" i="4"/>
  <c r="G55" i="3" a="1"/>
  <c r="E60" i="3" a="1"/>
  <c r="H29" i="4"/>
  <c r="F119" i="3"/>
  <c r="I73" i="3" a="1"/>
  <c r="J73" i="3" a="1"/>
  <c r="J20" i="3" a="1"/>
  <c r="G56" i="11" a="1"/>
  <c r="G54" i="11" a="1"/>
  <c r="C54" i="11" a="1"/>
  <c r="G18" i="11" a="1"/>
  <c r="I54" i="11" a="1"/>
  <c r="I38" i="3" a="1"/>
  <c r="I20" i="3" a="1"/>
  <c r="J38" i="3" a="1"/>
  <c r="E54" i="11" a="1"/>
  <c r="G64" i="11" l="1"/>
  <c r="G61" i="11"/>
  <c r="G60" i="11"/>
  <c r="F61" i="11"/>
  <c r="J20" i="3"/>
  <c r="B25" i="3"/>
  <c r="B62" i="11"/>
  <c r="B78" i="3"/>
  <c r="G49" i="3"/>
  <c r="I38" i="3"/>
  <c r="I54" i="11"/>
  <c r="E61" i="11"/>
  <c r="B45" i="3"/>
  <c r="G54" i="11"/>
  <c r="F47" i="3"/>
  <c r="H84" i="3"/>
  <c r="G62" i="3"/>
  <c r="B61" i="11"/>
  <c r="J38" i="3"/>
  <c r="G56" i="11"/>
  <c r="E43" i="3"/>
  <c r="I73" i="3"/>
  <c r="C30" i="3"/>
  <c r="E55" i="3"/>
  <c r="F80" i="3"/>
  <c r="G55" i="3"/>
  <c r="G45" i="3"/>
  <c r="E66" i="11"/>
  <c r="B44" i="3"/>
  <c r="F49" i="3"/>
  <c r="H45" i="3"/>
  <c r="E53" i="3"/>
  <c r="C25" i="3"/>
  <c r="B79" i="3"/>
  <c r="E45" i="3"/>
  <c r="H51" i="3"/>
  <c r="B84" i="3"/>
  <c r="E60" i="3"/>
  <c r="E25" i="3"/>
  <c r="E24" i="3"/>
  <c r="G63" i="11"/>
  <c r="B26" i="3"/>
  <c r="G27" i="3"/>
  <c r="B81" i="3"/>
  <c r="F26" i="3"/>
  <c r="E62" i="11"/>
  <c r="H64" i="11"/>
  <c r="F45" i="3"/>
  <c r="H25" i="3"/>
  <c r="H80" i="3"/>
  <c r="E47" i="3"/>
  <c r="C27" i="3"/>
  <c r="G56" i="3"/>
  <c r="E26" i="3"/>
  <c r="G85" i="3"/>
  <c r="F55" i="3"/>
  <c r="H28" i="3"/>
  <c r="G62" i="11"/>
  <c r="H77" i="3"/>
  <c r="E79" i="3"/>
  <c r="F46" i="3"/>
  <c r="H61" i="11"/>
  <c r="G66" i="11"/>
  <c r="E59" i="3"/>
  <c r="H57" i="3"/>
  <c r="G52" i="3"/>
  <c r="H26" i="3"/>
  <c r="H54" i="3"/>
  <c r="I20" i="3"/>
  <c r="H78" i="3"/>
  <c r="E81" i="3"/>
  <c r="E78" i="3"/>
  <c r="H60" i="11"/>
  <c r="E48" i="3"/>
  <c r="H24" i="3"/>
  <c r="E28" i="3"/>
  <c r="H81" i="3"/>
  <c r="H27" i="3"/>
  <c r="G57" i="3"/>
  <c r="F43" i="3"/>
  <c r="H44" i="3"/>
  <c r="E51" i="3"/>
  <c r="B64" i="11"/>
  <c r="F64" i="11"/>
  <c r="H63" i="11"/>
  <c r="C24" i="3"/>
  <c r="E77" i="3"/>
  <c r="F67" i="3"/>
  <c r="B43" i="3"/>
  <c r="F24" i="3"/>
  <c r="E67" i="3"/>
  <c r="B28" i="3"/>
  <c r="E85" i="3"/>
  <c r="F66" i="3"/>
  <c r="E46" i="3"/>
  <c r="G48" i="3"/>
  <c r="H47" i="3"/>
  <c r="G51" i="3"/>
  <c r="G46" i="3"/>
  <c r="G26" i="3"/>
  <c r="F65" i="3"/>
  <c r="B27" i="3"/>
  <c r="F79" i="3"/>
  <c r="H50" i="3"/>
  <c r="B66" i="11"/>
  <c r="E64" i="11"/>
  <c r="B30" i="3"/>
  <c r="B24" i="3"/>
  <c r="H52" i="3"/>
  <c r="G61" i="3"/>
  <c r="H53" i="3"/>
  <c r="F50" i="3"/>
  <c r="E60" i="11"/>
  <c r="G53" i="3"/>
  <c r="H55" i="3"/>
  <c r="E52" i="3"/>
  <c r="G50" i="3"/>
  <c r="E54" i="11"/>
  <c r="E62" i="3"/>
  <c r="B63" i="11"/>
  <c r="H59" i="3"/>
  <c r="F81" i="3"/>
  <c r="H30" i="3"/>
  <c r="B80" i="3"/>
  <c r="E30" i="3"/>
  <c r="B46" i="3"/>
  <c r="F27" i="3"/>
  <c r="H48" i="3"/>
  <c r="F53" i="3"/>
  <c r="E66" i="3"/>
  <c r="F52" i="3"/>
  <c r="F60" i="11"/>
  <c r="E84" i="3"/>
  <c r="E65" i="3"/>
  <c r="E56" i="3"/>
  <c r="E50" i="3"/>
  <c r="B77" i="3"/>
  <c r="G60" i="3"/>
  <c r="H43" i="3"/>
  <c r="E63" i="11"/>
  <c r="C28" i="3"/>
  <c r="J73" i="3"/>
  <c r="G54" i="3"/>
  <c r="F56" i="3"/>
  <c r="G80" i="3"/>
  <c r="E27" i="3"/>
  <c r="C54" i="11"/>
  <c r="K68" i="11" s="1"/>
  <c r="E82" i="3"/>
  <c r="E44" i="3"/>
  <c r="F63" i="11"/>
  <c r="C26" i="3"/>
  <c r="E49" i="3"/>
  <c r="H62" i="11"/>
  <c r="H66" i="11"/>
  <c r="E54" i="3"/>
  <c r="B59" i="3"/>
  <c r="E57" i="3"/>
  <c r="E80" i="3"/>
  <c r="H46" i="3"/>
  <c r="H49" i="3"/>
  <c r="E61" i="3"/>
  <c r="F77" i="3"/>
  <c r="F46" i="11"/>
  <c r="H56" i="3"/>
  <c r="H79" i="3"/>
  <c r="G79" i="3"/>
  <c r="G47" i="3"/>
  <c r="B60" i="11"/>
  <c r="B47" i="3"/>
  <c r="F62" i="11"/>
  <c r="F28" i="3"/>
  <c r="G18" i="1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78" i="4"/>
  <c r="I126" i="4"/>
  <c r="I33" i="4"/>
  <c r="I39" i="5"/>
  <c r="I102" i="4"/>
  <c r="I89" i="5"/>
  <c r="I127" i="4"/>
  <c r="J102" i="4"/>
  <c r="J78" i="4"/>
  <c r="I171" i="4"/>
  <c r="I38" i="5"/>
  <c r="I90" i="5"/>
  <c r="I91" i="5"/>
  <c r="J91" i="5" s="1"/>
  <c r="J33" i="4"/>
  <c r="J38" i="5"/>
  <c r="J54" i="4"/>
  <c r="F85" i="3" a="1"/>
  <c r="F25" i="3" a="1"/>
  <c r="B68" i="11" a="1"/>
  <c r="C68" i="11"/>
  <c r="F44" i="3" a="1"/>
  <c r="G24" i="3" a="1"/>
  <c r="E68" i="11" a="1"/>
  <c r="D64" i="11" a="1"/>
  <c r="F82" i="3" a="1"/>
  <c r="G44" i="3" a="1"/>
  <c r="D61" i="11" a="1"/>
  <c r="G68" i="11" a="1"/>
  <c r="G43" i="3" a="1"/>
  <c r="D60" i="11" a="1"/>
  <c r="D63" i="11" a="1"/>
  <c r="D66" i="11" a="1"/>
  <c r="G20" i="11" a="1"/>
  <c r="H68" i="11" a="1"/>
  <c r="I18" i="11" a="1"/>
  <c r="F78" i="3" a="1"/>
  <c r="G77" i="3" a="1"/>
  <c r="G78" i="3" a="1"/>
  <c r="D62" i="11" a="1"/>
  <c r="G25" i="3" a="1"/>
  <c r="D68" i="11" a="1"/>
  <c r="F68" i="11" a="1"/>
  <c r="F66" i="11" a="1"/>
  <c r="D61" i="11" l="1"/>
  <c r="D63" i="11"/>
  <c r="D62" i="11"/>
  <c r="D64" i="11"/>
  <c r="D60" i="11"/>
  <c r="D68" i="11"/>
  <c r="F85" i="3"/>
  <c r="F82" i="3"/>
  <c r="F78" i="3"/>
  <c r="F44" i="3"/>
  <c r="F25" i="3"/>
  <c r="G78" i="3"/>
  <c r="G77" i="3"/>
  <c r="G43" i="3"/>
  <c r="G44" i="3"/>
  <c r="G24" i="3"/>
  <c r="G25" i="3"/>
  <c r="F66" i="11"/>
  <c r="B68" i="11"/>
  <c r="G68" i="11"/>
  <c r="H68" i="11"/>
  <c r="E68" i="11"/>
  <c r="F68" i="11"/>
  <c r="D66" i="11"/>
  <c r="E73" i="3"/>
  <c r="I18" i="11"/>
  <c r="G20" i="11"/>
  <c r="J39" i="5"/>
  <c r="J127" i="4"/>
  <c r="J89" i="5"/>
  <c r="J126" i="4"/>
  <c r="J171" i="4"/>
  <c r="J90" i="5"/>
  <c r="D24" i="11" a="1"/>
  <c r="I60" i="11"/>
  <c r="I68" i="11"/>
  <c r="I62" i="11"/>
  <c r="G82" i="3" a="1"/>
  <c r="G81" i="3" a="1"/>
  <c r="D27" i="11" a="1"/>
  <c r="I61" i="11"/>
  <c r="D26" i="11" a="1"/>
  <c r="I63" i="11"/>
  <c r="D25" i="11" a="1"/>
  <c r="I64" i="11"/>
  <c r="G28" i="3" a="1"/>
  <c r="I66" i="11"/>
  <c r="G81" i="3" l="1"/>
  <c r="G28" i="3"/>
  <c r="G82" i="3"/>
  <c r="D27" i="11"/>
  <c r="D26" i="11"/>
  <c r="D25" i="11"/>
  <c r="D24" i="11"/>
  <c r="G84" i="3"/>
  <c r="J64" i="11"/>
  <c r="I25" i="11"/>
  <c r="J62" i="11"/>
  <c r="J66" i="11"/>
  <c r="I26" i="11"/>
  <c r="I27" i="11"/>
  <c r="J63" i="11"/>
  <c r="I24" i="11"/>
  <c r="J60" i="11"/>
  <c r="J61" i="11"/>
  <c r="J68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F35" i="8" a="1"/>
  <c r="J26" i="11"/>
  <c r="I34" i="8" a="1"/>
  <c r="L39" i="8" a="1"/>
  <c r="O31" i="8" a="1"/>
  <c r="L33" i="8" a="1"/>
  <c r="O29" i="8" a="1"/>
  <c r="F36" i="8" a="1"/>
  <c r="L32" i="8" a="1"/>
  <c r="O35" i="8" a="1"/>
  <c r="L36" i="8" a="1"/>
  <c r="F40" i="8" a="1"/>
  <c r="I37" i="8" a="1"/>
  <c r="I31" i="8" a="1"/>
  <c r="I35" i="8" a="1"/>
  <c r="O39" i="8" a="1"/>
  <c r="L35" i="8" a="1"/>
  <c r="L37" i="8" a="1"/>
  <c r="J25" i="11"/>
  <c r="I40" i="8" a="1"/>
  <c r="O36" i="8" a="1"/>
  <c r="J27" i="11"/>
  <c r="F37" i="8" a="1"/>
  <c r="F41" i="8" a="1"/>
  <c r="F38" i="8" a="1"/>
  <c r="J24" i="11"/>
  <c r="L34" i="8" a="1"/>
  <c r="O38" i="8" a="1"/>
  <c r="O30" i="8" a="1"/>
  <c r="F39" i="8" a="1"/>
  <c r="F30" i="8" a="1"/>
  <c r="O41" i="8" a="1"/>
  <c r="I93" i="3" a="1"/>
  <c r="I39" i="8" a="1"/>
  <c r="L40" i="8" a="1"/>
  <c r="O37" i="8" a="1"/>
  <c r="F31" i="8" a="1"/>
  <c r="I41" i="8" a="1"/>
  <c r="O33" i="8" a="1"/>
  <c r="O40" i="8" a="1"/>
  <c r="I38" i="8" a="1"/>
  <c r="L41" i="8" a="1"/>
  <c r="F34" i="8" a="1"/>
  <c r="I30" i="8" a="1"/>
  <c r="L30" i="8" a="1"/>
  <c r="L29" i="8" a="1"/>
  <c r="O32" i="8" a="1"/>
  <c r="L38" i="8" a="1"/>
  <c r="L31" i="8" a="1"/>
  <c r="F29" i="8" a="1"/>
  <c r="I29" i="8" a="1"/>
  <c r="O34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154" i="3"/>
  <c r="J29" i="6"/>
  <c r="J41" i="6"/>
  <c r="J83" i="4"/>
  <c r="G62" i="4" a="1"/>
  <c r="J41" i="4" a="1"/>
  <c r="G20" i="4" a="1"/>
  <c r="G36" i="3" a="1"/>
  <c r="G157" i="4" a="1"/>
  <c r="G110" i="4" a="1"/>
  <c r="K38" i="3" a="1"/>
  <c r="C36" i="3" a="1"/>
  <c r="E36" i="3" a="1"/>
  <c r="I62" i="4" a="1"/>
  <c r="I38" i="11" a="1"/>
  <c r="I137" i="4" a="1"/>
  <c r="C18" i="3" a="1"/>
  <c r="G41" i="4" a="1"/>
  <c r="I18" i="3" a="1"/>
  <c r="C71" i="3" a="1"/>
  <c r="J20" i="4" a="1"/>
  <c r="G38" i="11" a="1"/>
  <c r="E18" i="3" a="1"/>
  <c r="G18" i="3" a="1"/>
  <c r="I36" i="3" a="1"/>
  <c r="I71" i="3" a="1"/>
  <c r="G136" i="4" a="1"/>
  <c r="J62" i="4" a="1"/>
  <c r="I36" i="11" a="1"/>
  <c r="J157" i="4" a="1"/>
  <c r="G86" i="4" a="1"/>
  <c r="J86" i="4" a="1"/>
  <c r="I157" i="4" a="1"/>
  <c r="C36" i="11" a="1"/>
  <c r="G38" i="3" a="1"/>
  <c r="G20" i="3" a="1"/>
  <c r="E71" i="3" a="1"/>
  <c r="J111" i="4" a="1"/>
  <c r="I41" i="4" a="1"/>
  <c r="I111" i="4" a="1"/>
  <c r="G71" i="3" a="1"/>
  <c r="I136" i="4" a="1"/>
  <c r="G73" i="3" a="1"/>
  <c r="I86" i="4" a="1"/>
  <c r="J136" i="4" a="1"/>
  <c r="J137" i="4" a="1"/>
  <c r="I20" i="4" a="1"/>
  <c r="I110" i="4" a="1"/>
  <c r="J110" i="4" a="1"/>
  <c r="J38" i="11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7" i="5"/>
  <c r="J111" i="3"/>
  <c r="J131" i="3"/>
  <c r="J107" i="4"/>
  <c r="J133" i="4"/>
  <c r="J59" i="4"/>
  <c r="J17" i="6"/>
  <c r="J90" i="3"/>
  <c r="J154" i="4"/>
  <c r="J17" i="4"/>
  <c r="J38" i="4"/>
  <c r="J44" i="5"/>
  <c r="D67" i="3"/>
  <c r="F64" i="3" a="1"/>
  <c r="F144" i="4"/>
  <c r="F48" i="3" a="1"/>
  <c r="D78" i="3" a="1"/>
  <c r="F59" i="3"/>
  <c r="G64" i="3" a="1"/>
  <c r="F20" i="4" a="1"/>
  <c r="F76" i="4"/>
  <c r="J94" i="3" a="1"/>
  <c r="G167" i="4"/>
  <c r="D55" i="3"/>
  <c r="D85" i="3"/>
  <c r="F118" i="4"/>
  <c r="G50" i="4"/>
  <c r="F43" i="11" a="1"/>
  <c r="E64" i="3" a="1"/>
  <c r="F50" i="4"/>
  <c r="D43" i="11" a="1"/>
  <c r="E87" i="3" a="1"/>
  <c r="F129" i="4"/>
  <c r="J157" i="3" a="1"/>
  <c r="D44" i="11" a="1"/>
  <c r="F134" i="3" a="1"/>
  <c r="F119" i="4"/>
  <c r="F80" i="4"/>
  <c r="F29" i="4"/>
  <c r="G165" i="4"/>
  <c r="C32" i="3" a="1"/>
  <c r="H50" i="11" a="1"/>
  <c r="J115" i="3" a="1"/>
  <c r="D66" i="3"/>
  <c r="D52" i="3"/>
  <c r="G134" i="3" a="1"/>
  <c r="D30" i="3" a="1"/>
  <c r="G46" i="11" a="1"/>
  <c r="G43" i="11" a="1"/>
  <c r="D61" i="3"/>
  <c r="C50" i="11" a="1"/>
  <c r="F171" i="4"/>
  <c r="D64" i="3" a="1"/>
  <c r="F87" i="3" a="1"/>
  <c r="D53" i="3"/>
  <c r="D80" i="3" a="1"/>
  <c r="D49" i="3"/>
  <c r="D27" i="3" a="1"/>
  <c r="D87" i="3" a="1"/>
  <c r="H87" i="3" a="1"/>
  <c r="B87" i="3" a="1"/>
  <c r="D43" i="3" a="1"/>
  <c r="G42" i="11" a="1"/>
  <c r="I115" i="3" a="1"/>
  <c r="F32" i="3" a="1"/>
  <c r="D79" i="3" a="1"/>
  <c r="H64" i="3" a="1"/>
  <c r="F110" i="4" a="1"/>
  <c r="D45" i="3" a="1"/>
  <c r="F97" i="4"/>
  <c r="D42" i="11" a="1"/>
  <c r="G71" i="4"/>
  <c r="B32" i="3" a="1"/>
  <c r="D54" i="3"/>
  <c r="D46" i="11" a="1"/>
  <c r="C87" i="3"/>
  <c r="I157" i="3" a="1"/>
  <c r="G157" i="3" a="1"/>
  <c r="F145" i="4"/>
  <c r="F41" i="4" a="1"/>
  <c r="F73" i="4"/>
  <c r="F54" i="3" a="1"/>
  <c r="F173" i="4"/>
  <c r="F136" i="4" a="1"/>
  <c r="E50" i="11" a="1"/>
  <c r="G145" i="4"/>
  <c r="G166" i="4"/>
  <c r="H32" i="3" a="1"/>
  <c r="J93" i="3" a="1"/>
  <c r="D65" i="3"/>
  <c r="F166" i="4"/>
  <c r="E157" i="3" a="1"/>
  <c r="D24" i="3" a="1"/>
  <c r="F61" i="3" a="1"/>
  <c r="G66" i="3" a="1"/>
  <c r="F146" i="4"/>
  <c r="G72" i="4"/>
  <c r="D51" i="3"/>
  <c r="D56" i="3"/>
  <c r="E32" i="3" a="1"/>
  <c r="D82" i="3"/>
  <c r="F78" i="4"/>
  <c r="G118" i="4"/>
  <c r="F86" i="4" a="1"/>
  <c r="G119" i="4"/>
  <c r="F56" i="4"/>
  <c r="D46" i="3" a="1"/>
  <c r="F157" i="4" a="1"/>
  <c r="D32" i="3" a="1"/>
  <c r="D25" i="3" a="1"/>
  <c r="F120" i="4"/>
  <c r="D81" i="3" a="1"/>
  <c r="G127" i="4"/>
  <c r="F151" i="4"/>
  <c r="D47" i="3" a="1"/>
  <c r="F51" i="3" a="1"/>
  <c r="G27" i="4"/>
  <c r="J134" i="3" a="1"/>
  <c r="G50" i="11" a="1"/>
  <c r="D48" i="3"/>
  <c r="G93" i="3" a="1"/>
  <c r="F30" i="3"/>
  <c r="F102" i="4"/>
  <c r="I114" i="3" a="1"/>
  <c r="G144" i="4"/>
  <c r="D26" i="3" a="1"/>
  <c r="F35" i="4"/>
  <c r="G67" i="3" a="1"/>
  <c r="G29" i="4"/>
  <c r="D44" i="3" a="1"/>
  <c r="C64" i="3"/>
  <c r="G65" i="3" a="1"/>
  <c r="F57" i="3" a="1"/>
  <c r="D45" i="11" a="1"/>
  <c r="D84" i="3" a="1"/>
  <c r="F127" i="4"/>
  <c r="G32" i="3"/>
  <c r="D77" i="3" a="1"/>
  <c r="J114" i="3" a="1"/>
  <c r="F100" i="4"/>
  <c r="D62" i="3"/>
  <c r="F62" i="4" a="1"/>
  <c r="F71" i="4"/>
  <c r="E114" i="3" a="1"/>
  <c r="I94" i="3" a="1"/>
  <c r="F62" i="3" a="1"/>
  <c r="I134" i="3" a="1"/>
  <c r="D60" i="3"/>
  <c r="F95" i="4"/>
  <c r="F84" i="3"/>
  <c r="G124" i="4"/>
  <c r="B64" i="3" a="1"/>
  <c r="B50" i="11" a="1"/>
  <c r="D50" i="3"/>
  <c r="D59" i="3" a="1"/>
  <c r="D28" i="3" a="1"/>
  <c r="G95" i="4"/>
  <c r="G51" i="4"/>
  <c r="D57" i="3"/>
  <c r="G87" i="3" a="1"/>
  <c r="E32" i="3" l="1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I79" i="3"/>
  <c r="F48" i="11" a="1"/>
  <c r="G70" i="4"/>
  <c r="G93" i="4"/>
  <c r="I28" i="3"/>
  <c r="G162" i="3"/>
  <c r="I26" i="3"/>
  <c r="I49" i="3"/>
  <c r="I67" i="3"/>
  <c r="I60" i="3"/>
  <c r="I53" i="3"/>
  <c r="F173" i="3"/>
  <c r="G120" i="3"/>
  <c r="I24" i="3"/>
  <c r="I43" i="11"/>
  <c r="F50" i="11" a="1"/>
  <c r="I45" i="11"/>
  <c r="F162" i="3"/>
  <c r="I87" i="3"/>
  <c r="G49" i="4"/>
  <c r="G151" i="3"/>
  <c r="I45" i="3"/>
  <c r="I59" i="3"/>
  <c r="I85" i="3"/>
  <c r="I77" i="3"/>
  <c r="I50" i="3"/>
  <c r="G69" i="4"/>
  <c r="F75" i="4"/>
  <c r="I42" i="11"/>
  <c r="G96" i="4"/>
  <c r="G138" i="3"/>
  <c r="F99" i="4"/>
  <c r="I54" i="3"/>
  <c r="F124" i="4"/>
  <c r="F99" i="3"/>
  <c r="G174" i="3"/>
  <c r="I65" i="3"/>
  <c r="F150" i="3"/>
  <c r="F33" i="4"/>
  <c r="F53" i="4"/>
  <c r="F170" i="4"/>
  <c r="I56" i="3"/>
  <c r="G126" i="4"/>
  <c r="F126" i="4"/>
  <c r="I57" i="3"/>
  <c r="I64" i="3"/>
  <c r="F167" i="3"/>
  <c r="I52" i="3"/>
  <c r="I44" i="11"/>
  <c r="I46" i="3"/>
  <c r="I47" i="3"/>
  <c r="G161" i="3"/>
  <c r="G123" i="4"/>
  <c r="F105" i="3"/>
  <c r="G48" i="4"/>
  <c r="F102" i="3"/>
  <c r="F149" i="4"/>
  <c r="F104" i="4"/>
  <c r="I32" i="3"/>
  <c r="I51" i="3"/>
  <c r="I27" i="3"/>
  <c r="G30" i="4"/>
  <c r="G164" i="4"/>
  <c r="F144" i="3"/>
  <c r="I43" i="3"/>
  <c r="G139" i="3"/>
  <c r="I81" i="3"/>
  <c r="G99" i="3"/>
  <c r="I66" i="3"/>
  <c r="I84" i="3"/>
  <c r="I78" i="3"/>
  <c r="I46" i="11"/>
  <c r="I48" i="3"/>
  <c r="I25" i="3"/>
  <c r="F120" i="3"/>
  <c r="F130" i="4"/>
  <c r="I61" i="3"/>
  <c r="I80" i="3"/>
  <c r="G142" i="3"/>
  <c r="I44" i="3"/>
  <c r="I62" i="3"/>
  <c r="I30" i="3"/>
  <c r="F32" i="4"/>
  <c r="G149" i="4"/>
  <c r="I82" i="3"/>
  <c r="F139" i="3"/>
  <c r="G94" i="4"/>
  <c r="I55" i="3"/>
  <c r="F60" i="3" a="1"/>
  <c r="G28" i="4"/>
  <c r="G168" i="4"/>
  <c r="G165" i="3"/>
  <c r="F60" i="3" l="1"/>
  <c r="F48" i="11"/>
  <c r="F50" i="11"/>
  <c r="F87" i="4"/>
  <c r="F88" i="4" s="1"/>
  <c r="C159" i="4"/>
  <c r="F158" i="4"/>
  <c r="F159" i="4" s="1"/>
  <c r="D158" i="4"/>
  <c r="C158" i="4"/>
  <c r="G171" i="4"/>
  <c r="E18" i="6" a="1"/>
  <c r="J82" i="3"/>
  <c r="G155" i="4" a="1"/>
  <c r="J44" i="3"/>
  <c r="F106" i="3"/>
  <c r="J44" i="11"/>
  <c r="J62" i="3"/>
  <c r="J30" i="3"/>
  <c r="F123" i="4"/>
  <c r="J47" i="3"/>
  <c r="J26" i="3"/>
  <c r="F128" i="3"/>
  <c r="G18" i="4" a="1"/>
  <c r="G84" i="4" a="1"/>
  <c r="J79" i="3"/>
  <c r="F126" i="3"/>
  <c r="G132" i="3" a="1"/>
  <c r="J56" i="3"/>
  <c r="J42" i="11"/>
  <c r="J84" i="3"/>
  <c r="J43" i="3"/>
  <c r="J46" i="3"/>
  <c r="J43" i="11"/>
  <c r="J50" i="3"/>
  <c r="G45" i="5" a="1"/>
  <c r="J57" i="3"/>
  <c r="J66" i="3"/>
  <c r="J46" i="11"/>
  <c r="J53" i="3"/>
  <c r="J51" i="3"/>
  <c r="J32" i="3"/>
  <c r="F108" i="3"/>
  <c r="J25" i="3"/>
  <c r="E18" i="11" a="1"/>
  <c r="D29" i="11" a="1"/>
  <c r="G134" i="4" a="1"/>
  <c r="G36" i="11" a="1"/>
  <c r="E42" i="6" a="1"/>
  <c r="G91" i="3" a="1"/>
  <c r="J24" i="3"/>
  <c r="J65" i="3"/>
  <c r="J60" i="3"/>
  <c r="G148" i="3"/>
  <c r="J48" i="3"/>
  <c r="G60" i="4" a="1"/>
  <c r="G171" i="3"/>
  <c r="D30" i="11" a="1"/>
  <c r="J80" i="3"/>
  <c r="J61" i="3"/>
  <c r="G18" i="5" a="1"/>
  <c r="G155" i="3" a="1"/>
  <c r="G112" i="3" a="1"/>
  <c r="J27" i="3"/>
  <c r="G39" i="4" a="1"/>
  <c r="G126" i="3"/>
  <c r="G108" i="4" a="1"/>
  <c r="J59" i="3"/>
  <c r="J67" i="3"/>
  <c r="E30" i="6" a="1"/>
  <c r="J87" i="3"/>
  <c r="J45" i="3"/>
  <c r="J64" i="3"/>
  <c r="J77" i="3"/>
  <c r="J45" i="11"/>
  <c r="J55" i="3"/>
  <c r="J85" i="3"/>
  <c r="J54" i="3"/>
  <c r="J52" i="3"/>
  <c r="J78" i="3"/>
  <c r="F147" i="3"/>
  <c r="J81" i="3"/>
  <c r="J49" i="3"/>
  <c r="J28" i="3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E170" i="4"/>
  <c r="H170" i="4"/>
  <c r="B170" i="4"/>
  <c r="G170" i="4"/>
  <c r="C170" i="4"/>
  <c r="D48" i="6"/>
  <c r="D80" i="5"/>
  <c r="I134" i="4" a="1"/>
  <c r="D34" i="6"/>
  <c r="D99" i="4"/>
  <c r="D32" i="4"/>
  <c r="D53" i="4"/>
  <c r="I155" i="4" a="1"/>
  <c r="E91" i="3" a="1"/>
  <c r="I29" i="11"/>
  <c r="E18" i="5" a="1"/>
  <c r="D85" i="5"/>
  <c r="I108" i="4" a="1"/>
  <c r="D24" i="6"/>
  <c r="I39" i="4" a="1"/>
  <c r="D76" i="4"/>
  <c r="I132" i="3" a="1"/>
  <c r="D50" i="6"/>
  <c r="E60" i="4" a="1"/>
  <c r="D105" i="3"/>
  <c r="I18" i="4" a="1"/>
  <c r="D48" i="11" a="1"/>
  <c r="D149" i="4"/>
  <c r="D83" i="5"/>
  <c r="D171" i="3"/>
  <c r="I60" i="4" a="1"/>
  <c r="D81" i="5"/>
  <c r="D47" i="6"/>
  <c r="D123" i="4"/>
  <c r="I30" i="11"/>
  <c r="D26" i="6"/>
  <c r="D100" i="4"/>
  <c r="E155" i="3" a="1"/>
  <c r="I155" i="3" a="1"/>
  <c r="D35" i="5"/>
  <c r="D36" i="5"/>
  <c r="D106" i="3"/>
  <c r="E112" i="3" a="1"/>
  <c r="E132" i="3" a="1"/>
  <c r="E155" i="4" a="1"/>
  <c r="D82" i="5"/>
  <c r="D46" i="6"/>
  <c r="I18" i="5" a="1"/>
  <c r="F170" i="3"/>
  <c r="D86" i="5"/>
  <c r="D148" i="3"/>
  <c r="E18" i="4" a="1"/>
  <c r="D170" i="4"/>
  <c r="E36" i="11" a="1"/>
  <c r="I112" i="3" a="1"/>
  <c r="D49" i="6"/>
  <c r="I91" i="3" a="1"/>
  <c r="D79" i="5"/>
  <c r="D32" i="11" a="1"/>
  <c r="E134" i="4" a="1"/>
  <c r="D38" i="6"/>
  <c r="D126" i="3"/>
  <c r="D170" i="3"/>
  <c r="D23" i="6"/>
  <c r="D78" i="5"/>
  <c r="D84" i="5"/>
  <c r="E45" i="5" a="1"/>
  <c r="I45" i="5" a="1"/>
  <c r="E84" i="4" a="1"/>
  <c r="D124" i="4"/>
  <c r="D75" i="4"/>
  <c r="D35" i="6"/>
  <c r="D22" i="6"/>
  <c r="D37" i="6"/>
  <c r="D25" i="6"/>
  <c r="E39" i="4" a="1"/>
  <c r="D36" i="6"/>
  <c r="I84" i="4" a="1"/>
  <c r="E108" i="4" a="1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27" i="4"/>
  <c r="I123" i="4"/>
  <c r="D145" i="3"/>
  <c r="D124" i="3"/>
  <c r="I149" i="4"/>
  <c r="D108" i="3"/>
  <c r="D130" i="4"/>
  <c r="D94" i="5"/>
  <c r="I78" i="5"/>
  <c r="I126" i="3"/>
  <c r="D49" i="4"/>
  <c r="I124" i="4"/>
  <c r="D173" i="4"/>
  <c r="D144" i="3"/>
  <c r="I48" i="6"/>
  <c r="D63" i="5"/>
  <c r="D73" i="4"/>
  <c r="D120" i="4"/>
  <c r="D74" i="5"/>
  <c r="J30" i="11"/>
  <c r="D95" i="5"/>
  <c r="D99" i="3"/>
  <c r="D70" i="5"/>
  <c r="I53" i="4"/>
  <c r="D103" i="3"/>
  <c r="D142" i="4"/>
  <c r="I105" i="3"/>
  <c r="D33" i="5"/>
  <c r="D65" i="5"/>
  <c r="D29" i="5"/>
  <c r="D151" i="3"/>
  <c r="I32" i="11"/>
  <c r="D164" i="3"/>
  <c r="D163" i="3"/>
  <c r="D94" i="4"/>
  <c r="I83" i="5"/>
  <c r="D162" i="3"/>
  <c r="I35" i="6"/>
  <c r="D147" i="4"/>
  <c r="I26" i="6"/>
  <c r="D119" i="3"/>
  <c r="D71" i="4"/>
  <c r="I84" i="5"/>
  <c r="I148" i="3"/>
  <c r="D35" i="4"/>
  <c r="D48" i="4"/>
  <c r="D120" i="3"/>
  <c r="D151" i="4"/>
  <c r="D62" i="5"/>
  <c r="D50" i="4"/>
  <c r="I47" i="6"/>
  <c r="D50" i="11" a="1"/>
  <c r="D104" i="4"/>
  <c r="I48" i="11"/>
  <c r="D121" i="3"/>
  <c r="D167" i="4"/>
  <c r="D144" i="4"/>
  <c r="D138" i="3"/>
  <c r="D116" i="4"/>
  <c r="D30" i="4"/>
  <c r="I80" i="5"/>
  <c r="D72" i="4"/>
  <c r="I37" i="6"/>
  <c r="D165" i="3"/>
  <c r="I50" i="6"/>
  <c r="D30" i="5"/>
  <c r="D96" i="5"/>
  <c r="D32" i="5"/>
  <c r="I99" i="4"/>
  <c r="I35" i="5"/>
  <c r="I82" i="5"/>
  <c r="D51" i="4"/>
  <c r="I36" i="6"/>
  <c r="I49" i="6"/>
  <c r="I79" i="5"/>
  <c r="D93" i="5"/>
  <c r="D101" i="3"/>
  <c r="D75" i="5"/>
  <c r="D102" i="3"/>
  <c r="D174" i="3"/>
  <c r="D69" i="4"/>
  <c r="D68" i="5"/>
  <c r="I24" i="6"/>
  <c r="D117" i="4"/>
  <c r="I46" i="6"/>
  <c r="I25" i="6"/>
  <c r="D97" i="4"/>
  <c r="D98" i="3"/>
  <c r="D96" i="4"/>
  <c r="D168" i="4"/>
  <c r="D140" i="3"/>
  <c r="D141" i="3"/>
  <c r="D145" i="4"/>
  <c r="I106" i="3"/>
  <c r="I76" i="4"/>
  <c r="I81" i="5"/>
  <c r="D123" i="3"/>
  <c r="D150" i="3"/>
  <c r="D72" i="5"/>
  <c r="D165" i="4"/>
  <c r="D119" i="4"/>
  <c r="D100" i="3"/>
  <c r="D73" i="5"/>
  <c r="D118" i="4"/>
  <c r="D64" i="5"/>
  <c r="D122" i="3"/>
  <c r="D142" i="3"/>
  <c r="I22" i="6"/>
  <c r="I36" i="5"/>
  <c r="J29" i="11"/>
  <c r="D93" i="4"/>
  <c r="D139" i="3"/>
  <c r="D41" i="5"/>
  <c r="D56" i="4"/>
  <c r="I100" i="4"/>
  <c r="I170" i="4"/>
  <c r="D168" i="3"/>
  <c r="I38" i="6"/>
  <c r="D70" i="4"/>
  <c r="D146" i="4"/>
  <c r="I86" i="5"/>
  <c r="D166" i="3"/>
  <c r="D161" i="3"/>
  <c r="D129" i="4"/>
  <c r="I32" i="4"/>
  <c r="D76" i="5"/>
  <c r="D66" i="5"/>
  <c r="D164" i="4"/>
  <c r="D121" i="4"/>
  <c r="D95" i="4"/>
  <c r="D29" i="4"/>
  <c r="D71" i="5"/>
  <c r="D28" i="4"/>
  <c r="I23" i="6"/>
  <c r="D173" i="3"/>
  <c r="D166" i="4"/>
  <c r="D69" i="5"/>
  <c r="D31" i="5"/>
  <c r="I171" i="3"/>
  <c r="D128" i="3"/>
  <c r="I85" i="5"/>
  <c r="I75" i="4"/>
  <c r="D143" i="4"/>
  <c r="I170" i="3"/>
  <c r="I34" i="6"/>
  <c r="D167" i="3"/>
  <c r="D80" i="4"/>
  <c r="D143" i="3"/>
  <c r="D50" i="11" l="1"/>
  <c r="J78" i="5"/>
  <c r="I164" i="4"/>
  <c r="I119" i="4"/>
  <c r="I71" i="5"/>
  <c r="I139" i="3"/>
  <c r="I161" i="3"/>
  <c r="I130" i="4"/>
  <c r="J100" i="4"/>
  <c r="I150" i="3"/>
  <c r="J148" i="3"/>
  <c r="I143" i="3"/>
  <c r="I41" i="5"/>
  <c r="I120" i="3"/>
  <c r="I68" i="5"/>
  <c r="I99" i="3"/>
  <c r="I98" i="3"/>
  <c r="J46" i="6"/>
  <c r="I168" i="3"/>
  <c r="I74" i="5"/>
  <c r="I72" i="4"/>
  <c r="I29" i="4"/>
  <c r="I128" i="3"/>
  <c r="I162" i="3"/>
  <c r="J75" i="4"/>
  <c r="J36" i="6"/>
  <c r="I80" i="4"/>
  <c r="J105" i="3"/>
  <c r="I94" i="5"/>
  <c r="I120" i="4"/>
  <c r="I72" i="5"/>
  <c r="I33" i="5"/>
  <c r="I164" i="3"/>
  <c r="J106" i="3"/>
  <c r="I96" i="5"/>
  <c r="I116" i="4"/>
  <c r="J82" i="5"/>
  <c r="I145" i="4"/>
  <c r="J81" i="5"/>
  <c r="I69" i="4"/>
  <c r="I144" i="3"/>
  <c r="I27" i="4"/>
  <c r="I101" i="3"/>
  <c r="I50" i="11"/>
  <c r="I102" i="3"/>
  <c r="I73" i="4"/>
  <c r="I71" i="4"/>
  <c r="I56" i="4"/>
  <c r="I62" i="5"/>
  <c r="J48" i="11"/>
  <c r="I93" i="4"/>
  <c r="I138" i="3"/>
  <c r="I167" i="3"/>
  <c r="J99" i="4"/>
  <c r="I96" i="4"/>
  <c r="J35" i="5"/>
  <c r="J53" i="4"/>
  <c r="J84" i="5"/>
  <c r="I30" i="5"/>
  <c r="I95" i="5"/>
  <c r="I166" i="3"/>
  <c r="I70" i="5"/>
  <c r="I142" i="3"/>
  <c r="I174" i="3"/>
  <c r="I119" i="3"/>
  <c r="I173" i="4"/>
  <c r="I167" i="4"/>
  <c r="J48" i="6"/>
  <c r="I165" i="3"/>
  <c r="I66" i="5"/>
  <c r="I104" i="4"/>
  <c r="J37" i="6"/>
  <c r="I166" i="4"/>
  <c r="I103" i="3"/>
  <c r="I31" i="5"/>
  <c r="J35" i="6"/>
  <c r="J85" i="5"/>
  <c r="I151" i="4"/>
  <c r="I51" i="4"/>
  <c r="J38" i="6"/>
  <c r="I49" i="4"/>
  <c r="I64" i="5"/>
  <c r="J170" i="3"/>
  <c r="I124" i="3"/>
  <c r="I163" i="3"/>
  <c r="J126" i="3"/>
  <c r="I143" i="4"/>
  <c r="I123" i="3"/>
  <c r="I118" i="4"/>
  <c r="I122" i="3"/>
  <c r="J171" i="3"/>
  <c r="J32" i="11"/>
  <c r="J124" i="4"/>
  <c r="I108" i="3"/>
  <c r="J149" i="4"/>
  <c r="I144" i="4"/>
  <c r="I73" i="5"/>
  <c r="I94" i="4"/>
  <c r="I28" i="4"/>
  <c r="I50" i="4"/>
  <c r="J170" i="4"/>
  <c r="J26" i="6"/>
  <c r="J86" i="5"/>
  <c r="I95" i="4"/>
  <c r="I30" i="4"/>
  <c r="I173" i="3"/>
  <c r="I97" i="4"/>
  <c r="J123" i="4"/>
  <c r="J32" i="4"/>
  <c r="I117" i="4"/>
  <c r="I69" i="5"/>
  <c r="I142" i="4"/>
  <c r="I140" i="3"/>
  <c r="J34" i="6"/>
  <c r="J50" i="6"/>
  <c r="I151" i="3"/>
  <c r="I141" i="3"/>
  <c r="I168" i="4"/>
  <c r="J25" i="6"/>
  <c r="I147" i="4"/>
  <c r="J49" i="6"/>
  <c r="I70" i="4"/>
  <c r="J23" i="6"/>
  <c r="I29" i="5"/>
  <c r="J22" i="6"/>
  <c r="I93" i="5"/>
  <c r="I121" i="3"/>
  <c r="I76" i="5"/>
  <c r="J24" i="6"/>
  <c r="I75" i="5"/>
  <c r="I121" i="4"/>
  <c r="I146" i="4"/>
  <c r="I145" i="3"/>
  <c r="I32" i="5"/>
  <c r="I48" i="4"/>
  <c r="J80" i="5"/>
  <c r="I100" i="3"/>
  <c r="I63" i="5"/>
  <c r="J36" i="5"/>
  <c r="I129" i="4"/>
  <c r="J79" i="5"/>
  <c r="J76" i="4"/>
  <c r="J83" i="5"/>
  <c r="J47" i="6"/>
  <c r="I165" i="4"/>
  <c r="I35" i="4"/>
  <c r="I65" i="5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8" i="5"/>
  <c r="J142" i="4"/>
  <c r="J118" i="4"/>
  <c r="J121" i="3"/>
  <c r="J119" i="3"/>
  <c r="J76" i="5"/>
  <c r="J138" i="3"/>
  <c r="J108" i="3"/>
  <c r="J62" i="5"/>
  <c r="J124" i="3"/>
  <c r="J144" i="3"/>
  <c r="J29" i="4"/>
  <c r="J120" i="4"/>
  <c r="J119" i="4"/>
  <c r="J104" i="4"/>
  <c r="J30" i="5"/>
  <c r="J96" i="5"/>
  <c r="J93" i="4"/>
  <c r="J100" i="3"/>
  <c r="J173" i="3"/>
  <c r="J166" i="4"/>
  <c r="J167" i="3"/>
  <c r="J74" i="5"/>
  <c r="J94" i="4"/>
  <c r="J69" i="5"/>
  <c r="J28" i="4"/>
  <c r="J102" i="3"/>
  <c r="J27" i="4"/>
  <c r="J122" i="3"/>
  <c r="J95" i="4"/>
  <c r="J99" i="3"/>
  <c r="J98" i="3"/>
  <c r="J64" i="5"/>
  <c r="J151" i="3"/>
  <c r="J145" i="3"/>
  <c r="J150" i="3"/>
  <c r="J130" i="4"/>
  <c r="J147" i="4"/>
  <c r="J103" i="3"/>
  <c r="J141" i="3"/>
  <c r="J165" i="4"/>
  <c r="J97" i="4"/>
  <c r="J63" i="5"/>
  <c r="J66" i="5"/>
  <c r="J96" i="4"/>
  <c r="J29" i="5"/>
  <c r="J94" i="5"/>
  <c r="J56" i="4"/>
  <c r="J50" i="11"/>
  <c r="J117" i="4"/>
  <c r="J139" i="3"/>
  <c r="J48" i="4"/>
  <c r="J165" i="3"/>
  <c r="J95" i="5"/>
  <c r="J101" i="3"/>
  <c r="J80" i="4"/>
  <c r="J164" i="3"/>
  <c r="J70" i="4"/>
  <c r="J146" i="4"/>
  <c r="J167" i="4"/>
  <c r="J49" i="4"/>
  <c r="J164" i="4"/>
  <c r="J69" i="4"/>
  <c r="J142" i="3"/>
  <c r="J123" i="3"/>
  <c r="J168" i="4"/>
  <c r="J128" i="3"/>
  <c r="J65" i="5"/>
  <c r="J174" i="3"/>
  <c r="J129" i="4"/>
  <c r="J32" i="5"/>
  <c r="J151" i="4"/>
  <c r="J143" i="4"/>
  <c r="J72" i="5"/>
  <c r="J168" i="3"/>
  <c r="J120" i="3"/>
  <c r="J70" i="5"/>
  <c r="J162" i="3"/>
  <c r="J71" i="4"/>
  <c r="J68" i="5"/>
  <c r="J121" i="4"/>
  <c r="J30" i="4"/>
  <c r="J173" i="4"/>
  <c r="J163" i="3"/>
  <c r="J75" i="5"/>
  <c r="J41" i="5"/>
  <c r="J33" i="5"/>
  <c r="J51" i="4"/>
  <c r="J50" i="4"/>
  <c r="J72" i="4"/>
  <c r="J140" i="3"/>
  <c r="J166" i="3"/>
  <c r="J116" i="4"/>
  <c r="J73" i="5"/>
  <c r="J145" i="4"/>
  <c r="J144" i="4"/>
  <c r="J93" i="5"/>
  <c r="J71" i="5"/>
  <c r="J31" i="5"/>
  <c r="J35" i="4"/>
  <c r="J143" i="3"/>
  <c r="J73" i="4"/>
  <c r="J161" i="3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6" i="5"/>
  <c r="G39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G33" i="4"/>
  <c r="F54" i="4"/>
  <c r="H21" i="4" l="1"/>
  <c r="H22" i="4" s="1"/>
  <c r="C44" i="4"/>
  <c r="C23" i="4"/>
  <c r="I42" i="4"/>
  <c r="I43" i="4" s="1"/>
  <c r="B147" i="3"/>
  <c r="E147" i="3"/>
  <c r="C147" i="3"/>
  <c r="H147" i="3"/>
  <c r="G147" i="3"/>
  <c r="D147" i="3"/>
  <c r="I147" i="3" s="1"/>
  <c r="J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<sst xmlns="http://schemas.openxmlformats.org/spreadsheetml/2006/main" count="717" uniqueCount="141">
  <si>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</si>
  <si>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</si>
  <si>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</si>
  <si>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</si>
  <si>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</si>
  <si>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</si>
  <si>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</si>
  <si>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</si>
  <si>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</si>
  <si>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</si>
  <si>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</si>
  <si>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</si>
  <si>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</si>
  <si>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</si>
  <si>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</si>
  <si>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</si>
  <si>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</si>
  <si>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</si>
  <si>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</si>
  <si>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</si>
  <si>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</si>
  <si>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</si>
  <si>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</si>
  <si>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</si>
  <si>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</si>
  <si>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</si>
  <si>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</si>
  <si>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</si>
  <si>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</si>
  <si>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</si>
  <si>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</si>
  <si>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</si>
  <si>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</si>
  <si>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</si>
  <si>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</si>
  <si>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</si>
  <si>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</si>
  <si>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</si>
  <si>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</si>
  <si>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</si>
  <si>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</si>
  <si>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</si>
  <si>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</si>
  <si>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</si>
  <si>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</si>
  <si>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</si>
  <si>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</si>
  <si>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</si>
  <si>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</si>
  <si>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</si>
  <si>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</si>
  <si>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</si>
  <si>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</si>
  <si>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</si>
  <si>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</si>
  <si>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</si>
  <si>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</si>
  <si>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</si>
  <si>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</si>
  <si>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</si>
  <si>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</si>
  <si>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</si>
  <si>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</si>
  <si>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</si>
  <si>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</si>
  <si>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</si>
  <si>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</si>
  <si>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</si>
  <si>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</si>
  <si>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</si>
  <si>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</si>
  <si>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</si>
  <si>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</si>
  <si>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</si>
  <si>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</si>
  <si>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</si>
  <si>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</si>
  <si>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</si>
  <si>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</si>
  <si>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</si>
  <si>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</si>
  <si>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</si>
  <si>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</si>
  <si>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</si>
  <si>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</si>
  <si>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</si>
  <si>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</si>
  <si>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</si>
  <si>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</si>
  <si>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</si>
  <si>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</si>
  <si>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</si>
  <si>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</si>
  <si>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</si>
  <si>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</si>
  <si>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</si>
  <si>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</si>
  <si>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</si>
  <si>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</si>
  <si>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</si>
  <si>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</si>
  <si>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</si>
  <si>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</si>
  <si>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</si>
  <si>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</si>
  <si>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</si>
  <si>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</si>
  <si>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</si>
  <si>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</si>
  <si>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</si>
  <si>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</si>
  <si>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</si>
  <si>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</si>
  <si>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</si>
  <si>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</si>
  <si>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</si>
  <si>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</si>
  <si>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</si>
  <si>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</si>
  <si>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</si>
  <si>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</si>
  <si>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</si>
  <si>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</si>
  <si>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</si>
  <si>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</si>
  <si>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</si>
  <si>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</si>
  <si>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</si>
  <si>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</si>
  <si>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</si>
  <si>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</si>
  <si>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</si>
  <si>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</si>
  <si>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</si>
  <si>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</si>
  <si>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</si>
  <si>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</si>
  <si>
    <t>HPL دلف</t>
  </si>
  <si>
    <t>مفعل</t>
  </si>
  <si>
    <t>وضع الحساب التلقائي</t>
  </si>
  <si>
    <t>v2.2.7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</si>
</sst>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22" fillId="9" borderId="11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center"/>
    </xf>
    <xf numFmtId="0" fontId="33" fillId="9" borderId="6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26" fillId="4" borderId="11" xfId="0" applyFont="1" applyFill="1" applyBorder="1" applyAlignment="1">
      <alignment horizontal="center" vertical="center" wrapText="1"/>
    </xf>
    <xf numFmtId="0" fontId="33" fillId="4" borderId="6" xfId="0" applyFont="1" applyFill="1" applyBorder="1" applyAlignment="1">
      <alignment horizontal="center" vertical="center" wrapText="1"/>
    </xf>
    <xf numFmtId="0" fontId="28" fillId="4" borderId="11" xfId="0" applyFont="1" applyFill="1" applyBorder="1" applyAlignment="1">
      <alignment horizontal="center" vertical="center" wrapText="1"/>
    </xf>
    <xf numFmtId="0" fontId="34" fillId="4" borderId="6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center"/>
    </xf>
    <xf numFmtId="0" fontId="18" fillId="9" borderId="4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0" fontId="17" fillId="4" borderId="5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66" dataDxfId="164" headerRowBorderDxfId="165" tableBorderDxfId="163" totalsRowBorderDxfId="162">
  <tableColumns count="2">
    <tableColumn id="1" xr3:uid="{00000000-0010-0000-0000-000001000000}" name="Column1" headerRowDxfId="161" dataDxfId="160"/>
    <tableColumn id="2" xr3:uid="{00000000-0010-0000-0000-000002000000}" name="Column2" headerRowDxfId="159" dataDxfId="15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57" dataDxfId="155" headerRowBorderDxfId="156" tableBorderDxfId="154" totalsRowBorderDxfId="153">
  <tableColumns count="2">
    <tableColumn id="1" xr3:uid="{00000000-0010-0000-0100-000001000000}" name="Column1" headerRowDxfId="152" dataDxfId="151">
      <calculatedColumnFormula array="1">defaultValue(G29,1)</calculatedColumnFormula>
    </tableColumn>
    <tableColumn id="2" xr3:uid="{00000000-0010-0000-0100-000002000000}" name="Column2" headerRowDxfId="150" dataDxfId="14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48" dataDxfId="146" headerRowBorderDxfId="147" tableBorderDxfId="145" totalsRowBorderDxfId="144">
  <tableColumns count="2">
    <tableColumn id="1" xr3:uid="{00000000-0010-0000-0200-000001000000}" name="Column1" headerRowDxfId="143" dataDxfId="142">
      <calculatedColumnFormula array="1">defaultValue(M29,$C$28)</calculatedColumnFormula>
    </tableColumn>
    <tableColumn id="2" xr3:uid="{00000000-0010-0000-0200-000002000000}" name="Column2" headerRowDxfId="141" dataDxfId="14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39" dataDxfId="137" headerRowBorderDxfId="138" tableBorderDxfId="136" totalsRowBorderDxfId="135">
  <tableColumns count="2">
    <tableColumn id="1" xr3:uid="{00000000-0010-0000-0300-000001000000}" name="Column1" headerRowDxfId="134" dataDxfId="133">
      <calculatedColumnFormula>INDEX(global[[#All],[Column1]],MATCH(J29,global[[#All],[Column2]],0))</calculatedColumnFormula>
    </tableColumn>
    <tableColumn id="2" xr3:uid="{00000000-0010-0000-0300-000002000000}" name="Column2" headerRowDxfId="132" dataDxfId="13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30" dataDxfId="128" headerRowBorderDxfId="129" tableBorderDxfId="127" totalsRowBorderDxfId="126">
  <tableColumns count="2">
    <tableColumn id="1" xr3:uid="{00000000-0010-0000-0400-000001000000}" name="Column1" headerRowDxfId="125" dataDxfId="124">
      <calculatedColumnFormula array="1">defaultValue(P29,$C$28)</calculatedColumnFormula>
    </tableColumn>
    <tableColumn id="2" xr3:uid="{00000000-0010-0000-0400-000002000000}" name="Column2" headerRowDxfId="123" dataDxfId="12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O17" headerRowCount="0" totalsRowShown="0" headerRowDxfId="121" dataDxfId="119" headerRowBorderDxfId="120" tableBorderDxfId="118" totalsRowBorderDxfId="117">
  <tableColumns count="13">
    <tableColumn id="1" xr3:uid="{00000000-0010-0000-0500-000001000000}" name="Column1" headerRowDxfId="116" dataDxfId="115"/>
    <tableColumn id="6" xr3:uid="{00000000-0010-0000-0500-000006000000}" name="Column6" headerRowDxfId="114" dataDxfId="113"/>
    <tableColumn id="2" xr3:uid="{00000000-0010-0000-0500-000002000000}" name="Column2" headerRowDxfId="112" dataDxfId="111"/>
    <tableColumn id="3" xr3:uid="{00000000-0010-0000-0500-000003000000}" name="Column3" headerRowDxfId="110" dataDxfId="109"/>
    <tableColumn id="4" xr3:uid="{00000000-0010-0000-0500-000004000000}" name="Column4" headerRowDxfId="108" dataDxfId="107"/>
    <tableColumn id="5" xr3:uid="{00000000-0010-0000-0500-000005000000}" name="Column5" headerRowDxfId="106" dataDxfId="105"/>
    <tableColumn id="7" xr3:uid="{00000000-0010-0000-0500-000007000000}" name="Column7" headerRowDxfId="104" dataDxfId="103"/>
    <tableColumn id="8" xr3:uid="{00000000-0010-0000-0500-000008000000}" name="Column8" headerRowDxfId="102" dataDxfId="101"/>
    <tableColumn id="13" xr3:uid="{8F79DD2E-D74B-4F5D-9CB3-685E0E67CE8B}" name="Column13" headerRowDxfId="100" dataDxfId="99"/>
    <tableColumn id="9" xr3:uid="{00000000-0010-0000-0500-000009000000}" name="Column9" headerRowDxfId="98" dataDxfId="97"/>
    <tableColumn id="10" xr3:uid="{00000000-0010-0000-0500-00000A000000}" name="Column10" headerRowDxfId="96" dataDxfId="95"/>
    <tableColumn id="11" xr3:uid="{00000000-0010-0000-0500-00000B000000}" name="Column11" headerRowDxfId="94" dataDxfId="93"/>
    <tableColumn id="12" xr3:uid="{00000000-0010-0000-0500-00000C000000}" name="Column12" headerRowDxfId="92" dataDxfId="9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90" dataDxfId="88" headerRowBorderDxfId="89" tableBorderDxfId="87" totalsRowBorderDxfId="86">
  <tableColumns count="12">
    <tableColumn id="1" xr3:uid="{00000000-0010-0000-0600-000001000000}" name="Column1" headerRowDxfId="85" dataDxfId="84"/>
    <tableColumn id="6" xr3:uid="{00000000-0010-0000-0600-000006000000}" name="Column6" headerRowDxfId="83" dataDxfId="82"/>
    <tableColumn id="2" xr3:uid="{00000000-0010-0000-0600-000002000000}" name="Column2" headerRowDxfId="81" dataDxfId="80"/>
    <tableColumn id="3" xr3:uid="{00000000-0010-0000-0600-000003000000}" name="Column3" headerRowDxfId="79" dataDxfId="78"/>
    <tableColumn id="4" xr3:uid="{00000000-0010-0000-0600-000004000000}" name="Column4" headerRowDxfId="77" dataDxfId="76"/>
    <tableColumn id="5" xr3:uid="{00000000-0010-0000-0600-000005000000}" name="Column5" headerRowDxfId="75" dataDxfId="74"/>
    <tableColumn id="7" xr3:uid="{00000000-0010-0000-0600-000007000000}" name="Column7" headerRowDxfId="73" dataDxfId="72"/>
    <tableColumn id="8" xr3:uid="{00000000-0010-0000-0600-000008000000}" name="Column8" headerRowDxfId="71" dataDxfId="70"/>
    <tableColumn id="9" xr3:uid="{00000000-0010-0000-0600-000009000000}" name="Column9" headerRowDxfId="69" dataDxfId="68"/>
    <tableColumn id="10" xr3:uid="{00000000-0010-0000-0600-00000A000000}" name="Column10" headerRowDxfId="67" dataDxfId="66"/>
    <tableColumn id="11" xr3:uid="{00000000-0010-0000-0600-00000B000000}" name="Column11" headerRowDxfId="65" dataDxfId="64"/>
    <tableColumn id="12" xr3:uid="{00000000-0010-0000-0600-00000C000000}" name="Column12" headerRowDxfId="63" dataDxfId="6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61" dataDxfId="60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59"/>
    <tableColumn id="2" xr3:uid="{00000000-0010-0000-0700-000002000000}" name="وحدات علوية" dataDxfId="58"/>
    <tableColumn id="3" xr3:uid="{00000000-0010-0000-0700-000003000000}" name="دواليب" dataDxfId="57"/>
    <tableColumn id="4" xr3:uid="{00000000-0010-0000-0700-000004000000}" name="تجاليد" dataDxfId="5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B2" sqref="B2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4" s="77" customFormat="1" ht="21" customHeight="1" x14ac:dyDescent="0.3">
      <c r="H1" s="78"/>
      <c r="K1" s="78"/>
      <c r="N1" s="78"/>
      <c r="Q1" s="78"/>
      <c r="T1" s="78"/>
      <c r="W1" s="78"/>
    </row>
    <row r="2" spans="1:24" s="77" customFormat="1" ht="31.2" x14ac:dyDescent="0.3">
      <c r="C2" s="106" t="s">
        <v>134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78"/>
      <c r="T2" s="78"/>
      <c r="W2" s="78"/>
    </row>
    <row r="3" spans="1:24" s="79" customFormat="1" ht="16.8" hidden="1" customHeight="1" x14ac:dyDescent="0.3">
      <c r="B3" s="77" t="s">
        <v>108</v>
      </c>
    </row>
    <row r="4" spans="1:24" s="77" customFormat="1" ht="21" hidden="1" customHeight="1" x14ac:dyDescent="0.3">
      <c r="H4" s="78"/>
      <c r="K4" s="78"/>
      <c r="N4" s="78"/>
      <c r="Q4" s="78"/>
      <c r="T4" s="78"/>
      <c r="W4" s="78"/>
    </row>
    <row r="5" spans="1:24" s="77" customFormat="1" ht="21" hidden="1" customHeight="1" x14ac:dyDescent="0.3">
      <c r="H5" s="78"/>
      <c r="K5" s="78"/>
      <c r="N5" s="78"/>
      <c r="Q5" s="78"/>
      <c r="T5" s="78"/>
      <c r="W5" s="78"/>
    </row>
    <row r="6" spans="1:24" s="77" customFormat="1" ht="21" hidden="1" customHeight="1" x14ac:dyDescent="0.3">
      <c r="H6" s="78"/>
      <c r="K6" s="78"/>
      <c r="N6" s="78"/>
      <c r="Q6" s="78"/>
      <c r="T6" s="78"/>
      <c r="W6" s="78"/>
    </row>
    <row r="7" spans="1:24" s="77" customFormat="1" ht="21" hidden="1" customHeight="1" x14ac:dyDescent="0.3">
      <c r="H7" s="78"/>
      <c r="K7" s="78"/>
      <c r="N7" s="78"/>
      <c r="Q7" s="78"/>
      <c r="T7" s="78"/>
      <c r="W7" s="78"/>
    </row>
    <row r="8" spans="1:24" s="77" customFormat="1" ht="21" hidden="1" customHeight="1" x14ac:dyDescent="0.3">
      <c r="H8" s="78"/>
      <c r="K8" s="78"/>
      <c r="N8" s="78"/>
      <c r="Q8" s="78"/>
      <c r="T8" s="78"/>
      <c r="W8" s="78"/>
    </row>
    <row r="9" spans="1:24" s="77" customFormat="1" ht="21" hidden="1" customHeight="1" x14ac:dyDescent="0.3">
      <c r="H9" s="78"/>
      <c r="K9" s="78"/>
      <c r="N9" s="78"/>
      <c r="Q9" s="78"/>
      <c r="T9" s="78"/>
      <c r="W9" s="78"/>
    </row>
    <row r="10" spans="1:24" s="77" customFormat="1" ht="21" hidden="1" customHeight="1" x14ac:dyDescent="0.3">
      <c r="B10" s="77" t="s">
        <v>140</v>
      </c>
      <c r="H10" s="78"/>
      <c r="K10" s="78"/>
      <c r="N10" s="78"/>
      <c r="Q10" s="78"/>
      <c r="T10" s="78"/>
      <c r="W10" s="78"/>
    </row>
    <row r="11" spans="1:24" s="77" customFormat="1" ht="21" customHeight="1" x14ac:dyDescent="0.3">
      <c r="B11" s="94" t="s">
        <v>139</v>
      </c>
      <c r="H11" s="78"/>
      <c r="K11" s="78"/>
      <c r="N11" s="78"/>
      <c r="Q11" s="78"/>
      <c r="T11" s="78"/>
      <c r="W11" s="78"/>
    </row>
    <row r="12" spans="1:24" s="77" customFormat="1" x14ac:dyDescent="0.3">
      <c r="B12" s="93" t="s">
        <v>138</v>
      </c>
      <c r="H12" s="78"/>
      <c r="K12" s="78"/>
      <c r="N12" s="78"/>
      <c r="Q12" s="78"/>
      <c r="T12" s="78"/>
      <c r="W12" s="78"/>
    </row>
    <row r="13" spans="1:24" customFormat="1" ht="21" customHeight="1" x14ac:dyDescent="0.3">
      <c r="A13" s="76"/>
    </row>
    <row r="14" spans="1:24" s="61" customFormat="1" ht="31.2" x14ac:dyDescent="0.3">
      <c r="A14" s="67"/>
    </row>
    <row r="15" spans="1:24" ht="31.2" x14ac:dyDescent="0.3">
      <c r="B15" s="47"/>
      <c r="C15" s="112" t="s">
        <v>116</v>
      </c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4"/>
      <c r="P15" s="60"/>
      <c r="Q15" s="61"/>
      <c r="R15" s="61"/>
      <c r="S15" s="60"/>
    </row>
    <row r="16" spans="1:24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137</v>
      </c>
      <c r="L16" s="45" t="s">
        <v>18</v>
      </c>
      <c r="M16" s="45" t="s">
        <v>35</v>
      </c>
      <c r="N16" s="45" t="s">
        <v>50</v>
      </c>
      <c r="O16" s="45"/>
      <c r="P16" s="61"/>
      <c r="R16" s="61"/>
      <c r="S16" s="61"/>
      <c r="U16" s="60"/>
      <c r="W16" s="44"/>
      <c r="X16" s="60"/>
    </row>
    <row r="17" spans="1:24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>
        <v>2</v>
      </c>
      <c r="O17" s="45" t="s">
        <v>128</v>
      </c>
      <c r="P17" s="61"/>
      <c r="R17" s="61"/>
      <c r="S17" s="61"/>
      <c r="U17" s="60"/>
      <c r="W17" s="44"/>
      <c r="X17" s="60"/>
    </row>
    <row r="18" spans="1:24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24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24" ht="31.2" x14ac:dyDescent="0.3">
      <c r="A20" s="41"/>
      <c r="B20"/>
      <c r="C20" s="111" t="s">
        <v>117</v>
      </c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P20" s="60"/>
      <c r="Q20" s="44"/>
      <c r="S20" s="60"/>
    </row>
    <row r="21" spans="1:24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24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24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24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24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24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24" ht="31.2" customHeight="1" x14ac:dyDescent="0.3">
      <c r="A27" s="40"/>
      <c r="B27"/>
      <c r="C27" s="109" t="s">
        <v>103</v>
      </c>
      <c r="D27" s="110"/>
      <c r="E27" s="61"/>
      <c r="F27" s="109" t="s">
        <v>0</v>
      </c>
      <c r="G27" s="110"/>
      <c r="H27" s="61"/>
      <c r="I27" s="109" t="s">
        <v>39</v>
      </c>
      <c r="J27" s="110"/>
      <c r="K27" s="61"/>
      <c r="L27" s="109" t="s">
        <v>54</v>
      </c>
      <c r="M27" s="110"/>
      <c r="N27" s="61"/>
      <c r="O27" s="109" t="s">
        <v>69</v>
      </c>
      <c r="P27" s="110"/>
    </row>
    <row r="28" spans="1:24" ht="21" customHeight="1" x14ac:dyDescent="0.3">
      <c r="A28" s="40"/>
      <c r="B28"/>
      <c r="C28" s="107">
        <f ca="1">_xlfn.SHEET("إعدادات")</f>
        <v>1</v>
      </c>
      <c r="D28" s="108"/>
      <c r="F28" s="107">
        <f ca="1">_xlfn.SHEET("وحدات سفلية")</f>
        <v>4</v>
      </c>
      <c r="G28" s="108"/>
      <c r="H28" s="44"/>
      <c r="I28" s="107">
        <f ca="1">_xlfn.SHEET("وحدات علوية")</f>
        <v>5</v>
      </c>
      <c r="J28" s="108"/>
      <c r="K28" s="44"/>
      <c r="L28" s="107">
        <f ca="1">_xlfn.SHEET("دواليب")</f>
        <v>6</v>
      </c>
      <c r="M28" s="108"/>
      <c r="N28" s="44"/>
      <c r="O28" s="107">
        <f ca="1">_xlfn.SHEET("تجاليد")</f>
        <v>7</v>
      </c>
      <c r="P28" s="108"/>
    </row>
    <row r="29" spans="1:24" ht="21" customHeight="1" x14ac:dyDescent="0.3">
      <c r="A29" s="40"/>
      <c r="B29"/>
      <c r="C29" s="48" t="str">
        <f>L16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24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24" ht="21" customHeight="1" x14ac:dyDescent="0.3">
      <c r="A31" s="40"/>
      <c r="B31"/>
      <c r="C31" s="53" t="str">
        <f>N16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24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L28:M28"/>
    <mergeCell ref="C15:O15"/>
  </mergeCells>
  <phoneticPr fontId="9" type="noConversion"/>
  <conditionalFormatting sqref="B12">
    <cfRule type="cellIs" dxfId="55" priority="1" operator="equal">
      <formula>"مفعل"</formula>
    </cfRule>
    <cfRule type="cellIs" dxfId="54" priority="2" operator="equal">
      <formula>"مغلق"</formula>
    </cfRule>
  </conditionalFormatting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zoomScale="66" zoomScaleNormal="85" workbookViewId="0">
      <pane ySplit="12" topLeftCell="A13" activePane="bottomLeft" state="frozen"/>
      <selection pane="bottomLeft" activeCell="L17" sqref="L17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6" s="81" customFormat="1" x14ac:dyDescent="0.3">
      <c r="B1" s="81">
        <v>3</v>
      </c>
    </row>
    <row r="2" spans="1:16" s="81" customFormat="1" ht="31.2" x14ac:dyDescent="0.3">
      <c r="B2" s="81" t="s">
        <v>109</v>
      </c>
      <c r="D2" s="120" t="s">
        <v>132</v>
      </c>
      <c r="E2" s="120"/>
      <c r="F2" s="120"/>
      <c r="G2" s="120"/>
      <c r="H2" s="120"/>
      <c r="I2" s="120"/>
      <c r="J2" s="120"/>
      <c r="K2" s="120"/>
    </row>
    <row r="3" spans="1:16" s="81" customFormat="1" x14ac:dyDescent="0.3">
      <c r="B3" s="81" t="s">
        <v>108</v>
      </c>
    </row>
    <row r="4" spans="1:16" s="81" customFormat="1" ht="21" x14ac:dyDescent="0.4">
      <c r="D4" s="118" t="s">
        <v>131</v>
      </c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</row>
    <row r="5" spans="1:16" s="81" customFormat="1" x14ac:dyDescent="0.3">
      <c r="D5" s="80" cm="1">
        <f t="array" ref="D5:P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 دلف</v>
      </c>
      <c r="M5" s="80" t="str">
        <v>HPL</v>
      </c>
      <c r="N5" s="80" t="str">
        <v>CPL</v>
      </c>
      <c r="O5" s="80" t="str">
        <v>ظهر</v>
      </c>
      <c r="P5" s="81">
        <v>0</v>
      </c>
    </row>
    <row r="6" spans="1:16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>
        <v>2</v>
      </c>
      <c r="P6" s="81" t="str">
        <v>الرقم</v>
      </c>
    </row>
    <row r="7" spans="1:16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6" s="81" customFormat="1" ht="23.4" x14ac:dyDescent="0.45">
      <c r="D8" s="119" t="s">
        <v>117</v>
      </c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1:16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6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6" s="81" customFormat="1" x14ac:dyDescent="0.3">
      <c r="B11" s="96" t="s">
        <v>139</v>
      </c>
    </row>
    <row r="12" spans="1:16" s="81" customFormat="1" ht="26.4" customHeight="1" x14ac:dyDescent="0.3">
      <c r="B12" s="95" t="s">
        <v>138</v>
      </c>
    </row>
    <row r="13" spans="1:16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115" t="s">
        <v>110</v>
      </c>
      <c r="F17" s="116"/>
      <c r="G17" s="116"/>
      <c r="H17" s="117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115" t="s">
        <v>111</v>
      </c>
      <c r="F35" s="116"/>
      <c r="G35" s="116"/>
      <c r="H35" s="117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115" t="s">
        <v>136</v>
      </c>
      <c r="F53" s="116"/>
      <c r="G53" s="116"/>
      <c r="H53" s="117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conditionalFormatting sqref="B12">
    <cfRule type="cellIs" dxfId="53" priority="1" operator="equal">
      <formula>"مفعل"</formula>
    </cfRule>
    <cfRule type="cellIs" dxfId="52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17"/>
  <sheetViews>
    <sheetView tabSelected="1" topLeftCell="B1"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21" t="s">
        <v>133</v>
      </c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22" t="s">
        <v>131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Q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 دلف</v>
      </c>
      <c r="N5" s="72" t="str">
        <v>HPL</v>
      </c>
      <c r="O5" s="72" t="str">
        <v>CPL</v>
      </c>
      <c r="P5" s="72" t="str">
        <v>ظهر</v>
      </c>
      <c r="Q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>
        <v>2</v>
      </c>
      <c r="Q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23" t="s">
        <v>117</v>
      </c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5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Q8" s="72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Q9" s="72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10" s="105"/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11" s="98" t="s">
        <v>139</v>
      </c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12" s="97" t="s">
        <v>138</v>
      </c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53:62" x14ac:dyDescent="0.3">
      <c r="BA17"/>
      <c r="BB17"/>
      <c r="BC17"/>
      <c r="BD17"/>
      <c r="BE17"/>
      <c r="BF17"/>
      <c r="BG17"/>
      <c r="BH17"/>
      <c r="BI17"/>
      <c r="BJ17"/>
    </row>
  </sheetData>
  <mergeCells count="3">
    <mergeCell ref="C2:Q2"/>
    <mergeCell ref="E4:Q4"/>
    <mergeCell ref="E7:Q7"/>
  </mergeCells>
  <conditionalFormatting sqref="B12">
    <cfRule type="cellIs" dxfId="51" priority="7" operator="equal">
      <formula>"مفعل"</formula>
    </cfRule>
    <cfRule type="cellIs" dxfId="50" priority="8" operator="equal">
      <formula>"مغلق"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8.21875" style="40" hidden="1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26" t="s">
        <v>0</v>
      </c>
      <c r="D2" s="126"/>
      <c r="E2" s="126"/>
      <c r="F2" s="126"/>
      <c r="G2" s="126"/>
      <c r="H2" s="126"/>
      <c r="I2" s="126"/>
      <c r="J2" s="126"/>
      <c r="K2" s="12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2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2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100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99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115" t="s">
        <v>135</v>
      </c>
      <c r="F17" s="116"/>
      <c r="G17" s="116"/>
      <c r="H17" s="117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41" t="s">
        <v>93</v>
      </c>
      <c r="C35" s="12">
        <v>1</v>
      </c>
      <c r="D35" s="20" t="s">
        <v>51</v>
      </c>
      <c r="E35" s="115" t="s">
        <v>112</v>
      </c>
      <c r="F35" s="116"/>
      <c r="G35" s="116"/>
      <c r="H35" s="117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27" t="s">
        <v>115</v>
      </c>
      <c r="K39" s="128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1.2" x14ac:dyDescent="0.3">
      <c r="A70" s="41" t="s">
        <v>89</v>
      </c>
      <c r="C70" s="12">
        <v>1</v>
      </c>
      <c r="D70" s="20" t="s">
        <v>51</v>
      </c>
      <c r="E70" s="115" t="s">
        <v>130</v>
      </c>
      <c r="F70" s="116"/>
      <c r="G70" s="116"/>
      <c r="H70" s="117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115" t="s">
        <v>22</v>
      </c>
      <c r="F90" s="116"/>
      <c r="G90" s="116"/>
      <c r="H90" s="117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115" t="s">
        <v>25</v>
      </c>
      <c r="F111" s="116"/>
      <c r="G111" s="116"/>
      <c r="H111" s="117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115" t="s">
        <v>71</v>
      </c>
      <c r="F131" s="116"/>
      <c r="G131" s="116"/>
      <c r="H131" s="117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1" t="s">
        <v>92</v>
      </c>
      <c r="C154" s="12">
        <v>1</v>
      </c>
      <c r="D154" s="20" t="s">
        <v>51</v>
      </c>
      <c r="E154" s="115" t="s">
        <v>95</v>
      </c>
      <c r="F154" s="116"/>
      <c r="G154" s="116"/>
      <c r="H154" s="117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7:O7"/>
    <mergeCell ref="C4:O4"/>
  </mergeCells>
  <phoneticPr fontId="9" type="noConversion"/>
  <conditionalFormatting sqref="B12">
    <cfRule type="cellIs" dxfId="49" priority="1" operator="equal">
      <formula>"مفعل"</formula>
    </cfRule>
    <cfRule type="cellIs" dxfId="48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36" t="s">
        <v>39</v>
      </c>
      <c r="D2" s="136"/>
      <c r="E2" s="136"/>
      <c r="F2" s="136"/>
      <c r="G2" s="136"/>
      <c r="H2" s="136"/>
      <c r="I2" s="136"/>
      <c r="J2" s="136"/>
      <c r="K2" s="136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B11" s="102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101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115" t="s">
        <v>40</v>
      </c>
      <c r="F17" s="116"/>
      <c r="G17" s="116"/>
      <c r="H17" s="117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32" t="b">
        <f ca="1">NOT(AND(F20&gt;0,G20&gt;0))</f>
        <v>1</v>
      </c>
      <c r="G21" s="132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33">
        <f>C20+D20</f>
        <v>1</v>
      </c>
      <c r="D22" s="133"/>
      <c r="E22" s="24">
        <v>10</v>
      </c>
      <c r="F22" s="140" t="str">
        <f ca="1">IF(F21,"المقابض مظبوطة","مينفعش مقبض مخفي مع بيلت ان")</f>
        <v>المقابض مظبوطة</v>
      </c>
      <c r="G22" s="140"/>
      <c r="H22" s="132" t="str">
        <f>IF(H21,"عدد الدلف صحيح","عدد الدلف غير صحيح")</f>
        <v>عدد الدلف صحيح</v>
      </c>
      <c r="I22" s="132"/>
      <c r="J22" s="132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32" t="b">
        <f>C22&lt;=2</f>
        <v>1</v>
      </c>
      <c r="D23" s="132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115" t="s">
        <v>46</v>
      </c>
      <c r="F38" s="116"/>
      <c r="G38" s="116"/>
      <c r="H38" s="117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35" t="b">
        <f ca="1">NOT(AND(F41&gt;0,G41&gt;0))</f>
        <v>1</v>
      </c>
      <c r="G42" s="135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33">
        <f>C41+D41</f>
        <v>2</v>
      </c>
      <c r="D43" s="133"/>
      <c r="E43" s="7">
        <v>0</v>
      </c>
      <c r="F43" s="138" t="str">
        <f ca="1">IF(F42,"المقابض مظبوطة","مينفعش مقبض مخفي مع بيلت ان")</f>
        <v>المقابض مظبوطة</v>
      </c>
      <c r="G43" s="138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32" t="b">
        <f>C43&lt;=2</f>
        <v>1</v>
      </c>
      <c r="D44" s="132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115" t="s">
        <v>41</v>
      </c>
      <c r="F59" s="116"/>
      <c r="G59" s="116"/>
      <c r="H59" s="117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32" t="b">
        <f ca="1">NOT(AND(F62&gt;0,G62&gt;0))</f>
        <v>1</v>
      </c>
      <c r="G63" s="137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33">
        <f>C62+D62</f>
        <v>2</v>
      </c>
      <c r="D64" s="133"/>
      <c r="E64" s="7" t="s">
        <v>72</v>
      </c>
      <c r="F64" s="134" t="str">
        <f ca="1">IF(F63,"المقابض مظبوطة","مينفعش مقبض مخفي مع بيلت ان")</f>
        <v>المقابض مظبوطة</v>
      </c>
      <c r="G64" s="134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32" t="b">
        <f>C64&lt;=2</f>
        <v>1</v>
      </c>
      <c r="D65" s="132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115" t="s">
        <v>99</v>
      </c>
      <c r="F83" s="116"/>
      <c r="G83" s="116"/>
      <c r="H83" s="117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32" t="b">
        <f ca="1">NOT(AND(F86&gt;0,G86&gt;0))</f>
        <v>1</v>
      </c>
      <c r="G87" s="137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33">
        <f>C86+D86</f>
        <v>1</v>
      </c>
      <c r="D88" s="133"/>
      <c r="E88" s="7" t="s">
        <v>72</v>
      </c>
      <c r="F88" s="134" t="str">
        <f ca="1">IF(F87,"المقابض مظبوطة","مينفعش مقبض مخفي مع بيلت ان")</f>
        <v>المقابض مظبوطة</v>
      </c>
      <c r="G88" s="134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32" t="b">
        <f>C88&lt;=2</f>
        <v>1</v>
      </c>
      <c r="D89" s="132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115" t="s">
        <v>42</v>
      </c>
      <c r="F107" s="116"/>
      <c r="G107" s="116"/>
      <c r="H107" s="117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32" t="b">
        <f ca="1">NOT(AND(F110&gt;0,G110&gt;0))</f>
        <v>1</v>
      </c>
      <c r="G111" s="132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38" t="str">
        <f ca="1">IF(F111,"المقابض مظبوطة","مينفعش مقبض مخفي مع بيلت ان")</f>
        <v>المقابض مظبوطة</v>
      </c>
      <c r="G112" s="138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115" t="s">
        <v>43</v>
      </c>
      <c r="F133" s="116"/>
      <c r="G133" s="116"/>
      <c r="H133" s="117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32" t="b">
        <f ca="1">NOT(AND(F136&gt;0,G136&gt;0))</f>
        <v>1</v>
      </c>
      <c r="G137" s="132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38" t="str">
        <f ca="1">IF(F137,"المقابض مظبوطة","مينفعش مقبض مخفي مع بيلت ان")</f>
        <v>المقابض مظبوطة</v>
      </c>
      <c r="G138" s="138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115" t="s">
        <v>73</v>
      </c>
      <c r="F154" s="116"/>
      <c r="G154" s="116"/>
      <c r="H154" s="117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41">
        <f>C157+D157</f>
        <v>1</v>
      </c>
      <c r="D159" s="142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37" t="b">
        <f>C159&lt;=2</f>
        <v>1</v>
      </c>
      <c r="D160" s="139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160:D160"/>
    <mergeCell ref="C22:D22"/>
    <mergeCell ref="F21:G21"/>
    <mergeCell ref="F22:G22"/>
    <mergeCell ref="F63:G63"/>
    <mergeCell ref="F88:G88"/>
    <mergeCell ref="E83:H83"/>
    <mergeCell ref="F138:G138"/>
    <mergeCell ref="C159:D159"/>
    <mergeCell ref="E154:H154"/>
    <mergeCell ref="H22:J22"/>
    <mergeCell ref="C23:D23"/>
    <mergeCell ref="E38:H38"/>
    <mergeCell ref="E59:H59"/>
    <mergeCell ref="C2:K2"/>
    <mergeCell ref="F87:G87"/>
    <mergeCell ref="E133:H133"/>
    <mergeCell ref="C88:D88"/>
    <mergeCell ref="F43:G43"/>
    <mergeCell ref="F112:G112"/>
    <mergeCell ref="F137:G137"/>
    <mergeCell ref="C4:O4"/>
    <mergeCell ref="C7:O7"/>
    <mergeCell ref="E17:H17"/>
    <mergeCell ref="C89:D89"/>
    <mergeCell ref="C64:D64"/>
    <mergeCell ref="F64:G64"/>
    <mergeCell ref="C43:D43"/>
    <mergeCell ref="C44:D44"/>
    <mergeCell ref="C65:D65"/>
    <mergeCell ref="E107:H107"/>
    <mergeCell ref="F111:G111"/>
    <mergeCell ref="F42:G42"/>
  </mergeCells>
  <conditionalFormatting sqref="C23">
    <cfRule type="cellIs" dxfId="47" priority="97" operator="equal">
      <formula>TRUE</formula>
    </cfRule>
    <cfRule type="cellIs" dxfId="46" priority="98" operator="equal">
      <formula>FALSE</formula>
    </cfRule>
  </conditionalFormatting>
  <conditionalFormatting sqref="C160">
    <cfRule type="cellIs" dxfId="45" priority="17" operator="equal">
      <formula>TRUE</formula>
    </cfRule>
    <cfRule type="cellIs" dxfId="44" priority="18" operator="equal">
      <formula>FALSE</formula>
    </cfRule>
  </conditionalFormatting>
  <conditionalFormatting sqref="E63:F63">
    <cfRule type="cellIs" dxfId="43" priority="87" operator="equal">
      <formula>TRUE</formula>
    </cfRule>
    <cfRule type="cellIs" dxfId="42" priority="88" operator="equal">
      <formula>FALSE</formula>
    </cfRule>
  </conditionalFormatting>
  <conditionalFormatting sqref="F21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F111">
    <cfRule type="cellIs" dxfId="39" priority="85" operator="equal">
      <formula>TRUE</formula>
    </cfRule>
    <cfRule type="cellIs" dxfId="38" priority="86" operator="equal">
      <formula>FALSE</formula>
    </cfRule>
  </conditionalFormatting>
  <conditionalFormatting sqref="F137">
    <cfRule type="cellIs" dxfId="37" priority="83" operator="equal">
      <formula>TRUE</formula>
    </cfRule>
    <cfRule type="cellIs" dxfId="36" priority="84" operator="equal">
      <formula>FALSE</formula>
    </cfRule>
  </conditionalFormatting>
  <conditionalFormatting sqref="F158">
    <cfRule type="cellIs" dxfId="35" priority="15" operator="equal">
      <formula>TRUE</formula>
    </cfRule>
    <cfRule type="cellIs" dxfId="34" priority="16" operator="equal">
      <formula>FALSE</formula>
    </cfRule>
  </conditionalFormatting>
  <conditionalFormatting sqref="H21">
    <cfRule type="cellIs" dxfId="33" priority="93" operator="equal">
      <formula>TRUE</formula>
    </cfRule>
    <cfRule type="cellIs" dxfId="32" priority="94" operator="equal">
      <formula>FALSE</formula>
    </cfRule>
  </conditionalFormatting>
  <conditionalFormatting sqref="H158">
    <cfRule type="cellIs" dxfId="31" priority="13" operator="equal">
      <formula>TRUE</formula>
    </cfRule>
    <cfRule type="cellIs" dxfId="30" priority="14" operator="equal">
      <formula>FALSE</formula>
    </cfRule>
  </conditionalFormatting>
  <conditionalFormatting sqref="H63 C65">
    <cfRule type="cellIs" dxfId="29" priority="89" operator="equal">
      <formula>TRUE</formula>
    </cfRule>
    <cfRule type="cellIs" dxfId="28" priority="90" operator="equal">
      <formula>FALSE</formula>
    </cfRule>
  </conditionalFormatting>
  <conditionalFormatting sqref="F42 I42 C44">
    <cfRule type="cellIs" dxfId="27" priority="99" operator="equal">
      <formula>TRUE</formula>
    </cfRule>
    <cfRule type="cellIs" dxfId="26" priority="100" operator="equal">
      <formula>FALSE</formula>
    </cfRule>
  </conditionalFormatting>
  <conditionalFormatting sqref="E87:F87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H87 C89">
    <cfRule type="cellIs" dxfId="23" priority="5" operator="equal">
      <formula>TRUE</formula>
    </cfRule>
    <cfRule type="cellIs" dxfId="22" priority="6" operator="equal">
      <formula>FALSE</formula>
    </cfRule>
  </conditionalFormatting>
  <conditionalFormatting sqref="B12">
    <cfRule type="cellIs" dxfId="21" priority="1" operator="equal">
      <formula>"مفعل"</formula>
    </cfRule>
    <cfRule type="cellIs" dxfId="20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5" activePane="bottomLeft" state="frozen"/>
      <selection activeCell="B1" sqref="B1"/>
      <selection pane="bottomLeft" activeCell="B12" sqref="B12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36" t="s">
        <v>54</v>
      </c>
      <c r="D2" s="136"/>
      <c r="E2" s="136"/>
      <c r="F2" s="136"/>
      <c r="G2" s="136"/>
      <c r="H2" s="136"/>
      <c r="I2" s="136"/>
      <c r="J2" s="136"/>
      <c r="K2" s="136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B11" s="102" t="s">
        <v>139</v>
      </c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101" t="s">
        <v>138</v>
      </c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43" t="s">
        <v>55</v>
      </c>
      <c r="F17" s="143"/>
      <c r="G17" s="143"/>
      <c r="H17" s="143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33">
        <f>G22+H22</f>
        <v>2</v>
      </c>
      <c r="D24" s="133"/>
      <c r="E24" s="8"/>
      <c r="F24" s="38"/>
      <c r="G24" s="38"/>
      <c r="H24" s="38"/>
      <c r="I24" s="8">
        <f>SUM(I22:I23)</f>
        <v>210</v>
      </c>
      <c r="J24" s="138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32" t="b">
        <f>C24&lt;=2</f>
        <v>1</v>
      </c>
      <c r="D25" s="132"/>
      <c r="E25" s="8"/>
      <c r="F25" s="8"/>
      <c r="G25" s="8"/>
      <c r="H25" s="8"/>
      <c r="I25" s="6" t="b">
        <f>I24=I20</f>
        <v>1</v>
      </c>
      <c r="J25" s="138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43" t="s">
        <v>61</v>
      </c>
      <c r="F44" s="143"/>
      <c r="G44" s="143"/>
      <c r="H44" s="143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33">
        <f>G52+H52</f>
        <v>1</v>
      </c>
      <c r="D57" s="133"/>
      <c r="E57" s="8"/>
      <c r="F57" s="38"/>
      <c r="G57" s="38"/>
      <c r="H57" s="38"/>
      <c r="I57" s="8">
        <f>SUM(I49:I56)</f>
        <v>220</v>
      </c>
      <c r="J57" s="138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32" t="b">
        <f>C57&lt;=2</f>
        <v>1</v>
      </c>
      <c r="D58" s="132"/>
      <c r="E58" s="8"/>
      <c r="F58" s="8"/>
      <c r="G58" s="8"/>
      <c r="H58" s="8"/>
      <c r="I58" s="6" t="b">
        <f>I57=I47</f>
        <v>1</v>
      </c>
      <c r="J58" s="138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115" t="s">
        <v>56</v>
      </c>
      <c r="F102" s="116"/>
      <c r="G102" s="116"/>
      <c r="H102" s="117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32" t="b">
        <f>NOT(AND(F104&gt;0,G104&gt;0))</f>
        <v>1</v>
      </c>
      <c r="G105" s="132"/>
      <c r="I105" s="3" t="b">
        <f>_xlfn.XOR(I104&lt;=50,C106=2)</f>
        <v>0</v>
      </c>
    </row>
    <row r="106" spans="1:10" ht="24" hidden="1" customHeight="1" x14ac:dyDescent="0.3">
      <c r="C106" s="132">
        <f>C104+E104</f>
        <v>3</v>
      </c>
      <c r="D106" s="132"/>
      <c r="E106" s="30"/>
      <c r="F106" s="134" t="str">
        <f>IF(F105,"المقابض مظبوطة","مينفعش مقبض مخفي مع بيلت ان")</f>
        <v>المقابض مظبوطة</v>
      </c>
      <c r="G106" s="134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32" t="b">
        <f>C106&lt;=2</f>
        <v>0</v>
      </c>
      <c r="D107" s="132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115" t="s">
        <v>57</v>
      </c>
      <c r="F122" s="116"/>
      <c r="G122" s="116"/>
      <c r="H122" s="117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32" t="b">
        <f>NOT(AND(F124&gt;0,G124&gt;0))</f>
        <v>1</v>
      </c>
      <c r="G125" s="132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34" t="str">
        <f>IF(F125,"المقابض مظبوطة","مينفعش مقبض مخفي مع بيلت ان")</f>
        <v>المقابض مظبوطة</v>
      </c>
      <c r="G126" s="134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115" t="s">
        <v>58</v>
      </c>
      <c r="F142" s="116"/>
      <c r="G142" s="116"/>
      <c r="H142" s="117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32" t="b">
        <f>NOT(AND(F144&gt;0,G144&gt;0))</f>
        <v>1</v>
      </c>
      <c r="G145" s="132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34" t="str">
        <f>IF(F145,"المقابض مظبوطة","مينفعش مقبض مخفي مع بيلت ان")</f>
        <v>المقابض مظبوطة</v>
      </c>
      <c r="G146" s="134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44" t="s">
        <v>38</v>
      </c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</row>
  </sheetData>
  <mergeCells count="23"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  <mergeCell ref="C25:D25"/>
    <mergeCell ref="F145:G145"/>
    <mergeCell ref="C2:K2"/>
    <mergeCell ref="E142:H142"/>
    <mergeCell ref="E17:H17"/>
    <mergeCell ref="C4:O4"/>
    <mergeCell ref="C7:O7"/>
  </mergeCells>
  <conditionalFormatting sqref="C25">
    <cfRule type="cellIs" dxfId="19" priority="26" operator="equal">
      <formula>TRUE</formula>
    </cfRule>
    <cfRule type="cellIs" dxfId="18" priority="27" operator="equal">
      <formula>FALSE</formula>
    </cfRule>
  </conditionalFormatting>
  <conditionalFormatting sqref="C58">
    <cfRule type="cellIs" dxfId="17" priority="10" operator="equal">
      <formula>TRUE</formula>
    </cfRule>
    <cfRule type="cellIs" dxfId="16" priority="11" operator="equal">
      <formula>FALSE</formula>
    </cfRule>
  </conditionalFormatting>
  <conditionalFormatting sqref="E105:F105">
    <cfRule type="cellIs" dxfId="15" priority="18" operator="equal">
      <formula>TRUE</formula>
    </cfRule>
    <cfRule type="cellIs" dxfId="14" priority="19" operator="equal">
      <formula>FALSE</formula>
    </cfRule>
  </conditionalFormatting>
  <conditionalFormatting sqref="F125">
    <cfRule type="cellIs" dxfId="13" priority="16" operator="equal">
      <formula>TRUE</formula>
    </cfRule>
    <cfRule type="cellIs" dxfId="12" priority="17" operator="equal">
      <formula>FALSE</formula>
    </cfRule>
  </conditionalFormatting>
  <conditionalFormatting sqref="F145">
    <cfRule type="cellIs" dxfId="11" priority="14" operator="equal">
      <formula>TRUE</formula>
    </cfRule>
    <cfRule type="cellIs" dxfId="10" priority="15" operator="equal">
      <formula>FALSE</formula>
    </cfRule>
  </conditionalFormatting>
  <conditionalFormatting sqref="I25">
    <cfRule type="cellIs" dxfId="9" priority="12" operator="equal">
      <formula>TRUE</formula>
    </cfRule>
    <cfRule type="cellIs" dxfId="8" priority="13" operator="equal">
      <formula>FALSE</formula>
    </cfRule>
  </conditionalFormatting>
  <conditionalFormatting sqref="I58">
    <cfRule type="cellIs" dxfId="7" priority="8" operator="equal">
      <formula>TRUE</formula>
    </cfRule>
    <cfRule type="cellIs" dxfId="6" priority="9" operator="equal">
      <formula>FALSE</formula>
    </cfRule>
  </conditionalFormatting>
  <conditionalFormatting sqref="I105 C107">
    <cfRule type="cellIs" dxfId="5" priority="20" operator="equal">
      <formula>TRUE</formula>
    </cfRule>
    <cfRule type="cellIs" dxfId="4" priority="21" operator="equal">
      <formula>FALSE</formula>
    </cfRule>
  </conditionalFormatting>
  <conditionalFormatting sqref="B12">
    <cfRule type="cellIs" dxfId="3" priority="1" operator="equal">
      <formula>"مفعل"</formula>
    </cfRule>
    <cfRule type="cellIs" dxfId="2" priority="3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L24" sqref="L24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36" t="s">
        <v>69</v>
      </c>
      <c r="D2" s="136"/>
      <c r="E2" s="136"/>
      <c r="F2" s="136"/>
      <c r="G2" s="136"/>
      <c r="H2" s="136"/>
      <c r="I2" s="136"/>
      <c r="J2" s="136"/>
      <c r="K2" s="136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A7" s="84"/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104" t="s">
        <v>139</v>
      </c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  <c r="B12" s="103" t="s">
        <v>138</v>
      </c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115" t="s">
        <v>100</v>
      </c>
      <c r="F17" s="116"/>
      <c r="G17" s="116"/>
      <c r="H17" s="117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115" t="s">
        <v>101</v>
      </c>
      <c r="F29" s="116"/>
      <c r="G29" s="116"/>
      <c r="H29" s="117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115" t="s">
        <v>102</v>
      </c>
      <c r="F41" s="116"/>
      <c r="G41" s="116"/>
      <c r="H41" s="117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O4"/>
    <mergeCell ref="C7:O7"/>
  </mergeCells>
  <conditionalFormatting sqref="B12">
    <cfRule type="cellIs" dxfId="1" priority="1" operator="equal">
      <formula>"مفعل"</formula>
    </cfRule>
    <cfRule type="cellIs" dxfId="0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2024-10-09T19:27:29Z</dcterms:modified>
</cp:coreProperties>
</file>