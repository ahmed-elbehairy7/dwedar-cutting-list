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1C1BCBB1-5406-4B9F-8754-E0F766E876C6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8" l="1"/>
  <c r="J28" i="8" a="1"/>
  <c r="J26" i="8" a="1"/>
  <c r="J25" i="8" a="1"/>
  <c r="J23" i="8" a="1"/>
  <c r="J21" i="8" a="1"/>
  <c r="J22" i="8" a="1"/>
  <c r="J20" i="8" a="1"/>
  <c r="C28" i="8" a="1"/>
  <c r="C26" i="8" a="1"/>
  <c r="C25" i="8" a="1"/>
  <c r="C23" i="8" a="1"/>
  <c r="C22" i="8" a="1"/>
  <c r="C21" i="8" a="1"/>
  <c r="B28" i="8" a="1"/>
  <c r="B25" i="8" a="1"/>
  <c r="B26" i="8" a="1"/>
  <c r="H26" i="8" a="1"/>
  <c r="F28" i="8" a="1"/>
  <c r="G28" i="8" a="1"/>
  <c r="H28" i="8" a="1"/>
  <c r="E26" i="8" a="1"/>
  <c r="G26" i="8" a="1"/>
  <c r="F26" i="8" a="1"/>
  <c r="E28" i="8" a="1"/>
  <c r="G25" i="8" a="1"/>
  <c r="F25" i="8" a="1"/>
  <c r="E25" i="8" a="1"/>
  <c r="H25" i="8" a="1"/>
  <c r="B23" i="8" a="1"/>
  <c r="B22" i="8" a="1"/>
  <c r="B21" i="8" a="1"/>
  <c r="E22" i="8" a="1"/>
  <c r="F21" i="8" a="1"/>
  <c r="H23" i="8" a="1"/>
  <c r="G23" i="8" a="1"/>
  <c r="E21" i="8" a="1"/>
  <c r="F23" i="8" a="1"/>
  <c r="H22" i="8" a="1"/>
  <c r="G22" i="8" a="1"/>
  <c r="E23" i="8" a="1"/>
  <c r="F22" i="8" a="1"/>
  <c r="H21" i="8" a="1"/>
  <c r="G21" i="8" a="1"/>
  <c r="C20" i="8" a="1"/>
  <c r="H20" i="8" a="1"/>
  <c r="G20" i="8" a="1"/>
  <c r="F20" i="8" a="1"/>
  <c r="E20" i="8" a="1"/>
  <c r="B20" i="8" a="1"/>
  <c r="J13" i="8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23" i="8" a="1"/>
  <c r="AD28" i="8" a="1"/>
  <c r="AD29" i="8" a="1"/>
  <c r="AD31" i="8" a="1"/>
  <c r="AD27" i="8" a="1"/>
  <c r="AD22" i="8" a="1"/>
  <c r="AD30" i="8" a="1"/>
  <c r="AD24" i="8" a="1"/>
  <c r="AD25" i="8" a="1"/>
  <c r="AD32" i="8" a="1"/>
  <c r="AD26" i="8" a="1"/>
  <c r="AD33" i="8" a="1"/>
  <c r="R26" i="8" a="1"/>
  <c r="R32" i="8" a="1"/>
  <c r="R29" i="8" a="1"/>
  <c r="AA27" i="8" a="1"/>
  <c r="J79" i="4"/>
  <c r="AA26" i="8" a="1"/>
  <c r="J37" i="6"/>
  <c r="J127" i="7"/>
  <c r="AA24" i="8" a="1"/>
  <c r="X29" i="8" a="1"/>
  <c r="U25" i="8" a="1"/>
  <c r="X26" i="8" a="1"/>
  <c r="X33" i="8" a="1"/>
  <c r="AA28" i="8" a="1"/>
  <c r="U24" i="8" a="1"/>
  <c r="AA25" i="8" a="1"/>
  <c r="U33" i="8" a="1"/>
  <c r="AA29" i="8" a="1"/>
  <c r="AA33" i="8" a="1"/>
  <c r="U30" i="8" a="1"/>
  <c r="U31" i="8" a="1"/>
  <c r="R31" i="8" a="1"/>
  <c r="J31" i="7"/>
  <c r="AA30" i="8" a="1"/>
  <c r="X30" i="8" a="1"/>
  <c r="R27" i="8" a="1"/>
  <c r="X32" i="8" a="1"/>
  <c r="U29" i="8" a="1"/>
  <c r="R28" i="8" a="1"/>
  <c r="J25" i="6"/>
  <c r="AA32" i="8" a="1"/>
  <c r="J150" i="3"/>
  <c r="X31" i="8" a="1"/>
  <c r="U32" i="8" a="1"/>
  <c r="X27" i="8" a="1"/>
  <c r="AA31" i="8" a="1"/>
  <c r="R33" i="8" a="1"/>
  <c r="R30" i="8" a="1"/>
  <c r="J131" i="4" a="1"/>
  <c r="I131" i="4" a="1"/>
  <c r="J152" i="4" a="1"/>
  <c r="I81" i="4" a="1"/>
  <c r="G57" i="4" a="1"/>
  <c r="J15" i="4" a="1"/>
  <c r="I152" i="4" a="1"/>
  <c r="J105" i="4" a="1"/>
  <c r="J132" i="4" a="1"/>
  <c r="G105" i="4" a="1"/>
  <c r="G152" i="4" a="1"/>
  <c r="I132" i="4" a="1"/>
  <c r="J81" i="4" a="1"/>
  <c r="G15" i="4" a="1"/>
  <c r="J106" i="4" a="1"/>
  <c r="I105" i="4" a="1"/>
  <c r="I106" i="4" a="1"/>
  <c r="G36" i="4" a="1"/>
  <c r="J57" i="4" a="1"/>
  <c r="G131" i="4" a="1"/>
  <c r="J36" i="4" a="1"/>
  <c r="G81" i="4" a="1"/>
  <c r="I15" i="4" a="1"/>
  <c r="I57" i="4" a="1"/>
  <c r="I36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103" i="4"/>
  <c r="J13" i="4"/>
  <c r="U28" i="8" a="1"/>
  <c r="J66" i="7"/>
  <c r="J13" i="6"/>
  <c r="J86" i="7"/>
  <c r="J40" i="5"/>
  <c r="J13" i="7"/>
  <c r="J127" i="3"/>
  <c r="J107" i="3"/>
  <c r="J150" i="4"/>
  <c r="J86" i="3"/>
  <c r="U26" i="8" a="1"/>
  <c r="J13" i="3"/>
  <c r="J34" i="4"/>
  <c r="J55" i="4"/>
  <c r="J66" i="3"/>
  <c r="J107" i="7"/>
  <c r="J13" i="5"/>
  <c r="J31" i="3"/>
  <c r="J129" i="4"/>
  <c r="U27" i="8" a="1"/>
  <c r="F57" i="4" a="1"/>
  <c r="I34" i="3" a="1"/>
  <c r="J89" i="7" a="1"/>
  <c r="G152" i="3" a="1"/>
  <c r="F15" i="4" a="1"/>
  <c r="G34" i="3" a="1"/>
  <c r="I129" i="7" a="1"/>
  <c r="E109" i="3" a="1"/>
  <c r="I89" i="3" a="1"/>
  <c r="E88" i="3" a="1"/>
  <c r="E129" i="3" a="1"/>
  <c r="I88" i="7" a="1"/>
  <c r="F36" i="4" a="1"/>
  <c r="J15" i="3" a="1"/>
  <c r="J88" i="7" a="1"/>
  <c r="I110" i="3" a="1"/>
  <c r="F131" i="4" a="1"/>
  <c r="I109" i="3" a="1"/>
  <c r="I34" i="7" a="1"/>
  <c r="I32" i="3" a="1"/>
  <c r="I68" i="7" a="1"/>
  <c r="I110" i="7" a="1"/>
  <c r="J129" i="3" a="1"/>
  <c r="J68" i="7" a="1"/>
  <c r="J34" i="7" a="1"/>
  <c r="I152" i="3" a="1"/>
  <c r="I88" i="3" a="1"/>
  <c r="J110" i="3" a="1"/>
  <c r="E68" i="3" a="1"/>
  <c r="I109" i="7" a="1"/>
  <c r="I68" i="3" a="1"/>
  <c r="J88" i="3" a="1"/>
  <c r="I89" i="7" a="1"/>
  <c r="J34" i="3" a="1"/>
  <c r="E15" i="3" a="1"/>
  <c r="J109" i="7" a="1"/>
  <c r="I15" i="3" a="1"/>
  <c r="F152" i="4" a="1"/>
  <c r="J89" i="3" a="1"/>
  <c r="F105" i="4" a="1"/>
  <c r="J152" i="3" a="1"/>
  <c r="E152" i="3" a="1"/>
  <c r="J68" i="3" a="1"/>
  <c r="J109" i="3" a="1"/>
  <c r="G129" i="3" a="1"/>
  <c r="I129" i="3" a="1"/>
  <c r="J110" i="7" a="1"/>
  <c r="F81" i="4" a="1"/>
  <c r="J129" i="7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X22" i="8" a="1"/>
  <c r="R22" i="8" a="1"/>
  <c r="AA22" i="8" a="1"/>
  <c r="AD21" i="8" a="1"/>
  <c r="F15" i="7" a="1"/>
  <c r="G14" i="8" a="1"/>
  <c r="E88" i="7" a="1"/>
  <c r="I15" i="7" a="1"/>
  <c r="E15" i="7" a="1"/>
  <c r="F109" i="7" a="1"/>
  <c r="F68" i="7" a="1"/>
  <c r="B34" i="7" a="1"/>
  <c r="J15" i="7" a="1"/>
  <c r="I32" i="7" a="1"/>
  <c r="E109" i="7" a="1"/>
  <c r="E129" i="7" a="1"/>
  <c r="G34" i="7" a="1"/>
  <c r="E68" i="7" a="1"/>
  <c r="G129" i="7" a="1"/>
  <c r="F129" i="7" a="1"/>
  <c r="F88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3" i="3"/>
  <c r="B98" i="3" s="1"/>
  <c r="B73" i="3"/>
  <c r="B75" i="3" s="1"/>
  <c r="B39" i="3"/>
  <c r="B20" i="3"/>
  <c r="B28" i="3" s="1"/>
  <c r="U22" i="8" a="1"/>
  <c r="AA23" i="8" a="1"/>
  <c r="R23" i="8" a="1"/>
  <c r="X23" i="8" a="1"/>
  <c r="R21" i="8" a="1"/>
  <c r="X21" i="8" a="1"/>
  <c r="AA21" i="8" a="1"/>
  <c r="F130" i="3" a="1"/>
  <c r="F35" i="3" a="1"/>
  <c r="F69" i="3" a="1"/>
  <c r="F108" i="4" a="1"/>
  <c r="F90" i="3" a="1"/>
  <c r="D26" i="8" a="1"/>
  <c r="D25" i="8" a="1"/>
  <c r="F40" i="4" a="1"/>
  <c r="F16" i="3" a="1"/>
  <c r="F111" i="3" a="1"/>
  <c r="F134" i="4" a="1"/>
  <c r="F21" i="5" a="1"/>
  <c r="E14" i="8" a="1"/>
  <c r="F61" i="4" a="1"/>
  <c r="F153" i="3" a="1"/>
  <c r="I14" i="8" a="1"/>
  <c r="F19" i="4" a="1"/>
  <c r="F85" i="4" a="1"/>
  <c r="F156" i="4" a="1"/>
  <c r="E14" i="6" a="1"/>
  <c r="E26" i="6" a="1"/>
  <c r="E38" i="6" a="1"/>
  <c r="F54" i="5" a="1"/>
  <c r="D26" i="8" l="1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48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U21" i="8" a="1"/>
  <c r="U23" i="8" a="1"/>
  <c r="D28" i="8" a="1"/>
  <c r="H108" i="4" a="1"/>
  <c r="H69" i="3" a="1"/>
  <c r="I26" i="8" a="1"/>
  <c r="H61" i="4" a="1"/>
  <c r="D40" i="4" a="1"/>
  <c r="D111" i="3" a="1"/>
  <c r="H111" i="3" a="1"/>
  <c r="D153" i="3" a="1"/>
  <c r="H40" i="4" a="1"/>
  <c r="I25" i="8" a="1"/>
  <c r="H19" i="4" a="1"/>
  <c r="D108" i="4" a="1"/>
  <c r="D69" i="3" a="1"/>
  <c r="D22" i="8" a="1"/>
  <c r="D19" i="4" a="1"/>
  <c r="D21" i="8" a="1"/>
  <c r="D85" i="4" a="1"/>
  <c r="D20" i="8" a="1"/>
  <c r="D61" i="4" a="1"/>
  <c r="H130" i="3" a="1"/>
  <c r="H153" i="3" a="1"/>
  <c r="D23" i="8" a="1"/>
  <c r="H134" i="4" a="1"/>
  <c r="D156" i="4" a="1"/>
  <c r="H35" i="3" a="1"/>
  <c r="H156" i="4" a="1"/>
  <c r="D16" i="3" a="1"/>
  <c r="H85" i="4" a="1"/>
  <c r="D90" i="3" a="1"/>
  <c r="F130" i="7" a="1"/>
  <c r="H90" i="3" a="1"/>
  <c r="H54" i="5" a="1"/>
  <c r="D134" i="4" a="1"/>
  <c r="F16" i="7" a="1"/>
  <c r="H21" i="5" a="1"/>
  <c r="F90" i="7" a="1"/>
  <c r="D130" i="3" a="1"/>
  <c r="F69" i="7" a="1"/>
  <c r="H16" i="3" a="1"/>
  <c r="D21" i="5" a="1"/>
  <c r="D54" i="5" a="1"/>
  <c r="F35" i="7" a="1"/>
  <c r="F111" i="7" a="1"/>
  <c r="D80" i="5" l="1"/>
  <c r="I80" i="5" s="1"/>
  <c r="D79" i="5"/>
  <c r="I79" i="5" s="1"/>
  <c r="D78" i="5"/>
  <c r="I78" i="5" s="1"/>
  <c r="D81" i="5"/>
  <c r="I81" i="5" s="1"/>
  <c r="D28" i="8"/>
  <c r="I26" i="8"/>
  <c r="I25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I22" i="8" a="1"/>
  <c r="H35" i="7" a="1"/>
  <c r="I21" i="8" a="1"/>
  <c r="H130" i="7" a="1"/>
  <c r="D69" i="7" a="1"/>
  <c r="D130" i="7" a="1"/>
  <c r="I23" i="8" a="1"/>
  <c r="H69" i="7" a="1"/>
  <c r="I20" i="8" a="1"/>
  <c r="D90" i="7" a="1"/>
  <c r="D16" i="7" a="1"/>
  <c r="D111" i="7" a="1"/>
  <c r="H16" i="7" a="1"/>
  <c r="H111" i="7" a="1"/>
  <c r="H90" i="7" a="1"/>
  <c r="I28" i="8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<sst xmlns="http://schemas.openxmlformats.org/spreadsheetml/2006/main" count="1028" uniqueCount="184">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</sst>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opLeftCell="B1" zoomScale="55" zoomScaleNormal="55" workbookViewId="0">
      <selection activeCell="B1" sqref="B1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tabSelected="1"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B1" zoomScale="85" zoomScaleNormal="85" workbookViewId="0"/>
  </sheetViews>
  <sheetFormatPr defaultRowHeight="15.6" x14ac:dyDescent="0.3"/>
  <cols>
    <col min="1" max="1" width="8.21875" style="51" hidden="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8</v>
      </c>
    </row>
    <row r="2" spans="1:75" s="35" customFormat="1" ht="37.200000000000003" customHeight="1" x14ac:dyDescent="0.3">
      <c r="A2" s="51">
        <v>30</v>
      </c>
      <c r="B2" s="48" t="s">
        <v>122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1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109"/>
      <c r="G14" s="109"/>
      <c r="H14" s="7" t="s">
        <v>23</v>
      </c>
      <c r="I14" s="7" t="s">
        <v>3</v>
      </c>
      <c r="J14" s="7" t="s">
        <v>114</v>
      </c>
      <c r="K14" s="1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109"/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1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1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51"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0</v>
      </c>
      <c r="C19" s="6"/>
      <c r="D19" s="6"/>
      <c r="E19" s="6"/>
      <c r="F19" s="6"/>
      <c r="G19" s="6"/>
      <c r="H19" s="6"/>
      <c r="I19" s="6"/>
      <c r="J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0</v>
      </c>
      <c r="C25" s="6"/>
      <c r="D25" s="6"/>
      <c r="E25" s="6"/>
      <c r="F25" s="6"/>
      <c r="G25" s="6"/>
      <c r="H25" s="6"/>
      <c r="I25" s="6"/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1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0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0</v>
      </c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51">
        <v>0</v>
      </c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0</v>
      </c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1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9"/>
      <c r="G67" s="7" t="s">
        <v>25</v>
      </c>
      <c r="H67" s="7" t="s">
        <v>23</v>
      </c>
      <c r="I67" s="7" t="s">
        <v>3</v>
      </c>
      <c r="J67" s="7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9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0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51">
        <v>0</v>
      </c>
      <c r="C72" s="6"/>
      <c r="D72" s="6"/>
      <c r="E72" s="6"/>
      <c r="F72" s="6"/>
      <c r="G72" s="6"/>
      <c r="H72" s="6"/>
      <c r="I72" s="6"/>
      <c r="J72" s="6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0</v>
      </c>
      <c r="C79" s="6"/>
      <c r="D79" s="6"/>
      <c r="E79" s="6"/>
      <c r="F79" s="6"/>
      <c r="G79" s="6"/>
      <c r="H79" s="6"/>
      <c r="I79" s="6"/>
      <c r="J79" s="6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51">
        <v>0</v>
      </c>
      <c r="C82" s="6"/>
      <c r="D82" s="6"/>
      <c r="E82" s="6"/>
      <c r="F82" s="6"/>
      <c r="G82" s="6"/>
      <c r="H82" s="6"/>
      <c r="I82" s="6"/>
      <c r="J82" s="6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9"/>
      <c r="G87" s="7"/>
      <c r="H87" s="7" t="s">
        <v>23</v>
      </c>
      <c r="I87" s="7" t="s">
        <v>3</v>
      </c>
      <c r="J87" s="7" t="s">
        <v>114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9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0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51">
        <v>0</v>
      </c>
      <c r="B93" s="15" t="str">
        <f>E86</f>
        <v>وحدة سفلية  زاوية 90</v>
      </c>
      <c r="C93" s="6"/>
      <c r="D93" s="6"/>
      <c r="E93" s="6"/>
      <c r="F93" s="6"/>
      <c r="G93" s="6"/>
      <c r="H93" s="6"/>
      <c r="I93" s="6"/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 t="str">
        <f>B93</f>
        <v>وحدة سفلية  زاوية 90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 t="str">
        <f>B93</f>
        <v>وحدة سفلية  زاوية 90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 t="str">
        <f>B93</f>
        <v>وحدة سفلية  زاوية 90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 t="str">
        <f>B93</f>
        <v>وحدة سفلية  زاوية 90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 t="str">
        <f>B93</f>
        <v>وحدة سفلية  زاوية 90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 t="str">
        <f>B93</f>
        <v>وحدة سفلية  زاوية 90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51">
        <v>0</v>
      </c>
      <c r="C100" s="6"/>
      <c r="D100" s="6"/>
      <c r="E100" s="6"/>
      <c r="F100" s="6"/>
      <c r="G100" s="6"/>
      <c r="H100" s="6"/>
      <c r="I100" s="6"/>
      <c r="J100" s="6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 t="str">
        <f>B93</f>
        <v>وحدة سفلية  زاوية 90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 t="str">
        <f>B93</f>
        <v>وحدة سفلية  زاوية 90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51">
        <v>0</v>
      </c>
      <c r="C103" s="6"/>
      <c r="D103" s="6"/>
      <c r="E103" s="6"/>
      <c r="F103" s="6"/>
      <c r="G103" s="6"/>
      <c r="H103" s="6"/>
      <c r="I103" s="6"/>
      <c r="J103" s="6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 t="str">
        <f>B93</f>
        <v>وحدة سفلية  زاوية 90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9"/>
      <c r="G108" s="7"/>
      <c r="H108" s="7" t="s">
        <v>23</v>
      </c>
      <c r="I108" s="7" t="s">
        <v>3</v>
      </c>
      <c r="J108" s="7" t="s">
        <v>114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9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51">
        <v>0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51">
        <v>0</v>
      </c>
      <c r="C114" s="6"/>
      <c r="D114" s="6"/>
      <c r="E114" s="6"/>
      <c r="F114" s="6"/>
      <c r="G114" s="6"/>
      <c r="H114" s="6"/>
      <c r="I114" s="6"/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0</v>
      </c>
      <c r="C123" s="6"/>
      <c r="D123" s="6"/>
      <c r="E123" s="6"/>
      <c r="F123" s="6"/>
      <c r="G123" s="6"/>
      <c r="H123" s="6"/>
      <c r="I123" s="6"/>
      <c r="J123" s="6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9"/>
      <c r="G128" s="16" t="s">
        <v>20</v>
      </c>
      <c r="H128" s="7" t="s">
        <v>23</v>
      </c>
      <c r="I128" s="7" t="s">
        <v>3</v>
      </c>
      <c r="J128" s="7" t="s">
        <v>114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9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 s="2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 s="21"/>
      <c r="C133" s="6"/>
      <c r="D133" s="6"/>
      <c r="E133" s="6"/>
      <c r="F133" s="6"/>
      <c r="G133" s="6"/>
      <c r="H133" s="6"/>
      <c r="I133" s="6"/>
      <c r="J133" s="6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51">
        <v>0</v>
      </c>
      <c r="C142" s="6"/>
      <c r="D142" s="6"/>
      <c r="E142" s="6"/>
      <c r="F142" s="6"/>
      <c r="G142" s="6"/>
      <c r="H142" s="6"/>
      <c r="I142" s="6"/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51">
        <v>0</v>
      </c>
      <c r="C145" s="6"/>
      <c r="D145" s="6"/>
      <c r="E145" s="6"/>
      <c r="F145" s="6"/>
      <c r="G145" s="6"/>
      <c r="H145" s="6"/>
      <c r="I145" s="6"/>
      <c r="J145" s="6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</row>
    <row r="154" spans="1:79" x14ac:dyDescent="0.3">
      <c r="A154" s="51">
        <v>0</v>
      </c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x14ac:dyDescent="0.3">
      <c r="A156" s="51">
        <v>0</v>
      </c>
      <c r="C156" s="6"/>
      <c r="D156" s="6"/>
      <c r="E156" s="6"/>
      <c r="F156" s="6"/>
      <c r="G156" s="6"/>
      <c r="H156" s="6"/>
      <c r="I156" s="6"/>
      <c r="J156" s="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</row>
    <row r="161" spans="1:10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</row>
    <row r="162" spans="1:10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</row>
    <row r="163" spans="1:10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</row>
    <row r="164" spans="1:10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</row>
    <row r="165" spans="1:10" x14ac:dyDescent="0.3">
      <c r="A165" s="51">
        <v>0</v>
      </c>
      <c r="C165" s="6"/>
      <c r="D165" s="6"/>
      <c r="E165" s="6"/>
      <c r="F165" s="6"/>
      <c r="G165" s="6"/>
      <c r="H165" s="6"/>
      <c r="I165" s="6"/>
      <c r="J165" s="6"/>
    </row>
    <row r="166" spans="1:10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</row>
    <row r="167" spans="1:10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</row>
    <row r="168" spans="1:10" x14ac:dyDescent="0.3">
      <c r="A168" s="51">
        <v>0</v>
      </c>
      <c r="C168" s="6"/>
      <c r="D168" s="6"/>
      <c r="E168" s="6"/>
      <c r="F168" s="6"/>
      <c r="G168" s="6"/>
      <c r="H168" s="6"/>
      <c r="I168" s="6"/>
      <c r="J168" s="6"/>
    </row>
    <row r="169" spans="1:10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</row>
    <row r="170" spans="1:10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</row>
    <row r="171" spans="1:10" x14ac:dyDescent="0.3">
      <c r="A171" s="51">
        <v>255</v>
      </c>
    </row>
    <row r="172" spans="1:10" x14ac:dyDescent="0.3">
      <c r="A172" s="51">
        <v>255</v>
      </c>
    </row>
  </sheetData>
  <mergeCells count="14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14:F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7</v>
      </c>
    </row>
    <row r="2" spans="1:25" s="35" customFormat="1" ht="31.2" x14ac:dyDescent="0.3">
      <c r="A2" s="36">
        <v>96</v>
      </c>
      <c r="B2" s="48" t="s">
        <v>123</v>
      </c>
      <c r="C2" s="108" t="s">
        <v>105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9"/>
      <c r="H14" s="7" t="s">
        <v>23</v>
      </c>
      <c r="I14" s="7" t="s">
        <v>3</v>
      </c>
      <c r="J14" s="7" t="s">
        <v>114</v>
      </c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</row>
    <row r="17" spans="1:75" x14ac:dyDescent="0.3">
      <c r="A17" s="35">
        <v>0</v>
      </c>
      <c r="B17" s="15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x14ac:dyDescent="0.3">
      <c r="A19" s="51">
        <v>0</v>
      </c>
      <c r="B19" s="15"/>
      <c r="C19" s="6"/>
      <c r="D19" s="6"/>
      <c r="E19" s="6"/>
      <c r="F19" s="6"/>
      <c r="G19" s="6"/>
      <c r="H19" s="6"/>
      <c r="I19" s="6"/>
      <c r="J19" s="6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</row>
    <row r="25" spans="1:75" x14ac:dyDescent="0.3">
      <c r="A25" s="51">
        <v>0</v>
      </c>
      <c r="B25" s="15"/>
      <c r="C25" s="6"/>
      <c r="D25" s="6"/>
      <c r="E25" s="6"/>
      <c r="F25" s="6"/>
      <c r="G25" s="6"/>
      <c r="H25" s="6"/>
      <c r="I25" s="6"/>
      <c r="J25" s="6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</row>
    <row r="27" spans="1:75" x14ac:dyDescent="0.3">
      <c r="A27" s="51">
        <v>0</v>
      </c>
      <c r="B27" s="15"/>
      <c r="C27" s="6"/>
      <c r="D27" s="6"/>
      <c r="E27" s="6"/>
      <c r="F27" s="6"/>
      <c r="G27" s="6"/>
      <c r="H27" s="6"/>
      <c r="I27" s="6"/>
      <c r="J27" s="6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3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0</v>
      </c>
      <c r="B36" s="1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0</v>
      </c>
      <c r="B38" s="15"/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51">
        <v>0</v>
      </c>
      <c r="B54" s="15"/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0</v>
      </c>
      <c r="B59" s="15"/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3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9"/>
      <c r="H67" s="7" t="s">
        <v>23</v>
      </c>
      <c r="I67" s="7" t="s">
        <v>3</v>
      </c>
      <c r="J67" s="7" t="s">
        <v>114</v>
      </c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9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</row>
    <row r="70" spans="1:75" x14ac:dyDescent="0.3">
      <c r="A70" s="35">
        <v>0</v>
      </c>
      <c r="B70" s="15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 s="15"/>
      <c r="C72" s="6"/>
      <c r="D72" s="6"/>
      <c r="E72" s="6"/>
      <c r="F72" s="6"/>
      <c r="G72" s="6"/>
      <c r="H72" s="6"/>
      <c r="I72" s="6"/>
      <c r="J72" s="6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</row>
    <row r="79" spans="1:75" ht="15.6" customHeight="1" x14ac:dyDescent="0.3">
      <c r="A79" s="51">
        <v>0</v>
      </c>
      <c r="B79" s="15"/>
      <c r="C79" s="6"/>
      <c r="D79" s="6"/>
      <c r="E79" s="6"/>
      <c r="F79" s="6"/>
      <c r="G79" s="6"/>
      <c r="H79" s="6"/>
      <c r="I79" s="6"/>
      <c r="J79" s="6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</row>
    <row r="82" spans="1:11" ht="15.6" customHeight="1" x14ac:dyDescent="0.3">
      <c r="A82" s="51">
        <v>0</v>
      </c>
      <c r="B82" s="15"/>
      <c r="C82" s="6"/>
      <c r="D82" s="6"/>
      <c r="E82" s="6"/>
      <c r="F82" s="6"/>
      <c r="G82" s="6"/>
      <c r="H82" s="6"/>
      <c r="I82" s="6"/>
      <c r="J82" s="6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</row>
    <row r="91" spans="1:11" x14ac:dyDescent="0.3">
      <c r="A91" s="35">
        <v>0</v>
      </c>
      <c r="B91" s="15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x14ac:dyDescent="0.3">
      <c r="A93" s="51">
        <v>0</v>
      </c>
      <c r="B93" s="15"/>
      <c r="C93" s="6"/>
      <c r="D93" s="6"/>
      <c r="E93" s="6"/>
      <c r="F93" s="6"/>
      <c r="G93" s="6"/>
      <c r="H93" s="6"/>
      <c r="I93" s="6"/>
      <c r="J93" s="6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</row>
    <row r="100" spans="1:11" x14ac:dyDescent="0.3">
      <c r="A100" s="51">
        <v>0</v>
      </c>
      <c r="B100" s="15"/>
      <c r="C100" s="6"/>
      <c r="D100" s="6"/>
      <c r="E100" s="6"/>
      <c r="F100" s="6"/>
      <c r="G100" s="6"/>
      <c r="H100" s="6"/>
      <c r="I100" s="6"/>
      <c r="J100" s="6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</row>
    <row r="103" spans="1:11" x14ac:dyDescent="0.3">
      <c r="A103" s="51">
        <v>0</v>
      </c>
      <c r="B103" s="15"/>
      <c r="C103" s="6"/>
      <c r="D103" s="6"/>
      <c r="E103" s="6"/>
      <c r="F103" s="6"/>
      <c r="G103" s="6"/>
      <c r="H103" s="6"/>
      <c r="I103" s="6"/>
      <c r="J103" s="6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</row>
    <row r="112" spans="1:11" x14ac:dyDescent="0.3">
      <c r="A112" s="35">
        <v>0</v>
      </c>
      <c r="B112" s="15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x14ac:dyDescent="0.3">
      <c r="A114" s="51">
        <v>0</v>
      </c>
      <c r="B114" s="15"/>
      <c r="C114" s="6"/>
      <c r="D114" s="6"/>
      <c r="E114" s="6"/>
      <c r="F114" s="6"/>
      <c r="G114" s="6"/>
      <c r="H114" s="6"/>
      <c r="I114" s="6"/>
      <c r="J114" s="6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</row>
    <row r="121" spans="1:11" x14ac:dyDescent="0.3">
      <c r="A121" s="51">
        <v>0</v>
      </c>
      <c r="B121" s="15"/>
      <c r="C121" s="6"/>
      <c r="D121" s="6"/>
      <c r="E121" s="6"/>
      <c r="F121" s="6"/>
      <c r="G121" s="6"/>
      <c r="H121" s="6"/>
      <c r="I121" s="6"/>
      <c r="J121" s="6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</row>
    <row r="123" spans="1:11" ht="14.4" x14ac:dyDescent="0.3">
      <c r="A123" s="51">
        <v>0</v>
      </c>
      <c r="C123" s="6"/>
      <c r="D123" s="6"/>
      <c r="E123" s="6"/>
      <c r="F123" s="6"/>
      <c r="G123" s="6"/>
      <c r="H123" s="6"/>
      <c r="I123" s="6"/>
      <c r="J123" s="6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</row>
    <row r="129" spans="1:10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</row>
    <row r="130" spans="1:10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</row>
    <row r="131" spans="1:10" x14ac:dyDescent="0.3">
      <c r="A131" s="51">
        <v>0</v>
      </c>
      <c r="B131" s="15"/>
    </row>
    <row r="132" spans="1:10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0" x14ac:dyDescent="0.3">
      <c r="A133" s="51">
        <v>0</v>
      </c>
      <c r="B133" s="15"/>
      <c r="C133" s="6"/>
      <c r="D133" s="6"/>
      <c r="E133" s="6"/>
      <c r="F133" s="6"/>
      <c r="G133" s="6"/>
      <c r="H133" s="6"/>
      <c r="I133" s="6"/>
      <c r="J133" s="6"/>
    </row>
    <row r="134" spans="1:10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</row>
    <row r="135" spans="1:10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</row>
    <row r="136" spans="1:10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</row>
    <row r="137" spans="1:10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</row>
    <row r="138" spans="1:10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</row>
    <row r="139" spans="1:10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</row>
    <row r="140" spans="1:10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</row>
    <row r="141" spans="1:10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</row>
    <row r="142" spans="1:10" x14ac:dyDescent="0.3">
      <c r="A142" s="51">
        <v>0</v>
      </c>
      <c r="B142" s="15"/>
      <c r="C142" s="6"/>
      <c r="D142" s="6"/>
      <c r="E142" s="6"/>
      <c r="F142" s="6"/>
      <c r="G142" s="6"/>
      <c r="H142" s="6"/>
      <c r="I142" s="6"/>
      <c r="J142" s="6"/>
    </row>
    <row r="143" spans="1:10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</row>
    <row r="144" spans="1:10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</row>
    <row r="145" spans="1:10" x14ac:dyDescent="0.3">
      <c r="A145" s="51">
        <v>0</v>
      </c>
      <c r="B145" s="15"/>
      <c r="C145" s="6"/>
      <c r="D145" s="6"/>
      <c r="E145" s="6"/>
      <c r="F145" s="6"/>
      <c r="G145" s="6"/>
      <c r="H145" s="6"/>
      <c r="I145" s="6"/>
      <c r="J145" s="6"/>
    </row>
    <row r="146" spans="1:10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</row>
    <row r="147" spans="1:10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</row>
    <row r="148" spans="1:10" x14ac:dyDescent="0.3">
      <c r="A148" s="51">
        <v>255</v>
      </c>
      <c r="B148" s="15"/>
    </row>
    <row r="149" spans="1:10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9" zoomScale="86" zoomScaleNormal="70" workbookViewId="0"/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6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8" t="s">
        <v>44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8" t="str">
        <f ca="1">IF(F16,"المقابض مظبوطة","مينفعش مقبض مخفي مع بيلت ان")</f>
        <v>المقابض مظبوطة</v>
      </c>
      <c r="G17" s="118"/>
      <c r="H17" s="111" t="str">
        <f>IF(H16,"عدد الدلف صحيح","عدد الدلف غير صحيح")</f>
        <v>عدد الدلف صحيح</v>
      </c>
      <c r="I17" s="111"/>
      <c r="J17" s="11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C22" s="6"/>
      <c r="D22" s="6"/>
      <c r="E22" s="6"/>
      <c r="F22" s="6"/>
      <c r="G22" s="6"/>
      <c r="H22" s="6"/>
      <c r="I22" s="6"/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C30" s="6"/>
      <c r="D30" s="6"/>
      <c r="E30" s="6"/>
      <c r="F30" s="6"/>
      <c r="G30" s="6"/>
      <c r="H30" s="6"/>
      <c r="I30" s="6"/>
      <c r="J30" s="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3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9" t="b">
        <f ca="1">NOT(AND(F36&gt;0,G36&gt;0))</f>
        <v>1</v>
      </c>
      <c r="G37" s="119"/>
      <c r="H37" s="8"/>
      <c r="I37" s="3" t="b">
        <f ca="1">_xlfn.XOR(I36&lt;=50,C38=2)</f>
        <v>1</v>
      </c>
      <c r="J37" s="8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2" t="str">
        <f ca="1">IF(F37,"المقابض مظبوطة","مينفعش مقبض مخفي مع بيلت ان")</f>
        <v>المقابض مظبوطة</v>
      </c>
      <c r="G38" s="112"/>
      <c r="H38" s="30"/>
      <c r="I38" s="32" t="str">
        <f ca="1">IF(I37,"عدد الدلف صحيح","عدد الدلف غير صحيح")</f>
        <v>عدد الدلف صحيح</v>
      </c>
      <c r="J38" s="8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C43" s="6"/>
      <c r="D43" s="6"/>
      <c r="E43" s="6"/>
      <c r="F43" s="6"/>
      <c r="G43" s="6"/>
      <c r="H43" s="6"/>
      <c r="I43" s="6"/>
      <c r="J43" s="6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 s="3" t="str">
        <f>B44</f>
        <v>وحدة علوية  قلاب / 2 قلاب</v>
      </c>
      <c r="C48" s="6"/>
      <c r="D48" s="6"/>
      <c r="E48" s="6"/>
      <c r="F48" s="6"/>
      <c r="G48" s="6"/>
      <c r="H48" s="6"/>
      <c r="I48" s="6"/>
      <c r="J48" s="6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C51" s="6"/>
      <c r="D51" s="6"/>
      <c r="E51" s="6"/>
      <c r="F51" s="6"/>
      <c r="G51" s="6"/>
      <c r="H51" s="6"/>
      <c r="I51" s="6"/>
      <c r="J51" s="6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3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13"/>
      <c r="H58" s="3" t="b">
        <f>_xlfn.XOR(H57&lt;=50,C59=2)</f>
        <v>0</v>
      </c>
      <c r="I58" s="61" t="s">
        <v>167</v>
      </c>
      <c r="J58" s="62" t="s">
        <v>168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107</v>
      </c>
      <c r="F59" s="114" t="str">
        <f ca="1">IF(F58,"المقابض مظبوطة","مينفعش مقبض مخفي مع بيلت ان")</f>
        <v>المقابض مظبوطة</v>
      </c>
      <c r="G59" s="11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C64" s="6"/>
      <c r="D64" s="6"/>
      <c r="E64" s="6"/>
      <c r="F64" s="6"/>
      <c r="G64" s="6"/>
      <c r="H64" s="6"/>
      <c r="I64" s="6"/>
      <c r="J64" s="6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C70" s="6"/>
      <c r="D70" s="6"/>
      <c r="E70" s="6"/>
      <c r="F70" s="6"/>
      <c r="G70" s="6"/>
      <c r="H70" s="6"/>
      <c r="I70" s="6"/>
      <c r="J70" s="6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C73" s="6"/>
      <c r="D73" s="6"/>
      <c r="E73" s="6"/>
      <c r="F73" s="6"/>
      <c r="G73" s="6"/>
      <c r="H73" s="6"/>
      <c r="I73" s="6"/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C75" s="6"/>
      <c r="D75" s="6"/>
      <c r="E75" s="6"/>
      <c r="F75" s="6"/>
      <c r="G75" s="6"/>
      <c r="H75" s="6"/>
      <c r="I75" s="6"/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3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13"/>
      <c r="H82" s="3" t="b">
        <f ca="1">_xlfn.XOR(I81&lt;=50,C83=2)</f>
        <v>0</v>
      </c>
      <c r="I82" s="61" t="s">
        <v>167</v>
      </c>
      <c r="J82" s="62" t="s">
        <v>168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107</v>
      </c>
      <c r="F83" s="114" t="str">
        <f ca="1">IF(F82,"المقابض مظبوطة","مينفعش مقبض مخفي مع بيلت ان")</f>
        <v>المقابض مظبوطة</v>
      </c>
      <c r="G83" s="11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 s="1"/>
      <c r="C86" s="1"/>
      <c r="D86" s="1"/>
      <c r="E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C88" s="6"/>
      <c r="D88" s="6"/>
      <c r="E88" s="6"/>
      <c r="F88" s="6"/>
      <c r="G88" s="6"/>
      <c r="H88" s="6"/>
      <c r="I88" s="6"/>
      <c r="J88" s="6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C94" s="6"/>
      <c r="D94" s="6"/>
      <c r="E94" s="6"/>
      <c r="F94" s="6"/>
      <c r="G94" s="6"/>
      <c r="H94" s="6"/>
      <c r="I94" s="6"/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C97" s="6"/>
      <c r="D97" s="6"/>
      <c r="E97" s="6"/>
      <c r="F97" s="6"/>
      <c r="G97" s="6"/>
      <c r="H97" s="6"/>
      <c r="I97" s="6"/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C99" s="6"/>
      <c r="D99" s="6"/>
      <c r="E99" s="6"/>
      <c r="F99" s="6"/>
      <c r="G99" s="6"/>
      <c r="H99" s="6"/>
      <c r="I99" s="6"/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3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35">
        <v>1</v>
      </c>
      <c r="C107" s="8"/>
      <c r="D107" s="8"/>
      <c r="E107" s="8"/>
      <c r="F107" s="112" t="str">
        <f ca="1">IF(F106,"المقابض مظبوطة","مينفعش مقبض مخفي مع بيلت ان")</f>
        <v>المقابض مظبوطة</v>
      </c>
      <c r="G107" s="112"/>
      <c r="H107" s="8"/>
      <c r="I107" s="8"/>
      <c r="J107" s="8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C111" s="6"/>
      <c r="D111" s="6"/>
      <c r="E111" s="6"/>
      <c r="F111" s="6"/>
      <c r="G111" s="6"/>
      <c r="H111" s="6"/>
      <c r="I111" s="6"/>
      <c r="J111" s="6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C118" s="6"/>
      <c r="D118" s="6"/>
      <c r="E118" s="6"/>
      <c r="F118" s="6"/>
      <c r="G118" s="6"/>
      <c r="H118" s="6"/>
      <c r="I118" s="6"/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C124" s="6"/>
      <c r="D124" s="6"/>
      <c r="E124" s="6"/>
      <c r="F124" s="6"/>
      <c r="G124" s="6"/>
      <c r="H124" s="6"/>
      <c r="I124" s="6"/>
      <c r="J124" s="6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3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35">
        <v>1</v>
      </c>
      <c r="C133" s="8"/>
      <c r="D133" s="8"/>
      <c r="E133" s="8"/>
      <c r="F133" s="112" t="str">
        <f ca="1">IF(F132,"المقابض مظبوطة","مينفعش مقبض مخفي مع بيلت ان")</f>
        <v>المقابض مظبوطة</v>
      </c>
      <c r="G133" s="112"/>
      <c r="H133" s="8"/>
      <c r="I133" s="8"/>
      <c r="J133" s="8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C137" s="6"/>
      <c r="D137" s="6"/>
      <c r="E137" s="6"/>
      <c r="F137" s="6"/>
      <c r="G137" s="6"/>
      <c r="H137" s="6"/>
      <c r="I137" s="6"/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C144" s="6"/>
      <c r="D144" s="6"/>
      <c r="E144" s="6"/>
      <c r="F144" s="6"/>
      <c r="G144" s="6"/>
      <c r="H144" s="6"/>
      <c r="I144" s="6"/>
      <c r="J144" s="6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C146" s="6"/>
      <c r="D146" s="6"/>
      <c r="E146" s="6"/>
      <c r="F146" s="6"/>
      <c r="G146" s="6"/>
      <c r="H146" s="6"/>
      <c r="I146" s="6"/>
      <c r="J146" s="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5">
        <f>C152+D152</f>
        <v>1</v>
      </c>
      <c r="D154" s="11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x14ac:dyDescent="0.3">
      <c r="A155" s="35">
        <v>1</v>
      </c>
      <c r="C155" s="113" t="b">
        <f>C154&lt;=2</f>
        <v>1</v>
      </c>
      <c r="D155" s="117"/>
      <c r="E155" s="8"/>
      <c r="F155" s="8"/>
      <c r="G155" s="8"/>
      <c r="H155" s="8"/>
      <c r="I155" s="8"/>
      <c r="J155" s="8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C157" s="1"/>
      <c r="D157" s="1"/>
      <c r="E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C159" s="6"/>
      <c r="D159" s="6"/>
      <c r="E159" s="6"/>
      <c r="F159" s="6"/>
      <c r="G159" s="6"/>
      <c r="H159" s="6"/>
      <c r="I159" s="6"/>
      <c r="J159" s="6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C165" s="6"/>
      <c r="D165" s="6"/>
      <c r="E165" s="6"/>
      <c r="F165" s="6"/>
      <c r="G165" s="6"/>
      <c r="H165" s="6"/>
      <c r="I165" s="6"/>
      <c r="J165" s="6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C168" s="6"/>
      <c r="D168" s="6"/>
      <c r="E168" s="6"/>
      <c r="F168" s="6"/>
      <c r="G168" s="6"/>
      <c r="H168" s="6"/>
      <c r="I168" s="6"/>
      <c r="J168" s="6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/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8" t="s">
        <v>65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1" t="s">
        <v>66</v>
      </c>
      <c r="F13" s="121"/>
      <c r="G13" s="121"/>
      <c r="H13" s="121"/>
      <c r="I13" s="2" t="s">
        <v>31</v>
      </c>
      <c r="J13" s="2">
        <f>letterToNumber(A13)</f>
        <v>1</v>
      </c>
      <c r="K13" s="4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</row>
    <row r="15" spans="1:23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</row>
    <row r="17" spans="1:13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</row>
    <row r="19" spans="1:13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2" t="str">
        <f>IF(I20,"مقاس الدلف صحيح","مقاس الدلف غير صحيح")</f>
        <v>مقاس الدلف صحيح</v>
      </c>
    </row>
    <row r="20" spans="1:13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2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</row>
    <row r="22" spans="1:13" x14ac:dyDescent="0.3">
      <c r="A22" s="35">
        <v>0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C24" s="6"/>
      <c r="D24" s="6"/>
      <c r="E24" s="6"/>
      <c r="F24" s="6"/>
      <c r="G24" s="6"/>
      <c r="H24" s="6"/>
      <c r="I24" s="6"/>
      <c r="J24" s="6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</row>
    <row r="30" spans="1:13" x14ac:dyDescent="0.3">
      <c r="A30" s="35">
        <v>0</v>
      </c>
      <c r="C30" s="6"/>
      <c r="D30" s="6"/>
      <c r="E30" s="6"/>
      <c r="F30" s="6"/>
      <c r="G30" s="6"/>
      <c r="H30" s="6"/>
      <c r="I30" s="6"/>
      <c r="J30" s="6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</row>
    <row r="33" spans="1:13" x14ac:dyDescent="0.3">
      <c r="A33" s="35">
        <v>0</v>
      </c>
      <c r="C33" s="6"/>
      <c r="D33" s="6"/>
      <c r="E33" s="6"/>
      <c r="F33" s="6"/>
      <c r="G33" s="6"/>
      <c r="H33" s="6"/>
      <c r="I33" s="6"/>
      <c r="J33" s="6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</row>
    <row r="36" spans="1:13" x14ac:dyDescent="0.3">
      <c r="A36" s="35">
        <v>0</v>
      </c>
      <c r="C36" s="6"/>
      <c r="D36" s="6"/>
      <c r="E36" s="6"/>
      <c r="F36" s="6"/>
      <c r="G36" s="6"/>
      <c r="H36" s="6"/>
      <c r="I36" s="6"/>
      <c r="J36" s="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1" t="s">
        <v>77</v>
      </c>
      <c r="F40" s="121"/>
      <c r="G40" s="121"/>
      <c r="H40" s="121"/>
      <c r="I40" s="2" t="s">
        <v>31</v>
      </c>
      <c r="J40" s="2">
        <f>letterToNumber(A40)</f>
        <v>2</v>
      </c>
      <c r="K40" s="1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1"/>
      <c r="L41" s="1"/>
      <c r="M41" s="1"/>
    </row>
    <row r="42" spans="1:13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1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1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1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1"/>
      <c r="L46" s="1"/>
      <c r="M46" s="1"/>
    </row>
    <row r="47" spans="1:13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1"/>
      <c r="L47" s="1"/>
      <c r="M47" s="1"/>
    </row>
    <row r="48" spans="1:13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1"/>
      <c r="L48" s="1"/>
      <c r="M48" s="1"/>
    </row>
    <row r="49" spans="1:13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1"/>
      <c r="L49" s="1"/>
      <c r="M49" s="1"/>
    </row>
    <row r="50" spans="1:13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1"/>
      <c r="L50" s="1"/>
      <c r="M50" s="1"/>
    </row>
    <row r="51" spans="1:13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1"/>
      <c r="L51" s="1"/>
      <c r="M51" s="1"/>
    </row>
    <row r="52" spans="1:13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2" t="str">
        <f>IF(I53,"مقاس الدلف صحيح","مقاس الدلف غير صحيح")</f>
        <v>مقاس الدلف صحيح</v>
      </c>
      <c r="K52" s="1"/>
      <c r="L52" s="1"/>
      <c r="M52" s="1"/>
    </row>
    <row r="53" spans="1:13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2"/>
      <c r="K53" s="1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1"/>
      <c r="L54" s="1"/>
      <c r="M54" s="1"/>
    </row>
    <row r="55" spans="1:13" ht="15.6" customHeight="1" x14ac:dyDescent="0.3">
      <c r="A55" s="35">
        <v>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C57" s="6"/>
      <c r="D57" s="6"/>
      <c r="E57" s="6"/>
      <c r="F57" s="6"/>
      <c r="G57" s="6"/>
      <c r="H57" s="6"/>
      <c r="I57" s="6"/>
      <c r="J57" s="6"/>
      <c r="K57" s="1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/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/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/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/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/>
      <c r="L62" s="1"/>
      <c r="M62" s="1"/>
    </row>
    <row r="63" spans="1:13" x14ac:dyDescent="0.3">
      <c r="A63" s="35">
        <v>0</v>
      </c>
      <c r="C63" s="6"/>
      <c r="D63" s="6"/>
      <c r="E63" s="6"/>
      <c r="F63" s="6"/>
      <c r="G63" s="6"/>
      <c r="H63" s="6"/>
      <c r="I63" s="6"/>
      <c r="J63" s="6"/>
      <c r="K63" s="1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</row>
    <row r="73" spans="1:12" x14ac:dyDescent="0.3">
      <c r="A73" s="35">
        <v>0</v>
      </c>
      <c r="C73" s="6"/>
      <c r="D73" s="6"/>
      <c r="E73" s="6"/>
      <c r="F73" s="6"/>
      <c r="G73" s="6"/>
      <c r="H73" s="6"/>
      <c r="I73" s="6"/>
      <c r="J73" s="6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</row>
    <row r="81" spans="1:10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</row>
    <row r="82" spans="1:10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</row>
    <row r="83" spans="1:10" x14ac:dyDescent="0.3">
      <c r="A83" s="35">
        <v>0</v>
      </c>
      <c r="C83" s="6"/>
      <c r="D83" s="6"/>
      <c r="E83" s="6"/>
      <c r="F83" s="6"/>
      <c r="G83" s="6"/>
      <c r="H83" s="6"/>
      <c r="I83" s="6"/>
      <c r="J83" s="6"/>
    </row>
    <row r="84" spans="1:10" x14ac:dyDescent="0.3">
      <c r="A84" s="35">
        <v>0</v>
      </c>
      <c r="C84" s="6"/>
      <c r="D84" s="6"/>
      <c r="E84" s="6"/>
      <c r="F84" s="6"/>
      <c r="G84" s="6"/>
      <c r="H84" s="6"/>
      <c r="I84" s="6"/>
      <c r="J84" s="6"/>
    </row>
    <row r="85" spans="1:10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</row>
    <row r="86" spans="1:10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</row>
    <row r="87" spans="1:10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</row>
    <row r="88" spans="1:10" x14ac:dyDescent="0.3">
      <c r="A88" s="35">
        <v>0</v>
      </c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</row>
    <row r="90" spans="1:10" x14ac:dyDescent="0.3">
      <c r="A90" s="35">
        <v>255</v>
      </c>
    </row>
    <row r="91" spans="1:10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4" t="str">
        <f>IF(F101,"المقابض مظبوطة","مينفعش مقبض مخفي مع بيلت ان")</f>
        <v>المقابض مظبوطة</v>
      </c>
      <c r="G102" s="11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43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1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</row>
    <row r="15" spans="1:23" ht="15.6" customHeight="1" x14ac:dyDescent="0.3">
      <c r="A15" s="36">
        <v>0</v>
      </c>
      <c r="B15" s="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 s="15"/>
      <c r="C17" s="6"/>
      <c r="D17" s="6"/>
      <c r="E17" s="6"/>
      <c r="F17" s="6"/>
      <c r="G17" s="6"/>
      <c r="H17" s="6"/>
      <c r="I17" s="6"/>
      <c r="J17" s="6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3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</row>
    <row r="27" spans="1:11" ht="15.6" customHeight="1" x14ac:dyDescent="0.3">
      <c r="A27" s="36">
        <v>0</v>
      </c>
      <c r="B27" s="15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 s="15"/>
      <c r="C29" s="6"/>
      <c r="D29" s="6"/>
      <c r="E29" s="6"/>
      <c r="F29" s="6"/>
      <c r="G29" s="6"/>
      <c r="H29" s="6"/>
      <c r="I29" s="6"/>
      <c r="J29" s="6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3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</row>
    <row r="39" spans="1:11" ht="15.6" customHeight="1" x14ac:dyDescent="0.3">
      <c r="A39" s="36">
        <v>0</v>
      </c>
      <c r="B39" s="15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 s="15"/>
      <c r="C41" s="6"/>
      <c r="D41" s="6"/>
      <c r="E41" s="6"/>
      <c r="F41" s="6"/>
      <c r="G41" s="6"/>
      <c r="H41" s="6"/>
      <c r="I41" s="6"/>
      <c r="J41" s="6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2024-09-19T09:56:36Z</dcterms:modified>
</cp:coreProperties>
</file>