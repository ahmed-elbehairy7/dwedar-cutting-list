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A840F73D-2C05-4D21-A7BB-EBE22890FBEE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5" i="3" l="1"/>
  <c r="K49" i="11"/>
  <c r="H168" i="3" a="1"/>
  <c r="B168" i="3" a="1"/>
  <c r="E166" i="3" a="1"/>
  <c r="H165" i="3" a="1"/>
  <c r="B165" i="3" a="1"/>
  <c r="E164" i="3" a="1"/>
  <c r="H163" i="3" a="1"/>
  <c r="B163" i="3" a="1"/>
  <c r="E162" i="3" a="1"/>
  <c r="J166" i="3" a="1"/>
  <c r="J162" i="3" a="1"/>
  <c r="H162" i="3" a="1"/>
  <c r="J170" i="3" a="1"/>
  <c r="G168" i="3" a="1"/>
  <c r="G165" i="3" a="1"/>
  <c r="J164" i="3" a="1"/>
  <c r="E165" i="3" a="1"/>
  <c r="C166" i="3" a="1"/>
  <c r="F165" i="3" a="1"/>
  <c r="C164" i="3" a="1"/>
  <c r="C162" i="3" a="1"/>
  <c r="B166" i="3" a="1"/>
  <c r="E163" i="3" a="1"/>
  <c r="H164" i="3" a="1"/>
  <c r="E168" i="3" a="1"/>
  <c r="H166" i="3" a="1"/>
  <c r="B164" i="3" a="1"/>
  <c r="B162" i="3" a="1"/>
  <c r="G164" i="3" a="1"/>
  <c r="J168" i="3" a="1"/>
  <c r="J165" i="3" a="1"/>
  <c r="J163" i="3" a="1"/>
  <c r="C168" i="3" a="1"/>
  <c r="F166" i="3" a="1"/>
  <c r="C165" i="3" a="1"/>
  <c r="F164" i="3" a="1"/>
  <c r="C163" i="3" a="1"/>
  <c r="F162" i="3" a="1"/>
  <c r="J155" i="3"/>
  <c r="C62" i="11"/>
  <c r="C60" i="11"/>
  <c r="C59" i="11"/>
  <c r="C58" i="11"/>
  <c r="C57" i="11"/>
  <c r="C56" i="11"/>
  <c r="B57" i="11" a="1"/>
  <c r="G59" i="11" a="1"/>
  <c r="B58" i="11" a="1"/>
  <c r="H56" i="11" a="1"/>
  <c r="H62" i="11" a="1"/>
  <c r="B59" i="11" a="1"/>
  <c r="E57" i="11" a="1"/>
  <c r="J57" i="11" a="1"/>
  <c r="H57" i="11" a="1"/>
  <c r="H60" i="11" a="1"/>
  <c r="J64" i="11" a="1"/>
  <c r="J59" i="11" a="1"/>
  <c r="B60" i="11" a="1"/>
  <c r="J62" i="11" a="1"/>
  <c r="F60" i="11" a="1"/>
  <c r="F58" i="11" a="1"/>
  <c r="E62" i="11" a="1"/>
  <c r="G62" i="11" a="1"/>
  <c r="B62" i="11" a="1"/>
  <c r="J60" i="11" a="1"/>
  <c r="J58" i="11" a="1"/>
  <c r="H59" i="11" a="1"/>
  <c r="H58" i="11" a="1"/>
  <c r="F56" i="11" a="1"/>
  <c r="E59" i="11" a="1"/>
  <c r="E60" i="11" a="1"/>
  <c r="F59" i="11" a="1"/>
  <c r="J56" i="11" a="1"/>
  <c r="B56" i="11" a="1"/>
  <c r="E58" i="11" a="1"/>
  <c r="E56" i="11" a="1"/>
  <c r="G58" i="11" a="1"/>
  <c r="J49" i="11"/>
  <c r="I158" i="3" a="1"/>
  <c r="J158" i="3" a="1"/>
  <c r="J52" i="11" a="1"/>
  <c r="I52" i="11" a="1"/>
  <c r="I158" i="3" l="1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62" i="11"/>
  <c r="J52" i="11"/>
  <c r="H56" i="11"/>
  <c r="B60" i="11"/>
  <c r="H60" i="11"/>
  <c r="E62" i="11"/>
  <c r="F58" i="11"/>
  <c r="B56" i="11"/>
  <c r="I52" i="11"/>
  <c r="F60" i="11"/>
  <c r="B58" i="11"/>
  <c r="F59" i="11"/>
  <c r="G58" i="11"/>
  <c r="E59" i="11"/>
  <c r="J59" i="11"/>
  <c r="E57" i="11"/>
  <c r="G59" i="11"/>
  <c r="H58" i="11"/>
  <c r="J56" i="11"/>
  <c r="J58" i="11"/>
  <c r="J60" i="11"/>
  <c r="G62" i="11"/>
  <c r="J64" i="11"/>
  <c r="F56" i="11"/>
  <c r="J57" i="11"/>
  <c r="E56" i="11"/>
  <c r="B57" i="11"/>
  <c r="H57" i="11"/>
  <c r="E58" i="11"/>
  <c r="B59" i="11"/>
  <c r="H59" i="11"/>
  <c r="E60" i="11"/>
  <c r="B62" i="11"/>
  <c r="H62" i="11"/>
  <c r="K31" i="11"/>
  <c r="K13" i="11"/>
  <c r="G163" i="3" a="1"/>
  <c r="F163" i="3" a="1"/>
  <c r="G162" i="3" a="1"/>
  <c r="H38" i="11" a="1"/>
  <c r="J38" i="11" a="1"/>
  <c r="H39" i="11" a="1"/>
  <c r="H22" i="11" a="1"/>
  <c r="G26" i="11" a="1"/>
  <c r="J28" i="11" a="1"/>
  <c r="H26" i="11" a="1"/>
  <c r="C23" i="11" a="1"/>
  <c r="E23" i="11" a="1"/>
  <c r="G40" i="11" a="1"/>
  <c r="B41" i="11" a="1"/>
  <c r="F26" i="11" a="1"/>
  <c r="F21" i="11" a="1"/>
  <c r="C39" i="11" a="1"/>
  <c r="B22" i="11" a="1"/>
  <c r="J21" i="11" a="1"/>
  <c r="C42" i="11" a="1"/>
  <c r="H44" i="11" a="1"/>
  <c r="J46" i="11" a="1"/>
  <c r="B28" i="11" a="1"/>
  <c r="H21" i="11" a="1"/>
  <c r="B20" i="11" a="1"/>
  <c r="C28" i="11" a="1"/>
  <c r="B38" i="11" a="1"/>
  <c r="H28" i="11" a="1"/>
  <c r="F41" i="11" a="1"/>
  <c r="H25" i="11" a="1"/>
  <c r="F20" i="11" a="1"/>
  <c r="J40" i="11" a="1"/>
  <c r="E44" i="11" a="1"/>
  <c r="H42" i="11" a="1"/>
  <c r="J44" i="11" a="1"/>
  <c r="B39" i="11" a="1"/>
  <c r="C22" i="11" a="1"/>
  <c r="J25" i="11" a="1"/>
  <c r="F22" i="11" a="1"/>
  <c r="E22" i="11" a="1"/>
  <c r="C25" i="11" a="1"/>
  <c r="H41" i="11" a="1"/>
  <c r="C40" i="11" a="1"/>
  <c r="C44" i="11" a="1"/>
  <c r="F28" i="11" a="1"/>
  <c r="E28" i="11" a="1"/>
  <c r="J26" i="11" a="1"/>
  <c r="J22" i="11" a="1"/>
  <c r="G23" i="11" a="1"/>
  <c r="B21" i="11" a="1"/>
  <c r="G25" i="11" a="1"/>
  <c r="B40" i="11" a="1"/>
  <c r="E39" i="11" a="1"/>
  <c r="J31" i="11"/>
  <c r="E25" i="11" a="1"/>
  <c r="J13" i="11"/>
  <c r="E40" i="11" a="1"/>
  <c r="G41" i="11" a="1"/>
  <c r="F42" i="11" a="1"/>
  <c r="F23" i="11" a="1"/>
  <c r="F25" i="11" a="1"/>
  <c r="J20" i="11" a="1"/>
  <c r="J23" i="11" a="1"/>
  <c r="E42" i="11" a="1"/>
  <c r="E21" i="11" a="1"/>
  <c r="C20" i="11" a="1"/>
  <c r="G20" i="11" a="1"/>
  <c r="H40" i="11" a="1"/>
  <c r="E38" i="11" a="1"/>
  <c r="G21" i="11" a="1"/>
  <c r="B25" i="11" a="1"/>
  <c r="G44" i="11" a="1"/>
  <c r="B42" i="11" a="1"/>
  <c r="B44" i="11" a="1"/>
  <c r="C38" i="11" a="1"/>
  <c r="B26" i="11" a="1"/>
  <c r="G22" i="11" a="1"/>
  <c r="E26" i="11" a="1"/>
  <c r="H23" i="11" a="1"/>
  <c r="J42" i="11" a="1"/>
  <c r="C26" i="11" a="1"/>
  <c r="B23" i="11" a="1"/>
  <c r="J41" i="11" a="1"/>
  <c r="C21" i="11" a="1"/>
  <c r="G28" i="11" a="1"/>
  <c r="E41" i="11" a="1"/>
  <c r="C41" i="11" a="1"/>
  <c r="H20" i="11" a="1"/>
  <c r="F40" i="11" a="1"/>
  <c r="E20" i="11" a="1"/>
  <c r="F38" i="11" a="1"/>
  <c r="G14" i="11" a="1"/>
  <c r="F57" i="11" a="1"/>
  <c r="J34" i="11" a="1"/>
  <c r="I34" i="11" a="1"/>
  <c r="G57" i="11" a="1"/>
  <c r="G56" i="11" a="1"/>
  <c r="G57" i="11" l="1"/>
  <c r="G163" i="3"/>
  <c r="G162" i="3"/>
  <c r="F163" i="3"/>
  <c r="F57" i="11"/>
  <c r="G56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J41" i="11"/>
  <c r="J44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J38" i="11"/>
  <c r="J40" i="11"/>
  <c r="G41" i="11"/>
  <c r="J42" i="11"/>
  <c r="G44" i="11"/>
  <c r="J46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J39" i="11" a="1"/>
  <c r="G60" i="11" a="1"/>
  <c r="G39" i="11" a="1"/>
  <c r="F39" i="11" a="1"/>
  <c r="G166" i="3" a="1"/>
  <c r="G38" i="11" a="1"/>
  <c r="G166" i="3" l="1"/>
  <c r="G60" i="11"/>
  <c r="J39" i="11"/>
  <c r="F39" i="11"/>
  <c r="G39" i="11"/>
  <c r="G38" i="11"/>
  <c r="G42" i="11" a="1"/>
  <c r="G42" i="11" l="1"/>
  <c r="O22" i="8" a="1"/>
  <c r="E14" i="11" a="1"/>
  <c r="G16" i="11" a="1"/>
  <c r="I14" i="11" a="1"/>
  <c r="I14" i="11" l="1"/>
  <c r="G16" i="11"/>
  <c r="E14" i="11"/>
  <c r="O22" i="8"/>
  <c r="O23" i="8" a="1"/>
  <c r="D21" i="11" a="1"/>
  <c r="D25" i="11" a="1"/>
  <c r="D22" i="11" a="1"/>
  <c r="D20" i="11" a="1"/>
  <c r="D28" i="11" a="1"/>
  <c r="D26" i="11" a="1"/>
  <c r="D23" i="11" a="1"/>
  <c r="D28" i="11" l="1"/>
  <c r="D26" i="11"/>
  <c r="D25" i="11"/>
  <c r="D23" i="11"/>
  <c r="D22" i="11"/>
  <c r="D21" i="11"/>
  <c r="D20" i="11"/>
  <c r="O23" i="8"/>
  <c r="O24" i="8" a="1"/>
  <c r="I26" i="11" a="1"/>
  <c r="I25" i="11" a="1"/>
  <c r="I28" i="11" a="1"/>
  <c r="I21" i="11" a="1"/>
  <c r="I20" i="11" a="1"/>
  <c r="I23" i="11" a="1"/>
  <c r="I22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7" i="8" a="1"/>
  <c r="O28" i="8" a="1"/>
  <c r="O29" i="8" a="1"/>
  <c r="O30" i="8" a="1"/>
  <c r="O25" i="8" a="1"/>
  <c r="O31" i="8" a="1"/>
  <c r="O26" i="8" a="1"/>
  <c r="F19" i="8" a="1"/>
  <c r="O20" i="8" a="1"/>
  <c r="F26" i="8" a="1"/>
  <c r="I23" i="8" a="1"/>
  <c r="O21" i="8" a="1"/>
  <c r="L19" i="8" a="1"/>
  <c r="L20" i="8" a="1"/>
  <c r="F25" i="8" a="1"/>
  <c r="F24" i="8" a="1"/>
  <c r="I22" i="8" a="1"/>
  <c r="L21" i="8" a="1"/>
  <c r="F21" i="8" a="1"/>
  <c r="R19" i="8" a="1"/>
  <c r="F20" i="8" a="1"/>
  <c r="O19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I27" i="8" a="1"/>
  <c r="L25" i="8" a="1"/>
  <c r="R23" i="8" a="1"/>
  <c r="J132" i="3"/>
  <c r="R25" i="8" a="1"/>
  <c r="I28" i="8" a="1"/>
  <c r="J25" i="6"/>
  <c r="I31" i="8" a="1"/>
  <c r="L30" i="8" a="1"/>
  <c r="J37" i="6"/>
  <c r="F29" i="8" a="1"/>
  <c r="R21" i="8" a="1"/>
  <c r="L29" i="8" a="1"/>
  <c r="J31" i="7"/>
  <c r="R31" i="8" a="1"/>
  <c r="R27" i="8" a="1"/>
  <c r="R20" i="8" a="1"/>
  <c r="I30" i="8" a="1"/>
  <c r="R24" i="8" a="1"/>
  <c r="L27" i="8" a="1"/>
  <c r="F30" i="8" a="1"/>
  <c r="R30" i="8" a="1"/>
  <c r="L28" i="8" a="1"/>
  <c r="I29" i="8" a="1"/>
  <c r="R26" i="8" a="1"/>
  <c r="F28" i="8" a="1"/>
  <c r="F31" i="8" a="1"/>
  <c r="R29" i="8" a="1"/>
  <c r="R28" i="8" a="1"/>
  <c r="F27" i="8" a="1"/>
  <c r="R22" i="8" a="1"/>
  <c r="L24" i="8" a="1"/>
  <c r="J127" i="7"/>
  <c r="L31" i="8" a="1"/>
  <c r="J79" i="4"/>
  <c r="G50" i="11" a="1"/>
  <c r="J81" i="4" a="1"/>
  <c r="I152" i="4" a="1"/>
  <c r="G105" i="4" a="1"/>
  <c r="G152" i="4" a="1"/>
  <c r="G15" i="4" a="1"/>
  <c r="E50" i="11" a="1"/>
  <c r="G158" i="3" a="1"/>
  <c r="I50" i="11" a="1"/>
  <c r="F158" i="3" a="1"/>
  <c r="J15" i="4" a="1"/>
  <c r="G156" i="3" a="1"/>
  <c r="I132" i="4" a="1"/>
  <c r="J132" i="4" a="1"/>
  <c r="G34" i="11" a="1"/>
  <c r="I24" i="8" a="1"/>
  <c r="J36" i="4" a="1"/>
  <c r="E32" i="11" a="1"/>
  <c r="J152" i="4" a="1"/>
  <c r="I26" i="8" a="1"/>
  <c r="I21" i="8" a="1"/>
  <c r="I81" i="4" a="1"/>
  <c r="I105" i="4" a="1"/>
  <c r="G81" i="4" a="1"/>
  <c r="F34" i="11" a="1"/>
  <c r="I106" i="4" a="1"/>
  <c r="J131" i="4" a="1"/>
  <c r="G36" i="4" a="1"/>
  <c r="I57" i="4" a="1"/>
  <c r="I131" i="4" a="1"/>
  <c r="G32" i="11" a="1"/>
  <c r="I25" i="8" a="1"/>
  <c r="I15" i="4" a="1"/>
  <c r="I156" i="3" a="1"/>
  <c r="I36" i="4" a="1"/>
  <c r="I20" i="8" a="1"/>
  <c r="E156" i="3" a="1"/>
  <c r="I32" i="11" a="1"/>
  <c r="J106" i="4" a="1"/>
  <c r="G52" i="11" a="1"/>
  <c r="G57" i="4" a="1"/>
  <c r="J57" i="4" a="1"/>
  <c r="J105" i="4" a="1"/>
  <c r="F52" i="11" a="1"/>
  <c r="G131" i="4" a="1"/>
  <c r="G156" i="3" l="1"/>
  <c r="I156" i="3"/>
  <c r="E156" i="3"/>
  <c r="G158" i="3"/>
  <c r="F158" i="3"/>
  <c r="K170" i="3" s="1"/>
  <c r="F52" i="11"/>
  <c r="K64" i="11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66" i="7"/>
  <c r="J13" i="3"/>
  <c r="J86" i="7"/>
  <c r="J103" i="4"/>
  <c r="J48" i="3"/>
  <c r="J13" i="4"/>
  <c r="J68" i="3"/>
  <c r="J34" i="4"/>
  <c r="J109" i="3"/>
  <c r="J40" i="5"/>
  <c r="J150" i="4"/>
  <c r="J13" i="6"/>
  <c r="J107" i="7"/>
  <c r="J13" i="5"/>
  <c r="J89" i="3"/>
  <c r="J55" i="4"/>
  <c r="J13" i="7"/>
  <c r="J129" i="4"/>
  <c r="D165" i="3" a="1"/>
  <c r="D163" i="3" a="1"/>
  <c r="D162" i="3" a="1"/>
  <c r="D166" i="3" a="1"/>
  <c r="D164" i="3" a="1"/>
  <c r="D168" i="3" a="1"/>
  <c r="C64" i="11"/>
  <c r="I14" i="3" a="1"/>
  <c r="I111" i="3" a="1"/>
  <c r="F131" i="4" a="1"/>
  <c r="I70" i="3" a="1"/>
  <c r="D38" i="11" a="1"/>
  <c r="D60" i="11" a="1"/>
  <c r="I71" i="3" a="1"/>
  <c r="J110" i="7" a="1"/>
  <c r="I129" i="7" a="1"/>
  <c r="B170" i="3" a="1"/>
  <c r="J129" i="7" a="1"/>
  <c r="F168" i="3" a="1"/>
  <c r="C46" i="11" a="1"/>
  <c r="I88" i="7" a="1"/>
  <c r="I110" i="7" a="1"/>
  <c r="F81" i="4" a="1"/>
  <c r="D170" i="3" a="1"/>
  <c r="D56" i="11" a="1"/>
  <c r="F152" i="4" a="1"/>
  <c r="G134" i="3" a="1"/>
  <c r="G111" i="3" a="1"/>
  <c r="I68" i="7" a="1"/>
  <c r="H46" i="11" a="1"/>
  <c r="I109" i="7" a="1"/>
  <c r="F105" i="4" a="1"/>
  <c r="I16" i="3" a="1"/>
  <c r="D59" i="11" a="1"/>
  <c r="D39" i="11" a="1"/>
  <c r="I92" i="3" a="1"/>
  <c r="I50" i="3" a="1"/>
  <c r="D57" i="11" a="1"/>
  <c r="H170" i="3" a="1"/>
  <c r="E111" i="3" a="1"/>
  <c r="F44" i="11" a="1"/>
  <c r="I134" i="3" a="1"/>
  <c r="D41" i="11" a="1"/>
  <c r="E91" i="3" a="1"/>
  <c r="J89" i="7" a="1"/>
  <c r="B46" i="11" a="1"/>
  <c r="J71" i="3" a="1"/>
  <c r="F36" i="4" a="1"/>
  <c r="E50" i="3" a="1"/>
  <c r="D62" i="11" a="1"/>
  <c r="D42" i="11" a="1"/>
  <c r="F15" i="4" a="1"/>
  <c r="I91" i="3" a="1"/>
  <c r="D58" i="11" a="1"/>
  <c r="J88" i="7" a="1"/>
  <c r="E70" i="3" a="1"/>
  <c r="E170" i="3" a="1"/>
  <c r="J111" i="3" a="1"/>
  <c r="F57" i="4" a="1"/>
  <c r="E134" i="3" a="1"/>
  <c r="D44" i="11" a="1"/>
  <c r="J16" i="3" a="1"/>
  <c r="E46" i="11" a="1"/>
  <c r="J34" i="7" a="1"/>
  <c r="C170" i="3" a="1"/>
  <c r="J68" i="7" a="1"/>
  <c r="I34" i="7" a="1"/>
  <c r="J92" i="3" a="1"/>
  <c r="I89" i="7" a="1"/>
  <c r="G170" i="3" a="1"/>
  <c r="J70" i="3" a="1"/>
  <c r="J109" i="7" a="1"/>
  <c r="J50" i="3" a="1"/>
  <c r="F170" i="3" a="1"/>
  <c r="D40" i="11" a="1"/>
  <c r="G46" i="11" a="1"/>
  <c r="J134" i="3" a="1"/>
  <c r="J91" i="3" a="1"/>
  <c r="G16" i="3" a="1"/>
  <c r="F46" i="11" a="1"/>
  <c r="D46" i="11" a="1"/>
  <c r="F62" i="11" a="1"/>
  <c r="F168" i="3" l="1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F62" i="11"/>
  <c r="D62" i="11"/>
  <c r="D60" i="11"/>
  <c r="D58" i="11"/>
  <c r="D56" i="11"/>
  <c r="D57" i="11"/>
  <c r="D59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168" i="3" a="1"/>
  <c r="I162" i="3" a="1"/>
  <c r="I163" i="3" a="1"/>
  <c r="I164" i="3" a="1"/>
  <c r="I166" i="3" a="1"/>
  <c r="I165" i="3" a="1"/>
  <c r="I40" i="11" a="1"/>
  <c r="E109" i="7" a="1"/>
  <c r="I38" i="11" a="1"/>
  <c r="E64" i="11" a="1"/>
  <c r="I60" i="11" a="1"/>
  <c r="I32" i="7" a="1"/>
  <c r="I46" i="11" a="1"/>
  <c r="I59" i="11" a="1"/>
  <c r="I44" i="11" a="1"/>
  <c r="I41" i="11" a="1"/>
  <c r="E15" i="7" a="1"/>
  <c r="I170" i="3" a="1"/>
  <c r="B64" i="11" a="1"/>
  <c r="G64" i="11" a="1"/>
  <c r="F64" i="11" a="1"/>
  <c r="G34" i="7" a="1"/>
  <c r="I58" i="11" a="1"/>
  <c r="E68" i="7" a="1"/>
  <c r="I57" i="11" a="1"/>
  <c r="E88" i="7" a="1"/>
  <c r="I42" i="11" a="1"/>
  <c r="J15" i="7" a="1"/>
  <c r="I56" i="11" a="1"/>
  <c r="B34" i="7" a="1"/>
  <c r="F15" i="7" a="1"/>
  <c r="F88" i="7" a="1"/>
  <c r="G129" i="7" a="1"/>
  <c r="F109" i="7" a="1"/>
  <c r="F68" i="7" a="1"/>
  <c r="D64" i="11" a="1"/>
  <c r="E129" i="7" a="1"/>
  <c r="I62" i="11" a="1"/>
  <c r="I15" i="7" a="1"/>
  <c r="H64" i="11" a="1"/>
  <c r="F129" i="7" a="1"/>
  <c r="I39" i="11" a="1"/>
  <c r="I165" i="3" l="1"/>
  <c r="I163" i="3"/>
  <c r="I166" i="3"/>
  <c r="I164" i="3"/>
  <c r="I162" i="3"/>
  <c r="I168" i="3"/>
  <c r="I170" i="3"/>
  <c r="F64" i="11"/>
  <c r="E64" i="11"/>
  <c r="H64" i="11"/>
  <c r="B64" i="11"/>
  <c r="G64" i="11"/>
  <c r="D64" i="11"/>
  <c r="I59" i="11"/>
  <c r="I57" i="11"/>
  <c r="I56" i="11"/>
  <c r="I58" i="11"/>
  <c r="I60" i="11"/>
  <c r="I62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F61" i="4" a="1"/>
  <c r="F72" i="3" a="1"/>
  <c r="E14" i="6" a="1"/>
  <c r="F17" i="3" a="1"/>
  <c r="E38" i="6" a="1"/>
  <c r="I64" i="11" a="1"/>
  <c r="F51" i="3" a="1"/>
  <c r="F85" i="4" a="1"/>
  <c r="F93" i="3" a="1"/>
  <c r="F108" i="4" a="1"/>
  <c r="F19" i="4" a="1"/>
  <c r="F21" i="5" a="1"/>
  <c r="F112" i="3" a="1"/>
  <c r="F135" i="3" a="1"/>
  <c r="F156" i="4" a="1"/>
  <c r="F54" i="5" a="1"/>
  <c r="F40" i="4" a="1"/>
  <c r="E26" i="6" a="1"/>
  <c r="F134" i="4" a="1"/>
  <c r="I64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H135" i="3" a="1"/>
  <c r="D134" i="4" a="1"/>
  <c r="D93" i="3" a="1"/>
  <c r="F69" i="7" a="1"/>
  <c r="D21" i="5" a="1"/>
  <c r="D19" i="4" a="1"/>
  <c r="D156" i="4" a="1"/>
  <c r="H156" i="4" a="1"/>
  <c r="H93" i="3" a="1"/>
  <c r="H134" i="4" a="1"/>
  <c r="H112" i="3" a="1"/>
  <c r="D40" i="4" a="1"/>
  <c r="H51" i="3" a="1"/>
  <c r="F111" i="7" a="1"/>
  <c r="H54" i="5" a="1"/>
  <c r="F16" i="7" a="1"/>
  <c r="D54" i="5" a="1"/>
  <c r="D135" i="3" a="1"/>
  <c r="F35" i="7" a="1"/>
  <c r="H21" i="5" a="1"/>
  <c r="H40" i="4" a="1"/>
  <c r="H108" i="4" a="1"/>
  <c r="H19" i="4" a="1"/>
  <c r="H85" i="4" a="1"/>
  <c r="F90" i="7" a="1"/>
  <c r="D51" i="3" a="1"/>
  <c r="D85" i="4" a="1"/>
  <c r="H61" i="4" a="1"/>
  <c r="H72" i="3" a="1"/>
  <c r="D112" i="3" a="1"/>
  <c r="D61" i="4" a="1"/>
  <c r="D108" i="4" a="1"/>
  <c r="H17" i="3" a="1"/>
  <c r="F130" i="7" a="1"/>
  <c r="D72" i="3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130" i="7" a="1"/>
  <c r="H16" i="7" a="1"/>
  <c r="D90" i="7" a="1"/>
  <c r="H130" i="7" a="1"/>
  <c r="D69" i="7" a="1"/>
  <c r="H111" i="7" a="1"/>
  <c r="H35" i="7" a="1"/>
  <c r="D16" i="7" a="1"/>
  <c r="H69" i="7" a="1"/>
  <c r="H90" i="7" a="1"/>
  <c r="D111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<sst xmlns="http://schemas.openxmlformats.org/spreadsheetml/2006/main" count="1096" uniqueCount="186">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</sst>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45720</xdr:rowOff>
        </xdr:from>
        <xdr:to>
          <xdr:col>14</xdr:col>
          <xdr:colOff>175260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7" sqref="H27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7"/>
  <sheetViews>
    <sheetView tabSelected="1" zoomScale="85" zoomScaleNormal="85" workbookViewId="0">
      <pane ySplit="8" topLeftCell="A49" activePane="bottomLeft" state="frozen"/>
      <selection pane="bottomLeft" activeCell="M59" sqref="M59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/>
      <c r="D50" s="7"/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51">
        <v>1</v>
      </c>
      <c r="B51" s="15"/>
      <c r="C51" s="7" t="s">
        <v>12</v>
      </c>
      <c r="D51" s="7" t="s">
        <v>18</v>
      </c>
      <c r="E51" s="93"/>
      <c r="F51" s="93" t="s">
        <v>114</v>
      </c>
      <c r="G51" s="7" t="s">
        <v>16</v>
      </c>
      <c r="H51" s="7" t="s">
        <v>22</v>
      </c>
      <c r="I51" s="7" t="s">
        <v>3</v>
      </c>
      <c r="J51" s="7" t="s">
        <v>113</v>
      </c>
      <c r="K51" s="7"/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5</v>
      </c>
      <c r="E52" s="46"/>
      <c r="F52" s="27" t="b" cm="1">
        <f t="array" aca="1" ref="F52" ca="1">defaultValue(F51,K49)</f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7"/>
      <c r="BB52"/>
      <c r="BC52"/>
      <c r="BD52"/>
      <c r="BE52"/>
      <c r="BF52"/>
      <c r="BG52"/>
      <c r="BH52"/>
      <c r="BI52"/>
      <c r="BJ52"/>
    </row>
    <row r="53" spans="1:62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 t="s">
        <v>185</v>
      </c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0</v>
      </c>
      <c r="B55" s="15"/>
      <c r="K55" s="3"/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3</v>
      </c>
      <c r="B56" s="15" t="str" cm="1">
        <f t="array" ref="B56">visible(E49, K56)</f>
        <v>وحدة سفلية ادراج</v>
      </c>
      <c r="C56" s="6">
        <f>visible(1,K56)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visible((D52*C49),K60)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4</v>
      </c>
      <c r="B62" s="15" t="str" cm="1">
        <f t="array" ref="B62">visible(E49, K62)</f>
        <v>وحدة سفلية ادراج</v>
      </c>
      <c r="C62" s="9">
        <f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visible(((H52/C52)-0.5),K62)</f>
        <v>-0.5</v>
      </c>
      <c r="H62" s="9" cm="1">
        <f t="array" ref="H62">visible((C52*C49),K62)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0</v>
      </c>
      <c r="B63" s="15"/>
      <c r="K63" s="3"/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5</v>
      </c>
      <c r="B64" s="15" t="str" cm="1">
        <f t="array" aca="1" ref="B64" ca="1">visible(E49, K64)</f>
        <v>وحدة سفلية ادراج</v>
      </c>
      <c r="C64" s="19">
        <f ca="1">visible(7,K64)</f>
        <v>7</v>
      </c>
      <c r="D64" s="19" t="str" cm="1">
        <f t="array" aca="1" ref="D64" ca="1">visible((E50),K64)</f>
        <v>ظهر</v>
      </c>
      <c r="E64" s="19" t="str" cm="1">
        <f t="array" aca="1" ref="E64" ca="1">visible(("ظهر"),K64)</f>
        <v>ظهر</v>
      </c>
      <c r="F64" s="19" cm="1">
        <f t="array" aca="1" ref="F64" ca="1">visible((I52-2),K64)</f>
        <v>76</v>
      </c>
      <c r="G64" s="19" cm="1">
        <f t="array" aca="1" ref="G64" ca="1">visible((H52-2),K64)</f>
        <v>-2</v>
      </c>
      <c r="H64" s="19" cm="1">
        <f t="array" aca="1" ref="H64" ca="1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 t="b">
        <f ca="1">F52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  <c r="BB66"/>
      <c r="BC66"/>
      <c r="BD66"/>
      <c r="BE66"/>
      <c r="BF66"/>
      <c r="BG66"/>
      <c r="BH66"/>
      <c r="BI66"/>
      <c r="BJ66"/>
    </row>
    <row r="67" spans="1:62" x14ac:dyDescent="0.3">
      <c r="BB67"/>
      <c r="BC67"/>
      <c r="BD67"/>
      <c r="BE67"/>
      <c r="BF67"/>
      <c r="BG67"/>
      <c r="BH67"/>
      <c r="BI67"/>
      <c r="BJ67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4" t="s">
        <v>112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49" zoomScale="85" zoomScaleNormal="85" workbookViewId="0">
      <selection activeCell="C164" sqref="C164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6" t="s">
        <v>0</v>
      </c>
      <c r="D2" s="106"/>
      <c r="E2" s="106"/>
      <c r="F2" s="106"/>
      <c r="G2" s="106"/>
      <c r="H2" s="106"/>
      <c r="I2" s="106"/>
      <c r="J2" s="106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142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 t="s">
        <v>185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1" t="s">
        <v>23</v>
      </c>
      <c r="F48" s="102"/>
      <c r="G48" s="102"/>
      <c r="H48" s="103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5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5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 t="s">
        <v>185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1" t="s">
        <v>26</v>
      </c>
      <c r="F68" s="102"/>
      <c r="G68" s="102"/>
      <c r="H68" s="103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5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5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 t="s">
        <v>185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1" t="s">
        <v>29</v>
      </c>
      <c r="F89" s="102"/>
      <c r="G89" s="102"/>
      <c r="H89" s="103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5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5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 t="s">
        <v>185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1" t="s">
        <v>105</v>
      </c>
      <c r="F109" s="102"/>
      <c r="G109" s="102"/>
      <c r="H109" s="103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5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5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 t="s">
        <v>185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1" t="s">
        <v>162</v>
      </c>
      <c r="F132" s="102"/>
      <c r="G132" s="102"/>
      <c r="H132" s="103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 t="s">
        <v>185</v>
      </c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1" t="s">
        <v>184</v>
      </c>
      <c r="F155" s="102"/>
      <c r="G155" s="102"/>
      <c r="H155" s="103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93"/>
      <c r="F157" s="93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 t="s">
        <v>185</v>
      </c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e" cm="1">
        <f t="array" ref="D162">visible((I156),K162)</f>
        <v>#VALUE!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t="e" cm="1">
        <f t="array" ref="G162">visible((J158),K162)</f>
        <v>#VALUE!</v>
      </c>
      <c r="H162" s="6" cm="1">
        <f t="array" ref="H162">visible((C155),K162)</f>
        <v>1</v>
      </c>
      <c r="I162" s="6" t="e" cm="1">
        <f t="array" ref="I162">visible(materialNum(D162),K162)</f>
        <v>#VALUE!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e" cm="1">
        <f t="array" ref="D163">visible((I156),K163)</f>
        <v>#VALUE!</v>
      </c>
      <c r="E163" s="6" t="str" cm="1">
        <f t="array" ref="E163">visible(("أجناب"),K163)</f>
        <v>أجناب</v>
      </c>
      <c r="F163" s="6" t="e" cm="1">
        <f t="array" ref="F163">visible((I158),K163)</f>
        <v>#VALUE!</v>
      </c>
      <c r="G163" s="6" t="e" cm="1">
        <f t="array" ref="G163">visible((J158),K163)</f>
        <v>#VALUE!</v>
      </c>
      <c r="H163" s="6" cm="1">
        <f t="array" ref="H163">visible((2 *C155),K163)</f>
        <v>2</v>
      </c>
      <c r="I163" s="6" t="e" cm="1">
        <f t="array" ref="I163">visible(materialNum(D163),K163)</f>
        <v>#VALUE!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e" cm="1">
        <f t="array" ref="D164">visible((I156),K164)</f>
        <v>#VALUE!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t="e" cm="1">
        <f t="array" ref="I164">visible(materialNum(D164),K164)</f>
        <v>#VALUE!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e" cm="1">
        <f t="array" ref="D165">visible((I156),K165)</f>
        <v>#VALUE!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t="e" cm="1">
        <f t="array" ref="I165">visible(materialNum(D165),K165)</f>
        <v>#VALUE!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e" cm="1">
        <f t="array" ref="D166">visible((I156),K166)</f>
        <v>#VALUE!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t="e" cm="1">
        <f t="array" ref="I166">visible(materialNum(D166),K166)</f>
        <v>#VALUE!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e" cm="1">
        <f t="array" ref="D168">visible((G156),K168)</f>
        <v>#VALUE!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t="e" cm="1">
        <f t="array" ref="I168">visible(materialNum(D168),K168)</f>
        <v>#VALUE!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6" t="s">
        <v>104</v>
      </c>
      <c r="D2" s="106"/>
      <c r="E2" s="106"/>
      <c r="F2" s="106"/>
      <c r="G2" s="106"/>
      <c r="H2" s="106"/>
      <c r="I2" s="106"/>
      <c r="J2" s="106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5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5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5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5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6" t="s">
        <v>43</v>
      </c>
      <c r="D2" s="106"/>
      <c r="E2" s="106"/>
      <c r="F2" s="106"/>
      <c r="G2" s="106"/>
      <c r="H2" s="106"/>
      <c r="I2" s="106"/>
      <c r="J2" s="106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2" t="b">
        <f ca="1">NOT(AND(F15&gt;0,G15&gt;0))</f>
        <v>1</v>
      </c>
      <c r="G16" s="112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1">
        <f>C15+D15</f>
        <v>1</v>
      </c>
      <c r="D17" s="111"/>
      <c r="E17" s="26">
        <v>10</v>
      </c>
      <c r="F17" s="113" t="str">
        <f ca="1">IF(F16,"المقابض مظبوطة","مينفعش مقبض مخفي مع بيلت ان")</f>
        <v>المقابض مظبوطة</v>
      </c>
      <c r="G17" s="113"/>
      <c r="H17" s="112" t="str">
        <f>IF(H16,"عدد الدلف صحيح","عدد الدلف غير صحيح")</f>
        <v>عدد الدلف صحيح</v>
      </c>
      <c r="I17" s="112"/>
      <c r="J17" s="112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2" t="b">
        <f>C17&lt;=2</f>
        <v>1</v>
      </c>
      <c r="D18" s="112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4" t="b">
        <f ca="1">NOT(AND(F36&gt;0,G36&gt;0))</f>
        <v>1</v>
      </c>
      <c r="G37" s="114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1">
        <f>C36+D36</f>
        <v>2</v>
      </c>
      <c r="D38" s="111"/>
      <c r="E38" s="7">
        <v>0</v>
      </c>
      <c r="F38" s="115" t="str">
        <f ca="1">IF(F37,"المقابض مظبوطة","مينفعش مقبض مخفي مع بيلت ان")</f>
        <v>المقابض مظبوطة</v>
      </c>
      <c r="G38" s="115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2" t="b">
        <f>C38&lt;=2</f>
        <v>1</v>
      </c>
      <c r="D39" s="112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2" t="b">
        <f ca="1">NOT(AND(F57&gt;0,G57&gt;0))</f>
        <v>1</v>
      </c>
      <c r="G58" s="109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1">
        <f>C57+D57</f>
        <v>2</v>
      </c>
      <c r="D59" s="111"/>
      <c r="E59" s="7" t="s">
        <v>106</v>
      </c>
      <c r="F59" s="116" t="str">
        <f ca="1">IF(F58,"المقابض مظبوطة","مينفعش مقبض مخفي مع بيلت ان")</f>
        <v>المقابض مظبوطة</v>
      </c>
      <c r="G59" s="116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2" t="b">
        <f>C59&lt;=2</f>
        <v>1</v>
      </c>
      <c r="D60" s="112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2" t="b">
        <f ca="1">NOT(AND(F81&gt;0,G81&gt;0))</f>
        <v>1</v>
      </c>
      <c r="G82" s="109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1">
        <f>C81+D81</f>
        <v>1</v>
      </c>
      <c r="D83" s="111"/>
      <c r="E83" s="7" t="s">
        <v>106</v>
      </c>
      <c r="F83" s="116" t="str">
        <f ca="1">IF(F82,"المقابض مظبوطة","مينفعش مقبض مخفي مع بيلت ان")</f>
        <v>المقابض مظبوطة</v>
      </c>
      <c r="G83" s="116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2" t="b">
        <f>C83&lt;=2</f>
        <v>1</v>
      </c>
      <c r="D84" s="112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2" t="b">
        <f ca="1">NOT(AND(F105&gt;0,G105&gt;0))</f>
        <v>1</v>
      </c>
      <c r="G106" s="112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5" t="str">
        <f ca="1">IF(F106,"المقابض مظبوطة","مينفعش مقبض مخفي مع بيلت ان")</f>
        <v>المقابض مظبوطة</v>
      </c>
      <c r="G107" s="115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2" t="b">
        <f ca="1">NOT(AND(F131&gt;0,G131&gt;0))</f>
        <v>1</v>
      </c>
      <c r="G132" s="112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5" t="str">
        <f ca="1">IF(F132,"المقابض مظبوطة","مينفعش مقبض مخفي مع بيلت ان")</f>
        <v>المقابض مظبوطة</v>
      </c>
      <c r="G133" s="115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7">
        <f>C152+D152</f>
        <v>1</v>
      </c>
      <c r="D154" s="108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09" t="b">
        <f>C154&lt;=2</f>
        <v>1</v>
      </c>
      <c r="D155" s="110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6" t="s">
        <v>64</v>
      </c>
      <c r="D2" s="106"/>
      <c r="E2" s="106"/>
      <c r="F2" s="106"/>
      <c r="G2" s="106"/>
      <c r="H2" s="106"/>
      <c r="I2" s="106"/>
      <c r="J2" s="106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7" t="s">
        <v>65</v>
      </c>
      <c r="F13" s="117"/>
      <c r="G13" s="117"/>
      <c r="H13" s="117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1">
        <f>G17+H17</f>
        <v>2</v>
      </c>
      <c r="D19" s="111"/>
      <c r="E19" s="8"/>
      <c r="F19" s="46"/>
      <c r="G19" s="46"/>
      <c r="H19" s="46"/>
      <c r="I19" s="8">
        <f>SUM(I17:I18)</f>
        <v>210</v>
      </c>
      <c r="J19" s="115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2" t="b">
        <f>C19&lt;=2</f>
        <v>1</v>
      </c>
      <c r="D20" s="112"/>
      <c r="E20" s="8"/>
      <c r="F20" s="8"/>
      <c r="G20" s="8"/>
      <c r="H20" s="8"/>
      <c r="I20" s="6" t="b">
        <f>I19=I15</f>
        <v>1</v>
      </c>
      <c r="J20" s="115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7" t="s">
        <v>76</v>
      </c>
      <c r="F40" s="117"/>
      <c r="G40" s="117"/>
      <c r="H40" s="117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1">
        <f>G47+H47</f>
        <v>0</v>
      </c>
      <c r="D52" s="111"/>
      <c r="E52" s="8"/>
      <c r="F52" s="46"/>
      <c r="G52" s="46"/>
      <c r="H52" s="46"/>
      <c r="I52" s="8">
        <f>SUM(I44:I51)</f>
        <v>220</v>
      </c>
      <c r="J52" s="115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2" t="b">
        <f>C52&lt;=2</f>
        <v>1</v>
      </c>
      <c r="D53" s="112"/>
      <c r="E53" s="8"/>
      <c r="F53" s="8"/>
      <c r="G53" s="8"/>
      <c r="H53" s="8"/>
      <c r="I53" s="6" t="b">
        <f>I52=I42</f>
        <v>1</v>
      </c>
      <c r="J53" s="115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2" t="b">
        <f>NOT(AND(F100&gt;0,G100&gt;0))</f>
        <v>1</v>
      </c>
      <c r="G101" s="112"/>
      <c r="I101" s="3" t="b">
        <f>_xlfn.XOR(I100&lt;=50,C102=2)</f>
        <v>0</v>
      </c>
    </row>
    <row r="102" spans="2:10" ht="24" hidden="1" customHeight="1" x14ac:dyDescent="0.3">
      <c r="C102" s="112">
        <f>C100+E100</f>
        <v>3</v>
      </c>
      <c r="D102" s="112"/>
      <c r="E102" s="33"/>
      <c r="F102" s="116" t="str">
        <f>IF(F101,"المقابض مظبوطة","مينفعش مقبض مخفي مع بيلت ان")</f>
        <v>المقابض مظبوطة</v>
      </c>
      <c r="G102" s="116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2" t="b">
        <f>C102&lt;=2</f>
        <v>0</v>
      </c>
      <c r="D103" s="112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2" t="b">
        <f>NOT(AND(F120&gt;0,G120&gt;0))</f>
        <v>1</v>
      </c>
      <c r="G121" s="112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6" t="str">
        <f>IF(F121,"المقابض مظبوطة","مينفعش مقبض مخفي مع بيلت ان")</f>
        <v>المقابض مظبوطة</v>
      </c>
      <c r="G122" s="116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2" t="b">
        <f>NOT(AND(F140&gt;0,G140&gt;0))</f>
        <v>1</v>
      </c>
      <c r="G141" s="112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6" t="str">
        <f>IF(F141,"المقابض مظبوطة","مينفعش مقبض مخفي مع بيلت ان")</f>
        <v>المقابض مظبوطة</v>
      </c>
      <c r="G142" s="116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8" t="s">
        <v>42</v>
      </c>
      <c r="D273" s="118"/>
      <c r="E273" s="118"/>
      <c r="F273" s="118"/>
      <c r="G273" s="118"/>
      <c r="H273" s="118"/>
      <c r="I273" s="118"/>
      <c r="J273" s="118"/>
      <c r="K273" s="118"/>
      <c r="L273" s="118"/>
      <c r="M273" s="118"/>
      <c r="N273" s="118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G10" sqref="G10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19" t="s">
        <v>103</v>
      </c>
      <c r="D2" s="120"/>
      <c r="E2" s="120"/>
      <c r="F2" s="120"/>
      <c r="G2" s="120"/>
      <c r="H2" s="120"/>
      <c r="I2" s="120"/>
      <c r="J2" s="121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2024-09-21T15:43:23Z</dcterms:modified>
</cp:coreProperties>
</file>