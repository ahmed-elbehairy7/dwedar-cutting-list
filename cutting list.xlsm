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B52A711E-E2CC-4C51-B74D-8DB82ECEF936}" xr6:coauthVersionLast="47" xr6:coauthVersionMax="47" xr10:uidLastSave="{00000000-0000-0000-0000-000000000000}"/>
  <bookViews>
    <workbookView xWindow="-108" yWindow="-108" windowWidth="23256" windowHeight="12456" tabRatio="627" activeTab="3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7" i="3" l="1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91" i="5"/>
  <c r="B90" i="5"/>
  <c r="B89" i="5"/>
  <c r="B86" i="5"/>
  <c r="B85" i="5"/>
  <c r="B84" i="5"/>
  <c r="B83" i="5"/>
  <c r="B82" i="5"/>
  <c r="B81" i="5"/>
  <c r="B80" i="5"/>
  <c r="B79" i="5"/>
  <c r="B78" i="5"/>
  <c r="B76" i="5"/>
  <c r="B75" i="5"/>
  <c r="B74" i="5"/>
  <c r="B73" i="5"/>
  <c r="B72" i="5"/>
  <c r="B71" i="5"/>
  <c r="B70" i="5"/>
  <c r="B69" i="5"/>
  <c r="B68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73" i="4"/>
  <c r="B171" i="4"/>
  <c r="B170" i="4"/>
  <c r="B168" i="4"/>
  <c r="B167" i="4"/>
  <c r="B166" i="4"/>
  <c r="B165" i="4"/>
  <c r="B164" i="4"/>
  <c r="B151" i="4"/>
  <c r="B149" i="4"/>
  <c r="B147" i="4"/>
  <c r="B146" i="4"/>
  <c r="B145" i="4"/>
  <c r="B144" i="4"/>
  <c r="B143" i="4"/>
  <c r="B142" i="4"/>
  <c r="B130" i="4"/>
  <c r="B129" i="4"/>
  <c r="B127" i="4"/>
  <c r="B126" i="4"/>
  <c r="B124" i="4"/>
  <c r="B123" i="4"/>
  <c r="B121" i="4"/>
  <c r="B120" i="4"/>
  <c r="B119" i="4"/>
  <c r="B118" i="4"/>
  <c r="B117" i="4"/>
  <c r="B116" i="4"/>
  <c r="B104" i="4"/>
  <c r="B102" i="4"/>
  <c r="B100" i="4"/>
  <c r="B99" i="4"/>
  <c r="B97" i="4"/>
  <c r="B96" i="4"/>
  <c r="B95" i="4"/>
  <c r="B94" i="4"/>
  <c r="B93" i="4"/>
  <c r="B80" i="4"/>
  <c r="B78" i="4"/>
  <c r="B76" i="4"/>
  <c r="B75" i="4"/>
  <c r="B73" i="4"/>
  <c r="B72" i="4"/>
  <c r="B71" i="4"/>
  <c r="B70" i="4"/>
  <c r="B69" i="4"/>
  <c r="B56" i="4"/>
  <c r="B54" i="4"/>
  <c r="B53" i="4"/>
  <c r="B51" i="4"/>
  <c r="B50" i="4"/>
  <c r="B49" i="4"/>
  <c r="B48" i="4"/>
  <c r="B35" i="4"/>
  <c r="B33" i="4"/>
  <c r="B32" i="4"/>
  <c r="B30" i="4"/>
  <c r="B29" i="4"/>
  <c r="B28" i="4"/>
  <c r="B27" i="4"/>
  <c r="F46" i="11" a="1"/>
  <c r="E85" i="3" a="1"/>
  <c r="B80" i="3" a="1"/>
  <c r="E67" i="3" a="1"/>
  <c r="F65" i="3" a="1"/>
  <c r="B60" i="3"/>
  <c r="B54" i="3"/>
  <c r="B48" i="3"/>
  <c r="F46" i="3" a="1"/>
  <c r="E84" i="3" a="1"/>
  <c r="H80" i="3" a="1"/>
  <c r="C79" i="3"/>
  <c r="E78" i="3" a="1"/>
  <c r="I73" i="3" a="1"/>
  <c r="E66" i="3" a="1"/>
  <c r="H62" i="3"/>
  <c r="G56" i="3" a="1"/>
  <c r="H55" i="3" a="1"/>
  <c r="C53" i="3"/>
  <c r="E52" i="3" a="1"/>
  <c r="G50" i="3" a="1"/>
  <c r="H49" i="3" a="1"/>
  <c r="G45" i="3" a="1"/>
  <c r="B44" i="3" a="1"/>
  <c r="E30" i="3" a="1"/>
  <c r="C27" i="3" a="1"/>
  <c r="E26" i="3" a="1"/>
  <c r="C24" i="3" a="1"/>
  <c r="C56" i="3"/>
  <c r="H30" i="3" a="1"/>
  <c r="B26" i="3" a="1"/>
  <c r="C85" i="3"/>
  <c r="F81" i="3" a="1"/>
  <c r="F77" i="3" a="1"/>
  <c r="J70" i="3"/>
  <c r="C67" i="3"/>
  <c r="E65" i="3" a="1"/>
  <c r="H61" i="3"/>
  <c r="C59" i="3"/>
  <c r="B53" i="3"/>
  <c r="C47" i="3"/>
  <c r="E46" i="3" a="1"/>
  <c r="H44" i="3" a="1"/>
  <c r="C43" i="3"/>
  <c r="B85" i="3"/>
  <c r="E82" i="3" a="1"/>
  <c r="G80" i="3" a="1"/>
  <c r="B79" i="3" a="1"/>
  <c r="B67" i="3"/>
  <c r="C66" i="3"/>
  <c r="G62" i="3" a="1"/>
  <c r="H60" i="3"/>
  <c r="E57" i="3" a="1"/>
  <c r="F56" i="3" a="1"/>
  <c r="G55" i="3" a="1"/>
  <c r="H54" i="3" a="1"/>
  <c r="C52" i="3"/>
  <c r="E51" i="3" a="1"/>
  <c r="F50" i="3" a="1"/>
  <c r="G49" i="3" a="1"/>
  <c r="H48" i="3" a="1"/>
  <c r="F45" i="3" a="1"/>
  <c r="F28" i="3" a="1"/>
  <c r="H27" i="3" a="1"/>
  <c r="B27" i="3" a="1"/>
  <c r="H24" i="3" a="1"/>
  <c r="B24" i="3" a="1"/>
  <c r="E80" i="3" a="1"/>
  <c r="E62" i="3" a="1"/>
  <c r="G53" i="3" a="1"/>
  <c r="E49" i="3" a="1"/>
  <c r="B30" i="3" a="1"/>
  <c r="C84" i="3"/>
  <c r="E81" i="3" a="1"/>
  <c r="H79" i="3" a="1"/>
  <c r="C78" i="3"/>
  <c r="E77" i="3" a="1"/>
  <c r="B66" i="3"/>
  <c r="C65" i="3"/>
  <c r="G61" i="3" a="1"/>
  <c r="B59" i="3" a="1"/>
  <c r="B52" i="3"/>
  <c r="B47" i="3" a="1"/>
  <c r="B43" i="3" a="1"/>
  <c r="H84" i="3" a="1"/>
  <c r="C77" i="3"/>
  <c r="E55" i="3" a="1"/>
  <c r="F24" i="3" a="1"/>
  <c r="C82" i="3"/>
  <c r="F80" i="3" a="1"/>
  <c r="B65" i="3"/>
  <c r="G60" i="3" a="1"/>
  <c r="H59" i="3" a="1"/>
  <c r="C57" i="3"/>
  <c r="E56" i="3" a="1"/>
  <c r="F55" i="3" a="1"/>
  <c r="G54" i="3" a="1"/>
  <c r="H53" i="3" a="1"/>
  <c r="C51" i="3"/>
  <c r="E50" i="3" a="1"/>
  <c r="F49" i="3" a="1"/>
  <c r="G48" i="3" a="1"/>
  <c r="H47" i="3" a="1"/>
  <c r="C46" i="3"/>
  <c r="E45" i="3" a="1"/>
  <c r="H43" i="3" a="1"/>
  <c r="C30" i="3" a="1"/>
  <c r="E28" i="3" a="1"/>
  <c r="G27" i="3" a="1"/>
  <c r="C26" i="3" a="1"/>
  <c r="E25" i="3" a="1"/>
  <c r="J20" i="3" a="1"/>
  <c r="H78" i="3" a="1"/>
  <c r="H52" i="3" a="1"/>
  <c r="G47" i="3" a="1"/>
  <c r="F27" i="3" a="1"/>
  <c r="I20" i="3" a="1"/>
  <c r="H85" i="3"/>
  <c r="B84" i="3" a="1"/>
  <c r="B82" i="3"/>
  <c r="G79" i="3" a="1"/>
  <c r="B78" i="3" a="1"/>
  <c r="H67" i="3"/>
  <c r="B57" i="3"/>
  <c r="B51" i="3"/>
  <c r="C81" i="3"/>
  <c r="H66" i="3"/>
  <c r="G59" i="3" a="1"/>
  <c r="C50" i="3"/>
  <c r="B46" i="3" a="1"/>
  <c r="H26" i="3" a="1"/>
  <c r="J17" i="3"/>
  <c r="G85" i="3" a="1"/>
  <c r="F79" i="3" a="1"/>
  <c r="H65" i="3"/>
  <c r="E61" i="3" a="1"/>
  <c r="B56" i="3"/>
  <c r="B50" i="3"/>
  <c r="H46" i="3" a="1"/>
  <c r="C45" i="3"/>
  <c r="E44" i="3" a="1"/>
  <c r="J38" i="3" a="1"/>
  <c r="C60" i="3"/>
  <c r="G57" i="3" a="1"/>
  <c r="H56" i="3" a="1"/>
  <c r="E53" i="3" a="1"/>
  <c r="E47" i="3" a="1"/>
  <c r="C44" i="3"/>
  <c r="H28" i="3" a="1"/>
  <c r="H25" i="3" a="1"/>
  <c r="H82" i="3"/>
  <c r="B81" i="3" a="1"/>
  <c r="B77" i="3" a="1"/>
  <c r="C62" i="3"/>
  <c r="E60" i="3" a="1"/>
  <c r="H57" i="3" a="1"/>
  <c r="C55" i="3"/>
  <c r="E54" i="3" a="1"/>
  <c r="F53" i="3" a="1"/>
  <c r="G52" i="3" a="1"/>
  <c r="H51" i="3" a="1"/>
  <c r="C49" i="3"/>
  <c r="E48" i="3" a="1"/>
  <c r="F47" i="3" a="1"/>
  <c r="F43" i="3" a="1"/>
  <c r="G30" i="3" a="1"/>
  <c r="C28" i="3" a="1"/>
  <c r="E27" i="3" a="1"/>
  <c r="G26" i="3" a="1"/>
  <c r="C25" i="3" a="1"/>
  <c r="E24" i="3" a="1"/>
  <c r="J73" i="3" a="1"/>
  <c r="F52" i="3" a="1"/>
  <c r="H50" i="3" a="1"/>
  <c r="C48" i="3"/>
  <c r="H45" i="3" a="1"/>
  <c r="E43" i="3" a="1"/>
  <c r="F26" i="3" a="1"/>
  <c r="H81" i="3" a="1"/>
  <c r="C80" i="3"/>
  <c r="E79" i="3" a="1"/>
  <c r="H77" i="3" a="1"/>
  <c r="F67" i="3" a="1"/>
  <c r="B62" i="3"/>
  <c r="C61" i="3"/>
  <c r="B55" i="3"/>
  <c r="B49" i="3"/>
  <c r="G46" i="3" a="1"/>
  <c r="B45" i="3" a="1"/>
  <c r="I38" i="3" a="1"/>
  <c r="J35" i="3"/>
  <c r="F66" i="3" a="1"/>
  <c r="B61" i="3"/>
  <c r="E59" i="3" a="1"/>
  <c r="C54" i="3"/>
  <c r="G51" i="3" a="1"/>
  <c r="B28" i="3" a="1"/>
  <c r="B25" i="3" a="1"/>
  <c r="B164" i="3"/>
  <c r="B141" i="3"/>
  <c r="B108" i="3"/>
  <c r="B173" i="3"/>
  <c r="B163" i="3"/>
  <c r="B140" i="3"/>
  <c r="B106" i="3"/>
  <c r="B151" i="3"/>
  <c r="B150" i="3"/>
  <c r="B162" i="3"/>
  <c r="B139" i="3"/>
  <c r="B105" i="3"/>
  <c r="B128" i="3"/>
  <c r="B126" i="3"/>
  <c r="B122" i="3"/>
  <c r="B161" i="3"/>
  <c r="B138" i="3"/>
  <c r="B103" i="3"/>
  <c r="B174" i="3"/>
  <c r="B102" i="3"/>
  <c r="B101" i="3"/>
  <c r="B145" i="3"/>
  <c r="B168" i="3"/>
  <c r="B171" i="3"/>
  <c r="B148" i="3"/>
  <c r="B124" i="3"/>
  <c r="B100" i="3"/>
  <c r="B170" i="3"/>
  <c r="B123" i="3"/>
  <c r="B99" i="3"/>
  <c r="B167" i="3"/>
  <c r="B144" i="3"/>
  <c r="B121" i="3"/>
  <c r="B165" i="3"/>
  <c r="B119" i="3"/>
  <c r="B166" i="3"/>
  <c r="B143" i="3"/>
  <c r="B120" i="3"/>
  <c r="B142" i="3"/>
  <c r="B98" i="3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70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74" i="3"/>
  <c r="H173" i="3"/>
  <c r="H171" i="3"/>
  <c r="H170" i="3"/>
  <c r="H168" i="3"/>
  <c r="H167" i="3"/>
  <c r="H166" i="3"/>
  <c r="H165" i="3"/>
  <c r="H164" i="3"/>
  <c r="H163" i="3"/>
  <c r="H162" i="3"/>
  <c r="H161" i="3"/>
  <c r="H151" i="3"/>
  <c r="H150" i="3"/>
  <c r="H148" i="3"/>
  <c r="H145" i="3"/>
  <c r="H144" i="3"/>
  <c r="H143" i="3"/>
  <c r="H142" i="3"/>
  <c r="H141" i="3"/>
  <c r="H140" i="3"/>
  <c r="H139" i="3"/>
  <c r="H138" i="3"/>
  <c r="H128" i="3"/>
  <c r="H126" i="3"/>
  <c r="H124" i="3"/>
  <c r="H123" i="3"/>
  <c r="H122" i="3"/>
  <c r="H121" i="3"/>
  <c r="H120" i="3"/>
  <c r="H119" i="3"/>
  <c r="H108" i="3"/>
  <c r="H106" i="3"/>
  <c r="H105" i="3"/>
  <c r="H103" i="3"/>
  <c r="H102" i="3"/>
  <c r="H101" i="3"/>
  <c r="H100" i="3"/>
  <c r="H99" i="3"/>
  <c r="H98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91" i="5"/>
  <c r="G90" i="5"/>
  <c r="G89" i="5"/>
  <c r="G86" i="5"/>
  <c r="G85" i="5"/>
  <c r="G84" i="5"/>
  <c r="G83" i="5"/>
  <c r="G82" i="5"/>
  <c r="G81" i="5"/>
  <c r="G80" i="5"/>
  <c r="G79" i="5"/>
  <c r="G78" i="5"/>
  <c r="G76" i="5"/>
  <c r="G75" i="5"/>
  <c r="G74" i="5"/>
  <c r="G73" i="5"/>
  <c r="G72" i="5"/>
  <c r="G71" i="5"/>
  <c r="G70" i="5"/>
  <c r="G69" i="5"/>
  <c r="G68" i="5"/>
  <c r="G66" i="5"/>
  <c r="G65" i="5"/>
  <c r="G64" i="5"/>
  <c r="G63" i="5"/>
  <c r="G62" i="5"/>
  <c r="G41" i="5"/>
  <c r="G39" i="5"/>
  <c r="G38" i="5"/>
  <c r="G36" i="5"/>
  <c r="G35" i="5"/>
  <c r="G33" i="5"/>
  <c r="G32" i="5"/>
  <c r="G31" i="5"/>
  <c r="G30" i="5"/>
  <c r="G29" i="5"/>
  <c r="G173" i="4"/>
  <c r="G171" i="4"/>
  <c r="G170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33" i="4"/>
  <c r="G32" i="4"/>
  <c r="G173" i="3"/>
  <c r="G170" i="3"/>
  <c r="G168" i="3"/>
  <c r="G167" i="3"/>
  <c r="G166" i="3"/>
  <c r="G164" i="3"/>
  <c r="G163" i="3"/>
  <c r="G150" i="3"/>
  <c r="G145" i="3"/>
  <c r="G144" i="3"/>
  <c r="G143" i="3"/>
  <c r="G141" i="3"/>
  <c r="G140" i="3"/>
  <c r="G128" i="3"/>
  <c r="G124" i="3"/>
  <c r="G123" i="3"/>
  <c r="G122" i="3"/>
  <c r="G121" i="3"/>
  <c r="G119" i="3"/>
  <c r="G108" i="3"/>
  <c r="G106" i="3"/>
  <c r="G105" i="3"/>
  <c r="G103" i="3"/>
  <c r="G102" i="3"/>
  <c r="G101" i="3"/>
  <c r="G100" i="3"/>
  <c r="G98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91" i="5"/>
  <c r="F90" i="5"/>
  <c r="F89" i="5"/>
  <c r="F86" i="5"/>
  <c r="F85" i="5"/>
  <c r="F84" i="5"/>
  <c r="F83" i="5"/>
  <c r="F82" i="5"/>
  <c r="F81" i="5"/>
  <c r="F80" i="5"/>
  <c r="F79" i="5"/>
  <c r="F78" i="5"/>
  <c r="F76" i="5"/>
  <c r="F75" i="5"/>
  <c r="F74" i="5"/>
  <c r="F73" i="5"/>
  <c r="F72" i="5"/>
  <c r="F71" i="5"/>
  <c r="F70" i="5"/>
  <c r="F69" i="5"/>
  <c r="F68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74" i="3"/>
  <c r="F171" i="3"/>
  <c r="F168" i="3"/>
  <c r="F166" i="3"/>
  <c r="F165" i="3"/>
  <c r="F164" i="3"/>
  <c r="F163" i="3"/>
  <c r="F161" i="3"/>
  <c r="F151" i="3"/>
  <c r="F148" i="3"/>
  <c r="F145" i="3"/>
  <c r="F143" i="3"/>
  <c r="F142" i="3"/>
  <c r="F141" i="3"/>
  <c r="F140" i="3"/>
  <c r="F138" i="3"/>
  <c r="F124" i="3"/>
  <c r="F123" i="3"/>
  <c r="F122" i="3"/>
  <c r="F121" i="3"/>
  <c r="F119" i="3"/>
  <c r="F103" i="3"/>
  <c r="F101" i="3"/>
  <c r="F100" i="3"/>
  <c r="F98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70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74" i="3"/>
  <c r="E173" i="3"/>
  <c r="E171" i="3"/>
  <c r="E170" i="3"/>
  <c r="E168" i="3"/>
  <c r="E167" i="3"/>
  <c r="E166" i="3"/>
  <c r="E165" i="3"/>
  <c r="E164" i="3"/>
  <c r="E163" i="3"/>
  <c r="E162" i="3"/>
  <c r="E161" i="3"/>
  <c r="E151" i="3"/>
  <c r="E150" i="3"/>
  <c r="E148" i="3"/>
  <c r="E145" i="3"/>
  <c r="E144" i="3"/>
  <c r="E143" i="3"/>
  <c r="E142" i="3"/>
  <c r="E141" i="3"/>
  <c r="E140" i="3"/>
  <c r="E139" i="3"/>
  <c r="E138" i="3"/>
  <c r="E128" i="3"/>
  <c r="E126" i="3"/>
  <c r="E124" i="3"/>
  <c r="E123" i="3"/>
  <c r="E122" i="3"/>
  <c r="E121" i="3"/>
  <c r="E120" i="3"/>
  <c r="E119" i="3"/>
  <c r="E108" i="3"/>
  <c r="E106" i="3"/>
  <c r="E105" i="3"/>
  <c r="E103" i="3"/>
  <c r="E102" i="3"/>
  <c r="E101" i="3"/>
  <c r="E100" i="3"/>
  <c r="E99" i="3"/>
  <c r="E98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70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4" i="3"/>
  <c r="C173" i="3"/>
  <c r="C171" i="3"/>
  <c r="C170" i="3"/>
  <c r="C168" i="3"/>
  <c r="C167" i="3"/>
  <c r="C166" i="3"/>
  <c r="C165" i="3"/>
  <c r="C164" i="3"/>
  <c r="C163" i="3"/>
  <c r="C162" i="3"/>
  <c r="C161" i="3"/>
  <c r="C151" i="3"/>
  <c r="C150" i="3"/>
  <c r="C148" i="3"/>
  <c r="C145" i="3"/>
  <c r="C144" i="3"/>
  <c r="C143" i="3"/>
  <c r="C142" i="3"/>
  <c r="C141" i="3"/>
  <c r="C140" i="3"/>
  <c r="C139" i="3"/>
  <c r="C138" i="3"/>
  <c r="C128" i="3"/>
  <c r="C126" i="3"/>
  <c r="C124" i="3"/>
  <c r="C123" i="3"/>
  <c r="C122" i="3"/>
  <c r="C121" i="3"/>
  <c r="C120" i="3"/>
  <c r="C119" i="3"/>
  <c r="C108" i="3"/>
  <c r="C106" i="3"/>
  <c r="C105" i="3"/>
  <c r="C103" i="3"/>
  <c r="C102" i="3"/>
  <c r="C101" i="3"/>
  <c r="C100" i="3"/>
  <c r="C99" i="3"/>
  <c r="C98" i="3"/>
  <c r="B25" i="3" l="1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G30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G59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F25" i="3" a="1"/>
  <c r="F44" i="3" a="1"/>
  <c r="G78" i="3" a="1"/>
  <c r="G77" i="3" a="1"/>
  <c r="G24" i="3" a="1"/>
  <c r="G25" i="3" a="1"/>
  <c r="G43" i="3" a="1"/>
  <c r="G44" i="3" a="1"/>
  <c r="F85" i="3" a="1"/>
  <c r="F78" i="3" a="1"/>
  <c r="F82" i="3" a="1"/>
  <c r="J91" i="5"/>
  <c r="J90" i="5"/>
  <c r="J89" i="5"/>
  <c r="J39" i="5"/>
  <c r="J38" i="5"/>
  <c r="J171" i="4"/>
  <c r="J127" i="4"/>
  <c r="J126" i="4"/>
  <c r="J102" i="4"/>
  <c r="J78" i="4"/>
  <c r="J54" i="4"/>
  <c r="J33" i="4"/>
  <c r="F82" i="3" l="1"/>
  <c r="F78" i="3"/>
  <c r="F85" i="3"/>
  <c r="G44" i="3"/>
  <c r="G43" i="3"/>
  <c r="G25" i="3"/>
  <c r="G24" i="3"/>
  <c r="G77" i="3"/>
  <c r="G78" i="3"/>
  <c r="F44" i="3"/>
  <c r="F25" i="3"/>
  <c r="E73" i="3"/>
  <c r="G81" i="3" a="1"/>
  <c r="G28" i="3" a="1"/>
  <c r="G82" i="3" a="1"/>
  <c r="G82" i="3" l="1"/>
  <c r="G28" i="3"/>
  <c r="G81" i="3"/>
  <c r="G84" i="3" a="1"/>
  <c r="G84" i="3" l="1"/>
  <c r="K35" i="11" l="1"/>
  <c r="K17" i="11"/>
  <c r="G44" i="11" a="1"/>
  <c r="E29" i="11" a="1"/>
  <c r="H42" i="11" a="1"/>
  <c r="H30" i="11" a="1"/>
  <c r="B48" i="11" a="1"/>
  <c r="C29" i="11" a="1"/>
  <c r="C27" i="11" a="1"/>
  <c r="B24" i="11" a="1"/>
  <c r="F32" i="11" a="1"/>
  <c r="G48" i="11" a="1"/>
  <c r="G30" i="11" a="1"/>
  <c r="C46" i="11" a="1"/>
  <c r="H24" i="11" a="1"/>
  <c r="H44" i="11" a="1"/>
  <c r="H46" i="11" a="1"/>
  <c r="B29" i="11" a="1"/>
  <c r="F24" i="11" a="1"/>
  <c r="J17" i="11"/>
  <c r="H48" i="11" a="1"/>
  <c r="H45" i="11" a="1"/>
  <c r="H32" i="11" a="1"/>
  <c r="B45" i="11" a="1"/>
  <c r="C42" i="11" a="1"/>
  <c r="G26" i="11" a="1"/>
  <c r="C32" i="11" a="1"/>
  <c r="E45" i="11" a="1"/>
  <c r="F25" i="11" a="1"/>
  <c r="F29" i="11" a="1"/>
  <c r="F42" i="11" a="1"/>
  <c r="F26" i="11" a="1"/>
  <c r="F44" i="11" a="1"/>
  <c r="J35" i="11"/>
  <c r="C25" i="11" a="1"/>
  <c r="E43" i="11" a="1"/>
  <c r="E26" i="11" a="1"/>
  <c r="E27" i="11" a="1"/>
  <c r="G29" i="11" a="1"/>
  <c r="C26" i="11" a="1"/>
  <c r="C43" i="11" a="1"/>
  <c r="B32" i="11" a="1"/>
  <c r="H43" i="11" a="1"/>
  <c r="G27" i="11" a="1"/>
  <c r="B26" i="11" a="1"/>
  <c r="H25" i="11" a="1"/>
  <c r="G45" i="11" a="1"/>
  <c r="B30" i="11" a="1"/>
  <c r="C44" i="11" a="1"/>
  <c r="E44" i="11" a="1"/>
  <c r="H26" i="11" a="1"/>
  <c r="E25" i="11" a="1"/>
  <c r="E42" i="11" a="1"/>
  <c r="G25" i="11" a="1"/>
  <c r="B27" i="11" a="1"/>
  <c r="F45" i="11" a="1"/>
  <c r="G24" i="11" a="1"/>
  <c r="B44" i="11" a="1"/>
  <c r="B42" i="11" a="1"/>
  <c r="B46" i="11" a="1"/>
  <c r="B25" i="11" a="1"/>
  <c r="E32" i="11" a="1"/>
  <c r="E46" i="11" a="1"/>
  <c r="H27" i="11" a="1"/>
  <c r="E24" i="11" a="1"/>
  <c r="E48" i="11" a="1"/>
  <c r="H29" i="11" a="1"/>
  <c r="E30" i="11" a="1"/>
  <c r="F30" i="11" a="1"/>
  <c r="C48" i="11" a="1"/>
  <c r="C45" i="11" a="1"/>
  <c r="F27" i="11" a="1"/>
  <c r="C24" i="11" a="1"/>
  <c r="B43" i="11" a="1"/>
  <c r="G32" i="11" a="1"/>
  <c r="C30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92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92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7" i="4"/>
  <c r="C88" i="4" s="1"/>
  <c r="D86" i="4"/>
  <c r="C86" i="4"/>
  <c r="C63" i="4"/>
  <c r="H62" i="4" s="1"/>
  <c r="J29" i="6"/>
  <c r="J41" i="6"/>
  <c r="J83" i="4"/>
  <c r="G20" i="3" a="1"/>
  <c r="G73" i="3" a="1"/>
  <c r="G38" i="3" a="1"/>
  <c r="C36" i="3" a="1"/>
  <c r="C18" i="3" a="1"/>
  <c r="C71" i="3" a="1"/>
  <c r="E71" i="3" a="1"/>
  <c r="E36" i="3" a="1"/>
  <c r="E18" i="3" a="1"/>
  <c r="I71" i="3" a="1"/>
  <c r="I18" i="3" a="1"/>
  <c r="I36" i="3" a="1"/>
  <c r="G71" i="3" a="1"/>
  <c r="G36" i="3" a="1"/>
  <c r="G18" i="3" a="1"/>
  <c r="K38" i="3" a="1"/>
  <c r="J154" i="3"/>
  <c r="I38" i="11" a="1"/>
  <c r="G109" i="4" a="1"/>
  <c r="G40" i="4" a="1"/>
  <c r="J110" i="4" a="1"/>
  <c r="I109" i="4" a="1"/>
  <c r="I40" i="4" a="1"/>
  <c r="G19" i="4" a="1"/>
  <c r="G135" i="4" a="1"/>
  <c r="I135" i="4" a="1"/>
  <c r="J19" i="4" a="1"/>
  <c r="J85" i="4" a="1"/>
  <c r="C36" i="11" a="1"/>
  <c r="G38" i="11" a="1"/>
  <c r="I61" i="4" a="1"/>
  <c r="I136" i="4" a="1"/>
  <c r="J40" i="4" a="1"/>
  <c r="G156" i="4" a="1"/>
  <c r="J136" i="4" a="1"/>
  <c r="G61" i="4" a="1"/>
  <c r="J156" i="4" a="1"/>
  <c r="I85" i="4" a="1"/>
  <c r="J61" i="4" a="1"/>
  <c r="I19" i="4" a="1"/>
  <c r="I156" i="4" a="1"/>
  <c r="G85" i="4" a="1"/>
  <c r="I110" i="4" a="1"/>
  <c r="I36" i="11" a="1"/>
  <c r="J38" i="11" a="1"/>
  <c r="J109" i="4" a="1"/>
  <c r="J135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J85" i="4"/>
  <c r="G61" i="4"/>
  <c r="I61" i="4"/>
  <c r="J61" i="4"/>
  <c r="G40" i="4"/>
  <c r="I40" i="4"/>
  <c r="J40" i="4"/>
  <c r="G19" i="4"/>
  <c r="I19" i="4"/>
  <c r="J19" i="4"/>
  <c r="J17" i="6"/>
  <c r="J44" i="5"/>
  <c r="J17" i="5"/>
  <c r="J154" i="4"/>
  <c r="J17" i="4"/>
  <c r="J133" i="4"/>
  <c r="J107" i="4"/>
  <c r="J38" i="4"/>
  <c r="J59" i="4"/>
  <c r="G65" i="3" a="1"/>
  <c r="G67" i="3" a="1"/>
  <c r="G66" i="3" a="1"/>
  <c r="F57" i="3" a="1"/>
  <c r="F51" i="3" a="1"/>
  <c r="F48" i="3" a="1"/>
  <c r="F54" i="3" a="1"/>
  <c r="F64" i="3" a="1"/>
  <c r="G64" i="3" a="1"/>
  <c r="E64" i="3" a="1"/>
  <c r="C64" i="3"/>
  <c r="B64" i="3" a="1"/>
  <c r="H64" i="3" a="1"/>
  <c r="D30" i="3" a="1"/>
  <c r="F62" i="3" a="1"/>
  <c r="F59" i="3" a="1"/>
  <c r="F61" i="3" a="1"/>
  <c r="F60" i="3" a="1"/>
  <c r="D67" i="3"/>
  <c r="I67" i="3" s="1"/>
  <c r="J67" i="3" s="1"/>
  <c r="D66" i="3"/>
  <c r="I66" i="3" s="1"/>
  <c r="J66" i="3" s="1"/>
  <c r="D65" i="3"/>
  <c r="I65" i="3" s="1"/>
  <c r="J65" i="3" s="1"/>
  <c r="D64" i="3" a="1"/>
  <c r="F87" i="3" a="1"/>
  <c r="C87" i="3"/>
  <c r="B87" i="3" a="1"/>
  <c r="H87" i="3" a="1"/>
  <c r="G87" i="3" a="1"/>
  <c r="E87" i="3" a="1"/>
  <c r="D59" i="3" a="1"/>
  <c r="D62" i="3"/>
  <c r="I62" i="3" s="1"/>
  <c r="J62" i="3" s="1"/>
  <c r="D61" i="3"/>
  <c r="I61" i="3" s="1"/>
  <c r="J61" i="3" s="1"/>
  <c r="D60" i="3"/>
  <c r="I60" i="3" s="1"/>
  <c r="J60" i="3" s="1"/>
  <c r="F84" i="3" a="1"/>
  <c r="D85" i="3"/>
  <c r="I85" i="3" s="1"/>
  <c r="J85" i="3" s="1"/>
  <c r="D84" i="3" a="1"/>
  <c r="F30" i="3" a="1"/>
  <c r="D53" i="3"/>
  <c r="I53" i="3" s="1"/>
  <c r="J53" i="3" s="1"/>
  <c r="D47" i="3" a="1"/>
  <c r="D43" i="3" a="1"/>
  <c r="D52" i="3"/>
  <c r="I52" i="3" s="1"/>
  <c r="J52" i="3" s="1"/>
  <c r="D45" i="3" a="1"/>
  <c r="D57" i="3"/>
  <c r="I57" i="3" s="1"/>
  <c r="J57" i="3" s="1"/>
  <c r="D51" i="3"/>
  <c r="I51" i="3" s="1"/>
  <c r="J51" i="3" s="1"/>
  <c r="D46" i="3" a="1"/>
  <c r="D56" i="3"/>
  <c r="I56" i="3" s="1"/>
  <c r="J56" i="3" s="1"/>
  <c r="D50" i="3"/>
  <c r="I50" i="3" s="1"/>
  <c r="J50" i="3" s="1"/>
  <c r="D55" i="3"/>
  <c r="I55" i="3" s="1"/>
  <c r="J55" i="3" s="1"/>
  <c r="D49" i="3"/>
  <c r="I49" i="3" s="1"/>
  <c r="J49" i="3" s="1"/>
  <c r="D54" i="3"/>
  <c r="I54" i="3" s="1"/>
  <c r="J54" i="3" s="1"/>
  <c r="D48" i="3"/>
  <c r="I48" i="3" s="1"/>
  <c r="J48" i="3" s="1"/>
  <c r="D44" i="3" a="1"/>
  <c r="D24" i="3" a="1"/>
  <c r="D26" i="3" a="1"/>
  <c r="D25" i="3" a="1"/>
  <c r="D28" i="3" a="1"/>
  <c r="D27" i="3" a="1"/>
  <c r="D32" i="3" a="1"/>
  <c r="D79" i="3" a="1"/>
  <c r="D78" i="3" a="1"/>
  <c r="D82" i="3"/>
  <c r="I82" i="3" s="1"/>
  <c r="J82" i="3" s="1"/>
  <c r="D81" i="3" a="1"/>
  <c r="D77" i="3" a="1"/>
  <c r="D80" i="3" a="1"/>
  <c r="D87" i="3" a="1"/>
  <c r="F32" i="3" a="1"/>
  <c r="C32" i="3" a="1"/>
  <c r="H32" i="3" a="1"/>
  <c r="B32" i="3" a="1"/>
  <c r="G32" i="3" a="1"/>
  <c r="E32" i="3" a="1"/>
  <c r="J90" i="3"/>
  <c r="J111" i="3"/>
  <c r="J131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4" i="4"/>
  <c r="F50" i="4"/>
  <c r="F35" i="4"/>
  <c r="F33" i="4"/>
  <c r="F29" i="4"/>
  <c r="D43" i="11" a="1"/>
  <c r="E156" i="3" a="1"/>
  <c r="I113" i="3" a="1"/>
  <c r="I133" i="3" a="1"/>
  <c r="E92" i="3" a="1"/>
  <c r="J93" i="3" a="1"/>
  <c r="C50" i="11" a="1"/>
  <c r="J113" i="3" a="1"/>
  <c r="G133" i="3" a="1"/>
  <c r="J92" i="3" a="1"/>
  <c r="G156" i="3" a="1"/>
  <c r="F85" i="4" a="1"/>
  <c r="D46" i="11" a="1"/>
  <c r="I93" i="3" a="1"/>
  <c r="F156" i="4" a="1"/>
  <c r="D45" i="11" a="1"/>
  <c r="J156" i="3" a="1"/>
  <c r="G43" i="11" a="1"/>
  <c r="D42" i="11" a="1"/>
  <c r="B50" i="11" a="1"/>
  <c r="F19" i="4" a="1"/>
  <c r="I114" i="3" a="1"/>
  <c r="F135" i="4" a="1"/>
  <c r="G42" i="11" a="1"/>
  <c r="F61" i="4" a="1"/>
  <c r="E133" i="3" a="1"/>
  <c r="D44" i="11" a="1"/>
  <c r="J114" i="3" a="1"/>
  <c r="H50" i="11" a="1"/>
  <c r="F48" i="11" a="1"/>
  <c r="I156" i="3" a="1"/>
  <c r="G50" i="11" a="1"/>
  <c r="F40" i="4" a="1"/>
  <c r="F43" i="11" a="1"/>
  <c r="J133" i="3" a="1"/>
  <c r="E113" i="3" a="1"/>
  <c r="E50" i="11" a="1"/>
  <c r="F109" i="4" a="1"/>
  <c r="G46" i="11" a="1"/>
  <c r="E32" i="3" l="1"/>
  <c r="G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F30" i="3"/>
  <c r="D84" i="3"/>
  <c r="F84" i="3"/>
  <c r="D59" i="3"/>
  <c r="E87" i="3"/>
  <c r="G87" i="3"/>
  <c r="H87" i="3"/>
  <c r="B87" i="3"/>
  <c r="F87" i="3"/>
  <c r="D64" i="3"/>
  <c r="F60" i="3"/>
  <c r="F61" i="3"/>
  <c r="F59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48" i="11"/>
  <c r="F109" i="4"/>
  <c r="F40" i="4"/>
  <c r="F61" i="4"/>
  <c r="F156" i="4"/>
  <c r="F85" i="4"/>
  <c r="F135" i="4"/>
  <c r="F19" i="4"/>
  <c r="E86" i="4"/>
  <c r="H86" i="4"/>
  <c r="H87" i="4" s="1"/>
  <c r="E156" i="3"/>
  <c r="E133" i="3"/>
  <c r="E113" i="3"/>
  <c r="E92" i="3"/>
  <c r="G156" i="3"/>
  <c r="G133" i="3"/>
  <c r="I156" i="3"/>
  <c r="I133" i="3"/>
  <c r="I114" i="3"/>
  <c r="I113" i="3"/>
  <c r="I93" i="3"/>
  <c r="J156" i="3"/>
  <c r="J133" i="3"/>
  <c r="J113" i="3"/>
  <c r="J114" i="3"/>
  <c r="J93" i="3"/>
  <c r="J92" i="3"/>
  <c r="I32" i="3"/>
  <c r="J32" i="3" s="1"/>
  <c r="I84" i="3"/>
  <c r="J84" i="3" s="1"/>
  <c r="I27" i="3"/>
  <c r="J27" i="3" s="1"/>
  <c r="I30" i="3"/>
  <c r="J30" i="3" s="1"/>
  <c r="I45" i="3"/>
  <c r="J45" i="3" s="1"/>
  <c r="I43" i="3"/>
  <c r="J43" i="3" s="1"/>
  <c r="I79" i="3"/>
  <c r="J79" i="3" s="1"/>
  <c r="I28" i="3"/>
  <c r="J28" i="3" s="1"/>
  <c r="I59" i="3"/>
  <c r="J59" i="3" s="1"/>
  <c r="I26" i="3"/>
  <c r="J26" i="3" s="1"/>
  <c r="I25" i="3"/>
  <c r="J25" i="3" s="1"/>
  <c r="I46" i="3"/>
  <c r="J46" i="3" s="1"/>
  <c r="I64" i="3"/>
  <c r="J64" i="3" s="1"/>
  <c r="I24" i="3"/>
  <c r="J24" i="3" s="1"/>
  <c r="I87" i="3"/>
  <c r="J87" i="3" s="1"/>
  <c r="I44" i="3"/>
  <c r="J44" i="3" s="1"/>
  <c r="I80" i="3"/>
  <c r="J80" i="3" s="1"/>
  <c r="I77" i="3"/>
  <c r="J77" i="3" s="1"/>
  <c r="I81" i="3"/>
  <c r="J81" i="3" s="1"/>
  <c r="I78" i="3"/>
  <c r="J78" i="3" s="1"/>
  <c r="I47" i="3"/>
  <c r="J47" i="3" s="1"/>
  <c r="G149" i="4"/>
  <c r="G93" i="4"/>
  <c r="G70" i="4"/>
  <c r="G174" i="3"/>
  <c r="G165" i="3"/>
  <c r="G162" i="3"/>
  <c r="G161" i="3"/>
  <c r="G151" i="3"/>
  <c r="G148" i="3"/>
  <c r="G142" i="3"/>
  <c r="G139" i="3"/>
  <c r="G138" i="3"/>
  <c r="G120" i="3"/>
  <c r="G99" i="3"/>
  <c r="F170" i="4"/>
  <c r="F149" i="4"/>
  <c r="F124" i="4"/>
  <c r="F123" i="4"/>
  <c r="F99" i="4"/>
  <c r="F75" i="4"/>
  <c r="F53" i="4"/>
  <c r="F32" i="4"/>
  <c r="F173" i="3"/>
  <c r="F167" i="3"/>
  <c r="F162" i="3"/>
  <c r="F150" i="3"/>
  <c r="F144" i="3"/>
  <c r="F139" i="3"/>
  <c r="F128" i="3"/>
  <c r="F126" i="3"/>
  <c r="F120" i="3"/>
  <c r="F108" i="3"/>
  <c r="F105" i="3"/>
  <c r="F102" i="3"/>
  <c r="F99" i="3"/>
  <c r="F50" i="11" a="1"/>
  <c r="I44" i="11"/>
  <c r="I42" i="11"/>
  <c r="I45" i="11"/>
  <c r="I43" i="11"/>
  <c r="I46" i="11"/>
  <c r="F50" i="11" l="1"/>
  <c r="F86" i="4"/>
  <c r="F87" i="4" s="1"/>
  <c r="C158" i="4"/>
  <c r="F157" i="4"/>
  <c r="F158" i="4" s="1"/>
  <c r="D157" i="4"/>
  <c r="C157" i="4"/>
  <c r="G171" i="3"/>
  <c r="G126" i="3"/>
  <c r="F170" i="3"/>
  <c r="F106" i="3"/>
  <c r="J42" i="11"/>
  <c r="E18" i="6" a="1"/>
  <c r="F25" i="5" a="1"/>
  <c r="J45" i="11"/>
  <c r="F112" i="4" a="1"/>
  <c r="F65" i="4" a="1"/>
  <c r="F138" i="4" a="1"/>
  <c r="J43" i="11"/>
  <c r="E18" i="11" a="1"/>
  <c r="J44" i="11"/>
  <c r="F23" i="4" a="1"/>
  <c r="J46" i="11"/>
  <c r="D29" i="11" a="1"/>
  <c r="F94" i="3" a="1"/>
  <c r="E42" i="6" a="1"/>
  <c r="F160" i="4" a="1"/>
  <c r="F58" i="5" a="1"/>
  <c r="E30" i="6" a="1"/>
  <c r="F44" i="4" a="1"/>
  <c r="F89" i="4" a="1"/>
  <c r="F157" i="3" a="1"/>
  <c r="G36" i="11" a="1"/>
  <c r="F115" i="3" a="1"/>
  <c r="D30" i="11" a="1"/>
  <c r="F134" i="3" a="1"/>
  <c r="G36" i="11" l="1"/>
  <c r="E18" i="11"/>
  <c r="D29" i="11"/>
  <c r="D30" i="11"/>
  <c r="F160" i="4"/>
  <c r="F112" i="4"/>
  <c r="F89" i="4"/>
  <c r="F23" i="4"/>
  <c r="F138" i="4"/>
  <c r="F65" i="4"/>
  <c r="F44" i="4"/>
  <c r="F58" i="5"/>
  <c r="F25" i="5"/>
  <c r="E42" i="6"/>
  <c r="E30" i="6"/>
  <c r="E18" i="6"/>
  <c r="F157" i="3"/>
  <c r="F134" i="3"/>
  <c r="F115" i="3"/>
  <c r="F94" i="3"/>
  <c r="C159" i="4"/>
  <c r="H157" i="4"/>
  <c r="H158" i="4" s="1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171" i="3"/>
  <c r="D170" i="3"/>
  <c r="D148" i="3"/>
  <c r="D126" i="3"/>
  <c r="D106" i="3"/>
  <c r="D105" i="3"/>
  <c r="D157" i="3" a="1"/>
  <c r="D65" i="4" a="1"/>
  <c r="H94" i="3" a="1"/>
  <c r="D32" i="11" a="1"/>
  <c r="I35" i="5"/>
  <c r="D25" i="5" a="1"/>
  <c r="H89" i="4" a="1"/>
  <c r="I32" i="4"/>
  <c r="H134" i="3" a="1"/>
  <c r="H44" i="4" a="1"/>
  <c r="D89" i="4" a="1"/>
  <c r="I126" i="3"/>
  <c r="H115" i="3" a="1"/>
  <c r="H157" i="3" a="1"/>
  <c r="D138" i="4" a="1"/>
  <c r="I170" i="4"/>
  <c r="I29" i="11"/>
  <c r="H58" i="5" a="1"/>
  <c r="D44" i="4" a="1"/>
  <c r="D134" i="3" a="1"/>
  <c r="H160" i="4" a="1"/>
  <c r="D58" i="5" a="1"/>
  <c r="H23" i="4" a="1"/>
  <c r="D115" i="3" a="1"/>
  <c r="H25" i="5" a="1"/>
  <c r="H65" i="4" a="1"/>
  <c r="H138" i="4" a="1"/>
  <c r="D160" i="4" a="1"/>
  <c r="E36" i="11" a="1"/>
  <c r="D94" i="3" a="1"/>
  <c r="I149" i="4"/>
  <c r="D23" i="4" a="1"/>
  <c r="D48" i="11" a="1"/>
  <c r="I53" i="4"/>
  <c r="D112" i="4" a="1"/>
  <c r="I30" i="11"/>
  <c r="H112" i="4" a="1"/>
  <c r="D32" i="11" l="1"/>
  <c r="D48" i="11"/>
  <c r="E36" i="11"/>
  <c r="D138" i="4"/>
  <c r="D65" i="4"/>
  <c r="D89" i="4"/>
  <c r="D23" i="4"/>
  <c r="D160" i="4"/>
  <c r="D112" i="4"/>
  <c r="D44" i="4"/>
  <c r="H89" i="4"/>
  <c r="H160" i="4"/>
  <c r="H138" i="4"/>
  <c r="H23" i="4"/>
  <c r="H65" i="4"/>
  <c r="H112" i="4"/>
  <c r="H44" i="4"/>
  <c r="D58" i="5"/>
  <c r="D25" i="5"/>
  <c r="H25" i="5"/>
  <c r="H58" i="5"/>
  <c r="H157" i="3"/>
  <c r="H134" i="3"/>
  <c r="H115" i="3"/>
  <c r="H94" i="3"/>
  <c r="D157" i="3"/>
  <c r="D134" i="3"/>
  <c r="D115" i="3"/>
  <c r="D94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74" i="3"/>
  <c r="D173" i="3"/>
  <c r="I171" i="3"/>
  <c r="D168" i="3"/>
  <c r="D167" i="3"/>
  <c r="D166" i="3"/>
  <c r="D165" i="3"/>
  <c r="D164" i="3"/>
  <c r="D163" i="3"/>
  <c r="D162" i="3"/>
  <c r="D161" i="3"/>
  <c r="D151" i="3"/>
  <c r="D150" i="3"/>
  <c r="D145" i="3"/>
  <c r="D144" i="3"/>
  <c r="D143" i="3"/>
  <c r="D142" i="3"/>
  <c r="D141" i="3"/>
  <c r="D140" i="3"/>
  <c r="D139" i="3"/>
  <c r="D138" i="3"/>
  <c r="D128" i="3"/>
  <c r="D124" i="3"/>
  <c r="D123" i="3"/>
  <c r="D122" i="3"/>
  <c r="D121" i="3"/>
  <c r="D120" i="3"/>
  <c r="D119" i="3"/>
  <c r="D108" i="3"/>
  <c r="D103" i="3"/>
  <c r="D102" i="3"/>
  <c r="D100" i="3"/>
  <c r="D101" i="3"/>
  <c r="D99" i="3"/>
  <c r="D98" i="3"/>
  <c r="I82" i="5"/>
  <c r="I105" i="3"/>
  <c r="I47" i="6"/>
  <c r="I148" i="3"/>
  <c r="I108" i="3"/>
  <c r="J100" i="4"/>
  <c r="I93" i="5"/>
  <c r="I173" i="4"/>
  <c r="J35" i="5"/>
  <c r="I56" i="4"/>
  <c r="I48" i="6"/>
  <c r="I27" i="4"/>
  <c r="I24" i="6"/>
  <c r="I106" i="3"/>
  <c r="I32" i="11"/>
  <c r="J32" i="4"/>
  <c r="I150" i="3"/>
  <c r="I46" i="6"/>
  <c r="I84" i="5"/>
  <c r="I80" i="5"/>
  <c r="I37" i="6"/>
  <c r="I48" i="11"/>
  <c r="I75" i="4"/>
  <c r="I81" i="5"/>
  <c r="J79" i="5"/>
  <c r="I99" i="4"/>
  <c r="I36" i="5"/>
  <c r="J171" i="3"/>
  <c r="J170" i="4"/>
  <c r="I35" i="6"/>
  <c r="I35" i="4"/>
  <c r="J76" i="4"/>
  <c r="J30" i="11"/>
  <c r="I151" i="4"/>
  <c r="I22" i="6"/>
  <c r="I34" i="6"/>
  <c r="J126" i="3"/>
  <c r="I41" i="5"/>
  <c r="I128" i="3"/>
  <c r="I36" i="6"/>
  <c r="D50" i="11" a="1"/>
  <c r="I50" i="6"/>
  <c r="J124" i="4"/>
  <c r="I80" i="4"/>
  <c r="I85" i="5"/>
  <c r="I38" i="6"/>
  <c r="I25" i="6"/>
  <c r="I78" i="5"/>
  <c r="I173" i="3"/>
  <c r="I86" i="5"/>
  <c r="J29" i="11"/>
  <c r="I23" i="6"/>
  <c r="I49" i="6"/>
  <c r="I123" i="4"/>
  <c r="J53" i="4"/>
  <c r="J149" i="4"/>
  <c r="I170" i="3"/>
  <c r="I26" i="6"/>
  <c r="I83" i="5"/>
  <c r="I104" i="4"/>
  <c r="D50" i="11" l="1"/>
  <c r="I63" i="5"/>
  <c r="I30" i="5"/>
  <c r="I168" i="4"/>
  <c r="I143" i="4"/>
  <c r="I130" i="4"/>
  <c r="I119" i="4"/>
  <c r="I94" i="4"/>
  <c r="I71" i="4"/>
  <c r="I49" i="4"/>
  <c r="I122" i="3"/>
  <c r="I99" i="3"/>
  <c r="I121" i="4"/>
  <c r="I145" i="4"/>
  <c r="I144" i="4"/>
  <c r="I100" i="3"/>
  <c r="I124" i="3"/>
  <c r="J130" i="4"/>
  <c r="I141" i="3"/>
  <c r="J23" i="6"/>
  <c r="J25" i="6"/>
  <c r="I33" i="5"/>
  <c r="I151" i="3"/>
  <c r="I50" i="11"/>
  <c r="I68" i="5"/>
  <c r="I66" i="5"/>
  <c r="I32" i="5"/>
  <c r="J119" i="4"/>
  <c r="I129" i="4"/>
  <c r="I29" i="4"/>
  <c r="I119" i="3"/>
  <c r="I69" i="4"/>
  <c r="I102" i="3"/>
  <c r="I121" i="3"/>
  <c r="I50" i="4"/>
  <c r="I140" i="3"/>
  <c r="I93" i="4"/>
  <c r="J36" i="6"/>
  <c r="J173" i="4"/>
  <c r="J30" i="5"/>
  <c r="I144" i="3"/>
  <c r="J35" i="6"/>
  <c r="I145" i="3"/>
  <c r="I117" i="4"/>
  <c r="I168" i="3"/>
  <c r="I70" i="4"/>
  <c r="J34" i="6"/>
  <c r="J108" i="3"/>
  <c r="J48" i="6"/>
  <c r="J99" i="4"/>
  <c r="J38" i="6"/>
  <c r="I166" i="4"/>
  <c r="I161" i="3"/>
  <c r="J84" i="5"/>
  <c r="J105" i="3"/>
  <c r="J170" i="3"/>
  <c r="J27" i="4"/>
  <c r="I120" i="3"/>
  <c r="I164" i="4"/>
  <c r="J104" i="4"/>
  <c r="J46" i="6"/>
  <c r="J48" i="11"/>
  <c r="I76" i="5"/>
  <c r="I51" i="4"/>
  <c r="J26" i="6"/>
  <c r="J47" i="6"/>
  <c r="I167" i="4"/>
  <c r="I72" i="4"/>
  <c r="I28" i="4"/>
  <c r="J106" i="3"/>
  <c r="J151" i="4"/>
  <c r="J81" i="5"/>
  <c r="I64" i="5"/>
  <c r="J49" i="6"/>
  <c r="J37" i="6"/>
  <c r="I72" i="5"/>
  <c r="J122" i="3"/>
  <c r="I96" i="4"/>
  <c r="J123" i="4"/>
  <c r="I73" i="4"/>
  <c r="J94" i="4"/>
  <c r="I30" i="4"/>
  <c r="I138" i="3"/>
  <c r="J75" i="4"/>
  <c r="J71" i="4"/>
  <c r="J63" i="5"/>
  <c r="J85" i="5"/>
  <c r="J80" i="4"/>
  <c r="I139" i="3"/>
  <c r="J173" i="3"/>
  <c r="I123" i="3"/>
  <c r="J86" i="5"/>
  <c r="I69" i="5"/>
  <c r="I166" i="3"/>
  <c r="I147" i="4"/>
  <c r="I116" i="4"/>
  <c r="J148" i="3"/>
  <c r="J49" i="4"/>
  <c r="I143" i="3"/>
  <c r="I174" i="3"/>
  <c r="I73" i="5"/>
  <c r="J41" i="5"/>
  <c r="I29" i="5"/>
  <c r="J150" i="3"/>
  <c r="I167" i="3"/>
  <c r="J128" i="3"/>
  <c r="J50" i="6"/>
  <c r="I142" i="4"/>
  <c r="I120" i="4"/>
  <c r="J24" i="6"/>
  <c r="I70" i="5"/>
  <c r="I62" i="5"/>
  <c r="I48" i="4"/>
  <c r="I165" i="3"/>
  <c r="J168" i="4"/>
  <c r="I75" i="5"/>
  <c r="J93" i="5"/>
  <c r="I98" i="3"/>
  <c r="J56" i="4"/>
  <c r="I164" i="3"/>
  <c r="J143" i="4"/>
  <c r="J32" i="11"/>
  <c r="I95" i="4"/>
  <c r="I162" i="3"/>
  <c r="J99" i="3"/>
  <c r="J80" i="5"/>
  <c r="I165" i="4"/>
  <c r="J22" i="6"/>
  <c r="I97" i="4"/>
  <c r="I71" i="5"/>
  <c r="I101" i="3"/>
  <c r="I118" i="4"/>
  <c r="I163" i="3"/>
  <c r="J82" i="5"/>
  <c r="I74" i="5"/>
  <c r="I142" i="3"/>
  <c r="J83" i="5"/>
  <c r="I65" i="5"/>
  <c r="J78" i="5"/>
  <c r="J36" i="5"/>
  <c r="J35" i="4"/>
  <c r="I31" i="5"/>
  <c r="I103" i="3"/>
  <c r="I146" i="4"/>
  <c r="L82" i="5" l="1"/>
  <c r="L83" i="5"/>
  <c r="L79" i="5"/>
  <c r="L78" i="5"/>
  <c r="I56" i="5"/>
  <c r="I57" i="5" s="1"/>
  <c r="J56" i="5" s="1"/>
  <c r="C56" i="5"/>
  <c r="D55" i="5"/>
  <c r="C55" i="5"/>
  <c r="I23" i="5"/>
  <c r="I24" i="5" s="1"/>
  <c r="J23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3" i="5"/>
  <c r="C24" i="5" s="1"/>
  <c r="D22" i="5"/>
  <c r="C22" i="5"/>
  <c r="I140" i="5"/>
  <c r="D130" i="5"/>
  <c r="D133" i="5" s="1"/>
  <c r="F136" i="4"/>
  <c r="F137" i="4" s="1"/>
  <c r="F110" i="4"/>
  <c r="F111" i="4" s="1"/>
  <c r="J118" i="4"/>
  <c r="J121" i="4"/>
  <c r="J166" i="4"/>
  <c r="J141" i="3"/>
  <c r="J101" i="3"/>
  <c r="J164" i="3"/>
  <c r="J97" i="4"/>
  <c r="J62" i="5"/>
  <c r="J68" i="5"/>
  <c r="J123" i="3"/>
  <c r="J129" i="4"/>
  <c r="J165" i="3"/>
  <c r="J138" i="3"/>
  <c r="J73" i="5"/>
  <c r="J32" i="5"/>
  <c r="J69" i="4"/>
  <c r="J151" i="3"/>
  <c r="J48" i="4"/>
  <c r="J31" i="5"/>
  <c r="J116" i="4"/>
  <c r="J64" i="5"/>
  <c r="J161" i="3"/>
  <c r="J163" i="3"/>
  <c r="J165" i="4"/>
  <c r="J120" i="3"/>
  <c r="J147" i="4"/>
  <c r="J74" i="5"/>
  <c r="J29" i="4"/>
  <c r="J73" i="4"/>
  <c r="J162" i="3"/>
  <c r="J119" i="3"/>
  <c r="J103" i="3"/>
  <c r="J50" i="11"/>
  <c r="J140" i="3"/>
  <c r="J76" i="5"/>
  <c r="J143" i="3"/>
  <c r="J65" i="5"/>
  <c r="J166" i="3"/>
  <c r="J174" i="3"/>
  <c r="J167" i="4"/>
  <c r="J30" i="4"/>
  <c r="J66" i="5"/>
  <c r="J70" i="5"/>
  <c r="J168" i="3"/>
  <c r="J28" i="4"/>
  <c r="J146" i="4"/>
  <c r="J96" i="4"/>
  <c r="J145" i="3"/>
  <c r="J117" i="4"/>
  <c r="J50" i="4"/>
  <c r="J145" i="4"/>
  <c r="J69" i="5"/>
  <c r="J93" i="4"/>
  <c r="J167" i="3"/>
  <c r="J139" i="3"/>
  <c r="J98" i="3"/>
  <c r="J33" i="5"/>
  <c r="J75" i="5"/>
  <c r="J142" i="4"/>
  <c r="J144" i="4"/>
  <c r="J144" i="3"/>
  <c r="J95" i="4"/>
  <c r="J124" i="3"/>
  <c r="J71" i="5"/>
  <c r="J142" i="3"/>
  <c r="J51" i="4"/>
  <c r="J102" i="3"/>
  <c r="J29" i="5"/>
  <c r="J164" i="4"/>
  <c r="J72" i="5"/>
  <c r="J70" i="4"/>
  <c r="J72" i="4"/>
  <c r="J121" i="3"/>
  <c r="J100" i="3"/>
  <c r="J120" i="4"/>
  <c r="L81" i="5" l="1"/>
  <c r="D150" i="5"/>
  <c r="D155" i="5" s="1"/>
  <c r="C152" i="5"/>
  <c r="C153" i="5" s="1"/>
  <c r="D157" i="5"/>
  <c r="D158" i="5" s="1"/>
  <c r="I130" i="5"/>
  <c r="I157" i="5"/>
  <c r="C133" i="5"/>
  <c r="L77" i="5"/>
  <c r="C57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2" i="4"/>
  <c r="C64" i="4"/>
  <c r="F62" i="4"/>
  <c r="F63" i="4" s="1"/>
  <c r="D62" i="4"/>
  <c r="C62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3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0" i="4"/>
  <c r="F21" i="4" s="1"/>
  <c r="F41" i="4"/>
  <c r="F42" i="4" s="1"/>
  <c r="C42" i="4"/>
  <c r="D41" i="4"/>
  <c r="C41" i="4"/>
  <c r="C20" i="4"/>
  <c r="D20" i="4"/>
  <c r="C21" i="4"/>
  <c r="H20" i="4" l="1"/>
  <c r="H21" i="4" s="1"/>
  <c r="C43" i="4"/>
  <c r="C22" i="4"/>
  <c r="I41" i="4"/>
  <c r="I42" i="4" s="1"/>
  <c r="D147" i="3"/>
  <c r="I147" i="3"/>
  <c r="J147" i="3"/>
  <c r="B147" i="3"/>
  <c r="E147" i="3"/>
  <c r="C147" i="3"/>
  <c r="F147" i="3"/>
  <c r="H147" i="3"/>
  <c r="G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<sst xmlns="http://schemas.openxmlformats.org/spreadsheetml/2006/main" count="678" uniqueCount="136">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</sst>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143691</xdr:colOff>
          <xdr:row>9</xdr:row>
          <xdr:rowOff>152400</xdr:rowOff>
        </xdr:from>
        <xdr:to>
          <xdr:col>7</xdr:col>
          <xdr:colOff>372291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580207</xdr:colOff>
          <xdr:row>9</xdr:row>
          <xdr:rowOff>167640</xdr:rowOff>
        </xdr:from>
        <xdr:to>
          <xdr:col>10</xdr:col>
          <xdr:colOff>211182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364671</xdr:colOff>
          <xdr:row>9</xdr:row>
          <xdr:rowOff>158931</xdr:rowOff>
        </xdr:from>
        <xdr:to>
          <xdr:col>14</xdr:col>
          <xdr:colOff>163285</xdr:colOff>
          <xdr:row>11</xdr:row>
          <xdr:rowOff>143691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332015</xdr:colOff>
          <xdr:row>9</xdr:row>
          <xdr:rowOff>158931</xdr:rowOff>
        </xdr:from>
        <xdr:to>
          <xdr:col>16</xdr:col>
          <xdr:colOff>228601</xdr:colOff>
          <xdr:row>11</xdr:row>
          <xdr:rowOff>143691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183328</xdr:colOff>
          <xdr:row>10</xdr:row>
          <xdr:rowOff>44825</xdr:rowOff>
        </xdr:from>
        <xdr:to>
          <xdr:col>9</xdr:col>
          <xdr:colOff>804133</xdr:colOff>
          <xdr:row>11</xdr:row>
          <xdr:rowOff>141195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56030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56030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67235</xdr:colOff>
          <xdr:row>10</xdr:row>
          <xdr:rowOff>46355</xdr:rowOff>
        </xdr:from>
        <xdr:to>
          <xdr:col>13</xdr:col>
          <xdr:colOff>29135</xdr:colOff>
          <xdr:row>11</xdr:row>
          <xdr:rowOff>148365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234876</xdr:colOff>
          <xdr:row>10</xdr:row>
          <xdr:rowOff>33619</xdr:rowOff>
        </xdr:from>
        <xdr:to>
          <xdr:col>17</xdr:col>
          <xdr:colOff>361278</xdr:colOff>
          <xdr:row>11</xdr:row>
          <xdr:rowOff>151056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57D9D5C-15E7-CBE9-C18B-1B29FEF7C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536538</xdr:colOff>
          <xdr:row>10</xdr:row>
          <xdr:rowOff>33619</xdr:rowOff>
        </xdr:from>
        <xdr:to>
          <xdr:col>18</xdr:col>
          <xdr:colOff>323178</xdr:colOff>
          <xdr:row>11</xdr:row>
          <xdr:rowOff>151056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D668F3E-BF38-EB68-7D81-D07DAF8C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697774</xdr:colOff>
          <xdr:row>10</xdr:row>
          <xdr:rowOff>10886</xdr:rowOff>
        </xdr:from>
        <xdr:to>
          <xdr:col>10</xdr:col>
          <xdr:colOff>448491</xdr:colOff>
          <xdr:row>11</xdr:row>
          <xdr:rowOff>174171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10</xdr:row>
          <xdr:rowOff>22860</xdr:rowOff>
        </xdr:from>
        <xdr:to>
          <xdr:col>4</xdr:col>
          <xdr:colOff>685800</xdr:colOff>
          <xdr:row>11</xdr:row>
          <xdr:rowOff>186145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186145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1089</xdr:rowOff>
        </xdr:from>
        <xdr:to>
          <xdr:col>14</xdr:col>
          <xdr:colOff>60960</xdr:colOff>
          <xdr:row>11</xdr:row>
          <xdr:rowOff>164374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227511</xdr:colOff>
          <xdr:row>9</xdr:row>
          <xdr:rowOff>170906</xdr:rowOff>
        </xdr:from>
        <xdr:to>
          <xdr:col>17</xdr:col>
          <xdr:colOff>888274</xdr:colOff>
          <xdr:row>11</xdr:row>
          <xdr:rowOff>149134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B4FA50BE-C114-AD11-929B-3A0C8B3AE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1063534</xdr:colOff>
          <xdr:row>9</xdr:row>
          <xdr:rowOff>170906</xdr:rowOff>
        </xdr:from>
        <xdr:to>
          <xdr:col>18</xdr:col>
          <xdr:colOff>891539</xdr:colOff>
          <xdr:row>11</xdr:row>
          <xdr:rowOff>149134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B582EEF-95C6-92BF-EFB3-A40054FA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718457</xdr:colOff>
          <xdr:row>10</xdr:row>
          <xdr:rowOff>54428</xdr:rowOff>
        </xdr:from>
        <xdr:to>
          <xdr:col>10</xdr:col>
          <xdr:colOff>459377</xdr:colOff>
          <xdr:row>11</xdr:row>
          <xdr:rowOff>168728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20683</xdr:colOff>
          <xdr:row>10</xdr:row>
          <xdr:rowOff>54428</xdr:rowOff>
        </xdr:from>
        <xdr:to>
          <xdr:col>4</xdr:col>
          <xdr:colOff>721723</xdr:colOff>
          <xdr:row>11</xdr:row>
          <xdr:rowOff>176348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880655</xdr:colOff>
          <xdr:row>10</xdr:row>
          <xdr:rowOff>43542</xdr:rowOff>
        </xdr:from>
        <xdr:to>
          <xdr:col>7</xdr:col>
          <xdr:colOff>591095</xdr:colOff>
          <xdr:row>11</xdr:row>
          <xdr:rowOff>165462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43543</xdr:rowOff>
        </xdr:from>
        <xdr:to>
          <xdr:col>14</xdr:col>
          <xdr:colOff>213360</xdr:colOff>
          <xdr:row>11</xdr:row>
          <xdr:rowOff>157843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427807</xdr:colOff>
          <xdr:row>10</xdr:row>
          <xdr:rowOff>38100</xdr:rowOff>
        </xdr:from>
        <xdr:to>
          <xdr:col>17</xdr:col>
          <xdr:colOff>1040674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EF23461-CDE1-A26E-BBB1-FCF411A7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1215934</xdr:colOff>
          <xdr:row>10</xdr:row>
          <xdr:rowOff>38100</xdr:rowOff>
        </xdr:from>
        <xdr:to>
          <xdr:col>18</xdr:col>
          <xdr:colOff>978625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300283B3-5F6F-DB3B-1C66-EC1AC8C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25037</xdr:colOff>
          <xdr:row>10</xdr:row>
          <xdr:rowOff>7620</xdr:rowOff>
        </xdr:from>
        <xdr:to>
          <xdr:col>10</xdr:col>
          <xdr:colOff>390797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224245</xdr:rowOff>
        </xdr:from>
        <xdr:to>
          <xdr:col>14</xdr:col>
          <xdr:colOff>106680</xdr:colOff>
          <xdr:row>11</xdr:row>
          <xdr:rowOff>140425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285206</xdr:colOff>
          <xdr:row>10</xdr:row>
          <xdr:rowOff>11974</xdr:rowOff>
        </xdr:from>
        <xdr:to>
          <xdr:col>18</xdr:col>
          <xdr:colOff>224246</xdr:colOff>
          <xdr:row>11</xdr:row>
          <xdr:rowOff>133894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C0397C01-04B8-3BC5-0953-03F2D564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399506</xdr:colOff>
          <xdr:row>10</xdr:row>
          <xdr:rowOff>11974</xdr:rowOff>
        </xdr:from>
        <xdr:to>
          <xdr:col>20</xdr:col>
          <xdr:colOff>292826</xdr:colOff>
          <xdr:row>11</xdr:row>
          <xdr:rowOff>133894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51302AC3-F9FE-71BA-8663-9988787A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79" customFormat="1" ht="21" customHeight="1" x14ac:dyDescent="0.3">
      <c r="H1" s="80"/>
      <c r="K1" s="80"/>
      <c r="N1" s="80"/>
      <c r="Q1" s="80"/>
      <c r="T1" s="80"/>
      <c r="W1" s="80"/>
    </row>
    <row r="2" spans="1:23" s="79" customFormat="1" ht="31.2" x14ac:dyDescent="0.3">
      <c r="C2" s="92" t="s">
        <v>134</v>
      </c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80"/>
      <c r="T2" s="80"/>
      <c r="W2" s="80"/>
    </row>
    <row r="3" spans="1:23" s="81" customFormat="1" ht="16.8" customHeight="1" x14ac:dyDescent="0.3">
      <c r="B3" s="79" t="s">
        <v>108</v>
      </c>
    </row>
    <row r="4" spans="1:23" s="79" customFormat="1" ht="21" hidden="1" customHeight="1" x14ac:dyDescent="0.3">
      <c r="H4" s="80"/>
      <c r="K4" s="80"/>
      <c r="N4" s="80"/>
      <c r="Q4" s="80"/>
      <c r="T4" s="80"/>
      <c r="W4" s="80"/>
    </row>
    <row r="5" spans="1:23" s="79" customFormat="1" ht="21" hidden="1" customHeight="1" x14ac:dyDescent="0.3">
      <c r="H5" s="80"/>
      <c r="K5" s="80"/>
      <c r="N5" s="80"/>
      <c r="Q5" s="80"/>
      <c r="T5" s="80"/>
      <c r="W5" s="80"/>
    </row>
    <row r="6" spans="1:23" s="79" customFormat="1" ht="21" hidden="1" customHeight="1" x14ac:dyDescent="0.3">
      <c r="H6" s="80"/>
      <c r="K6" s="80"/>
      <c r="N6" s="80"/>
      <c r="Q6" s="80"/>
      <c r="T6" s="80"/>
      <c r="W6" s="80"/>
    </row>
    <row r="7" spans="1:23" s="79" customFormat="1" ht="21" hidden="1" customHeight="1" x14ac:dyDescent="0.3">
      <c r="H7" s="80"/>
      <c r="K7" s="80"/>
      <c r="N7" s="80"/>
      <c r="Q7" s="80"/>
      <c r="T7" s="80"/>
      <c r="W7" s="80"/>
    </row>
    <row r="8" spans="1:23" s="79" customFormat="1" ht="21" hidden="1" customHeight="1" x14ac:dyDescent="0.3">
      <c r="H8" s="80"/>
      <c r="K8" s="80"/>
      <c r="N8" s="80"/>
      <c r="Q8" s="80"/>
      <c r="T8" s="80"/>
      <c r="W8" s="80"/>
    </row>
    <row r="9" spans="1:23" s="79" customFormat="1" ht="21" hidden="1" customHeight="1" x14ac:dyDescent="0.3">
      <c r="H9" s="80"/>
      <c r="K9" s="80"/>
      <c r="N9" s="80"/>
      <c r="Q9" s="80"/>
      <c r="T9" s="80"/>
      <c r="W9" s="80"/>
    </row>
    <row r="10" spans="1:23" s="79" customFormat="1" ht="21" hidden="1" customHeight="1" x14ac:dyDescent="0.3">
      <c r="H10" s="80"/>
      <c r="K10" s="80"/>
      <c r="N10" s="80"/>
      <c r="Q10" s="80"/>
      <c r="T10" s="80"/>
      <c r="W10" s="80"/>
    </row>
    <row r="11" spans="1:23" s="79" customFormat="1" ht="21" hidden="1" customHeight="1" x14ac:dyDescent="0.3">
      <c r="H11" s="80"/>
      <c r="K11" s="80"/>
      <c r="N11" s="80"/>
      <c r="Q11" s="80"/>
      <c r="T11" s="80"/>
      <c r="W11" s="80"/>
    </row>
    <row r="12" spans="1:23" s="79" customFormat="1" hidden="1" x14ac:dyDescent="0.3">
      <c r="H12" s="80"/>
      <c r="K12" s="80"/>
      <c r="N12" s="80"/>
      <c r="Q12" s="80"/>
      <c r="T12" s="80"/>
      <c r="W12" s="80"/>
    </row>
    <row r="13" spans="1:23" customFormat="1" ht="21" customHeight="1" x14ac:dyDescent="0.3">
      <c r="A13" s="78"/>
    </row>
    <row r="14" spans="1:23" s="63" customFormat="1" ht="31.2" x14ac:dyDescent="0.3">
      <c r="A14" s="69"/>
    </row>
    <row r="15" spans="1:23" ht="31.2" x14ac:dyDescent="0.3">
      <c r="B15" s="49"/>
      <c r="C15" s="97" t="s">
        <v>116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30</v>
      </c>
      <c r="E16" s="47" t="s">
        <v>36</v>
      </c>
      <c r="F16" s="47" t="s">
        <v>34</v>
      </c>
      <c r="G16" s="47" t="s">
        <v>33</v>
      </c>
      <c r="H16" s="47" t="s">
        <v>32</v>
      </c>
      <c r="I16" s="47" t="s">
        <v>70</v>
      </c>
      <c r="J16" s="47" t="s">
        <v>31</v>
      </c>
      <c r="K16" s="47" t="s">
        <v>18</v>
      </c>
      <c r="L16" s="47" t="s">
        <v>35</v>
      </c>
      <c r="M16" s="47" t="s">
        <v>50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128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97" t="s">
        <v>117</v>
      </c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122</v>
      </c>
      <c r="E21" s="47" t="s">
        <v>118</v>
      </c>
      <c r="F21" s="47" t="s">
        <v>119</v>
      </c>
      <c r="G21" s="47" t="s">
        <v>120</v>
      </c>
      <c r="H21" s="47" t="s">
        <v>121</v>
      </c>
      <c r="I21" s="47" t="s">
        <v>123</v>
      </c>
      <c r="J21" s="47" t="s">
        <v>124</v>
      </c>
      <c r="K21" s="47" t="s">
        <v>125</v>
      </c>
      <c r="L21" s="47" t="s">
        <v>126</v>
      </c>
      <c r="M21" s="47" t="s">
        <v>127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128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95" t="s">
        <v>103</v>
      </c>
      <c r="D27" s="96"/>
      <c r="E27" s="63"/>
      <c r="F27" s="95" t="s">
        <v>0</v>
      </c>
      <c r="G27" s="96"/>
      <c r="H27" s="63"/>
      <c r="I27" s="95" t="s">
        <v>39</v>
      </c>
      <c r="J27" s="96"/>
      <c r="K27" s="63"/>
      <c r="L27" s="95" t="s">
        <v>54</v>
      </c>
      <c r="M27" s="96"/>
      <c r="N27" s="63"/>
      <c r="O27" s="95" t="s">
        <v>69</v>
      </c>
      <c r="P27" s="96"/>
    </row>
    <row r="28" spans="1:19" ht="21" customHeight="1" x14ac:dyDescent="0.3">
      <c r="A28" s="42"/>
      <c r="B28"/>
      <c r="C28" s="93">
        <f ca="1">_xlfn.SHEET("إعدادات")</f>
        <v>1</v>
      </c>
      <c r="D28" s="94"/>
      <c r="F28" s="93">
        <f ca="1">_xlfn.SHEET("وحدات سفلية")</f>
        <v>4</v>
      </c>
      <c r="G28" s="94"/>
      <c r="H28" s="46"/>
      <c r="I28" s="93">
        <f ca="1">_xlfn.SHEET("وحدات علوية")</f>
        <v>5</v>
      </c>
      <c r="J28" s="94"/>
      <c r="K28" s="46"/>
      <c r="L28" s="93">
        <f ca="1">_xlfn.SHEET("دواليب")</f>
        <v>6</v>
      </c>
      <c r="M28" s="94"/>
      <c r="N28" s="46"/>
      <c r="O28" s="93">
        <f ca="1">_xlfn.SHEET("تجاليد")</f>
        <v>7</v>
      </c>
      <c r="P28" s="94"/>
    </row>
    <row r="29" spans="1:19" ht="21" customHeight="1" x14ac:dyDescent="0.3">
      <c r="A29" s="42"/>
      <c r="B29"/>
      <c r="C29" s="50" t="str">
        <f>K16</f>
        <v>HPL</v>
      </c>
      <c r="D29" s="51" t="s">
        <v>27</v>
      </c>
      <c r="F29" s="50" t="str" cm="1">
        <f t="array" aca="1" ref="F29" ca="1">defaultValue(G29,$C$28)</f>
        <v>HPL</v>
      </c>
      <c r="G29" s="51" t="s">
        <v>27</v>
      </c>
      <c r="H29" s="46"/>
      <c r="I29" s="50" t="str" cm="1">
        <f t="array" aca="1" ref="I29" ca="1">defaultValue(J29,$C$28)</f>
        <v>HPL</v>
      </c>
      <c r="J29" s="51" t="s">
        <v>27</v>
      </c>
      <c r="K29" s="46"/>
      <c r="L29" s="50" t="str" cm="1">
        <f t="array" aca="1" ref="L29" ca="1">defaultValue(M29,$C$28)</f>
        <v>HPL</v>
      </c>
      <c r="M29" s="51" t="s">
        <v>27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28</v>
      </c>
      <c r="F30" s="52" t="str" cm="1">
        <f t="array" aca="1" ref="F30" ca="1">defaultValue(G30,$C$28)</f>
        <v>يوفيلاك</v>
      </c>
      <c r="G30" s="53" t="s">
        <v>28</v>
      </c>
      <c r="H30" s="46"/>
      <c r="I30" s="52" t="str" cm="1">
        <f t="array" aca="1" ref="I30" ca="1">defaultValue(J30,$C$28)</f>
        <v>يوفيلاك</v>
      </c>
      <c r="J30" s="53" t="s">
        <v>28</v>
      </c>
      <c r="K30" s="46"/>
      <c r="L30" s="52" t="str" cm="1">
        <f t="array" aca="1" ref="L30" ca="1">defaultValue(M30,$C$28)</f>
        <v>يوفيلاك</v>
      </c>
      <c r="M30" s="53" t="s">
        <v>28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50</v>
      </c>
      <c r="F31" s="55" t="str" cm="1">
        <f t="array" aca="1" ref="F31" ca="1">defaultValue(G31,$C$28)</f>
        <v>ظهر</v>
      </c>
      <c r="G31" s="56" t="s">
        <v>50</v>
      </c>
      <c r="H31" s="46"/>
      <c r="I31" s="66" t="str" cm="1">
        <f t="array" aca="1" ref="I31" ca="1">defaultValue(J31,$C$28)</f>
        <v>ظهر</v>
      </c>
      <c r="J31" s="67" t="s">
        <v>50</v>
      </c>
      <c r="K31" s="46"/>
      <c r="L31" s="66" t="str" cm="1">
        <f t="array" aca="1" ref="L31" ca="1">defaultValue(M31,$C$28)</f>
        <v>ظهر</v>
      </c>
      <c r="M31" s="67" t="s">
        <v>50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17</v>
      </c>
      <c r="F32" s="58">
        <v>56</v>
      </c>
      <c r="G32" s="60" t="s">
        <v>76</v>
      </c>
      <c r="H32" s="57"/>
      <c r="I32" s="58">
        <v>30</v>
      </c>
      <c r="J32" s="60" t="s">
        <v>76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14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77</v>
      </c>
      <c r="F34" s="58" cm="1">
        <f t="array" aca="1" ref="F34" ca="1">defaultValue(G34,$C$28)</f>
        <v>45</v>
      </c>
      <c r="G34" s="60" t="s">
        <v>17</v>
      </c>
      <c r="H34" s="46"/>
      <c r="I34" s="58" cm="1">
        <f t="array" aca="1" ref="I34" ca="1">defaultValue(J34,$C$28)</f>
        <v>45</v>
      </c>
      <c r="J34" s="60" t="s">
        <v>17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14</v>
      </c>
      <c r="H35" s="46"/>
      <c r="I35" s="58" cm="1">
        <f t="array" aca="1" ref="I35" ca="1">defaultValue(J35,$C$28)</f>
        <v>3.5</v>
      </c>
      <c r="J35" s="60" t="s">
        <v>14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77</v>
      </c>
      <c r="H36" s="46"/>
      <c r="I36" s="58">
        <v>0</v>
      </c>
      <c r="J36" s="60" t="s">
        <v>78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52"/>
  <sheetViews>
    <sheetView zoomScale="66" zoomScaleNormal="85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3" customFormat="1" x14ac:dyDescent="0.3">
      <c r="B1" s="83">
        <v>2</v>
      </c>
    </row>
    <row r="2" spans="1:15" s="83" customFormat="1" ht="31.2" x14ac:dyDescent="0.3">
      <c r="B2" s="83" t="s">
        <v>109</v>
      </c>
      <c r="D2" s="100" t="s">
        <v>132</v>
      </c>
      <c r="E2" s="100"/>
      <c r="F2" s="100"/>
      <c r="G2" s="100"/>
      <c r="H2" s="100"/>
      <c r="I2" s="100"/>
      <c r="J2" s="100"/>
      <c r="K2" s="100"/>
    </row>
    <row r="3" spans="1:15" s="83" customFormat="1" x14ac:dyDescent="0.3">
      <c r="B3" s="83" t="s">
        <v>108</v>
      </c>
    </row>
    <row r="4" spans="1:15" s="83" customFormat="1" ht="21" x14ac:dyDescent="0.4">
      <c r="D4" s="98" t="s">
        <v>131</v>
      </c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</row>
    <row r="5" spans="1:15" s="83" customFormat="1" x14ac:dyDescent="0.3">
      <c r="D5" s="82" cm="1">
        <f t="array" ref="D5:O6">woodMaterials[]</f>
        <v>0</v>
      </c>
      <c r="E5" s="82" t="str">
        <v>يوفيلاك</v>
      </c>
      <c r="F5" s="82" t="str">
        <v>بوليلاك</v>
      </c>
      <c r="G5" s="82" t="str">
        <v>Lumber J</v>
      </c>
      <c r="H5" s="82" t="str">
        <v>بولى بلس</v>
      </c>
      <c r="I5" s="82" t="str">
        <v>PVC</v>
      </c>
      <c r="J5" s="82" t="str">
        <v>بورديوم</v>
      </c>
      <c r="K5" s="82" t="str">
        <v>كونتر ميلامين</v>
      </c>
      <c r="L5" s="82" t="str">
        <v>HPL</v>
      </c>
      <c r="M5" s="82" t="str">
        <v>CPL</v>
      </c>
      <c r="N5" s="82" t="str">
        <v>ظهر</v>
      </c>
      <c r="O5" s="82">
        <v>0</v>
      </c>
    </row>
    <row r="6" spans="1:15" s="83" customFormat="1" x14ac:dyDescent="0.3">
      <c r="D6" s="82">
        <v>0</v>
      </c>
      <c r="E6" s="82">
        <v>6</v>
      </c>
      <c r="F6" s="82">
        <v>4</v>
      </c>
      <c r="G6" s="82">
        <v>4</v>
      </c>
      <c r="H6" s="82">
        <v>4</v>
      </c>
      <c r="I6" s="82">
        <v>4</v>
      </c>
      <c r="J6" s="82">
        <v>2</v>
      </c>
      <c r="K6" s="82">
        <v>2</v>
      </c>
      <c r="L6" s="82">
        <v>2</v>
      </c>
      <c r="M6" s="82">
        <v>2</v>
      </c>
      <c r="N6" s="82">
        <v>2</v>
      </c>
      <c r="O6" s="82" t="str">
        <v>الرقم</v>
      </c>
    </row>
    <row r="7" spans="1:15" s="83" customFormat="1" x14ac:dyDescent="0.3"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1:15" s="83" customFormat="1" ht="23.4" x14ac:dyDescent="0.45">
      <c r="D8" s="99" t="s">
        <v>117</v>
      </c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1:15" s="83" customFormat="1" x14ac:dyDescent="0.3">
      <c r="D9" s="82" cm="1">
        <f t="array" ref="D9:O10">blankMaterials[]</f>
        <v>0</v>
      </c>
      <c r="E9" s="82" t="str">
        <v>يوفيلاك سادة</v>
      </c>
      <c r="F9" s="82" t="str">
        <v>بوليلاك سادة</v>
      </c>
      <c r="G9" s="82" t="str">
        <v>Lumber J سادة</v>
      </c>
      <c r="H9" s="82" t="str">
        <v>بولى بلس سادة</v>
      </c>
      <c r="I9" s="82" t="str">
        <v>PVC سادة</v>
      </c>
      <c r="J9" s="82" t="str">
        <v>بورديوم سادة</v>
      </c>
      <c r="K9" s="82" t="str">
        <v>كونتر ميلامين سادة</v>
      </c>
      <c r="L9" s="82" t="str">
        <v>HPL سادة</v>
      </c>
      <c r="M9" s="82" t="str">
        <v>CPL سادة</v>
      </c>
      <c r="N9" s="82" t="str">
        <v>ظهر سادة</v>
      </c>
      <c r="O9" s="82">
        <v>0</v>
      </c>
    </row>
    <row r="10" spans="1:15" s="83" customFormat="1" x14ac:dyDescent="0.3">
      <c r="D10" s="82">
        <v>0</v>
      </c>
      <c r="E10" s="82">
        <v>5</v>
      </c>
      <c r="F10" s="82">
        <v>3</v>
      </c>
      <c r="G10" s="82">
        <v>3</v>
      </c>
      <c r="H10" s="82">
        <v>3</v>
      </c>
      <c r="I10" s="82">
        <v>3</v>
      </c>
      <c r="J10" s="82">
        <v>1</v>
      </c>
      <c r="K10" s="82">
        <v>1</v>
      </c>
      <c r="L10" s="82">
        <v>1</v>
      </c>
      <c r="M10" s="82">
        <v>1</v>
      </c>
      <c r="N10" s="82">
        <v>1</v>
      </c>
      <c r="O10" s="82" t="str">
        <v>الرقم</v>
      </c>
    </row>
    <row r="11" spans="1:15" s="83" customFormat="1" x14ac:dyDescent="0.3"/>
    <row r="12" spans="1:15" s="8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88</v>
      </c>
      <c r="B17" s="14"/>
      <c r="C17" s="13">
        <v>1</v>
      </c>
      <c r="D17" s="21" t="s">
        <v>51</v>
      </c>
      <c r="E17" s="101" t="s">
        <v>110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93</v>
      </c>
      <c r="B35" s="14"/>
      <c r="C35" s="13">
        <v>1</v>
      </c>
      <c r="D35" s="21" t="s">
        <v>51</v>
      </c>
      <c r="E35" s="101" t="s">
        <v>111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16</v>
      </c>
      <c r="E37" s="70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</sheetData>
  <mergeCells count="5"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 activeCell="H25" sqref="H25"/>
    </sheetView>
  </sheetViews>
  <sheetFormatPr defaultRowHeight="14.4" x14ac:dyDescent="0.3"/>
  <cols>
    <col min="1" max="1" width="10.77734375" style="71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72" customFormat="1" x14ac:dyDescent="0.3">
      <c r="B1" s="72">
        <v>1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</row>
    <row r="2" spans="2:63" s="72" customFormat="1" ht="31.2" x14ac:dyDescent="0.6">
      <c r="B2" s="72" t="s">
        <v>83</v>
      </c>
      <c r="C2" s="108" t="s">
        <v>133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</row>
    <row r="3" spans="2:63" s="72" customFormat="1" x14ac:dyDescent="0.3">
      <c r="R3" s="72" t="s">
        <v>0</v>
      </c>
      <c r="S3" s="72" t="s">
        <v>70</v>
      </c>
      <c r="T3" s="72" t="s">
        <v>39</v>
      </c>
      <c r="U3" s="72" t="s">
        <v>54</v>
      </c>
      <c r="V3" s="72" t="s">
        <v>69</v>
      </c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</row>
    <row r="4" spans="2:63" s="72" customFormat="1" ht="21" x14ac:dyDescent="0.4">
      <c r="E4" s="106" t="s">
        <v>131</v>
      </c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R4" s="72">
        <v>1</v>
      </c>
      <c r="S4" s="72">
        <v>2</v>
      </c>
      <c r="T4" s="72">
        <v>3</v>
      </c>
      <c r="U4" s="72">
        <v>4</v>
      </c>
      <c r="V4" s="72">
        <v>5</v>
      </c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</row>
    <row r="5" spans="2:63" s="72" customFormat="1" x14ac:dyDescent="0.3">
      <c r="E5" s="74" cm="1">
        <f t="array" ref="E5:P6">woodMaterials[]</f>
        <v>0</v>
      </c>
      <c r="F5" s="74" t="str">
        <v>يوفيلاك</v>
      </c>
      <c r="G5" s="74" t="str">
        <v>بوليلاك</v>
      </c>
      <c r="H5" s="74" t="str">
        <v>Lumber J</v>
      </c>
      <c r="I5" s="74" t="str">
        <v>بولى بلس</v>
      </c>
      <c r="J5" s="74" t="str">
        <v>PVC</v>
      </c>
      <c r="K5" s="74" t="str">
        <v>بورديوم</v>
      </c>
      <c r="L5" s="74" t="str">
        <v>كونتر ميلامين</v>
      </c>
      <c r="M5" s="74" t="str">
        <v>HPL</v>
      </c>
      <c r="N5" s="74" t="str">
        <v>CPL</v>
      </c>
      <c r="O5" s="74" t="str">
        <v>ظهر</v>
      </c>
      <c r="P5" s="74">
        <v>0</v>
      </c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</row>
    <row r="6" spans="2:63" s="72" customFormat="1" x14ac:dyDescent="0.3">
      <c r="E6" s="74">
        <v>0</v>
      </c>
      <c r="F6" s="74">
        <v>6</v>
      </c>
      <c r="G6" s="74">
        <v>4</v>
      </c>
      <c r="H6" s="74">
        <v>4</v>
      </c>
      <c r="I6" s="74">
        <v>4</v>
      </c>
      <c r="J6" s="74">
        <v>4</v>
      </c>
      <c r="K6" s="74">
        <v>2</v>
      </c>
      <c r="L6" s="74">
        <v>2</v>
      </c>
      <c r="M6" s="74">
        <v>2</v>
      </c>
      <c r="N6" s="74">
        <v>2</v>
      </c>
      <c r="O6" s="74">
        <v>2</v>
      </c>
      <c r="P6" s="74" t="str">
        <v>الرقم</v>
      </c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</row>
    <row r="7" spans="2:63" s="72" customFormat="1" ht="23.4" x14ac:dyDescent="0.45">
      <c r="E7" s="107" t="s">
        <v>117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</row>
    <row r="8" spans="2:63" s="72" customFormat="1" x14ac:dyDescent="0.3">
      <c r="E8" s="74" cm="1">
        <f t="array" ref="E8:P9">blankMaterials[]</f>
        <v>0</v>
      </c>
      <c r="F8" s="74" t="str">
        <v>يوفيلاك سادة</v>
      </c>
      <c r="G8" s="74" t="str">
        <v>بوليلاك سادة</v>
      </c>
      <c r="H8" s="74" t="str">
        <v>Lumber J سادة</v>
      </c>
      <c r="I8" s="74" t="str">
        <v>بولى بلس سادة</v>
      </c>
      <c r="J8" s="74" t="str">
        <v>PVC سادة</v>
      </c>
      <c r="K8" s="74" t="str">
        <v>بورديوم سادة</v>
      </c>
      <c r="L8" s="74" t="str">
        <v>كونتر ميلامين سادة</v>
      </c>
      <c r="M8" s="74" t="str">
        <v>HPL سادة</v>
      </c>
      <c r="N8" s="74" t="str">
        <v>CPL سادة</v>
      </c>
      <c r="O8" s="74" t="str">
        <v>ظهر سادة</v>
      </c>
      <c r="P8" s="74">
        <v>0</v>
      </c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</row>
    <row r="9" spans="2:63" s="72" customFormat="1" x14ac:dyDescent="0.3">
      <c r="E9" s="74">
        <v>0</v>
      </c>
      <c r="F9" s="74">
        <v>5</v>
      </c>
      <c r="G9" s="74">
        <v>3</v>
      </c>
      <c r="H9" s="74">
        <v>3</v>
      </c>
      <c r="I9" s="74">
        <v>3</v>
      </c>
      <c r="J9" s="74">
        <v>3</v>
      </c>
      <c r="K9" s="74">
        <v>1</v>
      </c>
      <c r="L9" s="74">
        <v>1</v>
      </c>
      <c r="M9" s="74">
        <v>1</v>
      </c>
      <c r="N9" s="74">
        <v>1</v>
      </c>
      <c r="O9" s="74">
        <v>1</v>
      </c>
      <c r="P9" s="74" t="str">
        <v>الرقم</v>
      </c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</row>
    <row r="10" spans="2:63" s="72" customFormat="1" x14ac:dyDescent="0.3"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</row>
    <row r="11" spans="2:63" s="72" customFormat="1" x14ac:dyDescent="0.3"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</row>
    <row r="12" spans="2:63" s="72" customFormat="1" x14ac:dyDescent="0.3"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abSelected="1" zoomScale="68" zoomScaleNormal="85" workbookViewId="0">
      <pane ySplit="12" topLeftCell="A122" activePane="bottomLeft" state="frozen"/>
      <selection activeCell="B1" sqref="B1"/>
      <selection pane="bottomLeft" activeCell="N131" sqref="N131"/>
    </sheetView>
  </sheetViews>
  <sheetFormatPr defaultRowHeight="15.6" x14ac:dyDescent="0.3"/>
  <cols>
    <col min="1" max="1" width="8.21875" style="42" hidden="1" customWidth="1"/>
    <col min="2" max="2" width="28.3320312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7" customFormat="1" x14ac:dyDescent="0.3">
      <c r="A1" s="87">
        <v>13</v>
      </c>
      <c r="B1" s="86">
        <v>7</v>
      </c>
    </row>
    <row r="2" spans="1:75" s="87" customFormat="1" ht="37.200000000000003" customHeight="1" x14ac:dyDescent="0.3">
      <c r="A2" s="87">
        <v>30</v>
      </c>
      <c r="B2" s="88" t="s">
        <v>79</v>
      </c>
      <c r="C2" s="111" t="s">
        <v>0</v>
      </c>
      <c r="D2" s="111"/>
      <c r="E2" s="111"/>
      <c r="F2" s="111"/>
      <c r="G2" s="111"/>
      <c r="H2" s="111"/>
      <c r="I2" s="111"/>
      <c r="J2" s="111"/>
      <c r="K2" s="111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</row>
    <row r="3" spans="1:75" s="87" customFormat="1" ht="18" customHeight="1" x14ac:dyDescent="0.3">
      <c r="B3" s="88" t="s">
        <v>104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75" s="87" customFormat="1" ht="21" x14ac:dyDescent="0.4">
      <c r="B4" s="88"/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</row>
    <row r="5" spans="1:75" s="87" customFormat="1" ht="14.4" x14ac:dyDescent="0.3">
      <c r="B5" s="88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</row>
    <row r="6" spans="1:75" s="87" customFormat="1" ht="14.4" x14ac:dyDescent="0.3">
      <c r="B6" s="88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</row>
    <row r="7" spans="1:75" s="89" customFormat="1" ht="21" x14ac:dyDescent="0.4">
      <c r="A7" s="87"/>
      <c r="B7" s="88"/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</row>
    <row r="8" spans="1:75" s="89" customFormat="1" ht="18" x14ac:dyDescent="0.3">
      <c r="A8" s="87"/>
      <c r="B8" s="88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</row>
    <row r="9" spans="1:75" s="89" customFormat="1" ht="18" x14ac:dyDescent="0.3">
      <c r="A9" s="87"/>
      <c r="B9" s="88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</row>
    <row r="10" spans="1:75" s="89" customFormat="1" ht="18" x14ac:dyDescent="0.3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</row>
    <row r="11" spans="1:75" s="89" customFormat="1" ht="18" x14ac:dyDescent="0.3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</row>
    <row r="12" spans="1:75" s="90" customFormat="1" ht="18" x14ac:dyDescent="0.3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</row>
    <row r="13" spans="1:75" customFormat="1" ht="14.4" x14ac:dyDescent="0.3">
      <c r="A13" s="75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3" t="s">
        <v>88</v>
      </c>
      <c r="C17" s="13">
        <v>1</v>
      </c>
      <c r="D17" s="21" t="s">
        <v>51</v>
      </c>
      <c r="E17" s="101" t="s">
        <v>135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2">
        <v>1</v>
      </c>
      <c r="C18" s="26" t="b" cm="1">
        <f t="array" aca="1" ref="C18" ca="1">defaultValue(D18,K17)</f>
        <v>1</v>
      </c>
      <c r="D18" s="70" t="s">
        <v>77</v>
      </c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2">
        <v>1</v>
      </c>
      <c r="C19" s="7" t="s">
        <v>12</v>
      </c>
      <c r="D19" s="7" t="s">
        <v>16</v>
      </c>
      <c r="E19" s="70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6">
        <v>1</v>
      </c>
      <c r="D20" s="26">
        <v>5</v>
      </c>
      <c r="E20" s="40"/>
      <c r="F20" s="7"/>
      <c r="G20" s="26" cm="1">
        <f t="array" aca="1" ref="G20" ca="1">defaultValue(G19,K17)</f>
        <v>3.5</v>
      </c>
      <c r="H20" s="8"/>
      <c r="I20" s="26" cm="1">
        <f t="array" aca="1" ref="I20" ca="1">defaultValue(I19,K17)</f>
        <v>78</v>
      </c>
      <c r="J20" s="26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2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2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2">
        <v>3</v>
      </c>
      <c r="B24" s="14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4</v>
      </c>
      <c r="B30" s="14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 cm="1">
        <f t="array" aca="1" ref="F30" ca="1">visible((I20-0.5-G20),K30)</f>
        <v>74</v>
      </c>
      <c r="G30" s="9" cm="1">
        <f t="array" ref="G30">visible(((H20/C20)-0.5),K30)</f>
        <v>-0.5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2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5</v>
      </c>
      <c r="B32" s="14" t="str" cm="1">
        <f t="array" aca="1" ref="B32" ca="1">visible(E17, K32)</f>
        <v>وحدة سفلية دلفة / دلفتين</v>
      </c>
      <c r="C32" s="18" cm="1">
        <f t="array" aca="1" ref="C32" ca="1">visible(7,K32)</f>
        <v>7</v>
      </c>
      <c r="D32" s="18" t="str" cm="1">
        <f t="array" aca="1" ref="D32" ca="1">visible((E18),K32)</f>
        <v>ظهر</v>
      </c>
      <c r="E32" s="18" t="str" cm="1">
        <f t="array" aca="1" ref="E32" ca="1">visible(("ظهر"),K32)</f>
        <v>ظهر</v>
      </c>
      <c r="F32" s="18" cm="1">
        <f t="array" aca="1" ref="F32" ca="1">visible((I20-2),K32)</f>
        <v>76</v>
      </c>
      <c r="G32" s="18" cm="1">
        <f t="array" aca="1" ref="G32" ca="1">visible((H20-2),K32)</f>
        <v>-2</v>
      </c>
      <c r="H32" s="18" cm="1">
        <f t="array" aca="1" ref="H32" ca="1">visible((C17),K32)</f>
        <v>1</v>
      </c>
      <c r="I32" s="18">
        <f ca="1">visible(materialNum(D32), K32)</f>
        <v>2</v>
      </c>
      <c r="J32" s="18">
        <f ca="1">visible(engraving(I32), K32)</f>
        <v>2</v>
      </c>
      <c r="K32" s="18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2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2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3" t="s">
        <v>93</v>
      </c>
      <c r="C35" s="13">
        <v>1</v>
      </c>
      <c r="D35" s="21" t="s">
        <v>51</v>
      </c>
      <c r="E35" s="101" t="s">
        <v>112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2">
        <v>1</v>
      </c>
      <c r="C36" s="26" t="b" cm="1">
        <f t="array" aca="1" ref="C36" ca="1">defaultValue(D36,K35)</f>
        <v>1</v>
      </c>
      <c r="D36" s="7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2">
        <v>1</v>
      </c>
      <c r="C37" s="7" t="s">
        <v>86</v>
      </c>
      <c r="D37" s="7" t="s">
        <v>85</v>
      </c>
      <c r="E37" s="70" t="s">
        <v>84</v>
      </c>
      <c r="F37" s="70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2">
        <v>1</v>
      </c>
      <c r="C38" s="26">
        <v>1</v>
      </c>
      <c r="D38" s="26">
        <v>1</v>
      </c>
      <c r="E38" s="8">
        <v>1</v>
      </c>
      <c r="F38" s="26">
        <v>1</v>
      </c>
      <c r="G38" s="26" cm="1">
        <f t="array" aca="1" ref="G38" ca="1">defaultValue(G37,K35)</f>
        <v>3.5</v>
      </c>
      <c r="H38" s="8">
        <v>80</v>
      </c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2">
        <v>1</v>
      </c>
      <c r="C39" s="26">
        <v>30</v>
      </c>
      <c r="D39" s="26">
        <v>20</v>
      </c>
      <c r="E39" s="40">
        <v>7</v>
      </c>
      <c r="F39" s="26">
        <v>10</v>
      </c>
      <c r="G39" s="26">
        <v>3</v>
      </c>
      <c r="H39" s="28" t="s">
        <v>87</v>
      </c>
      <c r="I39" s="26">
        <v>0</v>
      </c>
      <c r="J39" s="104" t="s">
        <v>115</v>
      </c>
      <c r="K39" s="10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2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2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2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2">
        <v>3</v>
      </c>
      <c r="B43" s="14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2">
        <v>3</v>
      </c>
      <c r="B44" s="14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2">
        <v>3</v>
      </c>
      <c r="B45" s="14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2">
        <v>3</v>
      </c>
      <c r="B46" s="14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2">
        <v>3</v>
      </c>
      <c r="B47" s="14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2">
        <v>3</v>
      </c>
      <c r="B48" s="14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2">
        <v>3</v>
      </c>
      <c r="B49" s="14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2">
        <v>3</v>
      </c>
      <c r="B50" s="14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2">
        <v>3</v>
      </c>
      <c r="B51" s="14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2">
        <v>3</v>
      </c>
      <c r="B52" s="14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2">
        <v>3</v>
      </c>
      <c r="B53" s="14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2">
        <v>3</v>
      </c>
      <c r="B54" s="14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2">
        <v>3</v>
      </c>
      <c r="B55" s="14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2">
        <v>3</v>
      </c>
      <c r="B56" s="14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2">
        <v>3</v>
      </c>
      <c r="B57" s="14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2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2">
        <v>4</v>
      </c>
      <c r="B59" s="14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 cm="1">
        <f t="array" aca="1" ref="F59" ca="1">visible(((I38/G39)-0.5-G38),K59)</f>
        <v>22</v>
      </c>
      <c r="G59" s="9" cm="1">
        <f t="array" ref="G59">visible((H38-0.5),K59)</f>
        <v>79.5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2">
        <v>4</v>
      </c>
      <c r="B60" s="14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2">
        <v>4</v>
      </c>
      <c r="B61" s="14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2">
        <v>4</v>
      </c>
      <c r="B62" s="14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2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2">
        <v>5</v>
      </c>
      <c r="B64" s="14" t="str" cm="1">
        <f t="array" aca="1" ref="B64" ca="1">visible(E35, K64)</f>
        <v>وحدة سفلية ادراج</v>
      </c>
      <c r="C64" s="18">
        <f ca="1">visible(20,K64)</f>
        <v>20</v>
      </c>
      <c r="D64" s="18" t="str" cm="1">
        <f t="array" aca="1" ref="D64" ca="1">visible((E36),K64)</f>
        <v>ظهر</v>
      </c>
      <c r="E64" s="18" t="str" cm="1">
        <f t="array" aca="1" ref="E64" ca="1">visible(("ظهر"),K64)</f>
        <v>ظهر</v>
      </c>
      <c r="F64" s="18" cm="1">
        <f t="array" aca="1" ref="F64" ca="1">visible((I38-2),K64)</f>
        <v>76</v>
      </c>
      <c r="G64" s="18" cm="1">
        <f t="array" aca="1" ref="G64" ca="1">visible((H38-2),K64)</f>
        <v>78</v>
      </c>
      <c r="H64" s="18" cm="1">
        <f t="array" aca="1" ref="H64" ca="1">visible((C35),K64)</f>
        <v>1</v>
      </c>
      <c r="I64" s="18">
        <f ca="1">visible(materialNum(D64), K64)</f>
        <v>2</v>
      </c>
      <c r="J64" s="18">
        <f ca="1">visible(engraving(I64), K64)</f>
        <v>2</v>
      </c>
      <c r="K64" s="18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2">
        <v>5</v>
      </c>
      <c r="B65" s="14" t="str">
        <f>visible(E35, K65)</f>
        <v>وحدة سفلية ادراج</v>
      </c>
      <c r="C65" s="18">
        <f>visible(21,K65)</f>
        <v>21</v>
      </c>
      <c r="D65" s="18" t="str">
        <f ca="1">visible((E36),K65)</f>
        <v>ظهر</v>
      </c>
      <c r="E65" s="18" t="str" cm="1">
        <f t="array" ref="E65">visible(("قعر درج داخلي"),K65)</f>
        <v>قعر درج داخلي</v>
      </c>
      <c r="F65" s="18" cm="1">
        <f t="array" ref="F65">visible((H38-3.6-3.6-2.5+2),K65)</f>
        <v>72.3</v>
      </c>
      <c r="G65" s="18" cm="1">
        <f t="array" aca="1" ref="G65" ca="1">visible((K38-1),K65)</f>
        <v>44</v>
      </c>
      <c r="H65" s="18">
        <f>visible(C35*F38,K65)</f>
        <v>1</v>
      </c>
      <c r="I65" s="18">
        <f ca="1">visible(materialNum(D65), K65)</f>
        <v>2</v>
      </c>
      <c r="J65" s="18">
        <f ca="1">visible(engraving(I65), K65)</f>
        <v>2</v>
      </c>
      <c r="K65" s="18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2">
        <v>5</v>
      </c>
      <c r="B66" s="14" t="str">
        <f>visible(E35, K66)</f>
        <v>وحدة سفلية ادراج</v>
      </c>
      <c r="C66" s="18">
        <f>visible(22,K66)</f>
        <v>22</v>
      </c>
      <c r="D66" s="18" t="str">
        <f ca="1">visible((E36),K66)</f>
        <v>ظهر</v>
      </c>
      <c r="E66" s="18" t="str" cm="1">
        <f t="array" ref="E66">visible(("قعر درج 30"),K66)</f>
        <v>قعر درج 30</v>
      </c>
      <c r="F66" s="18" cm="1">
        <f t="array" ref="F66">visible((H38-3.6-3.6-2.5+2),K66)</f>
        <v>72.3</v>
      </c>
      <c r="G66" s="18" cm="1">
        <f t="array" aca="1" ref="G66" ca="1">visible((K38-1),K66)</f>
        <v>44</v>
      </c>
      <c r="H66" s="18">
        <f>visible(C35*C38,K66)</f>
        <v>1</v>
      </c>
      <c r="I66" s="18">
        <f ca="1">visible(materialNum(D66), K66)</f>
        <v>2</v>
      </c>
      <c r="J66" s="18">
        <f ca="1">visible(engraving(I66), K66)</f>
        <v>2</v>
      </c>
      <c r="K66" s="18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2">
        <v>5</v>
      </c>
      <c r="B67" s="14" t="str">
        <f>visible(E35, K67)</f>
        <v>وحدة سفلية ادراج</v>
      </c>
      <c r="C67" s="18">
        <f>visible(23,K67)</f>
        <v>23</v>
      </c>
      <c r="D67" s="18" t="str">
        <f ca="1">visible((E36),K67)</f>
        <v>ظهر</v>
      </c>
      <c r="E67" s="18" t="str" cm="1">
        <f t="array" ref="E67">visible(("قعر درج 20"),K67)</f>
        <v>قعر درج 20</v>
      </c>
      <c r="F67" s="18" cm="1">
        <f t="array" ref="F67">visible((H38-3.6-3.6-2.5+2),K67)</f>
        <v>72.3</v>
      </c>
      <c r="G67" s="18" cm="1">
        <f t="array" aca="1" ref="G67" ca="1">visible((K38-1),K67)</f>
        <v>44</v>
      </c>
      <c r="H67" s="18">
        <f>visible(C35*D38,K67)</f>
        <v>1</v>
      </c>
      <c r="I67" s="18">
        <f ca="1">visible(materialNum(D67), K67)</f>
        <v>2</v>
      </c>
      <c r="J67" s="18">
        <f ca="1">visible(engraving(I67), K67)</f>
        <v>2</v>
      </c>
      <c r="K67" s="18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2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2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3" t="s">
        <v>89</v>
      </c>
      <c r="C70" s="13">
        <v>1</v>
      </c>
      <c r="D70" s="21" t="s">
        <v>51</v>
      </c>
      <c r="E70" s="101" t="s">
        <v>130</v>
      </c>
      <c r="F70" s="102"/>
      <c r="G70" s="102"/>
      <c r="H70" s="103"/>
      <c r="I70" s="2" t="s">
        <v>26</v>
      </c>
      <c r="J70" s="2">
        <f>letterToNumber(A70)</f>
        <v>3</v>
      </c>
      <c r="K70" s="26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2">
        <v>1</v>
      </c>
      <c r="C71" s="26" t="b" cm="1">
        <f t="array" aca="1" ref="C71" ca="1">defaultValue(D71,K70)</f>
        <v>1</v>
      </c>
      <c r="D71" s="70" t="s">
        <v>77</v>
      </c>
      <c r="E71" s="26" t="str" cm="1">
        <f t="array" aca="1" ref="E71" ca="1">defaultValue(F71,K70)</f>
        <v>ظهر</v>
      </c>
      <c r="F71" s="7" t="s">
        <v>50</v>
      </c>
      <c r="G71" s="26" t="str" cm="1">
        <f t="array" aca="1" ref="G71" ca="1">defaultValue(H71,K70)</f>
        <v>يوفيلاك</v>
      </c>
      <c r="H71" s="7" t="s">
        <v>28</v>
      </c>
      <c r="I71" s="26" t="str" cm="1">
        <f t="array" aca="1" ref="I71" ca="1">defaultValue(J71,K70)</f>
        <v>HPL</v>
      </c>
      <c r="J71" s="7" t="s">
        <v>27</v>
      </c>
      <c r="K71" s="24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2">
        <v>1</v>
      </c>
      <c r="C72" s="7" t="s">
        <v>12</v>
      </c>
      <c r="D72" s="7" t="s">
        <v>16</v>
      </c>
      <c r="E72" s="70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2">
        <v>1</v>
      </c>
      <c r="C73" s="26">
        <v>1</v>
      </c>
      <c r="D73" s="26">
        <v>1</v>
      </c>
      <c r="E73" s="40">
        <f ca="1">J73</f>
        <v>56</v>
      </c>
      <c r="F73" s="7"/>
      <c r="G73" s="26" cm="1">
        <f t="array" aca="1" ref="G73" ca="1">defaultValue(G72,K70)</f>
        <v>3.5</v>
      </c>
      <c r="H73" s="8">
        <v>100</v>
      </c>
      <c r="I73" s="26" cm="1">
        <f t="array" aca="1" ref="I73" ca="1">defaultValue(I72,K70)</f>
        <v>78</v>
      </c>
      <c r="J73" s="26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2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2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2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2">
        <v>3</v>
      </c>
      <c r="B77" s="14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2">
        <v>3</v>
      </c>
      <c r="B78" s="14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2">
        <v>3</v>
      </c>
      <c r="B79" s="14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2">
        <v>3</v>
      </c>
      <c r="B80" s="14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2">
        <v>3</v>
      </c>
      <c r="B81" s="14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2">
        <v>3</v>
      </c>
      <c r="B82" s="14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2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2">
        <v>4</v>
      </c>
      <c r="B84" s="14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 cm="1">
        <f t="array" aca="1" ref="F84" ca="1">visible((I73-0.5-G73),K84)</f>
        <v>74</v>
      </c>
      <c r="G84" s="9" cm="1">
        <f t="array" aca="1" ref="G84" ca="1">visible(((H73-E73-G85)/C73-0.5),K84)</f>
        <v>39.5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2">
        <v>4</v>
      </c>
      <c r="B85" s="14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2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2">
        <v>5</v>
      </c>
      <c r="B87" s="14" t="str" cm="1">
        <f t="array" aca="1" ref="B87" ca="1">visible(E70, K87)</f>
        <v>وحدة سفلية تلبيسة دلفة / دلفتين</v>
      </c>
      <c r="C87" s="18">
        <f ca="1">visible(9,K87)</f>
        <v>9</v>
      </c>
      <c r="D87" s="18" t="str" cm="1">
        <f t="array" aca="1" ref="D87" ca="1">visible((E71),K87)</f>
        <v>ظهر</v>
      </c>
      <c r="E87" s="18" t="str" cm="1">
        <f t="array" aca="1" ref="E87" ca="1">visible(("ظهر"),K87)</f>
        <v>ظهر</v>
      </c>
      <c r="F87" s="18" cm="1">
        <f t="array" aca="1" ref="F87" ca="1">visible((I73-2),K87)</f>
        <v>76</v>
      </c>
      <c r="G87" s="18" cm="1">
        <f t="array" aca="1" ref="G87" ca="1">visible((H73-2),K87)</f>
        <v>98</v>
      </c>
      <c r="H87" s="18" cm="1">
        <f t="array" aca="1" ref="H87" ca="1">visible((C70),K87)</f>
        <v>1</v>
      </c>
      <c r="I87" s="18">
        <f ca="1">visible(materialNum(D87), K87)</f>
        <v>2</v>
      </c>
      <c r="J87" s="18">
        <f ca="1">visible(engraving(I87), K87)</f>
        <v>2</v>
      </c>
      <c r="K87" s="18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2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2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2" t="s">
        <v>94</v>
      </c>
      <c r="C90" s="13">
        <v>1</v>
      </c>
      <c r="D90" s="21" t="s">
        <v>51</v>
      </c>
      <c r="E90" s="101" t="s">
        <v>22</v>
      </c>
      <c r="F90" s="102"/>
      <c r="G90" s="102"/>
      <c r="H90" s="103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42">
        <v>1</v>
      </c>
      <c r="C91" s="7"/>
      <c r="D91" s="7" t="s">
        <v>16</v>
      </c>
      <c r="E91" s="7" t="s">
        <v>14</v>
      </c>
      <c r="F91" s="109"/>
      <c r="G91" s="7"/>
      <c r="H91" s="7" t="s">
        <v>19</v>
      </c>
      <c r="I91" s="7" t="s">
        <v>3</v>
      </c>
      <c r="J91" s="7" t="s">
        <v>76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42">
        <v>1</v>
      </c>
      <c r="C92" s="8"/>
      <c r="D92" s="8">
        <v>1</v>
      </c>
      <c r="E92" s="26" cm="1">
        <f t="array" aca="1" ref="E92" ca="1">defaultValue(E91,K90)</f>
        <v>3.5</v>
      </c>
      <c r="F92" s="109"/>
      <c r="G92" s="7"/>
      <c r="H92" s="8"/>
      <c r="I92" s="26" cm="1">
        <f t="array" aca="1" ref="I92" ca="1">defaultValue(I91,K90)</f>
        <v>78</v>
      </c>
      <c r="J92" s="26" cm="1">
        <f t="array" aca="1" ref="J92" ca="1">defaultValue(J91,K90)</f>
        <v>56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2">
        <v>1</v>
      </c>
      <c r="C93" s="27"/>
      <c r="D93" s="11"/>
      <c r="E93" s="11"/>
      <c r="F93" s="12"/>
      <c r="G93" s="7"/>
      <c r="H93" s="8"/>
      <c r="I93" s="26" cm="1">
        <f t="array" aca="1" ref="I93" ca="1">defaultValue(I91,K90)</f>
        <v>78</v>
      </c>
      <c r="J93" s="26" cm="1">
        <f t="array" aca="1" ref="J93" ca="1">defaultValue(J91,K90)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31.2" x14ac:dyDescent="0.3">
      <c r="A94" s="42">
        <v>1</v>
      </c>
      <c r="C94" s="8"/>
      <c r="D94" s="26" t="str" cm="1">
        <f t="array" aca="1" ref="D94" ca="1">defaultValue(E94,K90)</f>
        <v>ظهر</v>
      </c>
      <c r="E94" s="7" t="s">
        <v>50</v>
      </c>
      <c r="F94" s="26" t="str" cm="1">
        <f t="array" aca="1" ref="F94" ca="1">defaultValue(G94,K90)</f>
        <v>يوفيلاك</v>
      </c>
      <c r="G94" s="7" t="s">
        <v>28</v>
      </c>
      <c r="H94" s="26" t="str" cm="1">
        <f t="array" aca="1" ref="H94" ca="1">defaultValue(I94,K90)</f>
        <v>HPL</v>
      </c>
      <c r="I94" s="7" t="s">
        <v>27</v>
      </c>
      <c r="J94" s="24" t="s">
        <v>75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2">
        <v>0</v>
      </c>
      <c r="B95"/>
      <c r="C95"/>
      <c r="D95"/>
      <c r="E95"/>
      <c r="F95"/>
      <c r="G95"/>
      <c r="H95"/>
      <c r="I95"/>
      <c r="J95"/>
      <c r="K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2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2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2">
        <v>3</v>
      </c>
      <c r="B98" s="14" t="str">
        <f>visible(E90, K98)</f>
        <v>وحدة سفلية  زاوية 90</v>
      </c>
      <c r="C98" s="6">
        <f>visible(1,K98)</f>
        <v>1</v>
      </c>
      <c r="D98" s="6" t="str">
        <f ca="1">visible(H94, K98)</f>
        <v>HPL</v>
      </c>
      <c r="E98" s="6" t="str">
        <f>visible("قاعدة", K98)</f>
        <v>قاعدة</v>
      </c>
      <c r="F98" s="6">
        <f>visible(H92-1.8, K98)</f>
        <v>-1.8</v>
      </c>
      <c r="G98" s="6">
        <f>visible(H93-1.8,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2">
        <v>3</v>
      </c>
      <c r="B99" s="14" t="str">
        <f>visible(E90, K99)</f>
        <v>وحدة سفلية  زاوية 90</v>
      </c>
      <c r="C99" s="6">
        <f>visible(2,K99)</f>
        <v>2</v>
      </c>
      <c r="D99" s="6" t="str">
        <f ca="1">visible(H94, K99)</f>
        <v>HPL</v>
      </c>
      <c r="E99" s="6" t="str">
        <f>visible("أجناب", K99)</f>
        <v>أجناب</v>
      </c>
      <c r="F99" s="6">
        <f ca="1">visible(I92, K99)</f>
        <v>78</v>
      </c>
      <c r="G99" s="6">
        <f ca="1">visible(J92,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2">
        <v>3</v>
      </c>
      <c r="B100" s="14" t="str">
        <f>visible(E90, K100)</f>
        <v>وحدة سفلية  زاوية 90</v>
      </c>
      <c r="C100" s="6">
        <f>visible(3,K100)</f>
        <v>3</v>
      </c>
      <c r="D100" s="6" t="str">
        <f ca="1">visible(H94, K100)</f>
        <v>HPL</v>
      </c>
      <c r="E100" s="6" t="str">
        <f>visible("مرايا علوية 1", K100)</f>
        <v>مرايا علوية 1</v>
      </c>
      <c r="F100" s="6">
        <f>visible(H92-1.8,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2">
        <v>3</v>
      </c>
      <c r="B101" s="14" t="str">
        <f>visible(E90, K101)</f>
        <v>وحدة سفلية  زاوية 90</v>
      </c>
      <c r="C101" s="6">
        <f>visible(4,K101)</f>
        <v>4</v>
      </c>
      <c r="D101" s="6" t="str">
        <f ca="1">visible(H94, K101)</f>
        <v>HPL</v>
      </c>
      <c r="E101" s="6" t="str">
        <f>visible("مرايا علوية 2", K101)</f>
        <v>مرايا علوية 2</v>
      </c>
      <c r="F101" s="6">
        <f>visible(H92-1.8,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2">
        <v>3</v>
      </c>
      <c r="B102" s="14" t="str">
        <f>visible(E90, K102)</f>
        <v>وحدة سفلية  زاوية 90</v>
      </c>
      <c r="C102" s="6">
        <f>visible(5,K102)</f>
        <v>5</v>
      </c>
      <c r="D102" s="6" t="str">
        <f ca="1">visible(H94, K102)</f>
        <v>HPL</v>
      </c>
      <c r="E102" s="6" t="str">
        <f>visible("قائم خلفى", K102)</f>
        <v>قائم خلفى</v>
      </c>
      <c r="F102" s="6">
        <f ca="1">visible(I92,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2">
        <v>3</v>
      </c>
      <c r="B103" s="14" t="str">
        <f>visible(E90, K103)</f>
        <v>وحدة سفلية  زاوية 90</v>
      </c>
      <c r="C103" s="6">
        <f>visible(6,K103)</f>
        <v>6</v>
      </c>
      <c r="D103" s="6" t="str">
        <f ca="1">visible(H94, K103)</f>
        <v>HPL</v>
      </c>
      <c r="E103" s="6" t="str">
        <f>visible("رف", K103)</f>
        <v>رف</v>
      </c>
      <c r="F103" s="6">
        <f>visible(H92-3.8, K103)</f>
        <v>-3.8</v>
      </c>
      <c r="G103" s="6">
        <f>visible(H93-3.8, K103)</f>
        <v>-3.8</v>
      </c>
      <c r="H103" s="6">
        <f>visible(D92*C90,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2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2">
        <v>4</v>
      </c>
      <c r="B105" s="14" t="str">
        <f>visible(E90, K105)</f>
        <v>وحدة سفلية  زاوية 90</v>
      </c>
      <c r="C105" s="9">
        <f>visible(7,K105)</f>
        <v>7</v>
      </c>
      <c r="D105" s="9" t="str">
        <f ca="1">visible(F94, K105)</f>
        <v>يوفيلاك</v>
      </c>
      <c r="E105" s="9" t="str">
        <f>visible("دلف 1", K105)</f>
        <v>دلف 1</v>
      </c>
      <c r="F105" s="9">
        <f ca="1">visible(I92-0.5-E92, K105)</f>
        <v>74</v>
      </c>
      <c r="G105" s="9">
        <f>visible(H92-56-3, K105)</f>
        <v>-59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2">
        <v>4</v>
      </c>
      <c r="B106" s="14" t="str">
        <f>visible(E90, K106)</f>
        <v>وحدة سفلية  زاوية 90</v>
      </c>
      <c r="C106" s="9">
        <f>visible(8,K106)</f>
        <v>8</v>
      </c>
      <c r="D106" s="9" t="str">
        <f ca="1">visible(F94, K106)</f>
        <v>يوفيلاك</v>
      </c>
      <c r="E106" s="9" t="str">
        <f>visible("دلف 2", K106)</f>
        <v>دلف 2</v>
      </c>
      <c r="F106" s="9">
        <f ca="1">visible(I93-0.5-E92, K106)</f>
        <v>74</v>
      </c>
      <c r="G106" s="9">
        <f>visible(H93-56-3, K106)</f>
        <v>-59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2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2">
        <v>5</v>
      </c>
      <c r="B108" s="14" t="str">
        <f>visible(E90, K108)</f>
        <v>وحدة سفلية  زاوية 90</v>
      </c>
      <c r="C108" s="18">
        <f>visible(9,K108)</f>
        <v>9</v>
      </c>
      <c r="D108" s="18" t="str">
        <f ca="1">visible(D94, K108)</f>
        <v>ظهر</v>
      </c>
      <c r="E108" s="18" t="str">
        <f>visible("ظهر", K108)</f>
        <v>ظهر</v>
      </c>
      <c r="F108" s="18">
        <f ca="1">visible(I93-1, K108)</f>
        <v>77</v>
      </c>
      <c r="G108" s="18">
        <f>visible(H93-1, K108)</f>
        <v>-1</v>
      </c>
      <c r="H108" s="18">
        <f>visible(2*C90, K108)</f>
        <v>2</v>
      </c>
      <c r="I108" s="18">
        <f ca="1">visible(materialNum(D108), K108)</f>
        <v>2</v>
      </c>
      <c r="J108" s="18">
        <f ca="1">visible(engraving(I108), K108)</f>
        <v>2</v>
      </c>
      <c r="K108" s="18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2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2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2" t="s">
        <v>90</v>
      </c>
      <c r="C111" s="13">
        <v>1</v>
      </c>
      <c r="D111" s="21" t="s">
        <v>51</v>
      </c>
      <c r="E111" s="101" t="s">
        <v>25</v>
      </c>
      <c r="F111" s="102"/>
      <c r="G111" s="102"/>
      <c r="H111" s="103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42">
        <v>1</v>
      </c>
      <c r="C112" s="7"/>
      <c r="D112" s="7" t="s">
        <v>16</v>
      </c>
      <c r="E112" s="7" t="s">
        <v>14</v>
      </c>
      <c r="F112" s="109"/>
      <c r="G112" s="7"/>
      <c r="H112" s="7" t="s">
        <v>19</v>
      </c>
      <c r="I112" s="7" t="s">
        <v>3</v>
      </c>
      <c r="J112" s="7" t="s">
        <v>76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2">
        <v>1</v>
      </c>
      <c r="C113" s="8"/>
      <c r="D113" s="8">
        <v>1</v>
      </c>
      <c r="E113" s="26" cm="1">
        <f t="array" aca="1" ref="E113" ca="1">defaultValue(E112,K111)</f>
        <v>3.5</v>
      </c>
      <c r="F113" s="109"/>
      <c r="G113" s="7"/>
      <c r="H113" s="8"/>
      <c r="I113" s="26" cm="1">
        <f t="array" aca="1" ref="I113" ca="1">defaultValue(I112,K111)</f>
        <v>78</v>
      </c>
      <c r="J113" s="26" cm="1">
        <f t="array" aca="1" ref="J113" ca="1">defaultValue(J112,K111)</f>
        <v>56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2">
        <v>1</v>
      </c>
      <c r="C114" s="27"/>
      <c r="D114" s="11"/>
      <c r="E114" s="11"/>
      <c r="F114" s="12"/>
      <c r="G114" s="7"/>
      <c r="H114" s="8"/>
      <c r="I114" s="26" cm="1">
        <f t="array" aca="1" ref="I114" ca="1">defaultValue(I112,K111)</f>
        <v>78</v>
      </c>
      <c r="J114" s="26" cm="1">
        <f t="array" aca="1" ref="J114" ca="1">defaultValue(J112,K111)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ht="31.2" x14ac:dyDescent="0.3">
      <c r="A115" s="42">
        <v>1</v>
      </c>
      <c r="C115" s="8"/>
      <c r="D115" s="26" t="str" cm="1">
        <f t="array" aca="1" ref="D115" ca="1">defaultValue(E115,K111)</f>
        <v>ظهر</v>
      </c>
      <c r="E115" s="7" t="s">
        <v>50</v>
      </c>
      <c r="F115" s="26" t="str" cm="1">
        <f t="array" aca="1" ref="F115" ca="1">defaultValue(G115,K111)</f>
        <v>يوفيلاك</v>
      </c>
      <c r="G115" s="7" t="s">
        <v>28</v>
      </c>
      <c r="H115" s="26" t="str" cm="1">
        <f t="array" aca="1" ref="H115" ca="1">defaultValue(I115,K111)</f>
        <v>HPL</v>
      </c>
      <c r="I115" s="7" t="s">
        <v>27</v>
      </c>
      <c r="J115" s="24" t="s">
        <v>75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2">
        <v>0</v>
      </c>
      <c r="B116"/>
      <c r="C116"/>
      <c r="D116"/>
      <c r="E116"/>
      <c r="F116"/>
      <c r="G116"/>
      <c r="H116"/>
      <c r="I116"/>
      <c r="J116"/>
      <c r="K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2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2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2">
        <v>3</v>
      </c>
      <c r="B119" s="14" t="str">
        <f>visible(E111, K119)</f>
        <v>وحدة سفلية  ركنة 45</v>
      </c>
      <c r="C119" s="6">
        <f>visible(1,K119)</f>
        <v>1</v>
      </c>
      <c r="D119" s="6" t="str">
        <f ca="1">visible(H115, K119)</f>
        <v>HPL</v>
      </c>
      <c r="E119" s="6" t="str">
        <f>visible("قاعدة", K119)</f>
        <v>قاعدة</v>
      </c>
      <c r="F119" s="6">
        <f>visible(H113-1.8, K119)</f>
        <v>-1.8</v>
      </c>
      <c r="G119" s="6">
        <f>visible(H114-1.8,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2">
        <v>3</v>
      </c>
      <c r="B120" s="14" t="str">
        <f>visible(E111, K120)</f>
        <v>وحدة سفلية  ركنة 45</v>
      </c>
      <c r="C120" s="6">
        <f>visible(2,K120)</f>
        <v>2</v>
      </c>
      <c r="D120" s="6" t="str">
        <f ca="1">visible(H115, K120)</f>
        <v>HPL</v>
      </c>
      <c r="E120" s="6" t="str">
        <f>visible("أجناب", K120)</f>
        <v>أجناب</v>
      </c>
      <c r="F120" s="6">
        <f ca="1">visible(I113, K120)</f>
        <v>78</v>
      </c>
      <c r="G120" s="6">
        <f ca="1">visible(J113,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2">
        <v>3</v>
      </c>
      <c r="B121" s="14" t="str">
        <f>visible(E111, K121)</f>
        <v>وحدة سفلية  ركنة 45</v>
      </c>
      <c r="C121" s="6">
        <f>visible(3,K121)</f>
        <v>3</v>
      </c>
      <c r="D121" s="6" t="str">
        <f ca="1">visible(H115, K121)</f>
        <v>HPL</v>
      </c>
      <c r="E121" s="6" t="str">
        <f>visible("مرايا علوية 1", K121)</f>
        <v>مرايا علوية 1</v>
      </c>
      <c r="F121" s="6">
        <f>visible(H113-1.8,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2">
        <v>3</v>
      </c>
      <c r="B122" s="14" t="str">
        <f>visible(E111, K122)</f>
        <v>وحدة سفلية  ركنة 45</v>
      </c>
      <c r="C122" s="6">
        <f>visible(4,K122)</f>
        <v>4</v>
      </c>
      <c r="D122" s="6" t="str">
        <f ca="1">visible(H115, K122)</f>
        <v>HPL</v>
      </c>
      <c r="E122" s="6" t="str">
        <f>visible("مرايا علوية 2", K122)</f>
        <v>مرايا علوية 2</v>
      </c>
      <c r="F122" s="6">
        <f>visible(H113-1.8,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2">
        <v>3</v>
      </c>
      <c r="B123" s="14" t="str">
        <f>visible(E111, K123)</f>
        <v>وحدة سفلية  ركنة 45</v>
      </c>
      <c r="C123" s="6">
        <f>visible(5,K123)</f>
        <v>5</v>
      </c>
      <c r="D123" s="6" t="str">
        <f ca="1">visible(H115,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2">
        <v>3</v>
      </c>
      <c r="B124" s="14" t="str">
        <f>visible(E111, K124)</f>
        <v>وحدة سفلية  ركنة 45</v>
      </c>
      <c r="C124" s="6">
        <f>visible(6,K124)</f>
        <v>6</v>
      </c>
      <c r="D124" s="6" t="str">
        <f ca="1">visible(H115, K124)</f>
        <v>HPL</v>
      </c>
      <c r="E124" s="6" t="str">
        <f>visible("رف", K124)</f>
        <v>رف</v>
      </c>
      <c r="F124" s="6">
        <f>visible(H113-3.8, K124)</f>
        <v>-3.8</v>
      </c>
      <c r="G124" s="6">
        <f>visible(H114-3.8, K124)</f>
        <v>-3.8</v>
      </c>
      <c r="H124" s="6">
        <f>visible(D113*C111,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2">
        <v>4</v>
      </c>
      <c r="B126" s="14" t="str">
        <f>visible(E111, K126)</f>
        <v>وحدة سفلية  ركنة 45</v>
      </c>
      <c r="C126" s="9">
        <f>visible(7,K126)</f>
        <v>7</v>
      </c>
      <c r="D126" s="9" t="str">
        <f ca="1">visible(F115, K126)</f>
        <v>يوفيلاك</v>
      </c>
      <c r="E126" s="9" t="str">
        <f>visible("دلف 1", K126)</f>
        <v>دلف 1</v>
      </c>
      <c r="F126" s="9">
        <f ca="1">visible(I113-0.5-E113, K126)</f>
        <v>74</v>
      </c>
      <c r="G126" s="16">
        <f ca="1">visible((SQRT((H113-J113)^2+(H114-J114)^2))-2,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2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2">
        <v>5</v>
      </c>
      <c r="B128" s="14" t="str">
        <f>visible(E111, K128)</f>
        <v>وحدة سفلية  ركنة 45</v>
      </c>
      <c r="C128" s="18">
        <f>visible(8,K128)</f>
        <v>8</v>
      </c>
      <c r="D128" s="18" t="str">
        <f ca="1">visible(D115, K128)</f>
        <v>ظهر</v>
      </c>
      <c r="E128" s="18" t="str">
        <f>visible("ظهر", K128)</f>
        <v>ظهر</v>
      </c>
      <c r="F128" s="18">
        <f ca="1">visible(I113-1, K128)</f>
        <v>77</v>
      </c>
      <c r="G128" s="18">
        <f>visible(H113-1, K128)</f>
        <v>-1</v>
      </c>
      <c r="H128" s="18">
        <f>visible(1*C111, K128)</f>
        <v>1</v>
      </c>
      <c r="I128" s="18">
        <f ca="1">visible(materialNum(D128), K128)</f>
        <v>2</v>
      </c>
      <c r="J128" s="18">
        <f ca="1">visible(engraving(I128), K128)</f>
        <v>2</v>
      </c>
      <c r="K128" s="18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2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2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2" t="s">
        <v>91</v>
      </c>
      <c r="B131" s="3"/>
      <c r="C131" s="13">
        <v>1</v>
      </c>
      <c r="D131" s="21" t="s">
        <v>51</v>
      </c>
      <c r="E131" s="101" t="s">
        <v>71</v>
      </c>
      <c r="F131" s="102"/>
      <c r="G131" s="102"/>
      <c r="H131" s="103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1.2" x14ac:dyDescent="0.3">
      <c r="A132" s="42">
        <v>1</v>
      </c>
      <c r="B132" s="20"/>
      <c r="C132" s="7" t="s">
        <v>12</v>
      </c>
      <c r="D132" s="7" t="s">
        <v>16</v>
      </c>
      <c r="E132" s="7" t="s">
        <v>14</v>
      </c>
      <c r="F132" s="109"/>
      <c r="G132" s="15" t="s">
        <v>17</v>
      </c>
      <c r="H132" s="7" t="s">
        <v>19</v>
      </c>
      <c r="I132" s="7" t="s">
        <v>3</v>
      </c>
      <c r="J132" s="7" t="s">
        <v>76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x14ac:dyDescent="0.3">
      <c r="A133" s="42">
        <v>1</v>
      </c>
      <c r="B133" s="20"/>
      <c r="C133" s="8"/>
      <c r="D133" s="8">
        <v>0</v>
      </c>
      <c r="E133" s="26" cm="1">
        <f t="array" aca="1" ref="E133" ca="1">defaultValue(E132,K131)</f>
        <v>3.5</v>
      </c>
      <c r="F133" s="109"/>
      <c r="G133" s="26" cm="1">
        <f t="array" aca="1" ref="G133" ca="1">defaultValue(G132,K131)</f>
        <v>45</v>
      </c>
      <c r="H133" s="8">
        <v>60</v>
      </c>
      <c r="I133" s="26" cm="1">
        <f t="array" aca="1" ref="I133" ca="1">defaultValue(I132,K131)</f>
        <v>78</v>
      </c>
      <c r="J133" s="26" cm="1">
        <f t="array" aca="1" ref="J133" ca="1">defaultValue(J132,K131)</f>
        <v>56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ht="31.2" x14ac:dyDescent="0.3">
      <c r="A134" s="42">
        <v>1</v>
      </c>
      <c r="B134" s="20"/>
      <c r="C134" s="8"/>
      <c r="D134" s="26" t="str" cm="1">
        <f t="array" aca="1" ref="D134" ca="1">defaultValue(E134,K131)</f>
        <v>ظهر</v>
      </c>
      <c r="E134" s="7" t="s">
        <v>50</v>
      </c>
      <c r="F134" s="26" t="str" cm="1">
        <f t="array" aca="1" ref="F134" ca="1">defaultValue(G134,K131)</f>
        <v>يوفيلاك</v>
      </c>
      <c r="G134" s="7" t="s">
        <v>28</v>
      </c>
      <c r="H134" s="26" t="str" cm="1">
        <f t="array" aca="1" ref="H134" ca="1">defaultValue(I134,K131)</f>
        <v>HPL</v>
      </c>
      <c r="I134" s="7" t="s">
        <v>27</v>
      </c>
      <c r="J134" s="24" t="s">
        <v>75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2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2">
        <v>2</v>
      </c>
      <c r="B136" s="20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2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2">
        <v>3</v>
      </c>
      <c r="B138" s="14" t="str">
        <f>visible(E131, K138)</f>
        <v xml:space="preserve">وحدة سفلية  فرن </v>
      </c>
      <c r="C138" s="6">
        <f>visible(1,K138)</f>
        <v>1</v>
      </c>
      <c r="D138" s="6" t="str">
        <f ca="1">visible(H134, K138)</f>
        <v>HPL</v>
      </c>
      <c r="E138" s="6" t="str">
        <f>visible("قاعدة", K138)</f>
        <v>قاعدة</v>
      </c>
      <c r="F138" s="6">
        <f>visible(H133-3.6, K138)</f>
        <v>56.4</v>
      </c>
      <c r="G138" s="6">
        <f ca="1">visible(J133,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2">
        <v>3</v>
      </c>
      <c r="B139" s="14" t="str">
        <f>visible(E131, K139)</f>
        <v xml:space="preserve">وحدة سفلية  فرن </v>
      </c>
      <c r="C139" s="6">
        <f>visible(2,K139)</f>
        <v>2</v>
      </c>
      <c r="D139" s="6" t="str">
        <f ca="1">visible(H134, K139)</f>
        <v>HPL</v>
      </c>
      <c r="E139" s="6" t="str">
        <f>visible("أجناب", K139)</f>
        <v>أجناب</v>
      </c>
      <c r="F139" s="6">
        <f ca="1">visible(I133, K139)</f>
        <v>78</v>
      </c>
      <c r="G139" s="6">
        <f ca="1">visible(J133,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2">
        <v>3</v>
      </c>
      <c r="B140" s="14" t="str">
        <f>visible(E131, K140)</f>
        <v xml:space="preserve">وحدة سفلية  فرن </v>
      </c>
      <c r="C140" s="6">
        <f>visible(3,K140)</f>
        <v>3</v>
      </c>
      <c r="D140" s="6" t="str">
        <f ca="1">visible(H134, K140)</f>
        <v>HPL</v>
      </c>
      <c r="E140" s="6" t="str">
        <f>visible("مرايا علوية 1", K140)</f>
        <v>مرايا علوية 1</v>
      </c>
      <c r="F140" s="6">
        <f>visible(H133-3.6,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2">
        <v>3</v>
      </c>
      <c r="B141" s="14" t="str">
        <f>visible(E131, K141)</f>
        <v xml:space="preserve">وحدة سفلية  فرن </v>
      </c>
      <c r="C141" s="6">
        <f>visible(4,K141)</f>
        <v>4</v>
      </c>
      <c r="D141" s="6" t="str">
        <f ca="1">visible(H134, K141)</f>
        <v>HPL</v>
      </c>
      <c r="E141" s="6" t="str">
        <f>visible("مرايا علوية 2", K141)</f>
        <v>مرايا علوية 2</v>
      </c>
      <c r="F141" s="6">
        <f>visible(H133-3.6,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2">
        <v>3</v>
      </c>
      <c r="B142" s="14" t="str">
        <f>visible(E131, K142)</f>
        <v xml:space="preserve">وحدة سفلية  فرن </v>
      </c>
      <c r="C142" s="6">
        <f>visible(5,K142)</f>
        <v>5</v>
      </c>
      <c r="D142" s="6" t="str">
        <f ca="1">visible(H134, K142)</f>
        <v>HPL</v>
      </c>
      <c r="E142" s="6" t="str">
        <f>visible("رف", K142)</f>
        <v>رف</v>
      </c>
      <c r="F142" s="6">
        <f>visible(H133-3.8, K142)</f>
        <v>56.2</v>
      </c>
      <c r="G142" s="6">
        <f ca="1">visible(J133-6, K142)</f>
        <v>50</v>
      </c>
      <c r="H142" s="6">
        <f>visible(D133*C131,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2">
        <v>3</v>
      </c>
      <c r="B143" s="14" t="str">
        <f>visible(E131, K143)</f>
        <v xml:space="preserve">وحدة سفلية  فرن </v>
      </c>
      <c r="C143" s="10">
        <f>visible(6,K143)</f>
        <v>6</v>
      </c>
      <c r="D143" s="10" t="str">
        <f ca="1">visible(H134, K143)</f>
        <v>HPL</v>
      </c>
      <c r="E143" s="10" t="str">
        <f>visible("وش درج داخلى", K143)</f>
        <v>وش درج داخلى</v>
      </c>
      <c r="F143" s="10">
        <f>visible(H133-3.6-3.6-2.5,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2">
        <v>3</v>
      </c>
      <c r="B144" s="14" t="str">
        <f>visible(E131, K144)</f>
        <v xml:space="preserve">وحدة سفلية  فرن </v>
      </c>
      <c r="C144" s="10">
        <f>visible(7,K144)</f>
        <v>7</v>
      </c>
      <c r="D144" s="10" t="str">
        <f ca="1">visible(H134, K144)</f>
        <v>HPL</v>
      </c>
      <c r="E144" s="10" t="str">
        <f>visible("جنب درج داخلى ", K144)</f>
        <v xml:space="preserve">جنب درج داخلى </v>
      </c>
      <c r="F144" s="10">
        <f ca="1">visible(G133,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2">
        <v>3</v>
      </c>
      <c r="B145" s="14" t="str">
        <f>visible(E131, K145)</f>
        <v xml:space="preserve">وحدة سفلية  فرن </v>
      </c>
      <c r="C145" s="10">
        <f>visible(8,K145)</f>
        <v>8</v>
      </c>
      <c r="D145" s="10" t="str">
        <f ca="1">visible(H134, K145)</f>
        <v>HPL</v>
      </c>
      <c r="E145" s="10" t="str">
        <f>visible("ظهر درج داخلى ", K145)</f>
        <v xml:space="preserve">ظهر درج داخلى </v>
      </c>
      <c r="F145" s="10">
        <f>visible(H133-3.6-3.6-2.5,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2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2">
        <v>4</v>
      </c>
      <c r="B147" s="14" t="str">
        <f>visible(E131, K147)</f>
        <v/>
      </c>
      <c r="C147" s="9" t="str">
        <f>visible(9,K147)</f>
        <v/>
      </c>
      <c r="D147" s="9" t="str">
        <f ca="1">visible(F134, K147)</f>
        <v/>
      </c>
      <c r="E147" s="9" t="str">
        <f>visible("دلف ", K147)</f>
        <v/>
      </c>
      <c r="F147" s="9" t="str">
        <f ca="1">visible((I133-0.5-E133), K147)</f>
        <v/>
      </c>
      <c r="G147" s="9" t="str">
        <f>visible((H133/C133)-0.5, K147)</f>
        <v/>
      </c>
      <c r="H147" s="9" t="str">
        <f>visible(C133*C131,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NOT(C133=0)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2">
        <v>4</v>
      </c>
      <c r="B148" s="14" t="str">
        <f>visible(E131, K148)</f>
        <v xml:space="preserve">وحدة سفلية  فرن </v>
      </c>
      <c r="C148" s="9">
        <f>visible(10,K148)</f>
        <v>10</v>
      </c>
      <c r="D148" s="9" t="str">
        <f ca="1">visible(F134, K148)</f>
        <v>يوفيلاك</v>
      </c>
      <c r="E148" s="9" t="str">
        <f>visible("وش درج فرن", K148)</f>
        <v>وش درج فرن</v>
      </c>
      <c r="F148" s="9">
        <f>visible(H133-0.5, K148)</f>
        <v>59.5</v>
      </c>
      <c r="G148" s="9">
        <f ca="1">visible(I133-E133-60.5, K148)</f>
        <v>14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2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2">
        <v>5</v>
      </c>
      <c r="B150" s="14" t="str">
        <f>visible(E131, K150)</f>
        <v xml:space="preserve">وحدة سفلية  فرن </v>
      </c>
      <c r="C150" s="18">
        <f>visible(11,K150)</f>
        <v>11</v>
      </c>
      <c r="D150" s="18" t="str">
        <f ca="1">visible(D134, K150)</f>
        <v>ظهر</v>
      </c>
      <c r="E150" s="18" t="str">
        <f>visible("ظهر", K150)</f>
        <v>ظهر</v>
      </c>
      <c r="F150" s="18">
        <f ca="1">visible(I133-2, K150)</f>
        <v>76</v>
      </c>
      <c r="G150" s="18">
        <f>visible(H133-2, K150)</f>
        <v>58</v>
      </c>
      <c r="H150" s="18">
        <f>visible(1*C131, K150)</f>
        <v>1</v>
      </c>
      <c r="I150" s="18">
        <f ca="1">visible(materialNum(D150), K150)</f>
        <v>2</v>
      </c>
      <c r="J150" s="18">
        <f ca="1">visible(engraving(I150), K150)</f>
        <v>2</v>
      </c>
      <c r="K150" s="18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2">
        <v>5</v>
      </c>
      <c r="B151" s="14" t="str">
        <f>visible(E131, K151)</f>
        <v xml:space="preserve">وحدة سفلية  فرن </v>
      </c>
      <c r="C151" s="18">
        <f>visible(12,K151)</f>
        <v>12</v>
      </c>
      <c r="D151" s="18" t="str">
        <f ca="1">visible(D134, K151)</f>
        <v>ظهر</v>
      </c>
      <c r="E151" s="18" t="str">
        <f>visible("قعر درج  A", K151)</f>
        <v>قعر درج  A</v>
      </c>
      <c r="F151" s="18">
        <f>visible(H133-3.6-3.6-2.5+2, K151)</f>
        <v>52.3</v>
      </c>
      <c r="G151" s="18">
        <f ca="1">visible(G133-1, K151)</f>
        <v>44</v>
      </c>
      <c r="H151" s="18">
        <f>visible(1*C131,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2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2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3" t="s">
        <v>92</v>
      </c>
      <c r="C154" s="13">
        <v>1</v>
      </c>
      <c r="D154" s="21" t="s">
        <v>51</v>
      </c>
      <c r="E154" s="101" t="s">
        <v>95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31.2" x14ac:dyDescent="0.3">
      <c r="A155" s="42">
        <v>1</v>
      </c>
      <c r="C155" s="7" t="s">
        <v>12</v>
      </c>
      <c r="D155" s="17" t="s">
        <v>16</v>
      </c>
      <c r="E155" s="7" t="s">
        <v>14</v>
      </c>
      <c r="F155" s="17" t="s">
        <v>96</v>
      </c>
      <c r="G155" s="15" t="s">
        <v>17</v>
      </c>
      <c r="H155" s="7" t="s">
        <v>19</v>
      </c>
      <c r="I155" s="7" t="s">
        <v>3</v>
      </c>
      <c r="J155" s="7" t="s">
        <v>76</v>
      </c>
      <c r="K155" s="7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x14ac:dyDescent="0.3">
      <c r="A156" s="42">
        <v>1</v>
      </c>
      <c r="C156" s="8">
        <v>2</v>
      </c>
      <c r="D156" s="8">
        <v>1</v>
      </c>
      <c r="E156" s="26" cm="1">
        <f t="array" aca="1" ref="E156" ca="1">defaultValue(E155,K154)</f>
        <v>3.5</v>
      </c>
      <c r="F156" s="8">
        <v>1</v>
      </c>
      <c r="G156" s="26" cm="1">
        <f t="array" aca="1" ref="G156" ca="1">defaultValue(G155,K154)</f>
        <v>45</v>
      </c>
      <c r="H156" s="8">
        <v>60</v>
      </c>
      <c r="I156" s="26" cm="1">
        <f t="array" aca="1" ref="I156" ca="1">defaultValue(I155,K154)</f>
        <v>78</v>
      </c>
      <c r="J156" s="26" cm="1">
        <f t="array" aca="1" ref="J156" ca="1">defaultValue(J155,K154)</f>
        <v>56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ht="31.2" x14ac:dyDescent="0.3">
      <c r="A157" s="42">
        <v>1</v>
      </c>
      <c r="C157" s="8"/>
      <c r="D157" s="26" t="str" cm="1">
        <f t="array" aca="1" ref="D157" ca="1">defaultValue(E157,K154)</f>
        <v>ظهر</v>
      </c>
      <c r="E157" s="7" t="s">
        <v>50</v>
      </c>
      <c r="F157" s="26" t="str" cm="1">
        <f t="array" aca="1" ref="F157" ca="1">defaultValue(G157,K154)</f>
        <v>يوفيلاك</v>
      </c>
      <c r="G157" s="7" t="s">
        <v>28</v>
      </c>
      <c r="H157" s="26" t="str" cm="1">
        <f t="array" aca="1" ref="H157" ca="1">defaultValue(I157,K154)</f>
        <v>HPL</v>
      </c>
      <c r="I157" s="7" t="s">
        <v>27</v>
      </c>
      <c r="J157" s="24" t="s">
        <v>75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2">
        <v>0</v>
      </c>
      <c r="B158"/>
      <c r="C158"/>
      <c r="D158"/>
      <c r="E158"/>
      <c r="F158"/>
      <c r="G158"/>
      <c r="H158"/>
      <c r="I158"/>
      <c r="J158"/>
      <c r="K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2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2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2">
        <v>3</v>
      </c>
      <c r="B161" s="14" t="str">
        <f>visible(E154, K161)</f>
        <v>وحدة سفلية دلفة /دلفتين + درج</v>
      </c>
      <c r="C161" s="6">
        <f>visible(1,K161)</f>
        <v>1</v>
      </c>
      <c r="D161" s="6" t="str">
        <f ca="1">visible(H157, K161)</f>
        <v>HPL</v>
      </c>
      <c r="E161" s="6" t="str">
        <f>visible("قاعدة", K161)</f>
        <v>قاعدة</v>
      </c>
      <c r="F161" s="6">
        <f>visible(H156-3.6, K161)</f>
        <v>56.4</v>
      </c>
      <c r="G161" s="6">
        <f ca="1">visible(J156,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2">
        <v>3</v>
      </c>
      <c r="B162" s="14" t="str">
        <f>visible(E154, K162)</f>
        <v>وحدة سفلية دلفة /دلفتين + درج</v>
      </c>
      <c r="C162" s="6">
        <f>visible(2,K162)</f>
        <v>2</v>
      </c>
      <c r="D162" s="6" t="str">
        <f ca="1">visible(H157, K162)</f>
        <v>HPL</v>
      </c>
      <c r="E162" s="6" t="str">
        <f>visible("أجناب", K162)</f>
        <v>أجناب</v>
      </c>
      <c r="F162" s="6">
        <f ca="1">visible(I156, K162)</f>
        <v>78</v>
      </c>
      <c r="G162" s="6">
        <f ca="1">visible(J156,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2">
        <v>3</v>
      </c>
      <c r="B163" s="14" t="str">
        <f>visible(E154, K163)</f>
        <v>وحدة سفلية دلفة /دلفتين + درج</v>
      </c>
      <c r="C163" s="6">
        <f>visible(3,K163)</f>
        <v>3</v>
      </c>
      <c r="D163" s="6" t="str">
        <f ca="1">visible(H157, K163)</f>
        <v>HPL</v>
      </c>
      <c r="E163" s="6" t="str">
        <f>visible("مرايا علوية 1", K163)</f>
        <v>مرايا علوية 1</v>
      </c>
      <c r="F163" s="6">
        <f>visible(H156-3.6,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2">
        <v>3</v>
      </c>
      <c r="B164" s="14" t="str">
        <f>visible(E154, K164)</f>
        <v>وحدة سفلية دلفة /دلفتين + درج</v>
      </c>
      <c r="C164" s="6">
        <f>visible(4,K164)</f>
        <v>4</v>
      </c>
      <c r="D164" s="6" t="str">
        <f ca="1">visible(H157, K164)</f>
        <v>HPL</v>
      </c>
      <c r="E164" s="6" t="str">
        <f>visible("مرايا علوية 2", K164)</f>
        <v>مرايا علوية 2</v>
      </c>
      <c r="F164" s="6">
        <f>visible(H156-3.6,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2">
        <v>3</v>
      </c>
      <c r="B165" s="14" t="str">
        <f>visible(E154, K165)</f>
        <v>وحدة سفلية دلفة /دلفتين + درج</v>
      </c>
      <c r="C165" s="6">
        <f>visible(5,K165)</f>
        <v>5</v>
      </c>
      <c r="D165" s="6" t="str">
        <f ca="1">visible(H157, K165)</f>
        <v>HPL</v>
      </c>
      <c r="E165" s="6" t="str">
        <f>visible("رف", K165)</f>
        <v>رف</v>
      </c>
      <c r="F165" s="6">
        <f>visible(H156-3.8, K165)</f>
        <v>56.2</v>
      </c>
      <c r="G165" s="6">
        <f ca="1">visible(J156-6, K165)</f>
        <v>50</v>
      </c>
      <c r="H165" s="6">
        <f>visible(D156*C154,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2">
        <v>3</v>
      </c>
      <c r="B166" s="14" t="str">
        <f>visible(E154, K166)</f>
        <v>وحدة سفلية دلفة /دلفتين + درج</v>
      </c>
      <c r="C166" s="10">
        <f>visible(6,K166)</f>
        <v>6</v>
      </c>
      <c r="D166" s="10" t="str">
        <f ca="1">visible(H157, K166)</f>
        <v>HPL</v>
      </c>
      <c r="E166" s="10" t="str">
        <f>visible("وش درج داخلى", K166)</f>
        <v>وش درج داخلى</v>
      </c>
      <c r="F166" s="10">
        <f>visible(H156-3.6-3.6-2.5, K166)</f>
        <v>50.3</v>
      </c>
      <c r="G166" s="10">
        <f>visible("10", K166)</f>
        <v>10</v>
      </c>
      <c r="H166" s="10">
        <f>visible(F156*C154,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2">
        <v>3</v>
      </c>
      <c r="B167" s="14" t="str">
        <f>visible(E154, K167)</f>
        <v>وحدة سفلية دلفة /دلفتين + درج</v>
      </c>
      <c r="C167" s="10">
        <f>visible(7,K167)</f>
        <v>7</v>
      </c>
      <c r="D167" s="10" t="str">
        <f ca="1">visible(H157, K167)</f>
        <v>HPL</v>
      </c>
      <c r="E167" s="10" t="str">
        <f>visible("جنب درج داخلى ", K167)</f>
        <v xml:space="preserve">جنب درج داخلى </v>
      </c>
      <c r="F167" s="10">
        <f ca="1">visible(G156, K167)</f>
        <v>45</v>
      </c>
      <c r="G167" s="10">
        <f>visible("10", K167)</f>
        <v>10</v>
      </c>
      <c r="H167" s="10">
        <f>visible(2*C154*F156,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2">
        <v>3</v>
      </c>
      <c r="B168" s="14" t="str">
        <f>visible(E154, K168)</f>
        <v>وحدة سفلية دلفة /دلفتين + درج</v>
      </c>
      <c r="C168" s="10">
        <f>visible(8,K168)</f>
        <v>8</v>
      </c>
      <c r="D168" s="10" t="str">
        <f ca="1">visible(H157, K168)</f>
        <v>HPL</v>
      </c>
      <c r="E168" s="10" t="str">
        <f>visible("ظهر درج داخلى ", K168)</f>
        <v xml:space="preserve">ظهر درج داخلى </v>
      </c>
      <c r="F168" s="10">
        <f>visible(H156-3.6-3.6-2.5, K168)</f>
        <v>50.3</v>
      </c>
      <c r="G168" s="10">
        <f>visible(10-3, K168)</f>
        <v>7</v>
      </c>
      <c r="H168" s="10">
        <f>visible(F156*C154,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2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2">
        <v>4</v>
      </c>
      <c r="B170" s="14" t="str">
        <f>visible(E154, K170)</f>
        <v>وحدة سفلية دلفة /دلفتين + درج</v>
      </c>
      <c r="C170" s="9">
        <f>visible(9,K170)</f>
        <v>9</v>
      </c>
      <c r="D170" s="9" t="str">
        <f ca="1">visible(F157, K170)</f>
        <v>يوفيلاك</v>
      </c>
      <c r="E170" s="9" t="str">
        <f>visible("دلف ", K170)</f>
        <v xml:space="preserve">دلف </v>
      </c>
      <c r="F170" s="9">
        <f ca="1">visible(I156-0.5-E156-G171, K170)</f>
        <v>59</v>
      </c>
      <c r="G170" s="9">
        <f>visible((H156/C156)-0.5, K170)</f>
        <v>29.5</v>
      </c>
      <c r="H170" s="9">
        <f>visible(C156*C154,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2">
        <v>4</v>
      </c>
      <c r="B171" s="14" t="str">
        <f>visible(E154, K171)</f>
        <v>وحدة سفلية دلفة /دلفتين + درج</v>
      </c>
      <c r="C171" s="9">
        <f>visible(10,K171)</f>
        <v>10</v>
      </c>
      <c r="D171" s="9" t="str">
        <f ca="1">visible(F157, K171)</f>
        <v>يوفيلاك</v>
      </c>
      <c r="E171" s="9" t="str">
        <f>visible("وش درج ", K171)</f>
        <v xml:space="preserve">وش درج </v>
      </c>
      <c r="F171" s="9">
        <f>visible(H156-0.5, K171)</f>
        <v>59.5</v>
      </c>
      <c r="G171" s="9">
        <f ca="1">visible(I156-E156-59.5, K171)</f>
        <v>15</v>
      </c>
      <c r="H171" s="9">
        <f>visible(F156*C154,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2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2">
        <v>5</v>
      </c>
      <c r="B173" s="14" t="str">
        <f>visible(E154, K173)</f>
        <v>وحدة سفلية دلفة /دلفتين + درج</v>
      </c>
      <c r="C173" s="18">
        <f>visible(11,K173)</f>
        <v>11</v>
      </c>
      <c r="D173" s="18" t="str">
        <f ca="1">visible(D157, K173)</f>
        <v>ظهر</v>
      </c>
      <c r="E173" s="18" t="str">
        <f>visible("ظهر", K173)</f>
        <v>ظهر</v>
      </c>
      <c r="F173" s="18">
        <f ca="1">visible(I156-2, K173)</f>
        <v>76</v>
      </c>
      <c r="G173" s="18">
        <f>visible(H156-2, K173)</f>
        <v>58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2">
        <v>5</v>
      </c>
      <c r="B174" s="14" t="str">
        <f>visible(E154, K174)</f>
        <v>وحدة سفلية دلفة /دلفتين + درج</v>
      </c>
      <c r="C174" s="18">
        <f>visible(12,K174)</f>
        <v>12</v>
      </c>
      <c r="D174" s="18" t="str">
        <f ca="1">visible(D157, K174)</f>
        <v>ظهر</v>
      </c>
      <c r="E174" s="18" t="str">
        <f>visible("قعر درج  ", K174)</f>
        <v xml:space="preserve">قعر درج  </v>
      </c>
      <c r="F174" s="18">
        <f>visible(H156-3.6-3.6-2.5+2, K174)</f>
        <v>52.3</v>
      </c>
      <c r="G174" s="18">
        <f ca="1">visible(G156-1, K174)</f>
        <v>44</v>
      </c>
      <c r="H174" s="18">
        <f>visible(1*C154, 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2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2">
        <v>255</v>
      </c>
      <c r="BB176"/>
      <c r="BC176"/>
      <c r="BD176"/>
      <c r="BE176"/>
      <c r="BF176"/>
      <c r="BG176"/>
      <c r="BH176"/>
      <c r="BI176"/>
      <c r="BJ176"/>
    </row>
  </sheetData>
  <mergeCells count="14">
    <mergeCell ref="E17:H17"/>
    <mergeCell ref="E35:H35"/>
    <mergeCell ref="J39:K39"/>
    <mergeCell ref="E70:H70"/>
    <mergeCell ref="C4:N4"/>
    <mergeCell ref="C7:N7"/>
    <mergeCell ref="C2:K2"/>
    <mergeCell ref="F112:F113"/>
    <mergeCell ref="F91:F92"/>
    <mergeCell ref="E90:H90"/>
    <mergeCell ref="E154:H154"/>
    <mergeCell ref="E131:H131"/>
    <mergeCell ref="F132:F133"/>
    <mergeCell ref="E111:H111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O16" sqref="O16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7" customFormat="1" x14ac:dyDescent="0.3">
      <c r="A1" s="87">
        <v>34</v>
      </c>
      <c r="B1" s="87">
        <v>7</v>
      </c>
      <c r="P1" s="88"/>
      <c r="Q1" s="88"/>
      <c r="R1" s="88"/>
      <c r="S1" s="88"/>
      <c r="T1" s="88"/>
      <c r="U1" s="88"/>
      <c r="V1" s="88"/>
      <c r="W1" s="88"/>
      <c r="X1" s="88"/>
    </row>
    <row r="2" spans="1:81" s="87" customFormat="1" ht="31.2" customHeight="1" x14ac:dyDescent="0.3">
      <c r="A2" s="87">
        <v>54</v>
      </c>
      <c r="B2" s="88" t="s">
        <v>80</v>
      </c>
      <c r="C2" s="111" t="s">
        <v>39</v>
      </c>
      <c r="D2" s="111"/>
      <c r="E2" s="111"/>
      <c r="F2" s="111"/>
      <c r="G2" s="111"/>
      <c r="H2" s="111"/>
      <c r="I2" s="111"/>
      <c r="J2" s="111"/>
      <c r="K2" s="111"/>
      <c r="P2" s="88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</row>
    <row r="3" spans="1:81" s="87" customFormat="1" x14ac:dyDescent="0.3">
      <c r="B3" s="87" t="s">
        <v>105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</row>
    <row r="4" spans="1:81" s="87" customFormat="1" ht="21" x14ac:dyDescent="0.4"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</row>
    <row r="5" spans="1:81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</row>
    <row r="6" spans="1:81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</row>
    <row r="7" spans="1:81" s="87" customFormat="1" ht="21" x14ac:dyDescent="0.4"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</row>
    <row r="8" spans="1:81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</row>
    <row r="9" spans="1:81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</row>
    <row r="10" spans="1:81" s="87" customFormat="1" x14ac:dyDescent="0.3"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</row>
    <row r="11" spans="1:81" s="87" customFormat="1" x14ac:dyDescent="0.3"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</row>
    <row r="12" spans="1:81" s="90" customFormat="1" ht="18" x14ac:dyDescent="0.3">
      <c r="A12" s="87"/>
      <c r="B12" s="87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</row>
    <row r="13" spans="1:81" customFormat="1" x14ac:dyDescent="0.3">
      <c r="A13" s="76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88</v>
      </c>
      <c r="B17" s="3"/>
      <c r="C17" s="13">
        <v>1</v>
      </c>
      <c r="D17" s="21" t="s">
        <v>51</v>
      </c>
      <c r="E17" s="101" t="s">
        <v>40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48</v>
      </c>
      <c r="D18" s="7" t="s">
        <v>49</v>
      </c>
      <c r="E18" s="17" t="s">
        <v>16</v>
      </c>
      <c r="F18" s="7" t="s">
        <v>14</v>
      </c>
      <c r="G18" s="7" t="s">
        <v>78</v>
      </c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72</v>
      </c>
      <c r="F20" s="117" t="b">
        <f ca="1">NOT(AND(F19&gt;0,G19&gt;0))</f>
        <v>1</v>
      </c>
      <c r="G20" s="117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116">
        <f>C19+D19</f>
        <v>1</v>
      </c>
      <c r="D21" s="116"/>
      <c r="E21" s="25">
        <v>10</v>
      </c>
      <c r="F21" s="118" t="str">
        <f ca="1">IF(F20,"المقابض مظبوطة","مينفعش مقبض مخفي مع بيلت ان")</f>
        <v>المقابض مظبوطة</v>
      </c>
      <c r="G21" s="118"/>
      <c r="H21" s="117" t="str">
        <f>IF(H20,"عدد الدلف صحيح","عدد الدلف غير صحيح")</f>
        <v>عدد الدلف صحيح</v>
      </c>
      <c r="I21" s="117"/>
      <c r="J21" s="117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117" t="b">
        <f>C21&lt;=2</f>
        <v>1</v>
      </c>
      <c r="D22" s="117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50</v>
      </c>
      <c r="F23" s="26" t="str" cm="1">
        <f t="array" aca="1" ref="F23" ca="1">defaultValue(G23,K17)</f>
        <v>يوفيلاك</v>
      </c>
      <c r="G23" s="7" t="s">
        <v>28</v>
      </c>
      <c r="H23" s="26" t="str" cm="1">
        <f t="array" aca="1" ref="H23" ca="1">defaultValue(I23,K17)</f>
        <v>HPL</v>
      </c>
      <c r="I23" s="7" t="s">
        <v>27</v>
      </c>
      <c r="J23" s="24" t="s">
        <v>75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visible(H23, K27)</f>
        <v>HPL</v>
      </c>
      <c r="E27" s="6" t="str">
        <f>visible("قرصة", K27)</f>
        <v>قرصة</v>
      </c>
      <c r="F27" s="6">
        <f>visible(H19-3.6, K27)</f>
        <v>-3.6</v>
      </c>
      <c r="G27" s="6">
        <f ca="1">visible(J19-E21,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visible(H23, K28)</f>
        <v>HPL</v>
      </c>
      <c r="E28" s="6" t="str">
        <f>visible("قاعدة", K28)</f>
        <v>قاعدة</v>
      </c>
      <c r="F28" s="6">
        <f>visible(H19-3.6, K28)</f>
        <v>-3.6</v>
      </c>
      <c r="G28" s="6">
        <f ca="1">visible(J19-G19-E21,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visible(H23, K29)</f>
        <v>HPL</v>
      </c>
      <c r="E29" s="6" t="str">
        <f>visible("أجناب", K29)</f>
        <v>أجناب</v>
      </c>
      <c r="F29" s="6">
        <f ca="1">visible(I19, K29)</f>
        <v>70</v>
      </c>
      <c r="G29" s="6">
        <f ca="1">visible(J19,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visible(H23, K30)</f>
        <v>HPL</v>
      </c>
      <c r="E30" s="6" t="str">
        <f>visible("رف", K30)</f>
        <v>رف</v>
      </c>
      <c r="F30" s="6">
        <f>visible(H19-3.8, K30)</f>
        <v>-3.8</v>
      </c>
      <c r="G30" s="6">
        <f ca="1">visible(J19-5-E21, K30)</f>
        <v>15</v>
      </c>
      <c r="H30" s="6">
        <f>visible(E19*C17,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visible(F23, K32)</f>
        <v>يوفيلاك</v>
      </c>
      <c r="E32" s="9" t="str">
        <f>visible("دلفه خشب", K32)</f>
        <v>دلفه خشب</v>
      </c>
      <c r="F32" s="9">
        <f ca="1">visible(IF(C20,"",I19-0.5-F19), K32)</f>
        <v>66</v>
      </c>
      <c r="G32" s="9">
        <f>visible(IF(C20,"",(H19/C21)-0.5), K32)</f>
        <v>-0.5</v>
      </c>
      <c r="H32" s="9">
        <f>visible(C19*C17,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visible(I19-0.5, K33)</f>
        <v>69.5</v>
      </c>
      <c r="G33" s="9">
        <f>visible((H19/C21)-0.7, K33)</f>
        <v>-0.7</v>
      </c>
      <c r="H33" s="9">
        <f>visible(C17*D19,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visible(E17, K35)</f>
        <v xml:space="preserve">وحدة علوية دلفة /دلفتين </v>
      </c>
      <c r="C35" s="18">
        <f>visible(7,K35)</f>
        <v>7</v>
      </c>
      <c r="D35" s="18" t="str">
        <f ca="1">visible(D23, K35)</f>
        <v>ظهر</v>
      </c>
      <c r="E35" s="18" t="str">
        <f>visible("ظهر", K35)</f>
        <v>ظهر</v>
      </c>
      <c r="F35" s="18">
        <f ca="1">visible(I19-2, K35)</f>
        <v>68</v>
      </c>
      <c r="G35" s="18">
        <f>visible(H19-2, K35)</f>
        <v>-2</v>
      </c>
      <c r="H35" s="18">
        <f>visible(1*C17, K35)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93</v>
      </c>
      <c r="C38" s="13">
        <v>1</v>
      </c>
      <c r="D38" s="21" t="s">
        <v>51</v>
      </c>
      <c r="E38" s="101" t="s">
        <v>46</v>
      </c>
      <c r="F38" s="102"/>
      <c r="G38" s="102"/>
      <c r="H38" s="103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48</v>
      </c>
      <c r="D39" s="7" t="s">
        <v>49</v>
      </c>
      <c r="E39" s="7" t="s">
        <v>47</v>
      </c>
      <c r="F39" s="7" t="s">
        <v>14</v>
      </c>
      <c r="G39" s="7" t="s">
        <v>78</v>
      </c>
      <c r="H39" s="7" t="s">
        <v>19</v>
      </c>
      <c r="I39" s="7" t="s">
        <v>3</v>
      </c>
      <c r="J39" s="7" t="s">
        <v>76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72</v>
      </c>
      <c r="F41" s="119" t="b">
        <f ca="1">NOT(AND(F40&gt;0,G40&gt;0))</f>
        <v>1</v>
      </c>
      <c r="G41" s="119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116">
        <f>C40+D40</f>
        <v>2</v>
      </c>
      <c r="D42" s="116"/>
      <c r="E42" s="7">
        <v>0</v>
      </c>
      <c r="F42" s="120" t="str">
        <f ca="1">IF(F41,"المقابض مظبوطة","مينفعش مقبض مخفي مع بيلت ان")</f>
        <v>المقابض مظبوطة</v>
      </c>
      <c r="G42" s="120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117" t="b">
        <f>C42&lt;=2</f>
        <v>1</v>
      </c>
      <c r="D43" s="117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50</v>
      </c>
      <c r="F44" s="26" t="str" cm="1">
        <f t="array" aca="1" ref="F44" ca="1">defaultValue(G44,K38)</f>
        <v>يوفيلاك</v>
      </c>
      <c r="G44" s="7" t="s">
        <v>28</v>
      </c>
      <c r="H44" s="26" t="str" cm="1">
        <f t="array" aca="1" ref="H44" ca="1">defaultValue(I44,K38)</f>
        <v>HPL</v>
      </c>
      <c r="I44" s="7" t="s">
        <v>27</v>
      </c>
      <c r="J44" s="24" t="s">
        <v>75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visible(H44, K48)</f>
        <v>HPL</v>
      </c>
      <c r="E48" s="6" t="str">
        <f>visible("قرصة", K48)</f>
        <v>قرصة</v>
      </c>
      <c r="F48" s="6">
        <f>visible(H40-3.6, K48)</f>
        <v>-3.6</v>
      </c>
      <c r="G48" s="6">
        <f ca="1">visible(J40-E42,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visible(H44, K49)</f>
        <v>HPL</v>
      </c>
      <c r="E49" s="6" t="str">
        <f>visible("قاعدة", K49)</f>
        <v>قاعدة</v>
      </c>
      <c r="F49" s="6">
        <f>visible(H40-3.6, K49)</f>
        <v>-3.6</v>
      </c>
      <c r="G49" s="6">
        <f ca="1">visible(J40-G40-E42,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visible(H44, K50)</f>
        <v>HPL</v>
      </c>
      <c r="E50" s="6" t="str">
        <f>visible("أجناب", K50)</f>
        <v>أجناب</v>
      </c>
      <c r="F50" s="6">
        <f ca="1">visible(I40, K50)</f>
        <v>70</v>
      </c>
      <c r="G50" s="6">
        <f ca="1">visible(J40,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visible(H44, K51)</f>
        <v>HPL</v>
      </c>
      <c r="E51" s="6" t="str">
        <f>visible("قاطوع", K51)</f>
        <v>قاطوع</v>
      </c>
      <c r="F51" s="6">
        <f>visible((H40-3.6)*E40, K51)</f>
        <v>-3.6</v>
      </c>
      <c r="G51" s="6">
        <f ca="1">visible((J40-2.5-E42)*E40, K51)</f>
        <v>27.5</v>
      </c>
      <c r="H51" s="6">
        <f>visible(E40*C38,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visible(F44, K53)</f>
        <v>يوفيلاك</v>
      </c>
      <c r="E53" s="9" t="str">
        <f>visible("دلفة قلاب خشب", K53)</f>
        <v>دلفة قلاب خشب</v>
      </c>
      <c r="F53" s="9">
        <f ca="1">visible((I40/C42)-0.5-F40, K53)</f>
        <v>31</v>
      </c>
      <c r="G53" s="9">
        <f>visible(H40-0.5, K53)</f>
        <v>-0.5</v>
      </c>
      <c r="H53" s="9">
        <f>visible(C40*C38,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visible(E38, K54)</f>
        <v>وحدة علوية  قلاب / 2 قلاب</v>
      </c>
      <c r="C54" s="9">
        <f>visible(6,K54)</f>
        <v>6</v>
      </c>
      <c r="D54" s="9" t="str">
        <f>visible("دلفة زجاج", K54)</f>
        <v>دلفة زجاج</v>
      </c>
      <c r="E54" s="9" t="str">
        <f>visible("دلفة قلاب زجاج", K54)</f>
        <v>دلفة قلاب زجاج</v>
      </c>
      <c r="F54" s="9">
        <f ca="1">visible((I40/C42)-0.5, K54)</f>
        <v>34.5</v>
      </c>
      <c r="G54" s="9">
        <f>visible(H40-0.7, K54)</f>
        <v>-0.7</v>
      </c>
      <c r="H54" s="9">
        <f>visible(C38*D40, K54)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visible(E38, K56)</f>
        <v>وحدة علوية  قلاب / 2 قلاب</v>
      </c>
      <c r="C56" s="18">
        <f>visible(7,K56)</f>
        <v>7</v>
      </c>
      <c r="D56" s="18" t="str">
        <f ca="1">visible(D44, K56)</f>
        <v>ظهر</v>
      </c>
      <c r="E56" s="18" t="str">
        <f>visible("ظهر", K56)</f>
        <v>ظهر</v>
      </c>
      <c r="F56" s="18">
        <f ca="1">visible(I40-2, K56)</f>
        <v>68</v>
      </c>
      <c r="G56" s="18">
        <f>visible(H40-2, K56)</f>
        <v>-2</v>
      </c>
      <c r="H56" s="18">
        <f>visible(1*C38, K56)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89</v>
      </c>
      <c r="C59" s="13">
        <v>1</v>
      </c>
      <c r="D59" s="21" t="s">
        <v>51</v>
      </c>
      <c r="E59" s="101" t="s">
        <v>41</v>
      </c>
      <c r="F59" s="102"/>
      <c r="G59" s="102"/>
      <c r="H59" s="103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49</v>
      </c>
      <c r="E60" s="7" t="s">
        <v>16</v>
      </c>
      <c r="F60" s="7" t="s">
        <v>14</v>
      </c>
      <c r="G60" s="7" t="s">
        <v>78</v>
      </c>
      <c r="H60" s="7" t="s">
        <v>19</v>
      </c>
      <c r="I60" s="7" t="s">
        <v>3</v>
      </c>
      <c r="J60" s="7" t="s">
        <v>76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117" t="b">
        <f ca="1">NOT(AND(F61&gt;0,G61&gt;0))</f>
        <v>1</v>
      </c>
      <c r="G62" s="114"/>
      <c r="H62" s="3" t="b">
        <f>_xlfn.XOR(H61&lt;=50,C63=2)</f>
        <v>0</v>
      </c>
      <c r="I62" s="44" t="s">
        <v>97</v>
      </c>
      <c r="J62" s="45" t="s">
        <v>98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116">
        <f>C61+D61</f>
        <v>2</v>
      </c>
      <c r="D63" s="116"/>
      <c r="E63" s="7" t="s">
        <v>72</v>
      </c>
      <c r="F63" s="121" t="str">
        <f ca="1">IF(F62,"المقابض مظبوطة","مينفعش مقبض مخفي مع بيلت ان")</f>
        <v>المقابض مظبوطة</v>
      </c>
      <c r="G63" s="121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117" t="b">
        <f>C63&lt;=2</f>
        <v>1</v>
      </c>
      <c r="D64" s="117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50</v>
      </c>
      <c r="F65" s="26" t="str" cm="1">
        <f t="array" aca="1" ref="F65" ca="1">defaultValue(G65,K59)</f>
        <v>يوفيلاك</v>
      </c>
      <c r="G65" s="7" t="s">
        <v>28</v>
      </c>
      <c r="H65" s="26" t="str" cm="1">
        <f t="array" aca="1" ref="H65" ca="1">defaultValue(I65,K59)</f>
        <v>HPL</v>
      </c>
      <c r="I65" s="7" t="s">
        <v>27</v>
      </c>
      <c r="J65" s="24" t="s">
        <v>75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visible(H65, K69)</f>
        <v>HPL</v>
      </c>
      <c r="E69" s="6" t="str">
        <f>visible("قرصة", K69)</f>
        <v>قرصة</v>
      </c>
      <c r="F69" s="6">
        <f>visible(H61-3.6, K69)</f>
        <v>-3.6</v>
      </c>
      <c r="G69" s="6">
        <f ca="1">visible(J61-E64,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visible(H65, K70)</f>
        <v>HPL</v>
      </c>
      <c r="E70" s="6" t="str">
        <f>visible("قاعدة", K70)</f>
        <v>قاعدة</v>
      </c>
      <c r="F70" s="6">
        <f>visible(H61-3.6, K70)</f>
        <v>-3.6</v>
      </c>
      <c r="G70" s="6">
        <f ca="1">visible(J61-G61-E64,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visible(H65, K71)</f>
        <v>HPL</v>
      </c>
      <c r="E71" s="6" t="str">
        <f>visible("أجناب", K71)</f>
        <v>أجناب</v>
      </c>
      <c r="F71" s="6">
        <f ca="1">visible(I61, K71)</f>
        <v>70</v>
      </c>
      <c r="G71" s="6">
        <f ca="1">visible(J61,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visible(H65, K72)</f>
        <v>HPL</v>
      </c>
      <c r="E72" s="6" t="str">
        <f>visible("رف", K72)</f>
        <v>رف</v>
      </c>
      <c r="F72" s="6">
        <f>visible(H61-3.8, K72)</f>
        <v>-3.8</v>
      </c>
      <c r="G72" s="6">
        <f ca="1">visible(J61-6-E64, K72)</f>
        <v>24</v>
      </c>
      <c r="H72" s="6">
        <f>visible(E61*C59,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visible(H65, K73)</f>
        <v>HPL</v>
      </c>
      <c r="E73" s="6" t="str">
        <f>visible("تلبيسة", K73)</f>
        <v>تلبيسة</v>
      </c>
      <c r="F73" s="6">
        <f ca="1">visible(I61, K73)</f>
        <v>70</v>
      </c>
      <c r="G73" s="6">
        <f>visible(I63,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visible(F65, K75)</f>
        <v>يوفيلاك</v>
      </c>
      <c r="E75" s="9" t="str">
        <f>visible("دلف ", K75)</f>
        <v xml:space="preserve">دلف </v>
      </c>
      <c r="F75" s="9">
        <f ca="1">visible(I61-0.5-F61, K75)</f>
        <v>66</v>
      </c>
      <c r="G75" s="9">
        <f>visible((H61-I63-J63)/C61-0.5, K75)</f>
        <v>-17.5</v>
      </c>
      <c r="H75" s="9">
        <f>visible(C61*C59,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visible(F65, K76)</f>
        <v>يوفيلاك</v>
      </c>
      <c r="E76" s="9" t="str">
        <f>visible("تلبييسة ثابتة", K76)</f>
        <v>تلبييسة ثابتة</v>
      </c>
      <c r="F76" s="9">
        <f ca="1">visible(I61, K76)</f>
        <v>70</v>
      </c>
      <c r="G76" s="9">
        <f>visible(J63,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visible(E59, K78)</f>
        <v xml:space="preserve">وحدة علوية  تلبيسة دلفة /دلفتين </v>
      </c>
      <c r="C78" s="9">
        <f>visible(8,K78)</f>
        <v>8</v>
      </c>
      <c r="D78" s="9" t="str">
        <f>visible("دلفة زجاج", K78)</f>
        <v>دلفة زجاج</v>
      </c>
      <c r="E78" s="9" t="str">
        <f>visible("دلفة  زجاج", K78)</f>
        <v>دلفة  زجاج</v>
      </c>
      <c r="F78" s="9">
        <f ca="1">visible(I61-0.5, K78)</f>
        <v>69.5</v>
      </c>
      <c r="G78" s="9" t="e">
        <f>visible((H61-I63-J63)/D61-0.7, K78)</f>
        <v>#NAME?</v>
      </c>
      <c r="H78" s="9">
        <f>visible(C59*D61, K78)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visible(E59, K80)</f>
        <v xml:space="preserve">وحدة علوية  تلبيسة دلفة /دلفتين </v>
      </c>
      <c r="C80" s="18">
        <f>visible(9,K80)</f>
        <v>9</v>
      </c>
      <c r="D80" s="18" t="str">
        <f ca="1">visible(D65, K80)</f>
        <v>ظهر</v>
      </c>
      <c r="E80" s="18" t="str">
        <f>visible("ظهر", K80)</f>
        <v>ظهر</v>
      </c>
      <c r="F80" s="18">
        <f ca="1">visible(I61-2, K80)</f>
        <v>68</v>
      </c>
      <c r="G80" s="18">
        <f>visible(H61-2, K80)</f>
        <v>-2</v>
      </c>
      <c r="H80" s="18">
        <f>visible(1*C59, K80)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94</v>
      </c>
      <c r="C83" s="13">
        <v>1</v>
      </c>
      <c r="D83" s="21" t="s">
        <v>51</v>
      </c>
      <c r="E83" s="101" t="s">
        <v>99</v>
      </c>
      <c r="F83" s="102"/>
      <c r="G83" s="102"/>
      <c r="H83" s="103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49</v>
      </c>
      <c r="E84" s="7" t="s">
        <v>47</v>
      </c>
      <c r="F84" s="7" t="s">
        <v>14</v>
      </c>
      <c r="G84" s="7" t="s">
        <v>78</v>
      </c>
      <c r="H84" s="7" t="s">
        <v>19</v>
      </c>
      <c r="I84" s="7" t="s">
        <v>3</v>
      </c>
      <c r="J84" s="7" t="s">
        <v>76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117" t="b">
        <f ca="1">NOT(AND(F85&gt;0,G85&gt;0))</f>
        <v>1</v>
      </c>
      <c r="G86" s="114"/>
      <c r="H86" s="3" t="b">
        <f ca="1">_xlfn.XOR(I85&lt;=50,C87=2)</f>
        <v>0</v>
      </c>
      <c r="I86" s="44" t="s">
        <v>97</v>
      </c>
      <c r="J86" s="45" t="s">
        <v>98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116">
        <f>C85+D85</f>
        <v>1</v>
      </c>
      <c r="D87" s="116"/>
      <c r="E87" s="7" t="s">
        <v>72</v>
      </c>
      <c r="F87" s="121" t="str">
        <f ca="1">IF(F86,"المقابض مظبوطة","مينفعش مقبض مخفي مع بيلت ان")</f>
        <v>المقابض مظبوطة</v>
      </c>
      <c r="G87" s="121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117" t="b">
        <f>C87&lt;=2</f>
        <v>1</v>
      </c>
      <c r="D88" s="117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50</v>
      </c>
      <c r="F89" s="26" t="str" cm="1">
        <f t="array" aca="1" ref="F89" ca="1">defaultValue(G89,K83)</f>
        <v>يوفيلاك</v>
      </c>
      <c r="G89" s="7" t="s">
        <v>28</v>
      </c>
      <c r="H89" s="26" t="str" cm="1">
        <f t="array" aca="1" ref="H89" ca="1">defaultValue(I89,K83)</f>
        <v>HPL</v>
      </c>
      <c r="I89" s="7" t="s">
        <v>27</v>
      </c>
      <c r="J89" s="24" t="s">
        <v>75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visible(H89, K93)</f>
        <v>HPL</v>
      </c>
      <c r="E93" s="6" t="str">
        <f>visible("قرصة", K93)</f>
        <v>قرصة</v>
      </c>
      <c r="F93" s="6">
        <f>visible(H85-3.6, K93)</f>
        <v>-3.6</v>
      </c>
      <c r="G93" s="6">
        <f ca="1">visible(J85-E88,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visible(H89, K94)</f>
        <v>HPL</v>
      </c>
      <c r="E94" s="6" t="str">
        <f>visible("قاعدة", K94)</f>
        <v>قاعدة</v>
      </c>
      <c r="F94" s="6">
        <f>visible(H85-3.6, K94)</f>
        <v>-3.6</v>
      </c>
      <c r="G94" s="6">
        <f ca="1">visible(J85-G85-E88,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visible(H89, K95)</f>
        <v>HPL</v>
      </c>
      <c r="E95" s="6" t="str">
        <f>visible("أجناب", K95)</f>
        <v>أجناب</v>
      </c>
      <c r="F95" s="6">
        <f ca="1">visible(I85, K95)</f>
        <v>70</v>
      </c>
      <c r="G95" s="6">
        <f ca="1">visible(J85,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visible(H89, K96)</f>
        <v>HPL</v>
      </c>
      <c r="E96" s="6" t="str">
        <f>visible("قاطوع", K96)</f>
        <v>قاطوع</v>
      </c>
      <c r="F96" s="6">
        <f>visible(H85-3.6, K96)</f>
        <v>-3.6</v>
      </c>
      <c r="G96" s="6">
        <f ca="1">visible(J85-6-E88, K96)</f>
        <v>24</v>
      </c>
      <c r="H96" s="6">
        <f>visible(E85*C83,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visible(H89, K97)</f>
        <v>HPL</v>
      </c>
      <c r="E97" s="6" t="str">
        <f>visible("تلبيسة", K97)</f>
        <v>تلبيسة</v>
      </c>
      <c r="F97" s="6">
        <f ca="1">visible(I85, K97)</f>
        <v>70</v>
      </c>
      <c r="G97" s="6">
        <f>visible(I87,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visible(F89, K99)</f>
        <v>يوفيلاك</v>
      </c>
      <c r="E99" s="9" t="str">
        <f>visible("دلف قلاب", K99)</f>
        <v>دلف قلاب</v>
      </c>
      <c r="F99" s="9">
        <f ca="1">visible((I85/C87)-0.5-F85, K99)</f>
        <v>66</v>
      </c>
      <c r="G99" s="9">
        <f>visible(H85-0.5-I87-J87, K99)</f>
        <v>-44.5</v>
      </c>
      <c r="H99" s="9">
        <f>visible(C85*C83,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visible(F89, K100)</f>
        <v>يوفيلاك</v>
      </c>
      <c r="E100" s="9" t="str">
        <f>visible("تلبييسة ثابتة", K100)</f>
        <v>تلبييسة ثابتة</v>
      </c>
      <c r="F100" s="9">
        <f ca="1">visible(I85, K100)</f>
        <v>70</v>
      </c>
      <c r="G100" s="9">
        <f>visible(J87,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visible(E83, K102)</f>
        <v>وحدة علوية  تلبيسة دلفة /دلفتين قلاب</v>
      </c>
      <c r="C102" s="9">
        <f>visible(8,K102)</f>
        <v>8</v>
      </c>
      <c r="D102" s="9" t="str">
        <f>visible("دلفة زجاج", K102)</f>
        <v>دلفة زجاج</v>
      </c>
      <c r="E102" s="9" t="str">
        <f>visible("دلفة  زجاج", K102)</f>
        <v>دلفة  زجاج</v>
      </c>
      <c r="F102" s="9">
        <f ca="1">visible((I85/C87)-0.5, K102)</f>
        <v>69.5</v>
      </c>
      <c r="G102" s="9">
        <f>visible(H85-0.7-I87-J87, K102)</f>
        <v>-44.7</v>
      </c>
      <c r="H102" s="9">
        <f>visible(C83*D85, K102)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visible(E83, K104)</f>
        <v>وحدة علوية  تلبيسة دلفة /دلفتين قلاب</v>
      </c>
      <c r="C104" s="18">
        <f>visible(9,K104)</f>
        <v>9</v>
      </c>
      <c r="D104" s="18" t="str">
        <f ca="1">visible(D89, K104)</f>
        <v>ظهر</v>
      </c>
      <c r="E104" s="18" t="str">
        <f>visible("ظهر", K104)</f>
        <v>ظهر</v>
      </c>
      <c r="F104" s="18">
        <f ca="1">visible(I85-2, K104)</f>
        <v>68</v>
      </c>
      <c r="G104" s="18">
        <f>visible(H85-2, K104)</f>
        <v>-2</v>
      </c>
      <c r="H104" s="18">
        <f>visible(1*C83, K104)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90</v>
      </c>
      <c r="C107" s="13">
        <v>1</v>
      </c>
      <c r="D107" s="21" t="s">
        <v>51</v>
      </c>
      <c r="E107" s="101" t="s">
        <v>42</v>
      </c>
      <c r="F107" s="102"/>
      <c r="G107" s="102"/>
      <c r="H107" s="103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16</v>
      </c>
      <c r="E108" s="7"/>
      <c r="F108" s="7" t="s">
        <v>14</v>
      </c>
      <c r="G108" s="7" t="s">
        <v>78</v>
      </c>
      <c r="H108" s="7" t="s">
        <v>19</v>
      </c>
      <c r="I108" s="7" t="s">
        <v>3</v>
      </c>
      <c r="J108" s="7" t="s">
        <v>76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117" t="b">
        <f ca="1">NOT(AND(F109&gt;0,G109&gt;0))</f>
        <v>1</v>
      </c>
      <c r="G110" s="117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120" t="str">
        <f ca="1">IF(F110,"المقابض مظبوطة","مينفعش مقبض مخفي مع بيلت ان")</f>
        <v>المقابض مظبوطة</v>
      </c>
      <c r="G111" s="120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50</v>
      </c>
      <c r="F112" s="26" t="str" cm="1">
        <f t="array" aca="1" ref="F112" ca="1">defaultValue(G112,K107)</f>
        <v>يوفيلاك</v>
      </c>
      <c r="G112" s="7" t="s">
        <v>28</v>
      </c>
      <c r="H112" s="26" t="str" cm="1">
        <f t="array" aca="1" ref="H112" ca="1">defaultValue(I112,K107)</f>
        <v>HPL</v>
      </c>
      <c r="I112" s="7" t="s">
        <v>27</v>
      </c>
      <c r="J112" s="24" t="s">
        <v>75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visible(H112, K116)</f>
        <v>HPL</v>
      </c>
      <c r="E116" s="6" t="str">
        <f>visible("قرصة", K116)</f>
        <v>قرصة</v>
      </c>
      <c r="F116" s="6">
        <f>visible(H109-1.8, K116)</f>
        <v>-1.8</v>
      </c>
      <c r="G116" s="6">
        <f>visible(H110-1.8,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visible(H112, K117)</f>
        <v>HPL</v>
      </c>
      <c r="E117" s="6" t="str">
        <f>visible("قاعدة", K117)</f>
        <v>قاعدة</v>
      </c>
      <c r="F117" s="6">
        <f>visible(H109-1.8, K117)</f>
        <v>-1.8</v>
      </c>
      <c r="G117" s="6">
        <f>visible(H110-1.8,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visible(H112, K118)</f>
        <v>HPL</v>
      </c>
      <c r="E118" s="6" t="str">
        <f>visible("جنب 1", K118)</f>
        <v>جنب 1</v>
      </c>
      <c r="F118" s="6">
        <f ca="1">visible(I109, K118)</f>
        <v>70</v>
      </c>
      <c r="G118" s="6">
        <f ca="1">visible(J109,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visible(H112, K119)</f>
        <v>HPL</v>
      </c>
      <c r="E119" s="6" t="str">
        <f>visible("جنب 2", K119)</f>
        <v>جنب 2</v>
      </c>
      <c r="F119" s="6">
        <f ca="1">visible(I110, K119)</f>
        <v>70</v>
      </c>
      <c r="G119" s="6">
        <f ca="1">visible(J110,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visible(H112, K120)</f>
        <v>HPL</v>
      </c>
      <c r="E120" s="6" t="str">
        <f>visible("قائم خلفى", K120)</f>
        <v>قائم خلفى</v>
      </c>
      <c r="F120" s="6">
        <f ca="1">visible(I109,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visible(H112, K121)</f>
        <v>HPL</v>
      </c>
      <c r="E121" s="6" t="str">
        <f>visible("رف", K121)</f>
        <v>رف</v>
      </c>
      <c r="F121" s="6">
        <f>visible(H109-3.8, K121)</f>
        <v>-3.8</v>
      </c>
      <c r="G121" s="6">
        <f>visible(H110-3.8, K121)</f>
        <v>56.2</v>
      </c>
      <c r="H121" s="6">
        <f>visible(D109*C107,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visible(F112, K123)</f>
        <v>يوفيلاك</v>
      </c>
      <c r="E123" s="9" t="str">
        <f>visible("دلف 1", K123)</f>
        <v>دلف 1</v>
      </c>
      <c r="F123" s="9">
        <f ca="1">visible(I109-0.5-F109, K123)</f>
        <v>66</v>
      </c>
      <c r="G123" s="9">
        <f ca="1">visible(H109-J109-3,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visible(F112, K124)</f>
        <v>يوفيلاك</v>
      </c>
      <c r="E124" s="9" t="str">
        <f>visible("دلف 2", K124)</f>
        <v>دلف 2</v>
      </c>
      <c r="F124" s="9">
        <f ca="1">visible(I110-0.5-F109, K124)</f>
        <v>66</v>
      </c>
      <c r="G124" s="9">
        <f ca="1">visible(H110-J110-3,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visible(I109-0.5, K126)</f>
        <v>69.5</v>
      </c>
      <c r="G126" s="9">
        <f ca="1">visible(H109-J109-3.3,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visible(I110-0.5, K127)</f>
        <v>69.5</v>
      </c>
      <c r="G127" s="9">
        <f ca="1">visible(H109-J109-3.3,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visible(E107, K129)</f>
        <v>وحدة علوية  زاوية 90</v>
      </c>
      <c r="C129" s="18">
        <f>visible(11,K129)</f>
        <v>11</v>
      </c>
      <c r="D129" s="18" t="str">
        <f ca="1">visible(D112, K129)</f>
        <v>ظهر</v>
      </c>
      <c r="E129" s="18" t="str">
        <f>visible("ظهر 1", K129)</f>
        <v>ظهر 1</v>
      </c>
      <c r="F129" s="18">
        <f ca="1">visible(I109-2, K129)</f>
        <v>68</v>
      </c>
      <c r="G129" s="18">
        <f>visible(H109-1, K129)</f>
        <v>-1</v>
      </c>
      <c r="H129" s="18">
        <f>visible(1*C107, K129)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visible(E107, K130)</f>
        <v>وحدة علوية  زاوية 90</v>
      </c>
      <c r="C130" s="18">
        <f>visible(12,K130)</f>
        <v>12</v>
      </c>
      <c r="D130" s="18" t="str">
        <f ca="1">visible(D112, K130)</f>
        <v>ظهر</v>
      </c>
      <c r="E130" s="18" t="str">
        <f>visible("ظهر 2", K130)</f>
        <v>ظهر 2</v>
      </c>
      <c r="F130" s="18">
        <f ca="1">visible(I110-2, K130)</f>
        <v>68</v>
      </c>
      <c r="G130" s="18">
        <f>visible(H110-1, K130)</f>
        <v>59</v>
      </c>
      <c r="H130" s="18">
        <f>visible(1*C107, K130)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91</v>
      </c>
      <c r="C133" s="13">
        <v>1</v>
      </c>
      <c r="D133" s="21" t="s">
        <v>51</v>
      </c>
      <c r="E133" s="101" t="s">
        <v>43</v>
      </c>
      <c r="F133" s="102"/>
      <c r="G133" s="102"/>
      <c r="H133" s="103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16</v>
      </c>
      <c r="E134" s="7"/>
      <c r="F134" s="7" t="s">
        <v>14</v>
      </c>
      <c r="G134" s="7" t="s">
        <v>78</v>
      </c>
      <c r="H134" s="7" t="s">
        <v>19</v>
      </c>
      <c r="I134" s="7" t="s">
        <v>3</v>
      </c>
      <c r="J134" s="7" t="s">
        <v>76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117" t="b">
        <f ca="1">NOT(AND(F135&gt;0,G135&gt;0))</f>
        <v>1</v>
      </c>
      <c r="G136" s="117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120" t="str">
        <f ca="1">IF(F136,"المقابض مظبوطة","مينفعش مقبض مخفي مع بيلت ان")</f>
        <v>المقابض مظبوطة</v>
      </c>
      <c r="G137" s="120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50</v>
      </c>
      <c r="F138" s="26" t="str" cm="1">
        <f t="array" aca="1" ref="F138" ca="1">defaultValue(G138,K133)</f>
        <v>يوفيلاك</v>
      </c>
      <c r="G138" s="7" t="s">
        <v>28</v>
      </c>
      <c r="H138" s="26" t="str" cm="1">
        <f t="array" aca="1" ref="H138" ca="1">defaultValue(I138,K133)</f>
        <v>HPL</v>
      </c>
      <c r="I138" s="7" t="s">
        <v>27</v>
      </c>
      <c r="J138" s="24" t="s">
        <v>75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visible(H138, K142)</f>
        <v>HPL</v>
      </c>
      <c r="E142" s="6" t="str">
        <f>visible("قرصة", K142)</f>
        <v>قرصة</v>
      </c>
      <c r="F142" s="6">
        <f>visible(H135-1.8, K142)</f>
        <v>-1.8</v>
      </c>
      <c r="G142" s="6">
        <f>visible(H136-1.8,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visible(H138, K143)</f>
        <v>HPL</v>
      </c>
      <c r="E143" s="6" t="str">
        <f>visible("قاعدة", K143)</f>
        <v>قاعدة</v>
      </c>
      <c r="F143" s="6">
        <f>visible(H135-1.8, K143)</f>
        <v>-1.8</v>
      </c>
      <c r="G143" s="6">
        <f>visible(H136-1.8,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visible(H138, K144)</f>
        <v>HPL</v>
      </c>
      <c r="E144" s="6" t="str">
        <f>visible("جنب 1", K144)</f>
        <v>جنب 1</v>
      </c>
      <c r="F144" s="6">
        <f ca="1">visible(I135, K144)</f>
        <v>70</v>
      </c>
      <c r="G144" s="6">
        <f ca="1">visible(J135,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visible(H138, K145)</f>
        <v>HPL</v>
      </c>
      <c r="E145" s="6" t="str">
        <f>visible("جنب 2", K145)</f>
        <v>جنب 2</v>
      </c>
      <c r="F145" s="6">
        <f ca="1">visible(I136, K145)</f>
        <v>70</v>
      </c>
      <c r="G145" s="6">
        <f ca="1">visible(J136,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visible(H138, K146)</f>
        <v>HPL</v>
      </c>
      <c r="E146" s="6" t="str">
        <f>visible("قائم خلفى", K146)</f>
        <v>قائم خلفى</v>
      </c>
      <c r="F146" s="6">
        <f ca="1">visible(I135,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visible(H138, K147)</f>
        <v>HPL</v>
      </c>
      <c r="E147" s="6" t="str">
        <f>visible("رف", K147)</f>
        <v>رف</v>
      </c>
      <c r="F147" s="6">
        <f>visible(H135-3.8, K147)</f>
        <v>-3.8</v>
      </c>
      <c r="G147" s="6">
        <f>visible(H136-3.8, K147)</f>
        <v>-3.8</v>
      </c>
      <c r="H147" s="6">
        <f>visible(D135*C133,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visible(F138, K149)</f>
        <v>يوفيلاك</v>
      </c>
      <c r="E149" s="9" t="str">
        <f>visible("دلف 1", K149)</f>
        <v>دلف 1</v>
      </c>
      <c r="F149" s="9">
        <f ca="1">visible(I135-0.5-F135, K149)</f>
        <v>66</v>
      </c>
      <c r="G149" s="16">
        <f ca="1">visible((SQRT((H135-J135)^2+(H136-J136)^2))-2,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visible(E133, K151)</f>
        <v>وحدة علوية  ركنة 45</v>
      </c>
      <c r="C151" s="18">
        <f>visible(8,K151)</f>
        <v>8</v>
      </c>
      <c r="D151" s="18" t="str">
        <f ca="1">visible(D138, K151)</f>
        <v>ظهر</v>
      </c>
      <c r="E151" s="18" t="str">
        <f>visible("ظهر", K151)</f>
        <v>ظهر</v>
      </c>
      <c r="F151" s="18">
        <f ca="1">visible(I135-2, K151)</f>
        <v>68</v>
      </c>
      <c r="G151" s="18">
        <f>visible(H135-1, K151)</f>
        <v>-1</v>
      </c>
      <c r="H151" s="18">
        <f>visible(1*C133,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92</v>
      </c>
      <c r="C154" s="13">
        <v>1</v>
      </c>
      <c r="D154" s="21" t="s">
        <v>51</v>
      </c>
      <c r="E154" s="101" t="s">
        <v>73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48</v>
      </c>
      <c r="D155" s="7" t="s">
        <v>49</v>
      </c>
      <c r="E155" s="17" t="s">
        <v>16</v>
      </c>
      <c r="F155" s="7" t="s">
        <v>14</v>
      </c>
      <c r="G155" s="7" t="s">
        <v>78</v>
      </c>
      <c r="H155" s="7" t="s">
        <v>19</v>
      </c>
      <c r="I155" s="7" t="s">
        <v>3</v>
      </c>
      <c r="J155" s="7" t="s">
        <v>76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72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74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112">
        <f>C156+D156</f>
        <v>1</v>
      </c>
      <c r="D158" s="113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114" t="b">
        <f>C158&lt;=2</f>
        <v>1</v>
      </c>
      <c r="D159" s="115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50</v>
      </c>
      <c r="F160" s="26" t="str" cm="1">
        <f t="array" aca="1" ref="F160" ca="1">defaultValue(G160,K154)</f>
        <v>يوفيلاك</v>
      </c>
      <c r="G160" s="7" t="s">
        <v>28</v>
      </c>
      <c r="H160" s="26" t="str" cm="1">
        <f t="array" aca="1" ref="H160" ca="1">defaultValue(I160,K154)</f>
        <v>HPL</v>
      </c>
      <c r="I160" s="7" t="s">
        <v>27</v>
      </c>
      <c r="J160" s="24" t="s">
        <v>75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visible(H160, K164)</f>
        <v>HPL</v>
      </c>
      <c r="E164" s="6" t="str">
        <f>visible("قرصة", K164)</f>
        <v>قرصة</v>
      </c>
      <c r="F164" s="6">
        <f>visible(H156-3.6, K164)</f>
        <v>-3.6</v>
      </c>
      <c r="G164" s="6">
        <f ca="1">visible(J156-E158,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visible(H160, K165)</f>
        <v>HPL</v>
      </c>
      <c r="E165" s="6" t="str">
        <f>visible("قاعدة", K165)</f>
        <v>قاعدة</v>
      </c>
      <c r="F165" s="6">
        <f>visible(H156-3.6, K165)</f>
        <v>-3.6</v>
      </c>
      <c r="G165" s="6">
        <f ca="1">visible(40-G156-E158,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visible(H160, K166)</f>
        <v>HPL</v>
      </c>
      <c r="E166" s="6" t="str">
        <f>visible("أجناب", K166)</f>
        <v>أجناب</v>
      </c>
      <c r="F166" s="6">
        <f ca="1">visible(I156, K166)</f>
        <v>70</v>
      </c>
      <c r="G166" s="6">
        <f ca="1">visible(J156,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visible(H160, K167)</f>
        <v>HPL</v>
      </c>
      <c r="E167" s="6" t="str">
        <f>visible("رف", K167)</f>
        <v>رف</v>
      </c>
      <c r="F167" s="6">
        <f>visible(H156-3.8, K167)</f>
        <v>-3.8</v>
      </c>
      <c r="G167" s="6">
        <f ca="1">visible(J156-5-E158, K167)</f>
        <v>25</v>
      </c>
      <c r="H167" s="6">
        <f>visible(E156*C154,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visible(H160, K168)</f>
        <v>HPL</v>
      </c>
      <c r="E168" s="6" t="str">
        <f>visible("قاطوع", K168)</f>
        <v>قاطوع</v>
      </c>
      <c r="F168" s="6">
        <f>visible(H156-3.6, K168)</f>
        <v>-3.6</v>
      </c>
      <c r="G168" s="6">
        <f ca="1">visible(J156-G156-E158,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visible(F160, K170)</f>
        <v>يوفيلاك</v>
      </c>
      <c r="E170" s="9" t="str">
        <f>visible("دلفه خشب", K170)</f>
        <v>دلفه خشب</v>
      </c>
      <c r="F170" s="9">
        <f ca="1">visible(IF(C157,"",I156-0.5-F156-J158), K170)</f>
        <v>34</v>
      </c>
      <c r="G170" s="9">
        <f>visible(IF(C157,"",(H156/C158)-0.5), K170)</f>
        <v>-0.5</v>
      </c>
      <c r="H170" s="9">
        <f>visible(C156*C154,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visible(E154, K171)</f>
        <v xml:space="preserve">وحدة علوية ميكروويف دلفة /دلفتين </v>
      </c>
      <c r="C171" s="9">
        <f>visible(7,K171)</f>
        <v>7</v>
      </c>
      <c r="D171" s="9" t="str">
        <f>visible("دلفة زجاج", K171)</f>
        <v>دلفة زجاج</v>
      </c>
      <c r="E171" s="9" t="str">
        <f>visible("دلفة  زجاج", K171)</f>
        <v>دلفة  زجاج</v>
      </c>
      <c r="F171" s="9">
        <f ca="1">visible(I156-0.5-J158, K171)</f>
        <v>37.5</v>
      </c>
      <c r="G171" s="9">
        <f>visible((H156/C158)-0.7, K171)</f>
        <v>-0.7</v>
      </c>
      <c r="H171" s="9">
        <f>visible(C154*D156, K171)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visible(E154, K173)</f>
        <v xml:space="preserve">وحدة علوية ميكروويف دلفة /دلفتين </v>
      </c>
      <c r="C173" s="18">
        <f>visible(8,K173)</f>
        <v>8</v>
      </c>
      <c r="D173" s="18" t="str">
        <f ca="1">visible(D160, K173)</f>
        <v>ظهر</v>
      </c>
      <c r="E173" s="18" t="str">
        <f>visible("ظهر", K173)</f>
        <v>ظهر</v>
      </c>
      <c r="F173" s="18">
        <f ca="1">visible(I156-2, K173)</f>
        <v>68</v>
      </c>
      <c r="G173" s="18">
        <f>visible(H156-2, K173)</f>
        <v>-2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3" activePane="bottomLeft" state="frozen"/>
      <selection activeCell="B1" sqref="B1"/>
      <selection pane="bottomLeft" activeCell="O56" sqref="O56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7" customFormat="1" x14ac:dyDescent="0.3">
      <c r="A1" s="87">
        <v>40</v>
      </c>
      <c r="B1" s="87">
        <v>2</v>
      </c>
    </row>
    <row r="2" spans="1:23" s="87" customFormat="1" ht="31.2" customHeight="1" x14ac:dyDescent="0.3">
      <c r="A2" s="87">
        <v>91</v>
      </c>
      <c r="B2" s="87" t="s">
        <v>81</v>
      </c>
      <c r="C2" s="111" t="s">
        <v>54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B3" s="87" t="s">
        <v>106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R3" s="88"/>
      <c r="S3" s="88"/>
      <c r="T3" s="88"/>
      <c r="U3" s="88"/>
      <c r="V3" s="88"/>
      <c r="W3" s="88"/>
    </row>
    <row r="4" spans="1:23" s="87" customFormat="1" ht="21" x14ac:dyDescent="0.4"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C10" s="89"/>
      <c r="D10" s="89"/>
      <c r="E10" s="88"/>
      <c r="F10" s="88"/>
      <c r="G10" s="88"/>
      <c r="H10" s="88"/>
      <c r="I10" s="88"/>
      <c r="J10" s="88"/>
      <c r="K10" s="89"/>
      <c r="L10" s="89"/>
      <c r="M10" s="89"/>
      <c r="N10" s="89"/>
    </row>
    <row r="11" spans="1:23" s="87" customFormat="1" ht="18" x14ac:dyDescent="0.3">
      <c r="C11" s="89"/>
      <c r="D11" s="89"/>
      <c r="E11" s="88"/>
      <c r="F11" s="88"/>
      <c r="G11" s="88"/>
      <c r="H11" s="88"/>
      <c r="I11" s="88"/>
      <c r="J11" s="88"/>
      <c r="K11" s="89"/>
      <c r="L11" s="89"/>
      <c r="M11" s="89"/>
      <c r="N11" s="89"/>
    </row>
    <row r="12" spans="1:23" s="90" customFormat="1" ht="18" x14ac:dyDescent="0.3">
      <c r="A12" s="87"/>
      <c r="B12" s="87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3" customFormat="1" x14ac:dyDescent="0.3">
      <c r="A13" s="76"/>
    </row>
    <row r="14" spans="1:23" customFormat="1" x14ac:dyDescent="0.3">
      <c r="A14" s="34"/>
    </row>
    <row r="17" spans="1:11" s="4" customFormat="1" ht="31.2" x14ac:dyDescent="0.3">
      <c r="A17" s="34" t="s">
        <v>88</v>
      </c>
      <c r="B17" s="3"/>
      <c r="C17" s="13">
        <v>1</v>
      </c>
      <c r="D17" s="21" t="s">
        <v>51</v>
      </c>
      <c r="E17" s="122" t="s">
        <v>55</v>
      </c>
      <c r="F17" s="122"/>
      <c r="G17" s="122"/>
      <c r="H17" s="122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16</v>
      </c>
      <c r="F18" s="7" t="s">
        <v>47</v>
      </c>
      <c r="G18" s="7" t="s">
        <v>14</v>
      </c>
      <c r="H18" s="7" t="s">
        <v>19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48</v>
      </c>
      <c r="H20" s="7" t="s">
        <v>49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59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60</v>
      </c>
      <c r="K22" s="7"/>
    </row>
    <row r="23" spans="1:11" ht="15.6" x14ac:dyDescent="0.3">
      <c r="A23" s="34">
        <v>1</v>
      </c>
      <c r="C23" s="116">
        <f>G21+H21</f>
        <v>2</v>
      </c>
      <c r="D23" s="116"/>
      <c r="E23" s="8"/>
      <c r="F23" s="40"/>
      <c r="G23" s="40"/>
      <c r="H23" s="40"/>
      <c r="I23" s="8">
        <f>SUM(I21:I22)</f>
        <v>210</v>
      </c>
      <c r="J23" s="120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117" t="b">
        <f>C23&lt;=2</f>
        <v>1</v>
      </c>
      <c r="D24" s="117"/>
      <c r="E24" s="8"/>
      <c r="F24" s="8"/>
      <c r="G24" s="8"/>
      <c r="H24" s="8"/>
      <c r="I24" s="6" t="b">
        <f>I23=I19</f>
        <v>1</v>
      </c>
      <c r="J24" s="120"/>
      <c r="K24" s="7"/>
    </row>
    <row r="25" spans="1:11" ht="21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50</v>
      </c>
      <c r="F25" s="26" t="str" cm="1">
        <f t="array" aca="1" ref="F25" ca="1">defaultValue(G25,K17)</f>
        <v>يوفيلاك</v>
      </c>
      <c r="G25" s="7" t="s">
        <v>28</v>
      </c>
      <c r="H25" s="26" t="str" cm="1">
        <f t="array" aca="1" ref="H25" ca="1">defaultValue(I25,K17)</f>
        <v>HPL</v>
      </c>
      <c r="I25" s="7" t="s">
        <v>27</v>
      </c>
      <c r="J25" s="24" t="s">
        <v>75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visible(H25, K29)</f>
        <v>HPL</v>
      </c>
      <c r="E29" s="6" t="str">
        <f>visible("قرصة", K29)</f>
        <v>قرصة</v>
      </c>
      <c r="F29" s="6">
        <f>visible(H19-3.6, K29)</f>
        <v>-3.6</v>
      </c>
      <c r="G29" s="6">
        <f>visible(J19,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visible(H25, K30)</f>
        <v>HPL</v>
      </c>
      <c r="E30" s="6" t="str">
        <f>visible("قاعدة", K30)</f>
        <v>قاعدة</v>
      </c>
      <c r="F30" s="6">
        <f>visible(H19-3.6, K30)</f>
        <v>-3.6</v>
      </c>
      <c r="G30" s="6">
        <f>visible(J19,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visible(H25, K31)</f>
        <v>HPL</v>
      </c>
      <c r="E31" s="6" t="str">
        <f>visible("قاطوع", K31)</f>
        <v>قاطوع</v>
      </c>
      <c r="F31" s="6">
        <f>visible(H19-3.6, K31)</f>
        <v>-3.6</v>
      </c>
      <c r="G31" s="6">
        <f>visible(J19-2.5, K31)</f>
        <v>53.5</v>
      </c>
      <c r="H31" s="6">
        <f>visible(1*C17*F19,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visible(H25, K32)</f>
        <v>HPL</v>
      </c>
      <c r="E32" s="6" t="str">
        <f>visible("أجناب", K32)</f>
        <v>أجناب</v>
      </c>
      <c r="F32" s="6">
        <f>visible(I19, K32)</f>
        <v>210</v>
      </c>
      <c r="G32" s="6">
        <f>visible(J19,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visible(H25, K33)</f>
        <v>HPL</v>
      </c>
      <c r="E33" s="6" t="str">
        <f>visible("رف", K33)</f>
        <v>رف</v>
      </c>
      <c r="F33" s="6">
        <f>visible(H19-3.8, K33)</f>
        <v>-3.8</v>
      </c>
      <c r="G33" s="6">
        <f>visible(J19-5, K33)</f>
        <v>51</v>
      </c>
      <c r="H33" s="6">
        <f>visible(E19*C17,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visible(F25, K35)</f>
        <v>يوفيلاك</v>
      </c>
      <c r="E35" s="9" t="str">
        <f>visible("دلف دولاب سفلية", K35)</f>
        <v>دلف دولاب سفلية</v>
      </c>
      <c r="F35" s="9">
        <f>visible(I21-0.5-G19, K35)</f>
        <v>136</v>
      </c>
      <c r="G35" s="9">
        <f>visible((H19/C23)-0.5, K35)</f>
        <v>-0.5</v>
      </c>
      <c r="H35" s="9">
        <f>visible(G21*C17,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visible(F25, K36)</f>
        <v>يوفيلاك</v>
      </c>
      <c r="E36" s="9" t="str">
        <f>visible("دلف دولاب علوية", K36)</f>
        <v>دلف دولاب علوية</v>
      </c>
      <c r="F36" s="9">
        <f>visible(I22-0.5-G19, K36)</f>
        <v>66</v>
      </c>
      <c r="G36" s="9">
        <f>visible((H19/C23)-0.5, K36)</f>
        <v>-0.5</v>
      </c>
      <c r="H36" s="9">
        <f>visible(G22*C17,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visible(I21-0.5, K38)</f>
        <v>139.5</v>
      </c>
      <c r="G38" s="9">
        <f>visible((H19/C23)-0.5, K38)</f>
        <v>-0.5</v>
      </c>
      <c r="H38" s="9">
        <f>visible(H21*C17,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visible(I22-0.5, K39)</f>
        <v>69.5</v>
      </c>
      <c r="G39" s="9">
        <f>visible((H19/C23)-0.5, K39)</f>
        <v>-0.5</v>
      </c>
      <c r="H39" s="9">
        <f>visible(H22*C17,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visible(E17, K41)</f>
        <v xml:space="preserve">دواليب دلفة /دلفتين </v>
      </c>
      <c r="C41" s="18">
        <f>visible(10,K41)</f>
        <v>10</v>
      </c>
      <c r="D41" s="18" t="str">
        <f ca="1">visible(D25, K41)</f>
        <v>ظهر</v>
      </c>
      <c r="E41" s="18" t="str">
        <f>visible("ظهر", K41)</f>
        <v>ظهر</v>
      </c>
      <c r="F41" s="18">
        <f>visible(I19-2, K41)</f>
        <v>208</v>
      </c>
      <c r="G41" s="18">
        <f>visible(H19-2, K41)</f>
        <v>-2</v>
      </c>
      <c r="H41" s="18">
        <f>visible(1*C17, K41)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1.2" x14ac:dyDescent="0.3">
      <c r="A44" s="34" t="s">
        <v>93</v>
      </c>
      <c r="C44" s="13">
        <v>1</v>
      </c>
      <c r="D44" s="21" t="s">
        <v>51</v>
      </c>
      <c r="E44" s="122" t="s">
        <v>61</v>
      </c>
      <c r="F44" s="122"/>
      <c r="G44" s="122"/>
      <c r="H44" s="122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17</v>
      </c>
      <c r="E45" s="17" t="s">
        <v>16</v>
      </c>
      <c r="F45" s="7" t="s">
        <v>47</v>
      </c>
      <c r="G45" s="7" t="s">
        <v>14</v>
      </c>
      <c r="H45" s="7" t="s">
        <v>19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48</v>
      </c>
      <c r="H47" s="7" t="s">
        <v>49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62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63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64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59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65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66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67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68</v>
      </c>
      <c r="K55" s="7"/>
      <c r="L55" s="1"/>
      <c r="M55" s="1"/>
    </row>
    <row r="56" spans="1:13" ht="15.6" x14ac:dyDescent="0.3">
      <c r="A56" s="34">
        <v>1</v>
      </c>
      <c r="C56" s="116">
        <f>G51+H51</f>
        <v>0</v>
      </c>
      <c r="D56" s="116"/>
      <c r="E56" s="8"/>
      <c r="F56" s="40"/>
      <c r="G56" s="40"/>
      <c r="H56" s="40"/>
      <c r="I56" s="8">
        <f>SUM(I48:I55)</f>
        <v>220</v>
      </c>
      <c r="J56" s="120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117" t="b">
        <f>C56&lt;=2</f>
        <v>1</v>
      </c>
      <c r="D57" s="117"/>
      <c r="E57" s="8"/>
      <c r="F57" s="8"/>
      <c r="G57" s="8"/>
      <c r="H57" s="8"/>
      <c r="I57" s="6" t="b">
        <f>I56=I46</f>
        <v>1</v>
      </c>
      <c r="J57" s="120"/>
      <c r="K57" s="7"/>
      <c r="L57" s="1"/>
      <c r="M57" s="1"/>
    </row>
    <row r="58" spans="1:13" ht="21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50</v>
      </c>
      <c r="F58" s="26" t="str" cm="1">
        <f t="array" aca="1" ref="F58" ca="1">defaultValue(G58,K44)</f>
        <v>يوفيلاك</v>
      </c>
      <c r="G58" s="7" t="s">
        <v>28</v>
      </c>
      <c r="H58" s="26" t="str" cm="1">
        <f t="array" aca="1" ref="H58" ca="1">defaultValue(I58,K44)</f>
        <v>HPL</v>
      </c>
      <c r="I58" s="7" t="s">
        <v>27</v>
      </c>
      <c r="J58" s="24" t="s">
        <v>75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visible(H58, K62)</f>
        <v>HPL</v>
      </c>
      <c r="E62" s="6" t="str">
        <f>visible("قرصة", K62)</f>
        <v>قرصة</v>
      </c>
      <c r="F62" s="6">
        <f>visible(H46-3.6, K62)</f>
        <v>56.4</v>
      </c>
      <c r="G62" s="6">
        <f>visible(J46,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visible(H58, K63)</f>
        <v>HPL</v>
      </c>
      <c r="E63" s="6" t="str">
        <f>visible("قاعدة", K63)</f>
        <v>قاعدة</v>
      </c>
      <c r="F63" s="6">
        <f>visible(H46-3.6, K63)</f>
        <v>56.4</v>
      </c>
      <c r="G63" s="6">
        <f>visible(J46,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visible(H58, K64)</f>
        <v>HPL</v>
      </c>
      <c r="E64" s="6" t="str">
        <f>visible("قاطوع", K64)</f>
        <v>قاطوع</v>
      </c>
      <c r="F64" s="6">
        <f>visible(H46-3.6, K64)</f>
        <v>56.4</v>
      </c>
      <c r="G64" s="6">
        <f>visible(J46-2.5, K64)</f>
        <v>53.5</v>
      </c>
      <c r="H64" s="6">
        <f>visible(1*C44*F46,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visible(H58, K65)</f>
        <v>HPL</v>
      </c>
      <c r="E65" s="6" t="str">
        <f>visible("أجناب", K65)</f>
        <v>أجناب</v>
      </c>
      <c r="F65" s="6">
        <f>visible(I46, K65)</f>
        <v>220</v>
      </c>
      <c r="G65" s="6">
        <f>visible(J46,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visible(H58, K66)</f>
        <v>HPL</v>
      </c>
      <c r="E66" s="6" t="str">
        <f>visible("رف", K66)</f>
        <v>رف</v>
      </c>
      <c r="F66" s="6">
        <f>visible(H46-3.8, K66)</f>
        <v>56.2</v>
      </c>
      <c r="G66" s="6">
        <f>visible(J46-5, K66)</f>
        <v>51</v>
      </c>
      <c r="H66" s="6">
        <f>visible(E46*C44,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visible(E44, K68)</f>
        <v>دواليب منوع /فرن /أدراج</v>
      </c>
      <c r="C68" s="19">
        <f>visible(6,K68)</f>
        <v>6</v>
      </c>
      <c r="D68" s="19" t="str">
        <f ca="1">visible(H58, K68)</f>
        <v>HPL</v>
      </c>
      <c r="E68" s="19" t="str">
        <f>visible("وش درج 1 داخلى", K68)</f>
        <v>وش درج 1 داخلى</v>
      </c>
      <c r="F68" s="19">
        <f>visible(IF(H68=0, "",(H46-3.6-3.6-2.5)), K68)</f>
        <v>50.3</v>
      </c>
      <c r="G68" s="19">
        <f>visible(IF(H68=0, "",(I48-6)), K68)</f>
        <v>14</v>
      </c>
      <c r="H68" s="19">
        <f>visible(G48*C44, K68)</f>
        <v>1</v>
      </c>
      <c r="I68" s="19">
        <f t="shared" ref="I68:I76" ca="1" si="0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visible(E44, K69)</f>
        <v>دواليب منوع /فرن /أدراج</v>
      </c>
      <c r="C69" s="19">
        <f>visible(7,K69)</f>
        <v>7</v>
      </c>
      <c r="D69" s="19" t="str">
        <f ca="1">visible(H58, K69)</f>
        <v>HPL</v>
      </c>
      <c r="E69" s="19" t="str">
        <f>visible("جنب درج 1 داخلى", K69)</f>
        <v>جنب درج 1 داخلى</v>
      </c>
      <c r="F69" s="19">
        <f>visible(IF(H69=0, "",D46), K69)</f>
        <v>45</v>
      </c>
      <c r="G69" s="19">
        <f>visible(IF(H69=0, "",(I48-6)), K69)</f>
        <v>14</v>
      </c>
      <c r="H69" s="19">
        <f>visible(2*G48*C44, K69)</f>
        <v>2</v>
      </c>
      <c r="I69" s="19">
        <f t="shared" ca="1" si="0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visible(E44, K70)</f>
        <v>دواليب منوع /فرن /أدراج</v>
      </c>
      <c r="C70" s="19">
        <f>visible(8,K70)</f>
        <v>8</v>
      </c>
      <c r="D70" s="19" t="str">
        <f ca="1">visible(H58, K70)</f>
        <v>HPL</v>
      </c>
      <c r="E70" s="19" t="str">
        <f>visible("ظهر درج 1 داخلى", K70)</f>
        <v>ظهر درج 1 داخلى</v>
      </c>
      <c r="F70" s="19">
        <f>visible(IF(H70=0, "",(H46-3.6-3.6-2.5)), K70)</f>
        <v>50.3</v>
      </c>
      <c r="G70" s="19">
        <f>visible(IF(H70=0, "",(I48-6-3)), K70)</f>
        <v>11</v>
      </c>
      <c r="H70" s="19">
        <f>visible(G48*C44, K70)</f>
        <v>1</v>
      </c>
      <c r="I70" s="19">
        <f t="shared" ca="1" si="0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visible(H58, K71)</f>
        <v>HPL</v>
      </c>
      <c r="E71" s="10" t="str">
        <f>visible("وش درج 2 داخلى", K71)</f>
        <v>وش درج 2 داخلى</v>
      </c>
      <c r="F71" s="10">
        <f>visible(IF(H71=0, "",(H46-3.6-3.6-2.5)), K71)</f>
        <v>50.3</v>
      </c>
      <c r="G71" s="10">
        <f>visible(IF(H71=0, "",(I49-6)), K71)</f>
        <v>14</v>
      </c>
      <c r="H71" s="10">
        <f>visible(G49*C44, K71)</f>
        <v>1</v>
      </c>
      <c r="I71" s="10">
        <f t="shared" ca="1" si="0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visible(H58, K72)</f>
        <v>HPL</v>
      </c>
      <c r="E72" s="10" t="str">
        <f>visible("جنب درج 2 داخلى", K72)</f>
        <v>جنب درج 2 داخلى</v>
      </c>
      <c r="F72" s="10">
        <f>visible(IF(H72=0, "",D46), K72)</f>
        <v>45</v>
      </c>
      <c r="G72" s="10">
        <f>visible(IF(H72=0, "",(I49-6)), K72)</f>
        <v>14</v>
      </c>
      <c r="H72" s="10">
        <f>visible(2*G49*C44, K72)</f>
        <v>2</v>
      </c>
      <c r="I72" s="10">
        <f t="shared" ca="1" si="0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visible(H58, K73)</f>
        <v>HPL</v>
      </c>
      <c r="E73" s="10" t="str">
        <f>visible("ظهر درج 2 داخلى", K73)</f>
        <v>ظهر درج 2 داخلى</v>
      </c>
      <c r="F73" s="10">
        <f>visible(IF(H73=0, "",(H46-3.6-3.6-2.5)), K73)</f>
        <v>50.3</v>
      </c>
      <c r="G73" s="10">
        <f>visible(IF(H73=0, "",(I49-6-3)), K73)</f>
        <v>11</v>
      </c>
      <c r="H73" s="10">
        <f>visible(G49*C44, K73)</f>
        <v>1</v>
      </c>
      <c r="I73" s="10">
        <f t="shared" ca="1" si="0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visible(E44, K74)</f>
        <v>دواليب منوع /فرن /أدراج</v>
      </c>
      <c r="C74" s="19">
        <f>visible(12,K74)</f>
        <v>12</v>
      </c>
      <c r="D74" s="19" t="str">
        <f ca="1">visible(H58, K74)</f>
        <v>HPL</v>
      </c>
      <c r="E74" s="19" t="str">
        <f>visible("وش درج 3 داخلى", K74)</f>
        <v>وش درج 3 داخلى</v>
      </c>
      <c r="F74" s="19" t="str">
        <f>visible(IF(H74=0, "",(H46-3.6-3.6-2.5)), K74)</f>
        <v/>
      </c>
      <c r="G74" s="19" t="str">
        <f>visible(IF(H74=0, "",(I50-6)), K74)</f>
        <v/>
      </c>
      <c r="H74" s="19">
        <f>visible(G50*C44, K74)</f>
        <v>0</v>
      </c>
      <c r="I74" s="19">
        <f t="shared" ca="1" si="0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visible(E44, K75)</f>
        <v>دواليب منوع /فرن /أدراج</v>
      </c>
      <c r="C75" s="19">
        <f>visible(13,K75)</f>
        <v>13</v>
      </c>
      <c r="D75" s="19" t="str">
        <f ca="1">visible(H58, K75)</f>
        <v>HPL</v>
      </c>
      <c r="E75" s="19" t="str">
        <f>visible("جنب درج 3 داخلى", K75)</f>
        <v>جنب درج 3 داخلى</v>
      </c>
      <c r="F75" s="19" t="str">
        <f>visible(IF(H75=0, "",D46), K75)</f>
        <v/>
      </c>
      <c r="G75" s="19" t="str">
        <f>visible(IF(H75=0, "",(I50-6)), K75)</f>
        <v/>
      </c>
      <c r="H75" s="19">
        <f>visible(2*G50*C44, K75)</f>
        <v>0</v>
      </c>
      <c r="I75" s="19">
        <f t="shared" ca="1" si="0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visible(E44, K76)</f>
        <v>دواليب منوع /فرن /أدراج</v>
      </c>
      <c r="C76" s="19">
        <f>visible(14,K76)</f>
        <v>14</v>
      </c>
      <c r="D76" s="19" t="str">
        <f ca="1">visible(H58, K76)</f>
        <v>HPL</v>
      </c>
      <c r="E76" s="19" t="str">
        <f>visible("ظهر درج 3 داخلى", K76)</f>
        <v>ظهر درج 3 داخلى</v>
      </c>
      <c r="F76" s="19" t="str">
        <f>visible(IF(H76=0, "",(H46-3.6-3.6-2.5)), K76)</f>
        <v/>
      </c>
      <c r="G76" s="19" t="str">
        <f>visible(IF(H76=0, "",(I50-6-3)), K76)</f>
        <v/>
      </c>
      <c r="H76" s="19">
        <f>visible(G50*C44, K76)</f>
        <v>0</v>
      </c>
      <c r="I76" s="19">
        <f t="shared" ca="1" si="0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visible(F58, K78)</f>
        <v>يوفيلاك</v>
      </c>
      <c r="E78" s="9" t="str">
        <f>visible(" وش درج 1", K78)</f>
        <v xml:space="preserve"> وش درج 1</v>
      </c>
      <c r="F78" s="9">
        <f>visible(IF(H78=0, "",(I48-0.5-G46)), K78)</f>
        <v>16</v>
      </c>
      <c r="G78" s="9">
        <f>visible(IF(H78=0, "",(H46-0.5)), K78)</f>
        <v>59.5</v>
      </c>
      <c r="H78" s="9">
        <f>visible(G48*C44,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visible(F58, K79)</f>
        <v>يوفيلاك</v>
      </c>
      <c r="E79" s="9" t="str">
        <f>visible(" وش درج 2", K79)</f>
        <v xml:space="preserve"> وش درج 2</v>
      </c>
      <c r="F79" s="9">
        <f>visible(IF(H79=0, "",(I49-0.5-G46)), K79)</f>
        <v>16</v>
      </c>
      <c r="G79" s="9">
        <f>visible(IF(H79=0, "",(H46-0.5)), K79)</f>
        <v>59.5</v>
      </c>
      <c r="H79" s="9">
        <f>visible(G49*C44, K79)</f>
        <v>1</v>
      </c>
      <c r="I79" s="9">
        <f t="shared" ca="1" si="1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visible(F58, K80)</f>
        <v>يوفيلاك</v>
      </c>
      <c r="E80" s="9" t="str">
        <f>visible(" وش درج 3", K80)</f>
        <v xml:space="preserve"> وش درج 3</v>
      </c>
      <c r="F80" s="9" t="str">
        <f>visible(IF(H80=0, "",(I50-0.5-G46)), K80)</f>
        <v/>
      </c>
      <c r="G80" s="9" t="str">
        <f>visible(IF(H80=0, "",(H46-0.5)), K80)</f>
        <v/>
      </c>
      <c r="H80" s="9">
        <f>visible(G50*C44, K80)</f>
        <v>0</v>
      </c>
      <c r="I80" s="9">
        <f t="shared" ca="1" si="1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visible(F58, K81)</f>
        <v>يوفيلاك</v>
      </c>
      <c r="E81" s="9" t="str">
        <f>visible("دلف دولاب سفلية", K81)</f>
        <v>دلف دولاب سفلية</v>
      </c>
      <c r="F81" s="9" t="str">
        <f>visible(IF(H81=0, "",(I51-0.5-G46)), K81)</f>
        <v/>
      </c>
      <c r="G81" s="9" t="str">
        <f>visible(IF(H81=0, "",((H46/G51)-0.5)), K81)</f>
        <v/>
      </c>
      <c r="H81" s="9">
        <f>visible((G51+H51)*C44, K81)</f>
        <v>0</v>
      </c>
      <c r="I81" s="9">
        <f t="shared" ca="1" si="1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visible(F58, K82)</f>
        <v>يوفيلاك</v>
      </c>
      <c r="E82" s="9" t="str">
        <f>visible("وش فرن", K82)</f>
        <v>وش فرن</v>
      </c>
      <c r="F82" s="9">
        <f>visible(IF(H82=0, "",(H46-0.5)), K82)</f>
        <v>59.5</v>
      </c>
      <c r="G82" s="23">
        <f>visible(IF(H82=0, "",(I52-60.5)), K82)</f>
        <v>6.5</v>
      </c>
      <c r="H82" s="9">
        <f>visible(G52*C44, K82)</f>
        <v>1</v>
      </c>
      <c r="I82" s="9">
        <f t="shared" ca="1" si="1"/>
        <v>6</v>
      </c>
      <c r="J82" s="9">
        <f ca="1">visible(engraving(I82), K82)</f>
        <v>2</v>
      </c>
      <c r="K82" s="9" t="b">
        <v>1</v>
      </c>
      <c r="L82" s="3">
        <f>IF(H83=0, "",(I53-0.5-G51))</f>
        <v>34.5</v>
      </c>
    </row>
    <row r="83" spans="1:12" x14ac:dyDescent="0.3">
      <c r="A83" s="34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visible(F58,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  <c r="L83" s="3">
        <f>IF(H84=0, "",(I54-0.5-G52))</f>
        <v>76.5</v>
      </c>
    </row>
    <row r="84" spans="1:12" x14ac:dyDescent="0.3">
      <c r="A84" s="34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visible(F58,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visible(F58, K85)</f>
        <v>يوفيلاك</v>
      </c>
      <c r="E85" s="9" t="str">
        <f>visible("دلف دولاب علوية 1", K85)</f>
        <v>دلف دولاب علوية 1</v>
      </c>
      <c r="F85" s="9">
        <f>visible(IF(H85=0, "",(I54-0.5-G46)), K85)</f>
        <v>74</v>
      </c>
      <c r="G85" s="9">
        <f>visible(IF(H85=0, "",((H46/G54)-0.5)), K85)</f>
        <v>29.5</v>
      </c>
      <c r="H85" s="9">
        <f>visible(G54*C44, K85)</f>
        <v>2</v>
      </c>
      <c r="I85" s="9">
        <f t="shared" ca="1" si="1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visible(E44, K86)</f>
        <v>دواليب منوع /فرن /أدراج</v>
      </c>
      <c r="C86" s="9">
        <f>visible(23,K86)</f>
        <v>23</v>
      </c>
      <c r="D86" s="9" t="str">
        <f ca="1">visible(F58, K86)</f>
        <v>يوفيلاك</v>
      </c>
      <c r="E86" s="9" t="str">
        <f>visible("دلف دولاب علوية 2", K86)</f>
        <v>دلف دولاب علوية 2</v>
      </c>
      <c r="F86" s="9" t="str">
        <f>visible(IF(H86=0, "",(I55-0.5-G46)), K86)</f>
        <v/>
      </c>
      <c r="G86" s="9" t="str">
        <f>visible(IF(H86=0, "",((H46/G55)-0.5)), K86)</f>
        <v/>
      </c>
      <c r="H86" s="9">
        <f>visible(G55*C44, K86)</f>
        <v>0</v>
      </c>
      <c r="I86" s="9">
        <f t="shared" ca="1" si="1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visible(E44, K89)</f>
        <v>دواليب منوع /فرن /أدراج</v>
      </c>
      <c r="C89" s="9">
        <f>visible(24,K89)</f>
        <v>24</v>
      </c>
      <c r="D89" s="9" t="str">
        <f>visible("دلفة زجاج", K89)</f>
        <v>دلفة زجاج</v>
      </c>
      <c r="E89" s="9" t="str">
        <f>visible("دلفة  زجاج سفلية", K89)</f>
        <v>دلفة  زجاج سفلية</v>
      </c>
      <c r="F89" s="9" t="str">
        <f>visible(IF(H89=0, "",(I51-0.5-G46)), K89)</f>
        <v/>
      </c>
      <c r="G89" s="9" t="str">
        <f>visible(IF(H89=0, "",((H46/G51)-0.5)), K89)</f>
        <v/>
      </c>
      <c r="H89" s="9">
        <f>visible(H51*C44, K89)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visible(E44, K90)</f>
        <v>دواليب منوع /فرن /أدراج</v>
      </c>
      <c r="C90" s="9">
        <f>visible(25,K90)</f>
        <v>25</v>
      </c>
      <c r="D90" s="9" t="str">
        <f>visible("دلفة زجاج", K90)</f>
        <v>دلفة زجاج</v>
      </c>
      <c r="E90" s="9" t="str">
        <f>visible("دلفة  زجاج علوية 1", K90)</f>
        <v>دلفة  زجاج علوية 1</v>
      </c>
      <c r="F90" s="9" t="str">
        <f>visible(IF(H90=0, "",(I54-0.5)), K90)</f>
        <v/>
      </c>
      <c r="G90" s="9" t="str">
        <f>visible(IF(H90=0, "",((H46/H54)-0.5)), K90)</f>
        <v/>
      </c>
      <c r="H90" s="9">
        <f>visible(H54*C44, K90)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visible(E44, K91)</f>
        <v>دواليب منوع /فرن /أدراج</v>
      </c>
      <c r="C91" s="9">
        <f>visible(26,K91)</f>
        <v>26</v>
      </c>
      <c r="D91" s="9" t="str">
        <f>visible("دلفة زجاج", K91)</f>
        <v>دلفة زجاج</v>
      </c>
      <c r="E91" s="9" t="str">
        <f>visible("دلفة  زجاج علوية2", K91)</f>
        <v>دلفة  زجاج علوية2</v>
      </c>
      <c r="F91" s="9" t="str">
        <f>visible(IF(H91=0, "",(I55-0.5)), K91)</f>
        <v/>
      </c>
      <c r="G91" s="9" t="str">
        <f>visible(IF(H91=0, "",((H46/H55)-0.5)), K91)</f>
        <v/>
      </c>
      <c r="H91" s="9">
        <f>visible(H55*C44, K91)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visible(E44, K93)</f>
        <v>دواليب منوع /فرن /أدراج</v>
      </c>
      <c r="C93" s="18">
        <f>visible(27,K93)</f>
        <v>27</v>
      </c>
      <c r="D93" s="18" t="str">
        <f ca="1">visible(D58, K93)</f>
        <v>ظهر</v>
      </c>
      <c r="E93" s="18" t="str">
        <f>visible("ظهر", K93)</f>
        <v>ظهر</v>
      </c>
      <c r="F93" s="18">
        <f>visible(I46-2, K93)</f>
        <v>218</v>
      </c>
      <c r="G93" s="18">
        <f>visible(H46-2, K93)</f>
        <v>58</v>
      </c>
      <c r="H93" s="18">
        <f>visible(1*C44, K93)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51</v>
      </c>
      <c r="E102" s="101" t="s">
        <v>56</v>
      </c>
      <c r="F102" s="102"/>
      <c r="G102" s="102"/>
      <c r="H102" s="103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7" t="b">
        <f>NOT(AND(F104&gt;0,G104&gt;0))</f>
        <v>1</v>
      </c>
      <c r="G105" s="117"/>
      <c r="I105" s="3" t="b">
        <f>_xlfn.XOR(I104&lt;=50,C106=2)</f>
        <v>0</v>
      </c>
    </row>
    <row r="106" spans="2:10" ht="24" hidden="1" customHeight="1" x14ac:dyDescent="0.3">
      <c r="C106" s="117">
        <f>C104+E104</f>
        <v>3</v>
      </c>
      <c r="D106" s="117"/>
      <c r="E106" s="32"/>
      <c r="F106" s="121" t="str">
        <f>IF(F105,"المقابض مظبوطة","مينفعش مقبض مخفي مع بيلت ان")</f>
        <v>المقابض مظبوطة</v>
      </c>
      <c r="G106" s="121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117" t="b">
        <f>C106&lt;=2</f>
        <v>0</v>
      </c>
      <c r="D107" s="117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50</v>
      </c>
      <c r="E120" s="18" t="s">
        <v>50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51</v>
      </c>
      <c r="E122" s="101" t="s">
        <v>57</v>
      </c>
      <c r="F122" s="102"/>
      <c r="G122" s="102"/>
      <c r="H122" s="103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7" t="b">
        <f>NOT(AND(F124&gt;0,G124&gt;0))</f>
        <v>1</v>
      </c>
      <c r="G125" s="117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1" t="str">
        <f>IF(F125,"المقابض مظبوطة","مينفعش مقبض مخفي مع بيلت ان")</f>
        <v>المقابض مظبوطة</v>
      </c>
      <c r="G126" s="121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50</v>
      </c>
      <c r="E140" s="18" t="s">
        <v>50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51</v>
      </c>
      <c r="E142" s="101" t="s">
        <v>58</v>
      </c>
      <c r="F142" s="102"/>
      <c r="G142" s="102"/>
      <c r="H142" s="103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7" t="b">
        <f>NOT(AND(F144&gt;0,G144&gt;0))</f>
        <v>1</v>
      </c>
      <c r="G145" s="117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1" t="str">
        <f>IF(F145,"المقابض مظبوطة","مينفعش مقبض مخفي مع بيلت ان")</f>
        <v>المقابض مظبوطة</v>
      </c>
      <c r="G146" s="121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50</v>
      </c>
      <c r="E160" s="18" t="s">
        <v>50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3" t="s">
        <v>38</v>
      </c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24" activePane="bottomLeft" state="frozen"/>
      <selection activeCell="B1" sqref="B1"/>
      <selection pane="bottomLeft" activeCell="P29" sqref="P29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7" customFormat="1" x14ac:dyDescent="0.3">
      <c r="A1" s="86">
        <v>13</v>
      </c>
      <c r="B1" s="87">
        <v>3</v>
      </c>
    </row>
    <row r="2" spans="1:23" s="87" customFormat="1" ht="31.2" customHeight="1" x14ac:dyDescent="0.3">
      <c r="A2" s="86">
        <v>20</v>
      </c>
      <c r="B2" s="87" t="s">
        <v>82</v>
      </c>
      <c r="C2" s="111" t="s">
        <v>69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A3" s="86"/>
      <c r="B3" s="87" t="s">
        <v>107</v>
      </c>
      <c r="R3" s="88"/>
      <c r="S3" s="88"/>
      <c r="T3" s="88"/>
      <c r="U3" s="88"/>
      <c r="V3" s="88"/>
      <c r="W3" s="88"/>
    </row>
    <row r="4" spans="1:23" s="87" customFormat="1" ht="21" x14ac:dyDescent="0.4">
      <c r="A4" s="86"/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A5" s="86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A6" s="86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A7" s="86"/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A8" s="86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A9" s="86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A10" s="89"/>
      <c r="B10" s="89"/>
      <c r="C10" s="89"/>
      <c r="D10" s="89"/>
      <c r="E10" s="90"/>
      <c r="F10" s="90"/>
      <c r="G10" s="90"/>
      <c r="H10" s="90"/>
      <c r="I10" s="89"/>
      <c r="J10" s="89"/>
      <c r="K10" s="89"/>
      <c r="L10" s="89"/>
      <c r="M10" s="89"/>
    </row>
    <row r="11" spans="1:23" s="87" customFormat="1" ht="18" x14ac:dyDescent="0.3">
      <c r="A11" s="89"/>
      <c r="B11" s="89"/>
      <c r="C11" s="89"/>
      <c r="D11" s="89"/>
      <c r="E11" s="90"/>
      <c r="F11" s="90"/>
      <c r="G11" s="90"/>
      <c r="H11" s="90"/>
      <c r="I11" s="89"/>
      <c r="J11" s="89"/>
      <c r="K11" s="89"/>
      <c r="L11" s="89"/>
      <c r="M11" s="89"/>
    </row>
    <row r="12" spans="1:23" s="90" customFormat="1" ht="18" x14ac:dyDescent="0.3">
      <c r="A12" s="91"/>
    </row>
    <row r="13" spans="1:23" customFormat="1" x14ac:dyDescent="0.3">
      <c r="A13" s="77"/>
    </row>
    <row r="14" spans="1:23" customFormat="1" x14ac:dyDescent="0.3">
      <c r="A14" s="36"/>
    </row>
    <row r="17" spans="1:62" ht="18" x14ac:dyDescent="0.3">
      <c r="A17" s="35" t="s">
        <v>88</v>
      </c>
      <c r="B17" s="14"/>
      <c r="C17" s="13">
        <v>1</v>
      </c>
      <c r="D17" s="21" t="s">
        <v>51</v>
      </c>
      <c r="E17" s="101" t="s">
        <v>100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93</v>
      </c>
      <c r="B29" s="14"/>
      <c r="C29" s="13">
        <v>1</v>
      </c>
      <c r="D29" s="21" t="s">
        <v>51</v>
      </c>
      <c r="E29" s="101" t="s">
        <v>101</v>
      </c>
      <c r="F29" s="102"/>
      <c r="G29" s="102"/>
      <c r="H29" s="103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89</v>
      </c>
      <c r="B41" s="14"/>
      <c r="C41" s="13">
        <v>1</v>
      </c>
      <c r="D41" s="21" t="s">
        <v>51</v>
      </c>
      <c r="E41" s="101" t="s">
        <v>102</v>
      </c>
      <c r="F41" s="102"/>
      <c r="G41" s="102"/>
      <c r="H41" s="103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2024-09-23T14:41:31Z</dcterms:modified>
</cp:coreProperties>
</file>