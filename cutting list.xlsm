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7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0DF1DEE6-60F3-4721-9DD6-152661E14A75}" xr6:coauthVersionLast="47" xr6:coauthVersionMax="47" xr10:uidLastSave="{00000000-0000-0000-0000-000000000000}"/>
  <bookViews>
    <workbookView xWindow="-108" yWindow="-108" windowWidth="23256" windowHeight="12456" tabRatio="627" activeTab="1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بورديوم" sheetId="7" r:id="rId5"/>
    <sheet name="وحدات علوية" sheetId="4" r:id="rId6"/>
    <sheet name="دواليب" sheetId="5" r:id="rId7"/>
    <sheet name="تجاليد" sheetId="6" r:id="rId8"/>
  </sheets>
  <functionGroups builtInGroupCount="19"/>
  <definedNames>
    <definedName name="_xlnm._FilterDatabase" localSheetId="3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5" i="3" l="1"/>
  <c r="K49" i="11"/>
  <c r="J62" i="11" a="1"/>
  <c r="J59" i="11" a="1"/>
  <c r="J58" i="11" a="1"/>
  <c r="J57" i="11" a="1"/>
  <c r="J60" i="11" a="1"/>
  <c r="J56" i="11" a="1"/>
  <c r="J44" i="11" a="1"/>
  <c r="J42" i="11" a="1"/>
  <c r="J41" i="11" a="1"/>
  <c r="J39" i="11" a="1"/>
  <c r="J40" i="11" a="1"/>
  <c r="J38" i="11" a="1"/>
  <c r="C46" i="6"/>
  <c r="J166" i="3" a="1"/>
  <c r="J155" i="3"/>
  <c r="C166" i="3" a="1"/>
  <c r="C57" i="11"/>
  <c r="H58" i="11" a="1"/>
  <c r="C45" i="6"/>
  <c r="H164" i="3" a="1"/>
  <c r="E162" i="3" a="1"/>
  <c r="J168" i="3" a="1"/>
  <c r="C56" i="11"/>
  <c r="F56" i="11" a="1"/>
  <c r="J52" i="11" a="1"/>
  <c r="J158" i="3" a="1"/>
  <c r="C22" i="6"/>
  <c r="C44" i="6"/>
  <c r="B168" i="3" a="1"/>
  <c r="C165" i="3" a="1"/>
  <c r="F165" i="3" a="1"/>
  <c r="B57" i="11" a="1"/>
  <c r="B60" i="11" a="1"/>
  <c r="E59" i="11" a="1"/>
  <c r="I52" i="11" a="1"/>
  <c r="B59" i="11" a="1"/>
  <c r="G62" i="11" a="1"/>
  <c r="E164" i="3" a="1"/>
  <c r="I158" i="3" a="1"/>
  <c r="C21" i="6"/>
  <c r="C43" i="6"/>
  <c r="G168" i="3" a="1"/>
  <c r="H165" i="3" a="1"/>
  <c r="J165" i="3" a="1"/>
  <c r="G59" i="11" a="1"/>
  <c r="E60" i="11" a="1"/>
  <c r="H163" i="3" a="1"/>
  <c r="H60" i="11" a="1"/>
  <c r="C20" i="6"/>
  <c r="C42" i="6"/>
  <c r="H166" i="3" a="1"/>
  <c r="J164" i="3" a="1"/>
  <c r="C162" i="3" a="1"/>
  <c r="B58" i="11" a="1"/>
  <c r="F60" i="11" a="1"/>
  <c r="F59" i="11" a="1"/>
  <c r="B166" i="3" a="1"/>
  <c r="E58" i="11" a="1"/>
  <c r="C19" i="6"/>
  <c r="H168" i="3" a="1"/>
  <c r="B162" i="3" a="1"/>
  <c r="C164" i="3" a="1"/>
  <c r="J162" i="3" a="1"/>
  <c r="H56" i="11" a="1"/>
  <c r="F58" i="11" a="1"/>
  <c r="C34" i="6"/>
  <c r="B165" i="3" a="1"/>
  <c r="C58" i="11"/>
  <c r="C18" i="6"/>
  <c r="J170" i="3" a="1"/>
  <c r="B163" i="3" a="1"/>
  <c r="F166" i="3" a="1"/>
  <c r="F164" i="3" a="1"/>
  <c r="H62" i="11" a="1"/>
  <c r="E62" i="11" a="1"/>
  <c r="B56" i="11" a="1"/>
  <c r="E168" i="3" a="1"/>
  <c r="C33" i="6"/>
  <c r="C163" i="3" a="1"/>
  <c r="H162" i="3" a="1"/>
  <c r="E165" i="3" a="1"/>
  <c r="C62" i="11"/>
  <c r="E57" i="11" a="1"/>
  <c r="B62" i="11" a="1"/>
  <c r="E56" i="11" a="1"/>
  <c r="E166" i="3" a="1"/>
  <c r="C32" i="6"/>
  <c r="F162" i="3" a="1"/>
  <c r="C168" i="3" a="1"/>
  <c r="C60" i="11"/>
  <c r="G58" i="11" a="1"/>
  <c r="B164" i="3" a="1"/>
  <c r="C31" i="6"/>
  <c r="G164" i="3" a="1"/>
  <c r="G165" i="3" a="1"/>
  <c r="E163" i="3" a="1"/>
  <c r="C59" i="11"/>
  <c r="H57" i="11" a="1"/>
  <c r="J49" i="11"/>
  <c r="C30" i="6"/>
  <c r="J163" i="3" a="1"/>
  <c r="H59" i="11" a="1"/>
  <c r="J62" i="11" l="1"/>
  <c r="J56" i="11"/>
  <c r="J60" i="11"/>
  <c r="J57" i="11"/>
  <c r="J58" i="11"/>
  <c r="J59" i="11"/>
  <c r="J44" i="11"/>
  <c r="J40" i="11"/>
  <c r="J39" i="11"/>
  <c r="J41" i="11"/>
  <c r="J42" i="11"/>
  <c r="J38" i="11"/>
  <c r="I158" i="3"/>
  <c r="F162" i="3"/>
  <c r="C163" i="3"/>
  <c r="F164" i="3"/>
  <c r="C165" i="3"/>
  <c r="F166" i="3"/>
  <c r="C168" i="3"/>
  <c r="J163" i="3"/>
  <c r="J165" i="3"/>
  <c r="J168" i="3"/>
  <c r="J158" i="3"/>
  <c r="G164" i="3"/>
  <c r="B162" i="3"/>
  <c r="B164" i="3"/>
  <c r="H166" i="3"/>
  <c r="E168" i="3"/>
  <c r="H164" i="3"/>
  <c r="E163" i="3"/>
  <c r="B166" i="3"/>
  <c r="C162" i="3"/>
  <c r="C164" i="3"/>
  <c r="F165" i="3"/>
  <c r="C166" i="3"/>
  <c r="E165" i="3"/>
  <c r="J164" i="3"/>
  <c r="G165" i="3"/>
  <c r="G168" i="3"/>
  <c r="J170" i="3"/>
  <c r="H162" i="3"/>
  <c r="J162" i="3"/>
  <c r="J166" i="3"/>
  <c r="E162" i="3"/>
  <c r="B163" i="3"/>
  <c r="H163" i="3"/>
  <c r="E164" i="3"/>
  <c r="B165" i="3"/>
  <c r="H165" i="3"/>
  <c r="E166" i="3"/>
  <c r="B168" i="3"/>
  <c r="H168" i="3"/>
  <c r="J52" i="11"/>
  <c r="H56" i="11"/>
  <c r="B60" i="11"/>
  <c r="H60" i="11"/>
  <c r="E62" i="11"/>
  <c r="F58" i="11"/>
  <c r="B56" i="11"/>
  <c r="I52" i="11"/>
  <c r="F60" i="11"/>
  <c r="B58" i="11"/>
  <c r="F59" i="11"/>
  <c r="G58" i="11"/>
  <c r="E59" i="11"/>
  <c r="E57" i="11"/>
  <c r="G59" i="11"/>
  <c r="H58" i="11"/>
  <c r="G62" i="11"/>
  <c r="F56" i="11"/>
  <c r="E56" i="11"/>
  <c r="B57" i="11"/>
  <c r="H57" i="11"/>
  <c r="E58" i="11"/>
  <c r="B59" i="11"/>
  <c r="H59" i="11"/>
  <c r="E60" i="11"/>
  <c r="B62" i="11"/>
  <c r="H62" i="11"/>
  <c r="K31" i="11"/>
  <c r="K13" i="11"/>
  <c r="J28" i="11" a="1"/>
  <c r="H44" i="11" a="1"/>
  <c r="E44" i="11" a="1"/>
  <c r="F28" i="11" a="1"/>
  <c r="E40" i="11" a="1"/>
  <c r="E38" i="11" a="1"/>
  <c r="C26" i="11" a="1"/>
  <c r="F57" i="11" a="1"/>
  <c r="B25" i="11" a="1"/>
  <c r="I34" i="11" a="1"/>
  <c r="F25" i="11" a="1"/>
  <c r="F26" i="11" a="1"/>
  <c r="J23" i="11" a="1"/>
  <c r="H28" i="11" a="1"/>
  <c r="E42" i="11" a="1"/>
  <c r="C20" i="11" a="1"/>
  <c r="F20" i="11" a="1"/>
  <c r="H23" i="11" a="1"/>
  <c r="G26" i="11" a="1"/>
  <c r="H26" i="11" a="1"/>
  <c r="H42" i="11" a="1"/>
  <c r="E28" i="11" a="1"/>
  <c r="G41" i="11" a="1"/>
  <c r="G21" i="11" a="1"/>
  <c r="B23" i="11" a="1"/>
  <c r="J34" i="11" a="1"/>
  <c r="F42" i="11" a="1"/>
  <c r="B42" i="11" a="1"/>
  <c r="G25" i="11" a="1"/>
  <c r="C41" i="11" a="1"/>
  <c r="B40" i="11" a="1"/>
  <c r="H41" i="11" a="1"/>
  <c r="E20" i="11" a="1"/>
  <c r="J21" i="11" a="1"/>
  <c r="G20" i="11" a="1"/>
  <c r="C23" i="11" a="1"/>
  <c r="B28" i="11" a="1"/>
  <c r="J26" i="11" a="1"/>
  <c r="G28" i="11" a="1"/>
  <c r="B38" i="11" a="1"/>
  <c r="E26" i="11" a="1"/>
  <c r="C40" i="11" a="1"/>
  <c r="F38" i="11" a="1"/>
  <c r="C42" i="11" a="1"/>
  <c r="E23" i="11" a="1"/>
  <c r="H21" i="11" a="1"/>
  <c r="B39" i="11" a="1"/>
  <c r="J22" i="11" a="1"/>
  <c r="F23" i="11" a="1"/>
  <c r="G44" i="11" a="1"/>
  <c r="C21" i="11" a="1"/>
  <c r="G57" i="11" a="1"/>
  <c r="G56" i="11" a="1"/>
  <c r="F22" i="11" a="1"/>
  <c r="E22" i="11" a="1"/>
  <c r="H22" i="11" a="1"/>
  <c r="E25" i="11" a="1"/>
  <c r="G162" i="3" a="1"/>
  <c r="G40" i="11" a="1"/>
  <c r="B20" i="11" a="1"/>
  <c r="C22" i="11" a="1"/>
  <c r="G23" i="11" a="1"/>
  <c r="C38" i="11" a="1"/>
  <c r="F21" i="11" a="1"/>
  <c r="H20" i="11" a="1"/>
  <c r="C44" i="11" a="1"/>
  <c r="F163" i="3" a="1"/>
  <c r="B41" i="11" a="1"/>
  <c r="C28" i="11" a="1"/>
  <c r="J25" i="11" a="1"/>
  <c r="B21" i="11" a="1"/>
  <c r="J20" i="11" a="1"/>
  <c r="B44" i="11" a="1"/>
  <c r="E41" i="11" a="1"/>
  <c r="G163" i="3" a="1"/>
  <c r="H38" i="11" a="1"/>
  <c r="B26" i="11" a="1"/>
  <c r="C39" i="11" a="1"/>
  <c r="F41" i="11" a="1"/>
  <c r="C25" i="11" a="1"/>
  <c r="E39" i="11" a="1"/>
  <c r="E21" i="11" a="1"/>
  <c r="G22" i="11" a="1"/>
  <c r="F40" i="11" a="1"/>
  <c r="B22" i="11" a="1"/>
  <c r="H25" i="11" a="1"/>
  <c r="J31" i="11"/>
  <c r="G14" i="11" a="1"/>
  <c r="H39" i="11" a="1"/>
  <c r="H40" i="11" a="1"/>
  <c r="J13" i="11"/>
  <c r="G163" i="3" l="1"/>
  <c r="G57" i="11"/>
  <c r="G162" i="3"/>
  <c r="F163" i="3"/>
  <c r="F57" i="11"/>
  <c r="G56" i="11"/>
  <c r="G14" i="11"/>
  <c r="E38" i="11"/>
  <c r="B39" i="11"/>
  <c r="H39" i="11"/>
  <c r="E40" i="11"/>
  <c r="B41" i="11"/>
  <c r="H41" i="11"/>
  <c r="E42" i="11"/>
  <c r="B44" i="11"/>
  <c r="H44" i="11"/>
  <c r="I34" i="11"/>
  <c r="F38" i="11"/>
  <c r="C39" i="11"/>
  <c r="F40" i="11"/>
  <c r="C41" i="11"/>
  <c r="F42" i="11"/>
  <c r="C44" i="11"/>
  <c r="J34" i="11"/>
  <c r="G40" i="11"/>
  <c r="B38" i="11"/>
  <c r="H38" i="11"/>
  <c r="E39" i="11"/>
  <c r="B40" i="11"/>
  <c r="H40" i="11"/>
  <c r="E41" i="11"/>
  <c r="B42" i="11"/>
  <c r="H42" i="11"/>
  <c r="E44" i="11"/>
  <c r="F41" i="11"/>
  <c r="C38" i="11"/>
  <c r="C40" i="11"/>
  <c r="C42" i="11"/>
  <c r="G41" i="11"/>
  <c r="G44" i="11"/>
  <c r="H22" i="11"/>
  <c r="H26" i="11"/>
  <c r="H25" i="11"/>
  <c r="H23" i="11"/>
  <c r="H21" i="11"/>
  <c r="H20" i="11"/>
  <c r="G22" i="11"/>
  <c r="H28" i="11"/>
  <c r="G28" i="11"/>
  <c r="G26" i="11"/>
  <c r="G25" i="11"/>
  <c r="G23" i="11"/>
  <c r="G21" i="11"/>
  <c r="G20" i="11"/>
  <c r="F28" i="11"/>
  <c r="F26" i="11"/>
  <c r="F25" i="11"/>
  <c r="F23" i="11"/>
  <c r="F22" i="11"/>
  <c r="F21" i="11"/>
  <c r="F20" i="11"/>
  <c r="E28" i="11"/>
  <c r="E26" i="11"/>
  <c r="E25" i="11"/>
  <c r="E23" i="11"/>
  <c r="E21" i="11"/>
  <c r="E22" i="11"/>
  <c r="E20" i="11"/>
  <c r="C28" i="11"/>
  <c r="C26" i="11"/>
  <c r="C25" i="11"/>
  <c r="C23" i="11"/>
  <c r="C22" i="11"/>
  <c r="C21" i="11"/>
  <c r="C20" i="11"/>
  <c r="B28" i="11"/>
  <c r="B26" i="11"/>
  <c r="B25" i="11"/>
  <c r="B23" i="11"/>
  <c r="B22" i="11"/>
  <c r="B21" i="11"/>
  <c r="B20" i="11"/>
  <c r="J28" i="11"/>
  <c r="J25" i="11"/>
  <c r="J26" i="11"/>
  <c r="J23" i="11"/>
  <c r="J21" i="11"/>
  <c r="J22" i="11"/>
  <c r="J20" i="11"/>
  <c r="G60" i="11" a="1"/>
  <c r="G39" i="11" a="1"/>
  <c r="F39" i="11" a="1"/>
  <c r="G38" i="11" a="1"/>
  <c r="G166" i="3" a="1"/>
  <c r="G166" i="3" l="1"/>
  <c r="G60" i="11"/>
  <c r="F39" i="11"/>
  <c r="G39" i="11"/>
  <c r="G38" i="11"/>
  <c r="G42" i="11" a="1"/>
  <c r="G42" i="11" l="1"/>
  <c r="G16" i="11" a="1"/>
  <c r="O22" i="8" a="1"/>
  <c r="E14" i="11" a="1"/>
  <c r="I14" i="11" a="1"/>
  <c r="I14" i="11" l="1"/>
  <c r="G16" i="11"/>
  <c r="E14" i="11"/>
  <c r="O22" i="8"/>
  <c r="O23" i="8" a="1"/>
  <c r="D25" i="11" a="1"/>
  <c r="D22" i="11" a="1"/>
  <c r="D21" i="11" a="1"/>
  <c r="D20" i="11" a="1"/>
  <c r="D28" i="11" a="1"/>
  <c r="D26" i="11" a="1"/>
  <c r="D23" i="11" a="1"/>
  <c r="D28" i="11" l="1"/>
  <c r="D26" i="11"/>
  <c r="D25" i="11"/>
  <c r="D23" i="11"/>
  <c r="D22" i="11"/>
  <c r="D21" i="11"/>
  <c r="D20" i="11"/>
  <c r="O23" i="8"/>
  <c r="I21" i="11" a="1"/>
  <c r="I23" i="11" a="1"/>
  <c r="I22" i="11" a="1"/>
  <c r="O24" i="8" a="1"/>
  <c r="I26" i="11" a="1"/>
  <c r="I28" i="11" a="1"/>
  <c r="I20" i="11" a="1"/>
  <c r="I25" i="11" a="1"/>
  <c r="I20" i="11" l="1"/>
  <c r="I26" i="11"/>
  <c r="I25" i="11"/>
  <c r="I21" i="11"/>
  <c r="I23" i="11"/>
  <c r="I22" i="11"/>
  <c r="I28" i="11"/>
  <c r="O24" i="8"/>
  <c r="I19" i="8"/>
  <c r="R18" i="8"/>
  <c r="O18" i="8"/>
  <c r="L18" i="8"/>
  <c r="I18" i="8"/>
  <c r="F18" i="8"/>
  <c r="C18" i="8"/>
  <c r="C139" i="7"/>
  <c r="F139" i="7"/>
  <c r="C140" i="7"/>
  <c r="C141" i="7" s="1"/>
  <c r="F141" i="7"/>
  <c r="G141" i="7"/>
  <c r="L74" i="5"/>
  <c r="K37" i="6"/>
  <c r="K25" i="6"/>
  <c r="K13" i="6"/>
  <c r="K40" i="5"/>
  <c r="K13" i="5"/>
  <c r="K150" i="4"/>
  <c r="K129" i="4"/>
  <c r="K103" i="4"/>
  <c r="K79" i="4"/>
  <c r="K55" i="4"/>
  <c r="K34" i="4"/>
  <c r="K13" i="4"/>
  <c r="K127" i="7"/>
  <c r="K107" i="7"/>
  <c r="K86" i="7"/>
  <c r="K66" i="7"/>
  <c r="K31" i="7"/>
  <c r="K13" i="7"/>
  <c r="K132" i="3"/>
  <c r="K109" i="3"/>
  <c r="K89" i="3"/>
  <c r="K68" i="3"/>
  <c r="K48" i="3"/>
  <c r="K13" i="3"/>
  <c r="O30" i="8" a="1"/>
  <c r="F24" i="8" a="1"/>
  <c r="O25" i="8" a="1"/>
  <c r="I22" i="8" a="1"/>
  <c r="F25" i="8" a="1"/>
  <c r="O31" i="8" a="1"/>
  <c r="L21" i="8" a="1"/>
  <c r="O26" i="8" a="1"/>
  <c r="F21" i="8" a="1"/>
  <c r="O29" i="8" a="1"/>
  <c r="F19" i="8" a="1"/>
  <c r="R19" i="8" a="1"/>
  <c r="F26" i="8" a="1"/>
  <c r="O19" i="8" a="1"/>
  <c r="O21" i="8" a="1"/>
  <c r="L19" i="8" a="1"/>
  <c r="O20" i="8" a="1"/>
  <c r="F20" i="8" a="1"/>
  <c r="O27" i="8" a="1"/>
  <c r="O28" i="8" a="1"/>
  <c r="L20" i="8" a="1"/>
  <c r="I23" i="8" a="1"/>
  <c r="F26" i="8" l="1"/>
  <c r="O26" i="8"/>
  <c r="O31" i="8"/>
  <c r="O25" i="8"/>
  <c r="O30" i="8"/>
  <c r="O29" i="8"/>
  <c r="O28" i="8"/>
  <c r="O27" i="8"/>
  <c r="R19" i="8"/>
  <c r="L21" i="8"/>
  <c r="L20" i="8"/>
  <c r="L19" i="8"/>
  <c r="O21" i="8"/>
  <c r="O19" i="8"/>
  <c r="O20" i="8"/>
  <c r="I23" i="8"/>
  <c r="I22" i="8"/>
  <c r="F25" i="8"/>
  <c r="F24" i="8"/>
  <c r="F21" i="8"/>
  <c r="F19" i="8"/>
  <c r="F20" i="8"/>
  <c r="G46" i="6"/>
  <c r="B46" i="6"/>
  <c r="G45" i="6"/>
  <c r="B45" i="6"/>
  <c r="G44" i="6"/>
  <c r="B44" i="6"/>
  <c r="G43" i="6"/>
  <c r="B43" i="6"/>
  <c r="G42" i="6"/>
  <c r="B42" i="6"/>
  <c r="G34" i="6"/>
  <c r="B34" i="6"/>
  <c r="G33" i="6"/>
  <c r="B33" i="6"/>
  <c r="G32" i="6"/>
  <c r="B32" i="6"/>
  <c r="G31" i="6"/>
  <c r="B31" i="6"/>
  <c r="G30" i="6"/>
  <c r="B30" i="6"/>
  <c r="G22" i="6"/>
  <c r="G21" i="6"/>
  <c r="G20" i="6"/>
  <c r="G19" i="6"/>
  <c r="B22" i="6"/>
  <c r="B21" i="6"/>
  <c r="B20" i="6"/>
  <c r="B19" i="6"/>
  <c r="G98" i="4"/>
  <c r="G95" i="4"/>
  <c r="G96" i="4"/>
  <c r="F92" i="4"/>
  <c r="G69" i="4"/>
  <c r="G93" i="4"/>
  <c r="H100" i="4"/>
  <c r="G100" i="4"/>
  <c r="H98" i="4"/>
  <c r="H96" i="4"/>
  <c r="H95" i="4"/>
  <c r="H93" i="4"/>
  <c r="H92" i="4"/>
  <c r="H91" i="4"/>
  <c r="H90" i="4"/>
  <c r="F90" i="4"/>
  <c r="C90" i="4"/>
  <c r="C91" i="4" s="1"/>
  <c r="C92" i="4" s="1"/>
  <c r="C93" i="4" s="1"/>
  <c r="C95" i="4" s="1"/>
  <c r="C96" i="4" s="1"/>
  <c r="C98" i="4" s="1"/>
  <c r="C100" i="4" s="1"/>
  <c r="H89" i="4"/>
  <c r="F89" i="4"/>
  <c r="B89" i="4"/>
  <c r="B92" i="4" s="1"/>
  <c r="B98" i="4" s="1"/>
  <c r="C83" i="4"/>
  <c r="C84" i="4" s="1"/>
  <c r="D82" i="4"/>
  <c r="C82" i="4"/>
  <c r="G74" i="4"/>
  <c r="H74" i="4"/>
  <c r="G71" i="4"/>
  <c r="H63" i="7"/>
  <c r="F63" i="7"/>
  <c r="H62" i="7"/>
  <c r="F62" i="7"/>
  <c r="H61" i="7"/>
  <c r="F61" i="7"/>
  <c r="H60" i="7"/>
  <c r="G60" i="7"/>
  <c r="H58" i="7"/>
  <c r="G58" i="7"/>
  <c r="H57" i="7"/>
  <c r="G57" i="7"/>
  <c r="H56" i="7"/>
  <c r="G56" i="7"/>
  <c r="H55" i="7"/>
  <c r="G55" i="7"/>
  <c r="H53" i="7"/>
  <c r="G53" i="7"/>
  <c r="H52" i="7"/>
  <c r="G52" i="7"/>
  <c r="F52" i="7"/>
  <c r="H51" i="7"/>
  <c r="G51" i="7"/>
  <c r="F51" i="7"/>
  <c r="H50" i="7"/>
  <c r="G50" i="7"/>
  <c r="H49" i="7"/>
  <c r="G49" i="7"/>
  <c r="F49" i="7"/>
  <c r="H48" i="7"/>
  <c r="G48" i="7"/>
  <c r="F48" i="7"/>
  <c r="H47" i="7"/>
  <c r="G47" i="7"/>
  <c r="H46" i="7"/>
  <c r="G46" i="7"/>
  <c r="F46" i="7"/>
  <c r="H45" i="7"/>
  <c r="G45" i="7"/>
  <c r="F45" i="7"/>
  <c r="H44" i="7"/>
  <c r="G44" i="7"/>
  <c r="H43" i="7"/>
  <c r="G43" i="7"/>
  <c r="F43" i="7"/>
  <c r="H42" i="7"/>
  <c r="F42" i="7"/>
  <c r="H41" i="7"/>
  <c r="F41" i="7"/>
  <c r="H40" i="7"/>
  <c r="C40" i="7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5" i="7" s="1"/>
  <c r="H39" i="7"/>
  <c r="F39" i="7"/>
  <c r="B39" i="7"/>
  <c r="B62" i="7" s="1"/>
  <c r="H123" i="4"/>
  <c r="H122" i="4"/>
  <c r="G72" i="4"/>
  <c r="C59" i="4"/>
  <c r="H58" i="4" s="1"/>
  <c r="H147" i="7"/>
  <c r="F147" i="7"/>
  <c r="H146" i="7"/>
  <c r="G146" i="7"/>
  <c r="F144" i="7"/>
  <c r="H143" i="7"/>
  <c r="G143" i="7"/>
  <c r="H138" i="7"/>
  <c r="F138" i="7"/>
  <c r="H137" i="7"/>
  <c r="G137" i="7"/>
  <c r="F137" i="7"/>
  <c r="H136" i="7"/>
  <c r="G136" i="7"/>
  <c r="F136" i="7"/>
  <c r="H135" i="7"/>
  <c r="C135" i="7"/>
  <c r="C136" i="7" s="1"/>
  <c r="C137" i="7" s="1"/>
  <c r="C138" i="7" s="1"/>
  <c r="C143" i="7" s="1"/>
  <c r="H134" i="7"/>
  <c r="F134" i="7"/>
  <c r="B134" i="7"/>
  <c r="B144" i="7" s="1"/>
  <c r="H149" i="3"/>
  <c r="H152" i="3"/>
  <c r="F152" i="3"/>
  <c r="F149" i="3"/>
  <c r="H146" i="3"/>
  <c r="H145" i="3"/>
  <c r="H144" i="3"/>
  <c r="G146" i="3"/>
  <c r="F146" i="3"/>
  <c r="F144" i="3"/>
  <c r="H151" i="3"/>
  <c r="G151" i="3"/>
  <c r="H148" i="3"/>
  <c r="G148" i="3"/>
  <c r="H143" i="3"/>
  <c r="F143" i="3"/>
  <c r="H142" i="3"/>
  <c r="G142" i="3"/>
  <c r="F142" i="3"/>
  <c r="H141" i="3"/>
  <c r="G141" i="3"/>
  <c r="F141" i="3"/>
  <c r="H140" i="3"/>
  <c r="C140" i="3"/>
  <c r="C141" i="3" s="1"/>
  <c r="C142" i="3" s="1"/>
  <c r="C143" i="3" s="1"/>
  <c r="C144" i="3" s="1"/>
  <c r="C145" i="3" s="1"/>
  <c r="C146" i="3" s="1"/>
  <c r="C148" i="3" s="1"/>
  <c r="C149" i="3" s="1"/>
  <c r="H139" i="3"/>
  <c r="F139" i="3"/>
  <c r="B139" i="3"/>
  <c r="B143" i="3" s="1"/>
  <c r="R31" i="8" a="1"/>
  <c r="F31" i="8" a="1"/>
  <c r="G50" i="11" a="1"/>
  <c r="I132" i="4" a="1"/>
  <c r="F34" i="11" a="1"/>
  <c r="E156" i="3" a="1"/>
  <c r="J106" i="4" a="1"/>
  <c r="G52" i="11" a="1"/>
  <c r="J57" i="4" a="1"/>
  <c r="E50" i="11" a="1"/>
  <c r="J105" i="4" a="1"/>
  <c r="R30" i="8" a="1"/>
  <c r="I25" i="8" a="1"/>
  <c r="I21" i="8" a="1"/>
  <c r="I15" i="4" a="1"/>
  <c r="I156" i="3" a="1"/>
  <c r="G156" i="3" a="1"/>
  <c r="I27" i="8" a="1"/>
  <c r="R27" i="8" a="1"/>
  <c r="R29" i="8" a="1"/>
  <c r="J81" i="4" a="1"/>
  <c r="J132" i="4" a="1"/>
  <c r="I106" i="4" a="1"/>
  <c r="I32" i="11" a="1"/>
  <c r="G36" i="4" a="1"/>
  <c r="L25" i="8" a="1"/>
  <c r="R20" i="8" a="1"/>
  <c r="R28" i="8" a="1"/>
  <c r="I152" i="4" a="1"/>
  <c r="G34" i="11" a="1"/>
  <c r="J131" i="4" a="1"/>
  <c r="I24" i="8" a="1"/>
  <c r="I131" i="4" a="1"/>
  <c r="F30" i="8" a="1"/>
  <c r="G32" i="11" a="1"/>
  <c r="J132" i="3"/>
  <c r="R23" i="8" a="1"/>
  <c r="I30" i="8" a="1"/>
  <c r="F27" i="8" a="1"/>
  <c r="G105" i="4" a="1"/>
  <c r="E32" i="11" a="1"/>
  <c r="R25" i="8" a="1"/>
  <c r="R24" i="8" a="1"/>
  <c r="R22" i="8" a="1"/>
  <c r="G152" i="4" a="1"/>
  <c r="J36" i="4" a="1"/>
  <c r="I57" i="4" a="1"/>
  <c r="G57" i="4" a="1"/>
  <c r="I28" i="8" a="1"/>
  <c r="L24" i="8" a="1"/>
  <c r="G15" i="4" a="1"/>
  <c r="I31" i="8" a="1"/>
  <c r="I29" i="8" a="1"/>
  <c r="I81" i="4" a="1"/>
  <c r="J31" i="7"/>
  <c r="L27" i="8" a="1"/>
  <c r="J152" i="4" a="1"/>
  <c r="L31" i="8" a="1"/>
  <c r="I26" i="8" a="1"/>
  <c r="F52" i="11" a="1"/>
  <c r="F158" i="3" a="1"/>
  <c r="J127" i="7"/>
  <c r="J25" i="6"/>
  <c r="I20" i="8" a="1"/>
  <c r="L30" i="8" a="1"/>
  <c r="G158" i="3" a="1"/>
  <c r="F28" i="8" a="1"/>
  <c r="F29" i="8" a="1"/>
  <c r="L28" i="8" a="1"/>
  <c r="J79" i="4"/>
  <c r="I50" i="11" a="1"/>
  <c r="G131" i="4" a="1"/>
  <c r="R21" i="8" a="1"/>
  <c r="L29" i="8" a="1"/>
  <c r="R26" i="8" a="1"/>
  <c r="J37" i="6"/>
  <c r="J15" i="4" a="1"/>
  <c r="I105" i="4" a="1"/>
  <c r="I36" i="4" a="1"/>
  <c r="G81" i="4" a="1"/>
  <c r="G156" i="3" l="1"/>
  <c r="I156" i="3"/>
  <c r="E156" i="3"/>
  <c r="G158" i="3"/>
  <c r="F158" i="3"/>
  <c r="K170" i="3" s="1"/>
  <c r="F52" i="11"/>
  <c r="K64" i="11" s="1"/>
  <c r="F34" i="11"/>
  <c r="K46" i="11" s="1"/>
  <c r="I50" i="11"/>
  <c r="G50" i="11"/>
  <c r="G52" i="11"/>
  <c r="E50" i="11"/>
  <c r="I26" i="8"/>
  <c r="G32" i="11"/>
  <c r="G34" i="11"/>
  <c r="E32" i="11"/>
  <c r="I32" i="11"/>
  <c r="I21" i="8"/>
  <c r="I20" i="8"/>
  <c r="I24" i="8"/>
  <c r="I25" i="8"/>
  <c r="R31" i="8"/>
  <c r="R24" i="8"/>
  <c r="R30" i="8"/>
  <c r="R23" i="8"/>
  <c r="R22" i="8"/>
  <c r="R28" i="8"/>
  <c r="R20" i="8"/>
  <c r="R25" i="8"/>
  <c r="R29" i="8"/>
  <c r="R27" i="8"/>
  <c r="R26" i="8"/>
  <c r="R21" i="8"/>
  <c r="I106" i="4"/>
  <c r="J106" i="4"/>
  <c r="I132" i="4"/>
  <c r="J132" i="4"/>
  <c r="G152" i="4"/>
  <c r="I152" i="4"/>
  <c r="J152" i="4"/>
  <c r="G131" i="4"/>
  <c r="I131" i="4"/>
  <c r="J131" i="4"/>
  <c r="G105" i="4"/>
  <c r="I105" i="4"/>
  <c r="J105" i="4"/>
  <c r="G81" i="4"/>
  <c r="I81" i="4"/>
  <c r="F91" i="4" s="1"/>
  <c r="J81" i="4"/>
  <c r="G91" i="4" s="1"/>
  <c r="G57" i="4"/>
  <c r="I57" i="4"/>
  <c r="J57" i="4"/>
  <c r="G36" i="4"/>
  <c r="I36" i="4"/>
  <c r="J36" i="4"/>
  <c r="G15" i="4"/>
  <c r="I15" i="4"/>
  <c r="J15" i="4"/>
  <c r="L25" i="8"/>
  <c r="L27" i="8"/>
  <c r="L28" i="8"/>
  <c r="L29" i="8"/>
  <c r="L24" i="8"/>
  <c r="L30" i="8"/>
  <c r="L31" i="8"/>
  <c r="I27" i="8"/>
  <c r="I28" i="8"/>
  <c r="I29" i="8"/>
  <c r="I30" i="8"/>
  <c r="I31" i="8"/>
  <c r="F27" i="8"/>
  <c r="F28" i="8"/>
  <c r="F29" i="8"/>
  <c r="F30" i="8"/>
  <c r="F31" i="8"/>
  <c r="B147" i="7"/>
  <c r="B149" i="3"/>
  <c r="B135" i="7"/>
  <c r="B139" i="7" s="1"/>
  <c r="B152" i="3"/>
  <c r="B95" i="4"/>
  <c r="B91" i="4"/>
  <c r="B93" i="4"/>
  <c r="B100" i="4"/>
  <c r="B96" i="4"/>
  <c r="B90" i="4"/>
  <c r="B143" i="7"/>
  <c r="B44" i="7"/>
  <c r="B138" i="7"/>
  <c r="B40" i="7"/>
  <c r="B55" i="7"/>
  <c r="B136" i="7"/>
  <c r="B140" i="7" s="1"/>
  <c r="B42" i="7"/>
  <c r="B46" i="7"/>
  <c r="B57" i="7"/>
  <c r="B49" i="7"/>
  <c r="B53" i="7"/>
  <c r="B60" i="7"/>
  <c r="B47" i="7"/>
  <c r="C60" i="7"/>
  <c r="C56" i="7"/>
  <c r="B50" i="7"/>
  <c r="B45" i="7"/>
  <c r="B58" i="7"/>
  <c r="B48" i="7"/>
  <c r="B41" i="7"/>
  <c r="B43" i="7"/>
  <c r="B56" i="7"/>
  <c r="B52" i="7"/>
  <c r="B61" i="7"/>
  <c r="B63" i="7"/>
  <c r="B51" i="7"/>
  <c r="B146" i="7"/>
  <c r="B137" i="7"/>
  <c r="B141" i="7" s="1"/>
  <c r="C144" i="7"/>
  <c r="C146" i="7"/>
  <c r="C147" i="7" s="1"/>
  <c r="C151" i="3"/>
  <c r="C152" i="3" s="1"/>
  <c r="B151" i="3"/>
  <c r="B142" i="3"/>
  <c r="B146" i="3" s="1"/>
  <c r="B140" i="3"/>
  <c r="B144" i="3" s="1"/>
  <c r="B148" i="3"/>
  <c r="B141" i="3"/>
  <c r="B145" i="3" s="1"/>
  <c r="H123" i="3"/>
  <c r="G123" i="3"/>
  <c r="F123" i="3"/>
  <c r="H122" i="3"/>
  <c r="H121" i="3"/>
  <c r="F121" i="3"/>
  <c r="H129" i="3"/>
  <c r="F129" i="3"/>
  <c r="H119" i="3"/>
  <c r="H118" i="3"/>
  <c r="H116" i="3"/>
  <c r="G60" i="3"/>
  <c r="G62" i="3"/>
  <c r="H45" i="3"/>
  <c r="H44" i="3"/>
  <c r="H43" i="3"/>
  <c r="F44" i="3"/>
  <c r="F45" i="3"/>
  <c r="F43" i="3"/>
  <c r="H30" i="3"/>
  <c r="H29" i="3"/>
  <c r="H28" i="3"/>
  <c r="H40" i="3"/>
  <c r="H39" i="3"/>
  <c r="H38" i="3"/>
  <c r="G40" i="3"/>
  <c r="G39" i="3"/>
  <c r="G38" i="3"/>
  <c r="H34" i="3"/>
  <c r="H35" i="3"/>
  <c r="H33" i="3"/>
  <c r="H32" i="3"/>
  <c r="H31" i="3"/>
  <c r="H27" i="3"/>
  <c r="H26" i="3"/>
  <c r="H25" i="3"/>
  <c r="G35" i="3"/>
  <c r="G34" i="3"/>
  <c r="G33" i="3"/>
  <c r="G32" i="3"/>
  <c r="G31" i="3"/>
  <c r="G30" i="3"/>
  <c r="G29" i="3"/>
  <c r="G28" i="3"/>
  <c r="G27" i="3"/>
  <c r="G26" i="3"/>
  <c r="G25" i="3"/>
  <c r="F33" i="3"/>
  <c r="F31" i="3"/>
  <c r="F34" i="3"/>
  <c r="G50" i="4"/>
  <c r="G147" i="4"/>
  <c r="G126" i="4"/>
  <c r="G125" i="4"/>
  <c r="G106" i="3"/>
  <c r="G86" i="3"/>
  <c r="J64" i="11" a="1"/>
  <c r="J46" i="11" a="1"/>
  <c r="J34" i="4"/>
  <c r="J68" i="3"/>
  <c r="I70" i="3" a="1"/>
  <c r="F81" i="4" a="1"/>
  <c r="D39" i="11" a="1"/>
  <c r="J71" i="3" a="1"/>
  <c r="F57" i="4" a="1"/>
  <c r="J70" i="3" a="1"/>
  <c r="F168" i="3" a="1"/>
  <c r="J40" i="5"/>
  <c r="D162" i="3" a="1"/>
  <c r="D38" i="11" a="1"/>
  <c r="D170" i="3" a="1"/>
  <c r="I92" i="3" a="1"/>
  <c r="F36" i="4" a="1"/>
  <c r="E134" i="3" a="1"/>
  <c r="J109" i="7" a="1"/>
  <c r="D41" i="11" a="1"/>
  <c r="J150" i="4"/>
  <c r="D163" i="3" a="1"/>
  <c r="D60" i="11" a="1"/>
  <c r="D56" i="11" a="1"/>
  <c r="I50" i="3" a="1"/>
  <c r="E50" i="3" a="1"/>
  <c r="D44" i="11" a="1"/>
  <c r="J50" i="3" a="1"/>
  <c r="G134" i="3" a="1"/>
  <c r="H170" i="3" a="1"/>
  <c r="D42" i="11" a="1"/>
  <c r="J107" i="7"/>
  <c r="J109" i="3"/>
  <c r="I71" i="3" a="1"/>
  <c r="F152" i="4" a="1"/>
  <c r="D57" i="11" a="1"/>
  <c r="D62" i="11" a="1"/>
  <c r="J16" i="3" a="1"/>
  <c r="F170" i="3" a="1"/>
  <c r="J110" i="7" a="1"/>
  <c r="E46" i="11" a="1"/>
  <c r="B170" i="3" a="1"/>
  <c r="J68" i="7" a="1"/>
  <c r="J13" i="6"/>
  <c r="J88" i="7" a="1"/>
  <c r="E91" i="3" a="1"/>
  <c r="J89" i="7" a="1"/>
  <c r="J13" i="5"/>
  <c r="D166" i="3" a="1"/>
  <c r="D40" i="11" a="1"/>
  <c r="J13" i="3"/>
  <c r="I91" i="3" a="1"/>
  <c r="C170" i="3" a="1"/>
  <c r="J134" i="3" a="1"/>
  <c r="D58" i="11" a="1"/>
  <c r="J91" i="3" a="1"/>
  <c r="I109" i="7" a="1"/>
  <c r="E170" i="3" a="1"/>
  <c r="I89" i="7" a="1"/>
  <c r="G170" i="3" a="1"/>
  <c r="J55" i="4"/>
  <c r="D168" i="3" a="1"/>
  <c r="I129" i="7" a="1"/>
  <c r="G111" i="3" a="1"/>
  <c r="E111" i="3" a="1"/>
  <c r="F15" i="4" a="1"/>
  <c r="J34" i="7" a="1"/>
  <c r="G46" i="11" a="1"/>
  <c r="J13" i="7"/>
  <c r="I68" i="7" a="1"/>
  <c r="F44" i="11" a="1"/>
  <c r="C64" i="11"/>
  <c r="G16" i="3" a="1"/>
  <c r="J86" i="7"/>
  <c r="F105" i="4" a="1"/>
  <c r="I16" i="3" a="1"/>
  <c r="D46" i="11" a="1"/>
  <c r="F62" i="11" a="1"/>
  <c r="J66" i="7"/>
  <c r="I34" i="7" a="1"/>
  <c r="E70" i="3" a="1"/>
  <c r="F46" i="11" a="1"/>
  <c r="J129" i="4"/>
  <c r="J89" i="3"/>
  <c r="J129" i="7" a="1"/>
  <c r="H46" i="11" a="1"/>
  <c r="I134" i="3" a="1"/>
  <c r="J48" i="3"/>
  <c r="I14" i="3" a="1"/>
  <c r="C46" i="11" a="1"/>
  <c r="J92" i="3" a="1"/>
  <c r="J103" i="4"/>
  <c r="D164" i="3" a="1"/>
  <c r="I111" i="3" a="1"/>
  <c r="I88" i="7" a="1"/>
  <c r="J13" i="4"/>
  <c r="D165" i="3" a="1"/>
  <c r="F131" i="4" a="1"/>
  <c r="I110" i="7" a="1"/>
  <c r="D59" i="11" a="1"/>
  <c r="B46" i="11" a="1"/>
  <c r="J111" i="3" a="1"/>
  <c r="J64" i="11" l="1"/>
  <c r="J46" i="11"/>
  <c r="F168" i="3"/>
  <c r="D170" i="3"/>
  <c r="D164" i="3"/>
  <c r="D166" i="3"/>
  <c r="D162" i="3"/>
  <c r="D163" i="3"/>
  <c r="D165" i="3"/>
  <c r="E170" i="3"/>
  <c r="C170" i="3"/>
  <c r="H170" i="3"/>
  <c r="B170" i="3"/>
  <c r="G170" i="3"/>
  <c r="F170" i="3"/>
  <c r="D168" i="3"/>
  <c r="C46" i="11"/>
  <c r="E46" i="11"/>
  <c r="G46" i="11"/>
  <c r="B46" i="11"/>
  <c r="H46" i="11"/>
  <c r="F46" i="11"/>
  <c r="F62" i="11"/>
  <c r="D62" i="11"/>
  <c r="D60" i="11"/>
  <c r="D58" i="11"/>
  <c r="D56" i="11"/>
  <c r="D57" i="11"/>
  <c r="D59" i="11"/>
  <c r="D42" i="11"/>
  <c r="D40" i="11"/>
  <c r="D38" i="11"/>
  <c r="D41" i="11"/>
  <c r="D39" i="11"/>
  <c r="D46" i="11"/>
  <c r="F44" i="11"/>
  <c r="D44" i="11"/>
  <c r="F105" i="4"/>
  <c r="F36" i="4"/>
  <c r="F57" i="4"/>
  <c r="F152" i="4"/>
  <c r="F81" i="4"/>
  <c r="F95" i="4" s="1"/>
  <c r="F131" i="4"/>
  <c r="F15" i="4"/>
  <c r="I34" i="7"/>
  <c r="F40" i="7" s="1"/>
  <c r="I89" i="7"/>
  <c r="I88" i="7"/>
  <c r="I129" i="7"/>
  <c r="F146" i="7" s="1"/>
  <c r="I110" i="7"/>
  <c r="I68" i="7"/>
  <c r="I109" i="7"/>
  <c r="J88" i="7"/>
  <c r="J34" i="7"/>
  <c r="G39" i="7" s="1"/>
  <c r="J129" i="7"/>
  <c r="G135" i="7" s="1"/>
  <c r="J110" i="7"/>
  <c r="J109" i="7"/>
  <c r="J89" i="7"/>
  <c r="J68" i="7"/>
  <c r="F98" i="4"/>
  <c r="E82" i="4"/>
  <c r="H82" i="4"/>
  <c r="H83" i="4" s="1"/>
  <c r="F93" i="4"/>
  <c r="G90" i="4"/>
  <c r="G92" i="4"/>
  <c r="G89" i="4"/>
  <c r="F96" i="4"/>
  <c r="F100" i="4"/>
  <c r="E134" i="3"/>
  <c r="E111" i="3"/>
  <c r="E91" i="3"/>
  <c r="E70" i="3"/>
  <c r="E50" i="3"/>
  <c r="G16" i="3"/>
  <c r="G134" i="3"/>
  <c r="G111" i="3"/>
  <c r="G129" i="3" s="1"/>
  <c r="I14" i="3"/>
  <c r="I134" i="3"/>
  <c r="I111" i="3"/>
  <c r="I92" i="3"/>
  <c r="I91" i="3"/>
  <c r="I71" i="3"/>
  <c r="I70" i="3"/>
  <c r="I50" i="3"/>
  <c r="I16" i="3"/>
  <c r="J134" i="3"/>
  <c r="G143" i="3" s="1"/>
  <c r="J111" i="3"/>
  <c r="J91" i="3"/>
  <c r="J92" i="3"/>
  <c r="J71" i="3"/>
  <c r="J70" i="3"/>
  <c r="J50" i="3"/>
  <c r="J16" i="3"/>
  <c r="C57" i="7"/>
  <c r="C61" i="7"/>
  <c r="H37" i="3"/>
  <c r="G18" i="6"/>
  <c r="B18" i="6"/>
  <c r="F123" i="4"/>
  <c r="F122" i="4"/>
  <c r="F74" i="4"/>
  <c r="C20" i="8"/>
  <c r="E3" i="10" a="1"/>
  <c r="I38" i="11" a="1"/>
  <c r="F64" i="11" a="1"/>
  <c r="G129" i="7" a="1"/>
  <c r="F68" i="7" a="1"/>
  <c r="I15" i="7" a="1"/>
  <c r="I41" i="11" a="1"/>
  <c r="E109" i="7" a="1"/>
  <c r="E64" i="11" a="1"/>
  <c r="G34" i="7" a="1"/>
  <c r="F109" i="7" a="1"/>
  <c r="I58" i="11" a="1"/>
  <c r="I32" i="7" a="1"/>
  <c r="D64" i="11" a="1"/>
  <c r="I57" i="11" a="1"/>
  <c r="E88" i="7" a="1"/>
  <c r="E15" i="7" a="1"/>
  <c r="F129" i="7" a="1"/>
  <c r="I162" i="3" a="1"/>
  <c r="I60" i="11" a="1"/>
  <c r="E129" i="7" a="1"/>
  <c r="I62" i="11" a="1"/>
  <c r="J15" i="7" a="1"/>
  <c r="I170" i="3" a="1"/>
  <c r="I39" i="11" a="1"/>
  <c r="G64" i="11" a="1"/>
  <c r="E68" i="7" a="1"/>
  <c r="B64" i="11" a="1"/>
  <c r="I163" i="3" a="1"/>
  <c r="I46" i="11" a="1"/>
  <c r="I42" i="11" a="1"/>
  <c r="I164" i="3" a="1"/>
  <c r="I59" i="11" a="1"/>
  <c r="I166" i="3" a="1"/>
  <c r="I44" i="11" a="1"/>
  <c r="I165" i="3" a="1"/>
  <c r="H64" i="11" a="1"/>
  <c r="I168" i="3" a="1"/>
  <c r="I56" i="11" a="1"/>
  <c r="B34" i="7" a="1"/>
  <c r="F88" i="7" a="1"/>
  <c r="F15" i="7" a="1"/>
  <c r="I40" i="11" a="1"/>
  <c r="I165" i="3" l="1"/>
  <c r="I163" i="3"/>
  <c r="I166" i="3"/>
  <c r="I164" i="3"/>
  <c r="I162" i="3"/>
  <c r="I168" i="3"/>
  <c r="I170" i="3"/>
  <c r="F64" i="11"/>
  <c r="E64" i="11"/>
  <c r="H64" i="11"/>
  <c r="B64" i="11"/>
  <c r="G64" i="11"/>
  <c r="D64" i="11"/>
  <c r="I59" i="11"/>
  <c r="I57" i="11"/>
  <c r="I56" i="11"/>
  <c r="I58" i="11"/>
  <c r="I60" i="11"/>
  <c r="I62" i="11"/>
  <c r="I44" i="11"/>
  <c r="I46" i="11"/>
  <c r="I39" i="11"/>
  <c r="I41" i="11"/>
  <c r="I38" i="11"/>
  <c r="I40" i="11"/>
  <c r="I42" i="11"/>
  <c r="E3" i="10"/>
  <c r="F140" i="3"/>
  <c r="G152" i="3"/>
  <c r="G40" i="7"/>
  <c r="G138" i="7"/>
  <c r="G134" i="7"/>
  <c r="F60" i="7"/>
  <c r="F82" i="4"/>
  <c r="F83" i="4" s="1"/>
  <c r="F129" i="7"/>
  <c r="F109" i="7"/>
  <c r="G124" i="7" s="1"/>
  <c r="B34" i="7"/>
  <c r="F88" i="7"/>
  <c r="G104" i="7" s="1"/>
  <c r="F68" i="7"/>
  <c r="G83" i="7" s="1"/>
  <c r="F15" i="7"/>
  <c r="B28" i="7" s="1"/>
  <c r="G34" i="7"/>
  <c r="F58" i="7" s="1"/>
  <c r="E129" i="7"/>
  <c r="E109" i="7"/>
  <c r="E68" i="7"/>
  <c r="E88" i="7"/>
  <c r="E15" i="7"/>
  <c r="G129" i="7"/>
  <c r="F140" i="7" s="1"/>
  <c r="I32" i="7"/>
  <c r="F135" i="7"/>
  <c r="F145" i="3"/>
  <c r="G140" i="3"/>
  <c r="G139" i="3"/>
  <c r="F40" i="3"/>
  <c r="J15" i="7"/>
  <c r="I15" i="7"/>
  <c r="G149" i="3"/>
  <c r="F148" i="3" s="1"/>
  <c r="F151" i="3"/>
  <c r="F122" i="3"/>
  <c r="G44" i="4"/>
  <c r="G47" i="4"/>
  <c r="G45" i="4"/>
  <c r="G122" i="4"/>
  <c r="G123" i="4"/>
  <c r="G68" i="4"/>
  <c r="G66" i="4"/>
  <c r="G65" i="4"/>
  <c r="C58" i="7"/>
  <c r="C63" i="7" s="1"/>
  <c r="C62" i="7"/>
  <c r="G44" i="3"/>
  <c r="G43" i="3"/>
  <c r="G45" i="3"/>
  <c r="F39" i="3"/>
  <c r="F37" i="3"/>
  <c r="F38" i="3"/>
  <c r="G126" i="3"/>
  <c r="F32" i="3"/>
  <c r="F35" i="3"/>
  <c r="C21" i="8"/>
  <c r="C19" i="8"/>
  <c r="H169" i="4"/>
  <c r="G169" i="4"/>
  <c r="F169" i="4"/>
  <c r="H167" i="4"/>
  <c r="F167" i="4"/>
  <c r="H166" i="4"/>
  <c r="H164" i="4"/>
  <c r="G164" i="4"/>
  <c r="F164" i="4"/>
  <c r="H163" i="4"/>
  <c r="G163" i="4"/>
  <c r="F163" i="4"/>
  <c r="H162" i="4"/>
  <c r="G162" i="4"/>
  <c r="F162" i="4"/>
  <c r="H161" i="4"/>
  <c r="G161" i="4"/>
  <c r="F161" i="4"/>
  <c r="C161" i="4"/>
  <c r="C162" i="4" s="1"/>
  <c r="C163" i="4" s="1"/>
  <c r="C164" i="4" s="1"/>
  <c r="C166" i="4" s="1"/>
  <c r="C167" i="4" s="1"/>
  <c r="C169" i="4" s="1"/>
  <c r="H160" i="4"/>
  <c r="G160" i="4"/>
  <c r="F160" i="4"/>
  <c r="C154" i="4"/>
  <c r="F153" i="4"/>
  <c r="F154" i="4" s="1"/>
  <c r="D153" i="4"/>
  <c r="C153" i="4"/>
  <c r="F166" i="4" s="1"/>
  <c r="B160" i="4"/>
  <c r="H128" i="3"/>
  <c r="G128" i="3"/>
  <c r="F128" i="3"/>
  <c r="H126" i="3"/>
  <c r="F126" i="3"/>
  <c r="H125" i="3"/>
  <c r="F125" i="3" s="1"/>
  <c r="H120" i="3"/>
  <c r="G120" i="3"/>
  <c r="F120" i="3"/>
  <c r="F119" i="3"/>
  <c r="F118" i="3"/>
  <c r="H117" i="3"/>
  <c r="G117" i="3"/>
  <c r="F117" i="3"/>
  <c r="C117" i="3"/>
  <c r="C118" i="3" s="1"/>
  <c r="C119" i="3" s="1"/>
  <c r="C120" i="3" s="1"/>
  <c r="G116" i="3"/>
  <c r="F116" i="3"/>
  <c r="B116" i="3"/>
  <c r="B138" i="4"/>
  <c r="B112" i="4"/>
  <c r="B120" i="4" s="1"/>
  <c r="B65" i="4"/>
  <c r="B44" i="4"/>
  <c r="B49" i="4" s="1"/>
  <c r="B115" i="7"/>
  <c r="B94" i="7"/>
  <c r="B73" i="7"/>
  <c r="B20" i="7"/>
  <c r="B97" i="3"/>
  <c r="B104" i="3" s="1"/>
  <c r="B80" i="3"/>
  <c r="B55" i="3"/>
  <c r="B57" i="3" s="1"/>
  <c r="B21" i="3"/>
  <c r="F93" i="3" a="1"/>
  <c r="F21" i="5" a="1"/>
  <c r="E14" i="6" a="1"/>
  <c r="F54" i="5" a="1"/>
  <c r="E38" i="6" a="1"/>
  <c r="F51" i="3" a="1"/>
  <c r="F108" i="4" a="1"/>
  <c r="F112" i="3" a="1"/>
  <c r="F19" i="4" a="1"/>
  <c r="F61" i="4" a="1"/>
  <c r="F135" i="3" a="1"/>
  <c r="F156" i="4" a="1"/>
  <c r="F40" i="4" a="1"/>
  <c r="E26" i="6" a="1"/>
  <c r="F72" i="3" a="1"/>
  <c r="F17" i="3" a="1"/>
  <c r="F134" i="4" a="1"/>
  <c r="F85" i="4" a="1"/>
  <c r="I64" i="11" a="1"/>
  <c r="I64" i="11" l="1"/>
  <c r="C121" i="3"/>
  <c r="C122" i="3" s="1"/>
  <c r="C123" i="3" s="1"/>
  <c r="C125" i="3" s="1"/>
  <c r="C126" i="3" s="1"/>
  <c r="C128" i="3" s="1"/>
  <c r="C129" i="3" s="1"/>
  <c r="H141" i="7"/>
  <c r="H140" i="7"/>
  <c r="G144" i="7"/>
  <c r="F143" i="7" s="1"/>
  <c r="F156" i="4"/>
  <c r="D166" i="4" s="1"/>
  <c r="I166" i="4" s="1"/>
  <c r="F108" i="4"/>
  <c r="D120" i="4" s="1"/>
  <c r="I120" i="4" s="1"/>
  <c r="F85" i="4"/>
  <c r="D96" i="4" s="1"/>
  <c r="I96" i="4" s="1"/>
  <c r="F19" i="4"/>
  <c r="D28" i="4" s="1"/>
  <c r="I28" i="4" s="1"/>
  <c r="F134" i="4"/>
  <c r="D145" i="4" s="1"/>
  <c r="I145" i="4" s="1"/>
  <c r="F61" i="4"/>
  <c r="D72" i="4" s="1"/>
  <c r="I72" i="4" s="1"/>
  <c r="F40" i="4"/>
  <c r="D49" i="4" s="1"/>
  <c r="I49" i="4" s="1"/>
  <c r="F54" i="5"/>
  <c r="D75" i="5" s="1"/>
  <c r="I75" i="5" s="1"/>
  <c r="F21" i="5"/>
  <c r="D31" i="5" s="1"/>
  <c r="I31" i="5" s="1"/>
  <c r="E38" i="6"/>
  <c r="E26" i="6"/>
  <c r="E14" i="6"/>
  <c r="E124" i="7"/>
  <c r="B124" i="7"/>
  <c r="H124" i="7"/>
  <c r="F124" i="7"/>
  <c r="C124" i="7"/>
  <c r="E104" i="7"/>
  <c r="F83" i="7"/>
  <c r="H83" i="7"/>
  <c r="B104" i="7"/>
  <c r="C104" i="7"/>
  <c r="E28" i="7"/>
  <c r="H104" i="7"/>
  <c r="F104" i="7"/>
  <c r="G28" i="7"/>
  <c r="H28" i="7"/>
  <c r="C28" i="7"/>
  <c r="E83" i="7"/>
  <c r="C83" i="7"/>
  <c r="B83" i="7"/>
  <c r="F55" i="7"/>
  <c r="F56" i="7"/>
  <c r="F57" i="7"/>
  <c r="F47" i="7"/>
  <c r="F53" i="7"/>
  <c r="G62" i="7"/>
  <c r="G63" i="7"/>
  <c r="F50" i="7"/>
  <c r="F44" i="7"/>
  <c r="G61" i="7"/>
  <c r="G147" i="7"/>
  <c r="F28" i="7"/>
  <c r="H139" i="7"/>
  <c r="H144" i="7"/>
  <c r="F135" i="3"/>
  <c r="D149" i="3" s="1"/>
  <c r="I149" i="3" s="1"/>
  <c r="F112" i="3"/>
  <c r="D125" i="3" s="1"/>
  <c r="I125" i="3" s="1"/>
  <c r="F93" i="3"/>
  <c r="D104" i="3" s="1"/>
  <c r="I104" i="3" s="1"/>
  <c r="F72" i="3"/>
  <c r="F51" i="3"/>
  <c r="F17" i="3"/>
  <c r="D38" i="3" s="1"/>
  <c r="I38" i="3" s="1"/>
  <c r="C155" i="4"/>
  <c r="G167" i="4"/>
  <c r="B45" i="3"/>
  <c r="B44" i="3"/>
  <c r="B43" i="3"/>
  <c r="B128" i="3"/>
  <c r="B129" i="3"/>
  <c r="B38" i="3"/>
  <c r="B40" i="3"/>
  <c r="B39" i="3"/>
  <c r="B34" i="3"/>
  <c r="B35" i="3"/>
  <c r="B23" i="3"/>
  <c r="B33" i="3"/>
  <c r="B31" i="3"/>
  <c r="B32" i="3"/>
  <c r="G14" i="3"/>
  <c r="B74" i="7"/>
  <c r="B23" i="7"/>
  <c r="B21" i="7"/>
  <c r="H153" i="4"/>
  <c r="H154" i="4" s="1"/>
  <c r="B22" i="7"/>
  <c r="B166" i="4"/>
  <c r="B161" i="4"/>
  <c r="B169" i="4"/>
  <c r="B50" i="4"/>
  <c r="B52" i="4"/>
  <c r="B162" i="4"/>
  <c r="B163" i="4"/>
  <c r="B164" i="4"/>
  <c r="B167" i="4"/>
  <c r="G166" i="4"/>
  <c r="B119" i="3"/>
  <c r="B123" i="3" s="1"/>
  <c r="G125" i="3"/>
  <c r="B118" i="3"/>
  <c r="B122" i="3" s="1"/>
  <c r="B120" i="3"/>
  <c r="B126" i="3"/>
  <c r="B117" i="3"/>
  <c r="B121" i="3" s="1"/>
  <c r="B125" i="3"/>
  <c r="B71" i="4"/>
  <c r="B72" i="4"/>
  <c r="B145" i="4"/>
  <c r="B147" i="4"/>
  <c r="B143" i="4"/>
  <c r="B139" i="4"/>
  <c r="B140" i="4"/>
  <c r="B141" i="4"/>
  <c r="B142" i="4"/>
  <c r="B126" i="4"/>
  <c r="B117" i="4"/>
  <c r="B123" i="4" s="1"/>
  <c r="B125" i="4"/>
  <c r="B113" i="4"/>
  <c r="B114" i="4"/>
  <c r="B115" i="4"/>
  <c r="B116" i="4"/>
  <c r="B122" i="4" s="1"/>
  <c r="B119" i="4"/>
  <c r="B76" i="4"/>
  <c r="B66" i="4"/>
  <c r="B67" i="4"/>
  <c r="B68" i="4"/>
  <c r="B74" i="4" s="1"/>
  <c r="B69" i="4"/>
  <c r="B45" i="4"/>
  <c r="B46" i="4"/>
  <c r="B47" i="4"/>
  <c r="B116" i="7"/>
  <c r="B118" i="7"/>
  <c r="B122" i="7"/>
  <c r="B117" i="7"/>
  <c r="B101" i="7"/>
  <c r="B102" i="7"/>
  <c r="B99" i="7"/>
  <c r="B81" i="7"/>
  <c r="B76" i="7"/>
  <c r="B75" i="7"/>
  <c r="B77" i="7"/>
  <c r="B78" i="7"/>
  <c r="B80" i="7"/>
  <c r="B95" i="7"/>
  <c r="B24" i="7"/>
  <c r="B119" i="7"/>
  <c r="B26" i="7"/>
  <c r="B120" i="7"/>
  <c r="B96" i="7"/>
  <c r="B97" i="7"/>
  <c r="B98" i="7"/>
  <c r="B37" i="3"/>
  <c r="B42" i="3"/>
  <c r="B99" i="3"/>
  <c r="B100" i="3"/>
  <c r="B29" i="3"/>
  <c r="B101" i="3"/>
  <c r="B30" i="3"/>
  <c r="B106" i="3"/>
  <c r="B59" i="3"/>
  <c r="B65" i="3"/>
  <c r="B26" i="3"/>
  <c r="B60" i="3"/>
  <c r="B62" i="3"/>
  <c r="B24" i="3"/>
  <c r="B63" i="3"/>
  <c r="B25" i="3"/>
  <c r="B27" i="3"/>
  <c r="B28" i="3"/>
  <c r="B98" i="3"/>
  <c r="B58" i="3"/>
  <c r="B83" i="3"/>
  <c r="B84" i="3"/>
  <c r="B81" i="3"/>
  <c r="B86" i="3"/>
  <c r="B76" i="3"/>
  <c r="B77" i="3"/>
  <c r="B78" i="3"/>
  <c r="B102" i="3"/>
  <c r="B22" i="3"/>
  <c r="B56" i="3"/>
  <c r="B79" i="3"/>
  <c r="H93" i="3" a="1"/>
  <c r="H40" i="4" a="1"/>
  <c r="H17" i="3" a="1"/>
  <c r="H19" i="4" a="1"/>
  <c r="H61" i="4" a="1"/>
  <c r="F35" i="7" a="1"/>
  <c r="H21" i="5" a="1"/>
  <c r="H134" i="4" a="1"/>
  <c r="H108" i="4" a="1"/>
  <c r="F130" i="7" a="1"/>
  <c r="D72" i="3" a="1"/>
  <c r="F16" i="7" a="1"/>
  <c r="D19" i="4" a="1"/>
  <c r="H112" i="3" a="1"/>
  <c r="D51" i="3" a="1"/>
  <c r="F69" i="7" a="1"/>
  <c r="D54" i="5" a="1"/>
  <c r="D40" i="4" a="1"/>
  <c r="H85" i="4" a="1"/>
  <c r="F111" i="7" a="1"/>
  <c r="D21" i="5" a="1"/>
  <c r="H135" i="3" a="1"/>
  <c r="H51" i="3" a="1"/>
  <c r="F90" i="7" a="1"/>
  <c r="D134" i="4" a="1"/>
  <c r="D112" i="3" a="1"/>
  <c r="H72" i="3" a="1"/>
  <c r="D61" i="4" a="1"/>
  <c r="D108" i="4" a="1"/>
  <c r="D93" i="3" a="1"/>
  <c r="H54" i="5" a="1"/>
  <c r="D85" i="4" a="1"/>
  <c r="H156" i="4" a="1"/>
  <c r="D135" i="3" a="1"/>
  <c r="D156" i="4" a="1"/>
  <c r="D80" i="5" l="1"/>
  <c r="I80" i="5" s="1"/>
  <c r="D79" i="5"/>
  <c r="I79" i="5" s="1"/>
  <c r="D78" i="5"/>
  <c r="I78" i="5" s="1"/>
  <c r="D81" i="5"/>
  <c r="I81" i="5" s="1"/>
  <c r="D82" i="5"/>
  <c r="I82" i="5" s="1"/>
  <c r="D95" i="4"/>
  <c r="I95" i="4" s="1"/>
  <c r="D119" i="4"/>
  <c r="I119" i="4" s="1"/>
  <c r="D71" i="4"/>
  <c r="I71" i="4" s="1"/>
  <c r="D76" i="5"/>
  <c r="I76" i="5" s="1"/>
  <c r="D77" i="5"/>
  <c r="I77" i="5" s="1"/>
  <c r="D74" i="5"/>
  <c r="I74" i="5" s="1"/>
  <c r="G32" i="7"/>
  <c r="D63" i="7" s="1"/>
  <c r="I63" i="7" s="1"/>
  <c r="D134" i="4"/>
  <c r="D147" i="4" s="1"/>
  <c r="I147" i="4" s="1"/>
  <c r="D61" i="4"/>
  <c r="D76" i="4" s="1"/>
  <c r="I76" i="4" s="1"/>
  <c r="D85" i="4"/>
  <c r="D100" i="4" s="1"/>
  <c r="I100" i="4" s="1"/>
  <c r="D19" i="4"/>
  <c r="D31" i="4" s="1"/>
  <c r="I31" i="4" s="1"/>
  <c r="D156" i="4"/>
  <c r="D169" i="4" s="1"/>
  <c r="I169" i="4" s="1"/>
  <c r="D108" i="4"/>
  <c r="D126" i="4" s="1"/>
  <c r="I126" i="4" s="1"/>
  <c r="D40" i="4"/>
  <c r="D52" i="4" s="1"/>
  <c r="I52" i="4" s="1"/>
  <c r="F111" i="7"/>
  <c r="D122" i="7" s="1"/>
  <c r="I122" i="7" s="1"/>
  <c r="F35" i="7"/>
  <c r="D55" i="7" s="1"/>
  <c r="I55" i="7" s="1"/>
  <c r="F69" i="7"/>
  <c r="D81" i="7" s="1"/>
  <c r="I81" i="7" s="1"/>
  <c r="F90" i="7"/>
  <c r="D102" i="7" s="1"/>
  <c r="I102" i="7" s="1"/>
  <c r="F16" i="7"/>
  <c r="D26" i="7" s="1"/>
  <c r="I26" i="7" s="1"/>
  <c r="F130" i="7"/>
  <c r="H85" i="4"/>
  <c r="D90" i="4" s="1"/>
  <c r="I90" i="4" s="1"/>
  <c r="H156" i="4"/>
  <c r="D164" i="4" s="1"/>
  <c r="I164" i="4" s="1"/>
  <c r="H134" i="4"/>
  <c r="D139" i="4" s="1"/>
  <c r="I139" i="4" s="1"/>
  <c r="H19" i="4"/>
  <c r="D23" i="4" s="1"/>
  <c r="I23" i="4" s="1"/>
  <c r="H61" i="4"/>
  <c r="D67" i="4" s="1"/>
  <c r="I67" i="4" s="1"/>
  <c r="H108" i="4"/>
  <c r="D115" i="4" s="1"/>
  <c r="I115" i="4" s="1"/>
  <c r="H40" i="4"/>
  <c r="D45" i="4" s="1"/>
  <c r="I45" i="4" s="1"/>
  <c r="D54" i="5"/>
  <c r="D89" i="5" s="1"/>
  <c r="I89" i="5" s="1"/>
  <c r="D21" i="5"/>
  <c r="D37" i="5" s="1"/>
  <c r="I37" i="5" s="1"/>
  <c r="H21" i="5"/>
  <c r="D26" i="5" s="1"/>
  <c r="I26" i="5" s="1"/>
  <c r="H54" i="5"/>
  <c r="D59" i="5" s="1"/>
  <c r="I59" i="5" s="1"/>
  <c r="D32" i="5"/>
  <c r="I32" i="5" s="1"/>
  <c r="D148" i="3"/>
  <c r="I148" i="3" s="1"/>
  <c r="D37" i="3"/>
  <c r="I37" i="3" s="1"/>
  <c r="D40" i="3"/>
  <c r="I40" i="3" s="1"/>
  <c r="D39" i="3"/>
  <c r="I39" i="3" s="1"/>
  <c r="H135" i="3"/>
  <c r="H112" i="3"/>
  <c r="H93" i="3"/>
  <c r="D100" i="3" s="1"/>
  <c r="I100" i="3" s="1"/>
  <c r="H72" i="3"/>
  <c r="D77" i="3" s="1"/>
  <c r="I77" i="3" s="1"/>
  <c r="H51" i="3"/>
  <c r="D58" i="3" s="1"/>
  <c r="I58" i="3" s="1"/>
  <c r="H17" i="3"/>
  <c r="D34" i="3" s="1"/>
  <c r="D135" i="3"/>
  <c r="D151" i="3" s="1"/>
  <c r="I151" i="3" s="1"/>
  <c r="D112" i="3"/>
  <c r="D128" i="3" s="1"/>
  <c r="I128" i="3" s="1"/>
  <c r="D93" i="3"/>
  <c r="D106" i="3" s="1"/>
  <c r="I106" i="3" s="1"/>
  <c r="D72" i="3"/>
  <c r="D86" i="3" s="1"/>
  <c r="I86" i="3" s="1"/>
  <c r="D51" i="3"/>
  <c r="D65" i="3" s="1"/>
  <c r="I65" i="3" s="1"/>
  <c r="D44" i="6"/>
  <c r="I44" i="6" s="1"/>
  <c r="D45" i="6"/>
  <c r="I45" i="6" s="1"/>
  <c r="D42" i="6"/>
  <c r="I42" i="6" s="1"/>
  <c r="D43" i="6"/>
  <c r="I43" i="6" s="1"/>
  <c r="D46" i="6"/>
  <c r="I46" i="6" s="1"/>
  <c r="D34" i="6"/>
  <c r="I34" i="6" s="1"/>
  <c r="D33" i="6"/>
  <c r="I33" i="6" s="1"/>
  <c r="D31" i="6"/>
  <c r="I31" i="6" s="1"/>
  <c r="D30" i="6"/>
  <c r="I30" i="6" s="1"/>
  <c r="D32" i="6"/>
  <c r="I32" i="6" s="1"/>
  <c r="D18" i="6"/>
  <c r="I18" i="6" s="1"/>
  <c r="D22" i="6"/>
  <c r="I22" i="6" s="1"/>
  <c r="D21" i="6"/>
  <c r="I21" i="6" s="1"/>
  <c r="D20" i="6"/>
  <c r="I20" i="6" s="1"/>
  <c r="D19" i="6"/>
  <c r="I19" i="6" s="1"/>
  <c r="D42" i="3"/>
  <c r="I42" i="3" s="1"/>
  <c r="D45" i="3"/>
  <c r="I45" i="3" s="1"/>
  <c r="D43" i="3"/>
  <c r="I43" i="3" s="1"/>
  <c r="D44" i="3"/>
  <c r="I44" i="3" s="1"/>
  <c r="D126" i="3"/>
  <c r="D62" i="3"/>
  <c r="I62" i="3" s="1"/>
  <c r="D63" i="3"/>
  <c r="I63" i="3" s="1"/>
  <c r="D83" i="3"/>
  <c r="I83" i="3" s="1"/>
  <c r="D84" i="3"/>
  <c r="I84" i="3" s="1"/>
  <c r="H69" i="7" a="1"/>
  <c r="H90" i="7" a="1"/>
  <c r="D111" i="7" a="1"/>
  <c r="D16" i="7" a="1"/>
  <c r="D130" i="7" a="1"/>
  <c r="H16" i="7" a="1"/>
  <c r="D90" i="7" a="1"/>
  <c r="D69" i="7" a="1"/>
  <c r="H111" i="7" a="1"/>
  <c r="H130" i="7" a="1"/>
  <c r="H35" i="7" a="1"/>
  <c r="D121" i="3" l="1"/>
  <c r="I121" i="3" s="1"/>
  <c r="D122" i="3"/>
  <c r="I122" i="3" s="1"/>
  <c r="D123" i="3"/>
  <c r="I123" i="3" s="1"/>
  <c r="D144" i="3"/>
  <c r="I144" i="3" s="1"/>
  <c r="D145" i="3"/>
  <c r="I145" i="3" s="1"/>
  <c r="D146" i="3"/>
  <c r="I146" i="3" s="1"/>
  <c r="D113" i="4"/>
  <c r="I113" i="4" s="1"/>
  <c r="D112" i="4"/>
  <c r="I112" i="4" s="1"/>
  <c r="D116" i="4"/>
  <c r="I116" i="4" s="1"/>
  <c r="D114" i="4"/>
  <c r="I114" i="4" s="1"/>
  <c r="D120" i="3"/>
  <c r="I120" i="3" s="1"/>
  <c r="D117" i="4"/>
  <c r="I117" i="4" s="1"/>
  <c r="D118" i="3"/>
  <c r="I118" i="3" s="1"/>
  <c r="D102" i="3"/>
  <c r="I102" i="3" s="1"/>
  <c r="D80" i="7"/>
  <c r="I80" i="7" s="1"/>
  <c r="D101" i="7"/>
  <c r="I101" i="7" s="1"/>
  <c r="D46" i="4"/>
  <c r="I46" i="4" s="1"/>
  <c r="D47" i="4"/>
  <c r="I47" i="4" s="1"/>
  <c r="D27" i="5"/>
  <c r="I27" i="5" s="1"/>
  <c r="D28" i="5"/>
  <c r="I28" i="5" s="1"/>
  <c r="D29" i="5"/>
  <c r="I29" i="5" s="1"/>
  <c r="D71" i="5"/>
  <c r="I71" i="5" s="1"/>
  <c r="D99" i="3"/>
  <c r="I99" i="3" s="1"/>
  <c r="D44" i="4"/>
  <c r="I44" i="4" s="1"/>
  <c r="D138" i="4"/>
  <c r="I138" i="4" s="1"/>
  <c r="D140" i="4"/>
  <c r="I140" i="4" s="1"/>
  <c r="D162" i="4"/>
  <c r="I162" i="4" s="1"/>
  <c r="D141" i="4"/>
  <c r="I141" i="4" s="1"/>
  <c r="D161" i="4"/>
  <c r="I161" i="4" s="1"/>
  <c r="D142" i="4"/>
  <c r="I142" i="4" s="1"/>
  <c r="D160" i="4"/>
  <c r="I160" i="4" s="1"/>
  <c r="D24" i="4"/>
  <c r="I24" i="4" s="1"/>
  <c r="D125" i="4"/>
  <c r="I125" i="4" s="1"/>
  <c r="D25" i="4"/>
  <c r="I25" i="4" s="1"/>
  <c r="D26" i="4"/>
  <c r="I26" i="4" s="1"/>
  <c r="D60" i="5"/>
  <c r="I60" i="5" s="1"/>
  <c r="D55" i="3"/>
  <c r="I55" i="3" s="1"/>
  <c r="D25" i="5"/>
  <c r="I25" i="5" s="1"/>
  <c r="D65" i="4"/>
  <c r="I65" i="4" s="1"/>
  <c r="D66" i="4"/>
  <c r="I66" i="4" s="1"/>
  <c r="D72" i="5"/>
  <c r="I72" i="5" s="1"/>
  <c r="D78" i="3"/>
  <c r="I78" i="3" s="1"/>
  <c r="D76" i="3"/>
  <c r="I76" i="3" s="1"/>
  <c r="D68" i="4"/>
  <c r="I68" i="4" s="1"/>
  <c r="D62" i="5"/>
  <c r="I62" i="5" s="1"/>
  <c r="D69" i="5"/>
  <c r="I69" i="5" s="1"/>
  <c r="D66" i="5"/>
  <c r="I66" i="5" s="1"/>
  <c r="D69" i="4"/>
  <c r="I69" i="4" s="1"/>
  <c r="D65" i="5"/>
  <c r="I65" i="5" s="1"/>
  <c r="D67" i="5"/>
  <c r="I67" i="5" s="1"/>
  <c r="D57" i="7"/>
  <c r="I57" i="7" s="1"/>
  <c r="D80" i="3"/>
  <c r="I80" i="3" s="1"/>
  <c r="D143" i="4"/>
  <c r="I143" i="4" s="1"/>
  <c r="D61" i="5"/>
  <c r="I61" i="5" s="1"/>
  <c r="D58" i="7"/>
  <c r="I58" i="7" s="1"/>
  <c r="D163" i="4"/>
  <c r="I163" i="4" s="1"/>
  <c r="D64" i="5"/>
  <c r="I64" i="5" s="1"/>
  <c r="D70" i="5"/>
  <c r="I70" i="5" s="1"/>
  <c r="D68" i="5"/>
  <c r="I68" i="5" s="1"/>
  <c r="D79" i="3"/>
  <c r="I79" i="3" s="1"/>
  <c r="D58" i="5"/>
  <c r="I58" i="5" s="1"/>
  <c r="D56" i="7"/>
  <c r="I56" i="7" s="1"/>
  <c r="D91" i="4"/>
  <c r="I91" i="4" s="1"/>
  <c r="D92" i="4"/>
  <c r="I92" i="4" s="1"/>
  <c r="D93" i="4"/>
  <c r="I93" i="4" s="1"/>
  <c r="H130" i="7"/>
  <c r="H35" i="7"/>
  <c r="H69" i="7"/>
  <c r="H90" i="7"/>
  <c r="H111" i="7"/>
  <c r="H16" i="7"/>
  <c r="D111" i="7"/>
  <c r="D124" i="7" s="1"/>
  <c r="I124" i="7" s="1"/>
  <c r="D130" i="7"/>
  <c r="D16" i="7"/>
  <c r="D28" i="7" s="1"/>
  <c r="I28" i="7" s="1"/>
  <c r="D69" i="7"/>
  <c r="D83" i="7" s="1"/>
  <c r="I83" i="7" s="1"/>
  <c r="D90" i="7"/>
  <c r="D104" i="7" s="1"/>
  <c r="I104" i="7" s="1"/>
  <c r="D89" i="4"/>
  <c r="I89" i="4" s="1"/>
  <c r="D143" i="7"/>
  <c r="I143" i="7" s="1"/>
  <c r="D144" i="7"/>
  <c r="I144" i="7" s="1"/>
  <c r="D24" i="3"/>
  <c r="I24" i="3" s="1"/>
  <c r="D81" i="3"/>
  <c r="I81" i="3" s="1"/>
  <c r="D30" i="3"/>
  <c r="I30" i="3" s="1"/>
  <c r="D97" i="3"/>
  <c r="I97" i="3" s="1"/>
  <c r="D101" i="3"/>
  <c r="I101" i="3" s="1"/>
  <c r="D98" i="3"/>
  <c r="I98" i="3" s="1"/>
  <c r="D23" i="3"/>
  <c r="I23" i="3" s="1"/>
  <c r="D143" i="3"/>
  <c r="I143" i="3" s="1"/>
  <c r="D139" i="3"/>
  <c r="I139" i="3" s="1"/>
  <c r="D141" i="3"/>
  <c r="I141" i="3" s="1"/>
  <c r="D142" i="3"/>
  <c r="I142" i="3" s="1"/>
  <c r="D140" i="3"/>
  <c r="I140" i="3" s="1"/>
  <c r="D27" i="3"/>
  <c r="I27" i="3" s="1"/>
  <c r="D22" i="3"/>
  <c r="I22" i="3" s="1"/>
  <c r="D28" i="3"/>
  <c r="I28" i="3" s="1"/>
  <c r="D21" i="3"/>
  <c r="I21" i="3" s="1"/>
  <c r="D29" i="3"/>
  <c r="I29" i="3" s="1"/>
  <c r="D26" i="3"/>
  <c r="I26" i="3" s="1"/>
  <c r="D25" i="3"/>
  <c r="I25" i="3" s="1"/>
  <c r="D56" i="3"/>
  <c r="I56" i="3" s="1"/>
  <c r="D60" i="3"/>
  <c r="I60" i="3" s="1"/>
  <c r="D59" i="3"/>
  <c r="I59" i="3" s="1"/>
  <c r="D57" i="3"/>
  <c r="I57" i="3" s="1"/>
  <c r="D129" i="3"/>
  <c r="I129" i="3" s="1"/>
  <c r="D31" i="3"/>
  <c r="I31" i="3" s="1"/>
  <c r="D32" i="3"/>
  <c r="I32" i="3" s="1"/>
  <c r="D33" i="3"/>
  <c r="I33" i="3" s="1"/>
  <c r="D35" i="3"/>
  <c r="D119" i="3"/>
  <c r="I119" i="3" s="1"/>
  <c r="D116" i="3"/>
  <c r="I116" i="3" s="1"/>
  <c r="D152" i="3"/>
  <c r="I152" i="3" s="1"/>
  <c r="D117" i="3"/>
  <c r="I117" i="3" s="1"/>
  <c r="D61" i="7"/>
  <c r="I61" i="7" s="1"/>
  <c r="D60" i="7"/>
  <c r="I60" i="7" s="1"/>
  <c r="D62" i="7"/>
  <c r="I62" i="7" s="1"/>
  <c r="I126" i="3"/>
  <c r="H126" i="4"/>
  <c r="H125" i="4"/>
  <c r="F126" i="4"/>
  <c r="G26" i="4"/>
  <c r="G24" i="4"/>
  <c r="G23" i="4"/>
  <c r="D139" i="7" l="1"/>
  <c r="I139" i="7" s="1"/>
  <c r="D140" i="7"/>
  <c r="I140" i="7" s="1"/>
  <c r="D141" i="7"/>
  <c r="I141" i="7" s="1"/>
  <c r="D147" i="7"/>
  <c r="I147" i="7" s="1"/>
  <c r="D146" i="7"/>
  <c r="I146" i="7" s="1"/>
  <c r="D22" i="7"/>
  <c r="I22" i="7" s="1"/>
  <c r="D21" i="7"/>
  <c r="I21" i="7" s="1"/>
  <c r="D20" i="7"/>
  <c r="I20" i="7" s="1"/>
  <c r="D24" i="7"/>
  <c r="I24" i="7" s="1"/>
  <c r="D23" i="7"/>
  <c r="I23" i="7" s="1"/>
  <c r="D120" i="7"/>
  <c r="I120" i="7" s="1"/>
  <c r="D119" i="7"/>
  <c r="I119" i="7" s="1"/>
  <c r="D115" i="7"/>
  <c r="I115" i="7" s="1"/>
  <c r="D118" i="7"/>
  <c r="I118" i="7" s="1"/>
  <c r="D117" i="7"/>
  <c r="I117" i="7" s="1"/>
  <c r="D116" i="7"/>
  <c r="I116" i="7" s="1"/>
  <c r="D96" i="7"/>
  <c r="I96" i="7" s="1"/>
  <c r="D97" i="7"/>
  <c r="I97" i="7" s="1"/>
  <c r="D94" i="7"/>
  <c r="I94" i="7" s="1"/>
  <c r="D98" i="7"/>
  <c r="I98" i="7" s="1"/>
  <c r="D95" i="7"/>
  <c r="I95" i="7" s="1"/>
  <c r="D99" i="7"/>
  <c r="I99" i="7" s="1"/>
  <c r="D75" i="7"/>
  <c r="I75" i="7" s="1"/>
  <c r="D74" i="7"/>
  <c r="I74" i="7" s="1"/>
  <c r="D73" i="7"/>
  <c r="I73" i="7" s="1"/>
  <c r="D78" i="7"/>
  <c r="I78" i="7" s="1"/>
  <c r="D77" i="7"/>
  <c r="I77" i="7" s="1"/>
  <c r="D76" i="7"/>
  <c r="I76" i="7" s="1"/>
  <c r="D44" i="7"/>
  <c r="I44" i="7" s="1"/>
  <c r="D43" i="7"/>
  <c r="I43" i="7" s="1"/>
  <c r="D52" i="7"/>
  <c r="I52" i="7" s="1"/>
  <c r="D47" i="7"/>
  <c r="I47" i="7" s="1"/>
  <c r="D50" i="7"/>
  <c r="I50" i="7" s="1"/>
  <c r="D53" i="7"/>
  <c r="I53" i="7" s="1"/>
  <c r="D49" i="7"/>
  <c r="I49" i="7" s="1"/>
  <c r="D40" i="7"/>
  <c r="I40" i="7" s="1"/>
  <c r="D45" i="7"/>
  <c r="I45" i="7" s="1"/>
  <c r="D48" i="7"/>
  <c r="I48" i="7" s="1"/>
  <c r="D46" i="7"/>
  <c r="I46" i="7" s="1"/>
  <c r="D42" i="7"/>
  <c r="I42" i="7" s="1"/>
  <c r="D41" i="7"/>
  <c r="I41" i="7" s="1"/>
  <c r="D39" i="7"/>
  <c r="I39" i="7" s="1"/>
  <c r="D51" i="7"/>
  <c r="I51" i="7" s="1"/>
  <c r="D134" i="7"/>
  <c r="I134" i="7" s="1"/>
  <c r="D136" i="7"/>
  <c r="I136" i="7" s="1"/>
  <c r="D137" i="7"/>
  <c r="I137" i="7" s="1"/>
  <c r="D135" i="7"/>
  <c r="I135" i="7" s="1"/>
  <c r="D138" i="7"/>
  <c r="I138" i="7" s="1"/>
  <c r="H122" i="7"/>
  <c r="G122" i="7"/>
  <c r="F122" i="7"/>
  <c r="H120" i="7"/>
  <c r="G120" i="7"/>
  <c r="F120" i="7"/>
  <c r="H119" i="7"/>
  <c r="H118" i="7"/>
  <c r="F118" i="7"/>
  <c r="H117" i="7"/>
  <c r="F117" i="7"/>
  <c r="H116" i="7"/>
  <c r="G116" i="7"/>
  <c r="F116" i="7"/>
  <c r="C116" i="7"/>
  <c r="H115" i="7"/>
  <c r="G115" i="7"/>
  <c r="F115" i="7"/>
  <c r="H102" i="7"/>
  <c r="G102" i="7"/>
  <c r="F102" i="7"/>
  <c r="H101" i="7"/>
  <c r="G101" i="7"/>
  <c r="F101" i="7"/>
  <c r="H99" i="7"/>
  <c r="G99" i="7"/>
  <c r="F99" i="7"/>
  <c r="H98" i="7"/>
  <c r="F98" i="7"/>
  <c r="H97" i="7"/>
  <c r="F97" i="7"/>
  <c r="H96" i="7"/>
  <c r="F96" i="7"/>
  <c r="H95" i="7"/>
  <c r="G95" i="7"/>
  <c r="F95" i="7"/>
  <c r="C95" i="7"/>
  <c r="H94" i="7"/>
  <c r="G94" i="7"/>
  <c r="F94" i="7"/>
  <c r="H81" i="7"/>
  <c r="F81" i="7"/>
  <c r="H80" i="7"/>
  <c r="G80" i="7"/>
  <c r="F80" i="7"/>
  <c r="H78" i="7"/>
  <c r="G78" i="7"/>
  <c r="F78" i="7"/>
  <c r="H77" i="7"/>
  <c r="G77" i="7"/>
  <c r="F77" i="7"/>
  <c r="H76" i="7"/>
  <c r="F76" i="7"/>
  <c r="H75" i="7"/>
  <c r="F75" i="7"/>
  <c r="G74" i="7"/>
  <c r="F74" i="7"/>
  <c r="C74" i="7"/>
  <c r="H73" i="7"/>
  <c r="G73" i="7"/>
  <c r="F73" i="7"/>
  <c r="H26" i="7"/>
  <c r="G26" i="7"/>
  <c r="F26" i="7"/>
  <c r="H24" i="7"/>
  <c r="G24" i="7"/>
  <c r="F24" i="7"/>
  <c r="H23" i="7"/>
  <c r="F23" i="7"/>
  <c r="H22" i="7"/>
  <c r="F22" i="7"/>
  <c r="H21" i="7"/>
  <c r="G21" i="7"/>
  <c r="F21" i="7"/>
  <c r="C21" i="7"/>
  <c r="H20" i="7"/>
  <c r="G20" i="7"/>
  <c r="F20" i="7"/>
  <c r="H87" i="5"/>
  <c r="F87" i="5" s="1"/>
  <c r="H86" i="5"/>
  <c r="F86" i="5" s="1"/>
  <c r="H82" i="5"/>
  <c r="F82" i="5" s="1"/>
  <c r="H81" i="5"/>
  <c r="H78" i="5"/>
  <c r="H77" i="5"/>
  <c r="G77" i="5" s="1"/>
  <c r="L78" i="5"/>
  <c r="L79" i="5"/>
  <c r="H76" i="5"/>
  <c r="L75" i="5" s="1"/>
  <c r="H75" i="5"/>
  <c r="H74" i="5"/>
  <c r="F74" i="5" s="1"/>
  <c r="F32" i="5"/>
  <c r="F31" i="5"/>
  <c r="H72" i="5"/>
  <c r="G72" i="5" s="1"/>
  <c r="H71" i="5"/>
  <c r="G71" i="5" s="1"/>
  <c r="H70" i="5"/>
  <c r="F70" i="5" s="1"/>
  <c r="H69" i="5"/>
  <c r="G69" i="5" s="1"/>
  <c r="H68" i="5"/>
  <c r="G68" i="5" s="1"/>
  <c r="H67" i="5"/>
  <c r="G67" i="5" s="1"/>
  <c r="H66" i="5"/>
  <c r="F66" i="5" s="1"/>
  <c r="H65" i="5"/>
  <c r="F65" i="5" s="1"/>
  <c r="H64" i="5"/>
  <c r="I52" i="5"/>
  <c r="I53" i="5" s="1"/>
  <c r="J52" i="5" s="1"/>
  <c r="H89" i="5"/>
  <c r="G89" i="5"/>
  <c r="F89" i="5"/>
  <c r="H85" i="5"/>
  <c r="G85" i="5" s="1"/>
  <c r="H62" i="5"/>
  <c r="G62" i="5"/>
  <c r="F62" i="5"/>
  <c r="H61" i="5"/>
  <c r="G61" i="5"/>
  <c r="F61" i="5"/>
  <c r="H60" i="5"/>
  <c r="G60" i="5"/>
  <c r="F60" i="5"/>
  <c r="H59" i="5"/>
  <c r="G59" i="5"/>
  <c r="F59" i="5"/>
  <c r="C59" i="5"/>
  <c r="C60" i="5" s="1"/>
  <c r="H58" i="5"/>
  <c r="G58" i="5"/>
  <c r="F58" i="5"/>
  <c r="C52" i="5"/>
  <c r="D51" i="5"/>
  <c r="C51" i="5"/>
  <c r="B58" i="5"/>
  <c r="H35" i="5"/>
  <c r="I19" i="5"/>
  <c r="I20" i="5" s="1"/>
  <c r="J19" i="5" s="1"/>
  <c r="F35" i="5"/>
  <c r="H32" i="5"/>
  <c r="H27" i="5"/>
  <c r="G27" i="5"/>
  <c r="G26" i="5"/>
  <c r="F27" i="5"/>
  <c r="H34" i="5"/>
  <c r="F34" i="5"/>
  <c r="F29" i="4"/>
  <c r="H29" i="4"/>
  <c r="H156" i="5"/>
  <c r="G156" i="5"/>
  <c r="F156" i="5"/>
  <c r="H153" i="5"/>
  <c r="G153" i="5"/>
  <c r="F153" i="5"/>
  <c r="H151" i="5"/>
  <c r="G151" i="5"/>
  <c r="F151" i="5"/>
  <c r="H150" i="5"/>
  <c r="F150" i="5"/>
  <c r="H149" i="5"/>
  <c r="G149" i="5"/>
  <c r="F149" i="5"/>
  <c r="H148" i="5"/>
  <c r="G148" i="5"/>
  <c r="F148" i="5"/>
  <c r="H147" i="5"/>
  <c r="G147" i="5"/>
  <c r="F147" i="5"/>
  <c r="C147" i="5"/>
  <c r="H146" i="5"/>
  <c r="G146" i="5"/>
  <c r="F146" i="5"/>
  <c r="F141" i="5"/>
  <c r="F142" i="5" s="1"/>
  <c r="B138" i="5"/>
  <c r="H136" i="5"/>
  <c r="G136" i="5"/>
  <c r="F136" i="5"/>
  <c r="H134" i="5"/>
  <c r="G134" i="5"/>
  <c r="F134" i="5"/>
  <c r="H133" i="5"/>
  <c r="G133" i="5"/>
  <c r="F133" i="5"/>
  <c r="H131" i="5"/>
  <c r="G131" i="5"/>
  <c r="F131" i="5"/>
  <c r="H130" i="5"/>
  <c r="F130" i="5"/>
  <c r="H129" i="5"/>
  <c r="G129" i="5"/>
  <c r="F129" i="5"/>
  <c r="H128" i="5"/>
  <c r="G128" i="5"/>
  <c r="F128" i="5"/>
  <c r="H127" i="5"/>
  <c r="G127" i="5"/>
  <c r="F127" i="5"/>
  <c r="C127" i="5"/>
  <c r="C128" i="5" s="1"/>
  <c r="H126" i="5"/>
  <c r="G126" i="5"/>
  <c r="F126" i="5"/>
  <c r="F121" i="5"/>
  <c r="F122" i="5" s="1"/>
  <c r="B118" i="5"/>
  <c r="H116" i="5"/>
  <c r="G116" i="5"/>
  <c r="F116" i="5"/>
  <c r="H113" i="5"/>
  <c r="F113" i="5"/>
  <c r="H112" i="5"/>
  <c r="G112" i="5"/>
  <c r="F112" i="5"/>
  <c r="H110" i="5"/>
  <c r="G110" i="5"/>
  <c r="F110" i="5"/>
  <c r="H109" i="5"/>
  <c r="G109" i="5"/>
  <c r="F109" i="5"/>
  <c r="H108" i="5"/>
  <c r="G108" i="5"/>
  <c r="F108" i="5"/>
  <c r="H107" i="5"/>
  <c r="G107" i="5"/>
  <c r="F107" i="5"/>
  <c r="C107" i="5"/>
  <c r="H106" i="5"/>
  <c r="G106" i="5"/>
  <c r="F106" i="5"/>
  <c r="C102" i="5"/>
  <c r="F101" i="5"/>
  <c r="F102" i="5" s="1"/>
  <c r="E101" i="5"/>
  <c r="D101" i="5"/>
  <c r="C101" i="5"/>
  <c r="B98" i="5"/>
  <c r="H37" i="5"/>
  <c r="G37" i="5"/>
  <c r="F37" i="5"/>
  <c r="H31" i="5"/>
  <c r="H29" i="5"/>
  <c r="G29" i="5"/>
  <c r="F29" i="5"/>
  <c r="H28" i="5"/>
  <c r="G28" i="5"/>
  <c r="F28" i="5"/>
  <c r="H26" i="5"/>
  <c r="F26" i="5"/>
  <c r="C26" i="5"/>
  <c r="C27" i="5" s="1"/>
  <c r="C28" i="5" s="1"/>
  <c r="H25" i="5"/>
  <c r="G25" i="5"/>
  <c r="F25" i="5"/>
  <c r="C19" i="5"/>
  <c r="C20" i="5" s="1"/>
  <c r="D18" i="5"/>
  <c r="C18" i="5"/>
  <c r="B25" i="5"/>
  <c r="I136" i="5"/>
  <c r="D126" i="5"/>
  <c r="D129" i="5" s="1"/>
  <c r="F145" i="4"/>
  <c r="F132" i="4"/>
  <c r="F133" i="4" s="1"/>
  <c r="F120" i="4"/>
  <c r="F119" i="4"/>
  <c r="F106" i="4"/>
  <c r="F107" i="4" s="1"/>
  <c r="H145" i="4"/>
  <c r="H143" i="4"/>
  <c r="G143" i="4"/>
  <c r="F143" i="4"/>
  <c r="H142" i="4"/>
  <c r="F142" i="4"/>
  <c r="H141" i="4"/>
  <c r="G141" i="4"/>
  <c r="F141" i="4"/>
  <c r="H140" i="4"/>
  <c r="G140" i="4"/>
  <c r="F140" i="4"/>
  <c r="H139" i="4"/>
  <c r="G139" i="4"/>
  <c r="F139" i="4"/>
  <c r="C139" i="4"/>
  <c r="C140" i="4" s="1"/>
  <c r="C141" i="4" s="1"/>
  <c r="C142" i="4" s="1"/>
  <c r="C143" i="4" s="1"/>
  <c r="H138" i="4"/>
  <c r="G138" i="4"/>
  <c r="F138" i="4"/>
  <c r="H147" i="4"/>
  <c r="F147" i="4"/>
  <c r="F125" i="4"/>
  <c r="H76" i="4"/>
  <c r="G76" i="4"/>
  <c r="F76" i="4"/>
  <c r="H52" i="4"/>
  <c r="G52" i="4"/>
  <c r="F52" i="4"/>
  <c r="H31" i="4"/>
  <c r="G31" i="4"/>
  <c r="F31" i="4"/>
  <c r="H120" i="4"/>
  <c r="H119" i="4"/>
  <c r="H117" i="4"/>
  <c r="H116" i="4"/>
  <c r="H115" i="4"/>
  <c r="H114" i="4"/>
  <c r="H113" i="4"/>
  <c r="H112" i="4"/>
  <c r="G120" i="4"/>
  <c r="G119" i="4"/>
  <c r="G81" i="5" l="1"/>
  <c r="F81" i="5"/>
  <c r="L77" i="5"/>
  <c r="G78" i="5"/>
  <c r="C117" i="7"/>
  <c r="C118" i="7" s="1"/>
  <c r="B85" i="5"/>
  <c r="B70" i="5"/>
  <c r="B80" i="5"/>
  <c r="B64" i="5"/>
  <c r="B79" i="5"/>
  <c r="B66" i="5"/>
  <c r="B78" i="5"/>
  <c r="B65" i="5"/>
  <c r="B77" i="5"/>
  <c r="B76" i="5"/>
  <c r="B62" i="5"/>
  <c r="B81" i="5"/>
  <c r="B75" i="5"/>
  <c r="B61" i="5"/>
  <c r="B82" i="5"/>
  <c r="B89" i="5"/>
  <c r="B74" i="5"/>
  <c r="B60" i="5"/>
  <c r="B68" i="5"/>
  <c r="B87" i="5"/>
  <c r="B72" i="5"/>
  <c r="B59" i="5"/>
  <c r="B69" i="5"/>
  <c r="B67" i="5"/>
  <c r="B86" i="5"/>
  <c r="B71" i="5"/>
  <c r="B35" i="5"/>
  <c r="B29" i="5"/>
  <c r="B28" i="5"/>
  <c r="B26" i="5"/>
  <c r="B34" i="5"/>
  <c r="B31" i="5"/>
  <c r="B27" i="5"/>
  <c r="B32" i="5"/>
  <c r="B37" i="5"/>
  <c r="C75" i="7"/>
  <c r="C22" i="7"/>
  <c r="C96" i="7"/>
  <c r="F67" i="5"/>
  <c r="D146" i="5"/>
  <c r="D151" i="5" s="1"/>
  <c r="F75" i="5"/>
  <c r="G82" i="5"/>
  <c r="G75" i="5"/>
  <c r="G86" i="5"/>
  <c r="C148" i="5"/>
  <c r="C149" i="5" s="1"/>
  <c r="G76" i="5"/>
  <c r="F76" i="5"/>
  <c r="D153" i="5"/>
  <c r="D154" i="5" s="1"/>
  <c r="G87" i="5"/>
  <c r="G34" i="5"/>
  <c r="I126" i="5"/>
  <c r="G35" i="5"/>
  <c r="F68" i="5"/>
  <c r="I153" i="5"/>
  <c r="F69" i="5"/>
  <c r="G32" i="5"/>
  <c r="C129" i="5"/>
  <c r="F85" i="5"/>
  <c r="F77" i="5"/>
  <c r="F78" i="5"/>
  <c r="F71" i="5"/>
  <c r="G70" i="5"/>
  <c r="G66" i="5"/>
  <c r="G65" i="5"/>
  <c r="G74" i="5"/>
  <c r="L73" i="5"/>
  <c r="F72" i="5"/>
  <c r="G64" i="5"/>
  <c r="F64" i="5"/>
  <c r="C53" i="5"/>
  <c r="C61" i="5"/>
  <c r="C62" i="5" s="1"/>
  <c r="G31" i="5"/>
  <c r="C29" i="5"/>
  <c r="D133" i="5"/>
  <c r="D112" i="5"/>
  <c r="D106" i="5"/>
  <c r="D108" i="5" s="1"/>
  <c r="C108" i="5"/>
  <c r="D127" i="5"/>
  <c r="D130" i="5"/>
  <c r="D128" i="5"/>
  <c r="J98" i="5"/>
  <c r="I116" i="5"/>
  <c r="D131" i="5"/>
  <c r="I156" i="5"/>
  <c r="C103" i="5"/>
  <c r="I101" i="5"/>
  <c r="I102" i="5" s="1"/>
  <c r="M30" i="5"/>
  <c r="F113" i="4"/>
  <c r="G113" i="4"/>
  <c r="F115" i="4"/>
  <c r="G115" i="4"/>
  <c r="F69" i="4"/>
  <c r="H72" i="4"/>
  <c r="H71" i="4"/>
  <c r="H69" i="4"/>
  <c r="H68" i="4"/>
  <c r="H67" i="4"/>
  <c r="H65" i="4"/>
  <c r="H66" i="4"/>
  <c r="F66" i="4"/>
  <c r="C66" i="4"/>
  <c r="E58" i="4"/>
  <c r="C60" i="4"/>
  <c r="F58" i="4"/>
  <c r="F59" i="4" s="1"/>
  <c r="D58" i="4"/>
  <c r="C58" i="4"/>
  <c r="H50" i="4"/>
  <c r="H49" i="4"/>
  <c r="H47" i="4"/>
  <c r="H46" i="4"/>
  <c r="H45" i="4"/>
  <c r="H44" i="4"/>
  <c r="H28" i="4"/>
  <c r="H26" i="4"/>
  <c r="H25" i="4"/>
  <c r="H24" i="4"/>
  <c r="H23" i="4"/>
  <c r="C119" i="7" l="1"/>
  <c r="C120" i="7" s="1"/>
  <c r="C76" i="7"/>
  <c r="C23" i="7"/>
  <c r="C97" i="7"/>
  <c r="D113" i="5"/>
  <c r="C64" i="5"/>
  <c r="C65" i="5" s="1"/>
  <c r="D149" i="5"/>
  <c r="D150" i="5"/>
  <c r="D148" i="5"/>
  <c r="C150" i="5"/>
  <c r="C151" i="5" s="1"/>
  <c r="D147" i="5"/>
  <c r="I146" i="5"/>
  <c r="I147" i="5" s="1"/>
  <c r="C130" i="5"/>
  <c r="C131" i="5" s="1"/>
  <c r="I112" i="5"/>
  <c r="I113" i="5" s="1"/>
  <c r="I133" i="5"/>
  <c r="I106" i="5"/>
  <c r="C31" i="5"/>
  <c r="C109" i="5"/>
  <c r="D134" i="5"/>
  <c r="D107" i="5"/>
  <c r="D109" i="5"/>
  <c r="D110" i="5"/>
  <c r="J118" i="5"/>
  <c r="I128" i="5"/>
  <c r="I129" i="5"/>
  <c r="I127" i="5"/>
  <c r="I131" i="5"/>
  <c r="I130" i="5"/>
  <c r="C67" i="4"/>
  <c r="H59" i="4"/>
  <c r="C77" i="7" l="1"/>
  <c r="C78" i="7" s="1"/>
  <c r="C24" i="7"/>
  <c r="C98" i="7"/>
  <c r="C122" i="7"/>
  <c r="D114" i="5"/>
  <c r="I148" i="5"/>
  <c r="I150" i="5"/>
  <c r="I149" i="5"/>
  <c r="I151" i="5"/>
  <c r="C32" i="5"/>
  <c r="I134" i="5"/>
  <c r="I109" i="5"/>
  <c r="I108" i="5"/>
  <c r="I107" i="5"/>
  <c r="I110" i="5"/>
  <c r="C66" i="5"/>
  <c r="C110" i="5"/>
  <c r="C153" i="5"/>
  <c r="C133" i="5"/>
  <c r="J138" i="5"/>
  <c r="C68" i="4"/>
  <c r="H106" i="3"/>
  <c r="H104" i="3"/>
  <c r="H102" i="3"/>
  <c r="H101" i="3"/>
  <c r="H100" i="3"/>
  <c r="H99" i="3"/>
  <c r="H98" i="3"/>
  <c r="H97" i="3"/>
  <c r="H86" i="3"/>
  <c r="H79" i="3"/>
  <c r="H78" i="3"/>
  <c r="H77" i="3"/>
  <c r="H84" i="3"/>
  <c r="H83" i="3"/>
  <c r="H81" i="3"/>
  <c r="H80" i="3"/>
  <c r="H76" i="3"/>
  <c r="H65" i="3"/>
  <c r="H63" i="3"/>
  <c r="H62" i="3"/>
  <c r="H59" i="3"/>
  <c r="H60" i="3"/>
  <c r="H58" i="3"/>
  <c r="H57" i="3"/>
  <c r="H55" i="3"/>
  <c r="H42" i="3"/>
  <c r="H24" i="3"/>
  <c r="H23" i="3"/>
  <c r="H22" i="3"/>
  <c r="H21" i="3"/>
  <c r="I34" i="3" l="1"/>
  <c r="I35" i="3"/>
  <c r="C26" i="7"/>
  <c r="C80" i="7"/>
  <c r="C99" i="7"/>
  <c r="C34" i="5"/>
  <c r="C35" i="5" s="1"/>
  <c r="C37" i="5" s="1"/>
  <c r="C67" i="5"/>
  <c r="C112" i="5"/>
  <c r="C154" i="5"/>
  <c r="C156" i="5" s="1"/>
  <c r="C134" i="5"/>
  <c r="F86" i="3"/>
  <c r="F106" i="3"/>
  <c r="G65" i="3"/>
  <c r="F65" i="3"/>
  <c r="G42" i="3"/>
  <c r="F42" i="3"/>
  <c r="C101" i="7" l="1"/>
  <c r="C81" i="7"/>
  <c r="C68" i="5"/>
  <c r="C113" i="5"/>
  <c r="C136" i="5"/>
  <c r="C102" i="7" l="1"/>
  <c r="C69" i="5"/>
  <c r="C114" i="5"/>
  <c r="C116" i="5" s="1"/>
  <c r="F16" i="4"/>
  <c r="F17" i="4" s="1"/>
  <c r="F37" i="4"/>
  <c r="F38" i="4" s="1"/>
  <c r="C38" i="4"/>
  <c r="D37" i="4"/>
  <c r="C37" i="4"/>
  <c r="C16" i="4"/>
  <c r="F28" i="4" s="1"/>
  <c r="D16" i="4"/>
  <c r="C17" i="4"/>
  <c r="G29" i="4" s="1"/>
  <c r="F47" i="4"/>
  <c r="F45" i="4"/>
  <c r="C45" i="4"/>
  <c r="G25" i="4"/>
  <c r="F25" i="4"/>
  <c r="F24" i="4"/>
  <c r="G145" i="4"/>
  <c r="G117" i="4"/>
  <c r="F117" i="4"/>
  <c r="F116" i="4"/>
  <c r="G114" i="4"/>
  <c r="F114" i="4"/>
  <c r="C113" i="4"/>
  <c r="G112" i="4"/>
  <c r="F112" i="4"/>
  <c r="F72" i="4"/>
  <c r="F71" i="4"/>
  <c r="F68" i="4"/>
  <c r="G67" i="4"/>
  <c r="F67" i="4"/>
  <c r="F65" i="4"/>
  <c r="G49" i="4"/>
  <c r="G46" i="4"/>
  <c r="F46" i="4"/>
  <c r="F44" i="4"/>
  <c r="F26" i="4"/>
  <c r="C24" i="4"/>
  <c r="F23" i="4"/>
  <c r="B23" i="4"/>
  <c r="B31" i="4" l="1"/>
  <c r="B28" i="4"/>
  <c r="B26" i="4"/>
  <c r="B29" i="4"/>
  <c r="B25" i="4"/>
  <c r="B24" i="4"/>
  <c r="C70" i="5"/>
  <c r="H16" i="4"/>
  <c r="H17" i="4" s="1"/>
  <c r="C46" i="4"/>
  <c r="C39" i="4"/>
  <c r="F50" i="4"/>
  <c r="F49" i="4"/>
  <c r="C18" i="4"/>
  <c r="I37" i="4"/>
  <c r="I38" i="4" s="1"/>
  <c r="G28" i="4"/>
  <c r="C25" i="4"/>
  <c r="C26" i="4" s="1"/>
  <c r="C114" i="4"/>
  <c r="F104" i="3"/>
  <c r="G104" i="3"/>
  <c r="F102" i="3"/>
  <c r="G102" i="3"/>
  <c r="F100" i="3"/>
  <c r="F99" i="3"/>
  <c r="F98" i="3"/>
  <c r="G98" i="3"/>
  <c r="C98" i="3"/>
  <c r="F97" i="3"/>
  <c r="G97" i="3"/>
  <c r="F84" i="3"/>
  <c r="G84" i="3"/>
  <c r="F83" i="3"/>
  <c r="G83" i="3"/>
  <c r="F81" i="3"/>
  <c r="G81" i="3"/>
  <c r="F80" i="3"/>
  <c r="F79" i="3"/>
  <c r="F78" i="3"/>
  <c r="F77" i="3"/>
  <c r="G77" i="3"/>
  <c r="C77" i="3"/>
  <c r="F76" i="3"/>
  <c r="G76" i="3"/>
  <c r="F63" i="3"/>
  <c r="F62" i="3"/>
  <c r="F60" i="3"/>
  <c r="F59" i="3"/>
  <c r="G59" i="3"/>
  <c r="F58" i="3"/>
  <c r="F57" i="3"/>
  <c r="F56" i="3"/>
  <c r="G56" i="3"/>
  <c r="C56" i="3"/>
  <c r="F55" i="3"/>
  <c r="G55" i="3"/>
  <c r="G37" i="3"/>
  <c r="F30" i="3"/>
  <c r="F29" i="3"/>
  <c r="F28" i="3"/>
  <c r="F27" i="3"/>
  <c r="F26" i="3"/>
  <c r="F25" i="3"/>
  <c r="F24" i="3"/>
  <c r="F23" i="3"/>
  <c r="F22" i="3"/>
  <c r="G22" i="3"/>
  <c r="C22" i="3"/>
  <c r="C23" i="3" s="1"/>
  <c r="C24" i="3" s="1"/>
  <c r="C25" i="3" s="1"/>
  <c r="C26" i="3" s="1"/>
  <c r="F21" i="3"/>
  <c r="G21" i="3"/>
  <c r="C71" i="5" l="1"/>
  <c r="C47" i="4"/>
  <c r="C27" i="3"/>
  <c r="C28" i="3" s="1"/>
  <c r="C29" i="3" s="1"/>
  <c r="C30" i="3" s="1"/>
  <c r="C115" i="4"/>
  <c r="C28" i="4"/>
  <c r="C29" i="4" s="1"/>
  <c r="C99" i="3"/>
  <c r="C78" i="3"/>
  <c r="C57" i="3"/>
  <c r="C31" i="3" l="1"/>
  <c r="C32" i="3" s="1"/>
  <c r="C33" i="3" s="1"/>
  <c r="C34" i="3" s="1"/>
  <c r="C35" i="3" s="1"/>
  <c r="C37" i="3" s="1"/>
  <c r="C38" i="3" s="1"/>
  <c r="C31" i="4"/>
  <c r="C72" i="5"/>
  <c r="C116" i="4"/>
  <c r="C49" i="4"/>
  <c r="C69" i="4"/>
  <c r="C100" i="3"/>
  <c r="C79" i="3"/>
  <c r="C58" i="3"/>
  <c r="C39" i="3" l="1"/>
  <c r="C43" i="3"/>
  <c r="C42" i="3"/>
  <c r="C74" i="5"/>
  <c r="C71" i="4"/>
  <c r="C117" i="4"/>
  <c r="C145" i="4"/>
  <c r="C147" i="4" s="1"/>
  <c r="C80" i="3"/>
  <c r="C101" i="3"/>
  <c r="C59" i="3"/>
  <c r="C40" i="3" l="1"/>
  <c r="C45" i="3" s="1"/>
  <c r="C44" i="3"/>
  <c r="C75" i="5"/>
  <c r="C119" i="4"/>
  <c r="C72" i="4"/>
  <c r="C74" i="4" s="1"/>
  <c r="C76" i="4" s="1"/>
  <c r="C102" i="3"/>
  <c r="C81" i="3"/>
  <c r="C60" i="3"/>
  <c r="C76" i="5" l="1"/>
  <c r="C120" i="4"/>
  <c r="C122" i="4" s="1"/>
  <c r="C123" i="4" s="1"/>
  <c r="C125" i="4" s="1"/>
  <c r="C104" i="3"/>
  <c r="C106" i="3" s="1"/>
  <c r="C83" i="3"/>
  <c r="C62" i="3"/>
  <c r="C126" i="4" l="1"/>
  <c r="C77" i="5"/>
  <c r="C50" i="4"/>
  <c r="C84" i="3"/>
  <c r="C86" i="3" s="1"/>
  <c r="C63" i="3"/>
  <c r="C65" i="3" s="1"/>
  <c r="C78" i="5" l="1"/>
  <c r="C52" i="4"/>
  <c r="C79" i="5" l="1"/>
  <c r="C80" i="5" l="1"/>
  <c r="C81" i="5" l="1"/>
  <c r="C82" i="5" l="1"/>
  <c r="C85" i="5"/>
  <c r="C86" i="5" s="1"/>
  <c r="C89" i="5" l="1"/>
  <c r="C8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<sst xmlns="http://schemas.openxmlformats.org/spreadsheetml/2006/main" count="1096" uniqueCount="186">
  <si>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</si>
  <si>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</si>
  <si>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</si>
  <si>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</si>
  <si>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</si>
  <si>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</si>
  <si>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</si>
  <si>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</si>
  <si>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</si>
  <si>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</si>
  <si>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</si>
  <si>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</si>
  <si>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</si>
  <si>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</si>
  <si>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</si>
  <si>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</si>
  <si>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</si>
  <si>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</si>
  <si>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</si>
  <si>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</si>
  <si>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</si>
  <si>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</si>
  <si>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</si>
  <si>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 xml:space="preserve">وحدة سفلية  تلبيسة دلفة /دلفتين 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</si>
  <si>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</si>
  <si>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</si>
  <si>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</si>
  <si>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</si>
  <si>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</si>
  <si>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</si>
  <si>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</si>
  <si>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</si>
  <si>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</si>
  <si>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</si>
  <si>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</si>
  <si>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</si>
  <si>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</si>
  <si>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</si>
  <si>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</si>
  <si>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</si>
  <si>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</si>
  <si>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</si>
  <si>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</si>
  <si>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</si>
  <si>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</si>
  <si>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</si>
  <si>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</si>
  <si>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</si>
  <si>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</si>
  <si>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</si>
  <si>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</si>
  <si>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</si>
  <si>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</si>
  <si>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</si>
  <si>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</si>
  <si>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</si>
  <si>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</si>
  <si>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</si>
  <si>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</si>
  <si>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</si>
  <si>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 xml:space="preserve">خشبى </t>
  </si>
  <si>
    <t>سادة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</si>
  <si>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</si>
  <si>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</si>
  <si>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</si>
  <si>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</si>
  <si>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</si>
  <si>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</si>
  <si>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</si>
  <si>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</si>
  <si>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</si>
  <si>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</si>
  <si>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</si>
  <si>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</si>
  <si>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</si>
  <si>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</si>
  <si>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</si>
  <si>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</si>
  <si>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</si>
  <si>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</si>
  <si>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</si>
  <si>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</si>
  <si>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</si>
  <si>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</si>
  <si>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</si>
  <si>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</si>
  <si>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</si>
  <si>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</si>
  <si>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</si>
  <si>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</si>
  <si>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</si>
  <si>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</si>
  <si>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</si>
  <si>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</si>
  <si>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</si>
  <si>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</si>
  <si>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</si>
  <si>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</si>
  <si>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</si>
  <si>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</si>
  <si>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</si>
  <si>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</si>
  <si>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</si>
  <si>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</si>
  <si>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</si>
  <si>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</si>
  <si>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</si>
  <si>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</si>
  <si>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</si>
  <si>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</si>
  <si>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</si>
  <si>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</si>
  <si>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خامات</t>
  </si>
  <si>
    <t>عمق</t>
  </si>
  <si>
    <t>يوجد ظهر؟</t>
  </si>
  <si>
    <t>مقبض مخفي</t>
  </si>
  <si>
    <t>وحدة سفلية دلفة /دلفتين (بورديوم)</t>
  </si>
  <si>
    <t>وحدة سفلية  زاوية 90 (بورديوم)</t>
  </si>
  <si>
    <t>وحدة سفلية  ركنة 45 (بورديوم)</t>
  </si>
  <si>
    <t>وحدة سفلية  تلبيسة دلفة /دلفتين (بورديوم)</t>
  </si>
  <si>
    <t>تجليدة</t>
  </si>
  <si>
    <t>الوحدة السفلية التي تود أن تضيفها</t>
  </si>
  <si>
    <t>الوحدة البورديوم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</si>
  <si>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</si>
  <si>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</si>
  <si>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</si>
  <si>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</si>
  <si>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</si>
  <si>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</si>
  <si>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</si>
  <si>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درج داخلى A</t>
  </si>
  <si>
    <t>وش درج داخلى A</t>
  </si>
  <si>
    <t>جنب درج داخلى A</t>
  </si>
  <si>
    <t>ظهر درج داخلى A</t>
  </si>
  <si>
    <t>وش درج داخلى 20</t>
  </si>
  <si>
    <t>جنب درج داخلى 20</t>
  </si>
  <si>
    <t>ظهر درج داخلى 20</t>
  </si>
  <si>
    <t>جنب درج  تربو</t>
  </si>
  <si>
    <t>وش / ظهر درج  تربو</t>
  </si>
  <si>
    <t>وش درج داخلى 30</t>
  </si>
  <si>
    <t>جنب درج داخلى 30</t>
  </si>
  <si>
    <t>ظهر درج داخلى 30</t>
  </si>
  <si>
    <t xml:space="preserve">وحدة سفلية    أدراج </t>
  </si>
  <si>
    <t>أدراج خارجية</t>
  </si>
  <si>
    <t>وش درج خارجى2/3  متساوية</t>
  </si>
  <si>
    <t>وش درج خارجى 4 متساوية</t>
  </si>
  <si>
    <t>وش درج خارجى صغير- 3 مختلفة</t>
  </si>
  <si>
    <t>وش درج خارجى كبير- 3 مختلفة</t>
  </si>
  <si>
    <t>اربع أدراج متساوية / مختلفة (0,1)</t>
  </si>
  <si>
    <t>قعر درج  A</t>
  </si>
  <si>
    <t>قعر درج 20</t>
  </si>
  <si>
    <t>قعر درج  30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</si>
  <si>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</si>
  <si>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</si>
  <si>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</si>
  <si>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</si>
  <si>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</si>
  <si>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</si>
  <si>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</si>
  <si>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</si>
  <si>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</si>
  <si>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</si>
  <si>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</si>
  <si>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</si>
  <si>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</si>
  <si>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</si>
  <si>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</si>
  <si>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</si>
  <si>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</si>
  <si>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</si>
  <si>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</si>
  <si>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</si>
  <si>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</si>
  <si>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</si>
  <si>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</si>
  <si>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boardiumGlobal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</si>
  <si>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</si>
  <si>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</si>
  <si>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</si>
  <si>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</si>
  <si>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</si>
  <si>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</si>
  <si>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</si>
  <si>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</si>
  <si>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وحدة سفلية دلفة/ دلفتين</t>
  </si>
  <si>
    <t>إظهار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</si>
</sst>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2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6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7" fillId="11" borderId="5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8" fillId="11" borderId="5" xfId="0" applyFont="1" applyFill="1" applyBorder="1" applyAlignment="1">
      <alignment horizontal="center" vertical="center" wrapText="1"/>
    </xf>
    <xf numFmtId="0" fontId="2" fillId="11" borderId="5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center" vertical="center" wrapText="1"/>
    </xf>
    <xf numFmtId="0" fontId="1" fillId="15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9" fillId="10" borderId="1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5" fillId="11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13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259080</xdr:colOff>
          <xdr:row>5</xdr:row>
          <xdr:rowOff>60960</xdr:rowOff>
        </xdr:from>
        <xdr:to>
          <xdr:col>10</xdr:col>
          <xdr:colOff>754380</xdr:colOff>
          <xdr:row>7</xdr:row>
          <xdr:rowOff>53340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5</xdr:row>
          <xdr:rowOff>60960</xdr:rowOff>
        </xdr:from>
        <xdr:to>
          <xdr:col>5</xdr:col>
          <xdr:colOff>182880</xdr:colOff>
          <xdr:row>7</xdr:row>
          <xdr:rowOff>53340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320040</xdr:colOff>
          <xdr:row>5</xdr:row>
          <xdr:rowOff>60960</xdr:rowOff>
        </xdr:from>
        <xdr:to>
          <xdr:col>7</xdr:col>
          <xdr:colOff>868680</xdr:colOff>
          <xdr:row>7</xdr:row>
          <xdr:rowOff>53340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5</xdr:row>
          <xdr:rowOff>45720</xdr:rowOff>
        </xdr:from>
        <xdr:to>
          <xdr:col>14</xdr:col>
          <xdr:colOff>175260</xdr:colOff>
          <xdr:row>7</xdr:row>
          <xdr:rowOff>38100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38100</xdr:rowOff>
        </xdr:from>
        <xdr:to>
          <xdr:col>4</xdr:col>
          <xdr:colOff>1882140</xdr:colOff>
          <xdr:row>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5</xdr:row>
          <xdr:rowOff>45720</xdr:rowOff>
        </xdr:from>
        <xdr:to>
          <xdr:col>7</xdr:col>
          <xdr:colOff>495300</xdr:colOff>
          <xdr:row>7</xdr:row>
          <xdr:rowOff>30480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5</xdr:row>
          <xdr:rowOff>60960</xdr:rowOff>
        </xdr:from>
        <xdr:to>
          <xdr:col>10</xdr:col>
          <xdr:colOff>541020</xdr:colOff>
          <xdr:row>7</xdr:row>
          <xdr:rowOff>45720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45720</xdr:rowOff>
        </xdr:from>
        <xdr:to>
          <xdr:col>11</xdr:col>
          <xdr:colOff>441960</xdr:colOff>
          <xdr:row>6</xdr:row>
          <xdr:rowOff>220980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693420</xdr:colOff>
          <xdr:row>5</xdr:row>
          <xdr:rowOff>45720</xdr:rowOff>
        </xdr:from>
        <xdr:to>
          <xdr:col>5</xdr:col>
          <xdr:colOff>274320</xdr:colOff>
          <xdr:row>6</xdr:row>
          <xdr:rowOff>220980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411480</xdr:colOff>
          <xdr:row>5</xdr:row>
          <xdr:rowOff>45720</xdr:rowOff>
        </xdr:from>
        <xdr:to>
          <xdr:col>8</xdr:col>
          <xdr:colOff>358140</xdr:colOff>
          <xdr:row>6</xdr:row>
          <xdr:rowOff>220980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167640</xdr:colOff>
          <xdr:row>5</xdr:row>
          <xdr:rowOff>22860</xdr:rowOff>
        </xdr:from>
        <xdr:to>
          <xdr:col>15</xdr:col>
          <xdr:colOff>335280</xdr:colOff>
          <xdr:row>6</xdr:row>
          <xdr:rowOff>205740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11</xdr:col>
          <xdr:colOff>464820</xdr:colOff>
          <xdr:row>6</xdr:row>
          <xdr:rowOff>213360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5</xdr:row>
          <xdr:rowOff>7620</xdr:rowOff>
        </xdr:from>
        <xdr:to>
          <xdr:col>4</xdr:col>
          <xdr:colOff>922020</xdr:colOff>
          <xdr:row>6</xdr:row>
          <xdr:rowOff>175260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1059180</xdr:colOff>
          <xdr:row>5</xdr:row>
          <xdr:rowOff>7620</xdr:rowOff>
        </xdr:from>
        <xdr:to>
          <xdr:col>8</xdr:col>
          <xdr:colOff>396240</xdr:colOff>
          <xdr:row>6</xdr:row>
          <xdr:rowOff>175260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160020</xdr:colOff>
          <xdr:row>5</xdr:row>
          <xdr:rowOff>38100</xdr:rowOff>
        </xdr:from>
        <xdr:to>
          <xdr:col>15</xdr:col>
          <xdr:colOff>327660</xdr:colOff>
          <xdr:row>6</xdr:row>
          <xdr:rowOff>213360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4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373380</xdr:colOff>
          <xdr:row>4</xdr:row>
          <xdr:rowOff>106680</xdr:rowOff>
        </xdr:from>
        <xdr:to>
          <xdr:col>11</xdr:col>
          <xdr:colOff>259080</xdr:colOff>
          <xdr:row>6</xdr:row>
          <xdr:rowOff>99060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274320</xdr:colOff>
          <xdr:row>4</xdr:row>
          <xdr:rowOff>121920</xdr:rowOff>
        </xdr:from>
        <xdr:to>
          <xdr:col>4</xdr:col>
          <xdr:colOff>960120</xdr:colOff>
          <xdr:row>6</xdr:row>
          <xdr:rowOff>121920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1097280</xdr:colOff>
          <xdr:row>4</xdr:row>
          <xdr:rowOff>121920</xdr:rowOff>
        </xdr:from>
        <xdr:to>
          <xdr:col>8</xdr:col>
          <xdr:colOff>60960</xdr:colOff>
          <xdr:row>6</xdr:row>
          <xdr:rowOff>121920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</xdr:colOff>
          <xdr:row>4</xdr:row>
          <xdr:rowOff>129540</xdr:rowOff>
        </xdr:from>
        <xdr:to>
          <xdr:col>14</xdr:col>
          <xdr:colOff>640080</xdr:colOff>
          <xdr:row>6</xdr:row>
          <xdr:rowOff>121920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426720</xdr:colOff>
          <xdr:row>5</xdr:row>
          <xdr:rowOff>7620</xdr:rowOff>
        </xdr:from>
        <xdr:to>
          <xdr:col>11</xdr:col>
          <xdr:colOff>396240</xdr:colOff>
          <xdr:row>6</xdr:row>
          <xdr:rowOff>182880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403860</xdr:colOff>
          <xdr:row>5</xdr:row>
          <xdr:rowOff>7620</xdr:rowOff>
        </xdr:from>
        <xdr:to>
          <xdr:col>4</xdr:col>
          <xdr:colOff>1104900</xdr:colOff>
          <xdr:row>6</xdr:row>
          <xdr:rowOff>190500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121920</xdr:colOff>
          <xdr:row>5</xdr:row>
          <xdr:rowOff>7620</xdr:rowOff>
        </xdr:from>
        <xdr:to>
          <xdr:col>8</xdr:col>
          <xdr:colOff>220980</xdr:colOff>
          <xdr:row>6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</xdr:colOff>
          <xdr:row>5</xdr:row>
          <xdr:rowOff>7620</xdr:rowOff>
        </xdr:from>
        <xdr:to>
          <xdr:col>14</xdr:col>
          <xdr:colOff>640080</xdr:colOff>
          <xdr:row>6</xdr:row>
          <xdr:rowOff>182880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4</xdr:row>
          <xdr:rowOff>182880</xdr:rowOff>
        </xdr:from>
        <xdr:to>
          <xdr:col>11</xdr:col>
          <xdr:colOff>22860</xdr:colOff>
          <xdr:row>6</xdr:row>
          <xdr:rowOff>144780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4</xdr:row>
          <xdr:rowOff>182880</xdr:rowOff>
        </xdr:from>
        <xdr:to>
          <xdr:col>4</xdr:col>
          <xdr:colOff>373380</xdr:colOff>
          <xdr:row>6</xdr:row>
          <xdr:rowOff>152400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510540</xdr:colOff>
          <xdr:row>4</xdr:row>
          <xdr:rowOff>182880</xdr:rowOff>
        </xdr:from>
        <xdr:to>
          <xdr:col>8</xdr:col>
          <xdr:colOff>60960</xdr:colOff>
          <xdr:row>6</xdr:row>
          <xdr:rowOff>152400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7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289560</xdr:colOff>
          <xdr:row>4</xdr:row>
          <xdr:rowOff>160020</xdr:rowOff>
        </xdr:from>
        <xdr:to>
          <xdr:col>14</xdr:col>
          <xdr:colOff>457200</xdr:colOff>
          <xdr:row>6</xdr:row>
          <xdr:rowOff>121920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7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materials" displayName="materials" ref="C12:N14" headerRowCount="0" totalsRowShown="0" headerRowDxfId="134" dataDxfId="132" headerRowBorderDxfId="133" tableBorderDxfId="131" totalsRowBorderDxfId="130">
  <tableColumns count="12">
    <tableColumn id="1" xr3:uid="{00000000-0010-0000-0000-000001000000}" name="Column1" headerRowDxfId="129" dataDxfId="128"/>
    <tableColumn id="2" xr3:uid="{00000000-0010-0000-0000-000002000000}" name="Column2" headerRowDxfId="127" dataDxfId="126"/>
    <tableColumn id="3" xr3:uid="{00000000-0010-0000-0000-000003000000}" name="Column3" headerRowDxfId="125" dataDxfId="124"/>
    <tableColumn id="4" xr3:uid="{00000000-0010-0000-0000-000004000000}" name="Column4" headerRowDxfId="123" dataDxfId="122"/>
    <tableColumn id="5" xr3:uid="{00000000-0010-0000-0000-000005000000}" name="Column5" headerRowDxfId="121" dataDxfId="120"/>
    <tableColumn id="6" xr3:uid="{00000000-0010-0000-0000-000006000000}" name="Column6" headerRowDxfId="119" dataDxfId="118"/>
    <tableColumn id="7" xr3:uid="{00000000-0010-0000-0000-000007000000}" name="Column7" headerRowDxfId="117" dataDxfId="116"/>
    <tableColumn id="8" xr3:uid="{00000000-0010-0000-0000-000008000000}" name="Column8" headerRowDxfId="115" dataDxfId="114"/>
    <tableColumn id="9" xr3:uid="{00000000-0010-0000-0000-000009000000}" name="Column9" headerRowDxfId="113" dataDxfId="112"/>
    <tableColumn id="10" xr3:uid="{00000000-0010-0000-0000-00000A000000}" name="Column10" headerRowDxfId="111" dataDxfId="110"/>
    <tableColumn id="11" xr3:uid="{00000000-0010-0000-0000-00000B000000}" name="Column11" headerRowDxfId="109" dataDxfId="108"/>
    <tableColumn id="12" xr3:uid="{00000000-0010-0000-0000-00000C000000}" name="Column12" headerRowDxfId="107" dataDxfId="10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19:D31" headerRowCount="0" totalsRowShown="0" headerRowDxfId="105" dataDxfId="103" headerRowBorderDxfId="104" tableBorderDxfId="102" totalsRowBorderDxfId="101">
  <tableColumns count="2">
    <tableColumn id="1" xr3:uid="{00000000-0010-0000-0200-000001000000}" name="Column1" headerRowDxfId="100" dataDxfId="99"/>
    <tableColumn id="2" xr3:uid="{00000000-0010-0000-0200-000002000000}" name="Column2" headerRowDxfId="98" dataDxfId="9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boardiumGlobal" displayName="boardiumGlobal" ref="I19:J31" headerRowCount="0" totalsRowShown="0" headerRowDxfId="96" dataDxfId="94" headerRowBorderDxfId="95" tableBorderDxfId="93" totalsRowBorderDxfId="92">
  <tableColumns count="2">
    <tableColumn id="1" xr3:uid="{00000000-0010-0000-0300-000001000000}" name="Column1" headerRowDxfId="91" dataDxfId="90">
      <calculatedColumnFormula array="1">defaultValue(J19,3)</calculatedColumnFormula>
    </tableColumn>
    <tableColumn id="2" xr3:uid="{00000000-0010-0000-0300-000002000000}" name="Column2" headerRowDxfId="89" dataDxfId="8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19:G31" headerRowCount="0" totalsRowShown="0" headerRowDxfId="87" dataDxfId="85" headerRowBorderDxfId="86" tableBorderDxfId="84" totalsRowBorderDxfId="83">
  <tableColumns count="2">
    <tableColumn id="1" xr3:uid="{CD0B7C1C-6074-4B03-92D4-BC81F2EBB19C}" name="Column1" headerRowDxfId="82" dataDxfId="81">
      <calculatedColumnFormula array="1">defaultValue(G19,1)</calculatedColumnFormula>
    </tableColumn>
    <tableColumn id="2" xr3:uid="{EB8B2C46-B6A3-497A-AC36-E0E0DE2EA54A}" name="Column2" headerRowDxfId="80" dataDxfId="7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O19:P31" headerRowCount="0" totalsRowShown="0" headerRowDxfId="78" dataDxfId="76" headerRowBorderDxfId="77" tableBorderDxfId="75" totalsRowBorderDxfId="74">
  <tableColumns count="2">
    <tableColumn id="1" xr3:uid="{250C44D2-47B1-42C2-8D2B-CAA1432FDA56}" name="Column1" headerRowDxfId="73" dataDxfId="72">
      <calculatedColumnFormula array="1">defaultValue(P19,C18)</calculatedColumnFormula>
    </tableColumn>
    <tableColumn id="2" xr3:uid="{E5D458B6-4695-4151-8C3A-36078280174C}" name="Column2" headerRowDxfId="71" dataDxfId="7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L19:M31" headerRowCount="0" totalsRowShown="0" headerRowDxfId="69" dataDxfId="67" headerRowBorderDxfId="68" tableBorderDxfId="66" totalsRowBorderDxfId="65">
  <tableColumns count="2">
    <tableColumn id="1" xr3:uid="{CDCD5A84-7D20-4E65-9944-DF64AFBDCF15}" name="Column1" headerRowDxfId="64" dataDxfId="63">
      <calculatedColumnFormula>INDEX(global[[#All],[Column1]],MATCH(M19,global[[#All],[Column2]],0))</calculatedColumnFormula>
    </tableColumn>
    <tableColumn id="2" xr3:uid="{6A1D9F36-66CC-4BFA-B363-3C22327FB984}" name="Column2" headerRowDxfId="62" dataDxfId="61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R19:S31" headerRowCount="0" totalsRowShown="0" headerRowDxfId="60" dataDxfId="58" headerRowBorderDxfId="59" tableBorderDxfId="57" totalsRowBorderDxfId="56">
  <tableColumns count="2">
    <tableColumn id="1" xr3:uid="{3DB08154-ACD6-41BF-8D18-EE97F412E9D9}" name="Column1" headerRowDxfId="55" dataDxfId="54">
      <calculatedColumnFormula array="1">defaultValue("دلف المطبخ",1)</calculatedColumnFormula>
    </tableColumn>
    <tableColumn id="2" xr3:uid="{E148ED46-BA14-4105-9B99-1191A0BF50F8}" name="Column2" headerRowDxfId="53" dataDxfId="52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1"/>
  <sheetViews>
    <sheetView zoomScale="55" zoomScaleNormal="55" workbookViewId="0">
      <selection activeCell="H27" sqref="H27"/>
    </sheetView>
  </sheetViews>
  <sheetFormatPr defaultRowHeight="21" customHeight="1" x14ac:dyDescent="0.3"/>
  <cols>
    <col min="1" max="1" width="8.88671875" style="90" customWidth="1"/>
    <col min="2" max="2" width="31.88671875" style="63" customWidth="1"/>
    <col min="3" max="3" width="8.88671875" style="63"/>
    <col min="4" max="4" width="17.6640625" style="63" customWidth="1"/>
    <col min="5" max="6" width="12.5546875" style="63" customWidth="1"/>
    <col min="7" max="7" width="15.77734375" style="63" customWidth="1"/>
    <col min="8" max="8" width="17.109375" style="83" bestFit="1" customWidth="1"/>
    <col min="9" max="10" width="15.77734375" style="63" customWidth="1"/>
    <col min="11" max="11" width="17.109375" style="83" bestFit="1" customWidth="1"/>
    <col min="12" max="13" width="15.77734375" style="63" customWidth="1"/>
    <col min="14" max="14" width="17.109375" style="83" bestFit="1" customWidth="1"/>
    <col min="15" max="16" width="15.77734375" style="63" customWidth="1"/>
    <col min="17" max="17" width="17.109375" style="83" bestFit="1" customWidth="1"/>
    <col min="18" max="19" width="15.77734375" style="63" customWidth="1"/>
    <col min="20" max="20" width="15.77734375" style="83" customWidth="1"/>
    <col min="21" max="22" width="15.77734375" style="63" customWidth="1"/>
    <col min="23" max="23" width="15.77734375" style="83" customWidth="1"/>
    <col min="24" max="28" width="15.77734375" style="63" customWidth="1"/>
    <col min="29" max="16384" width="8.88671875" style="63"/>
  </cols>
  <sheetData>
    <row r="1" spans="1:23" s="90" customFormat="1" ht="21" customHeight="1" x14ac:dyDescent="0.3">
      <c r="H1" s="92"/>
      <c r="K1" s="92"/>
      <c r="N1" s="92"/>
      <c r="Q1" s="92"/>
      <c r="T1" s="92"/>
      <c r="W1" s="92"/>
    </row>
    <row r="2" spans="1:23" s="90" customFormat="1" ht="21" customHeight="1" x14ac:dyDescent="0.3">
      <c r="H2" s="92"/>
      <c r="K2" s="92"/>
      <c r="N2" s="92"/>
      <c r="Q2" s="92"/>
      <c r="T2" s="92"/>
      <c r="W2" s="92"/>
    </row>
    <row r="3" spans="1:23" s="89" customFormat="1" ht="31.2" x14ac:dyDescent="0.3">
      <c r="B3" s="90" t="s">
        <v>179</v>
      </c>
    </row>
    <row r="4" spans="1:23" s="90" customFormat="1" ht="21" customHeight="1" x14ac:dyDescent="0.3">
      <c r="H4" s="92"/>
      <c r="K4" s="92"/>
      <c r="N4" s="92"/>
      <c r="Q4" s="92"/>
      <c r="T4" s="92"/>
      <c r="W4" s="92"/>
    </row>
    <row r="5" spans="1:23" s="90" customFormat="1" ht="21" customHeight="1" x14ac:dyDescent="0.3">
      <c r="H5" s="92"/>
      <c r="K5" s="92"/>
      <c r="N5" s="92"/>
      <c r="Q5" s="92"/>
      <c r="T5" s="92"/>
      <c r="W5" s="92"/>
    </row>
    <row r="6" spans="1:23" s="90" customFormat="1" ht="21" customHeight="1" x14ac:dyDescent="0.3">
      <c r="H6" s="92"/>
      <c r="K6" s="92"/>
      <c r="N6" s="92"/>
      <c r="Q6" s="92"/>
      <c r="T6" s="92"/>
      <c r="W6" s="92"/>
    </row>
    <row r="7" spans="1:23" s="90" customFormat="1" ht="21" customHeight="1" x14ac:dyDescent="0.3">
      <c r="H7" s="92"/>
      <c r="K7" s="92"/>
      <c r="N7" s="92"/>
      <c r="Q7" s="92"/>
      <c r="T7" s="92"/>
      <c r="W7" s="92"/>
    </row>
    <row r="8" spans="1:23" s="90" customFormat="1" ht="21" customHeight="1" x14ac:dyDescent="0.3">
      <c r="H8" s="92"/>
      <c r="K8" s="92"/>
      <c r="N8" s="92"/>
      <c r="Q8" s="92"/>
      <c r="T8" s="92"/>
      <c r="W8" s="92"/>
    </row>
    <row r="9" spans="1:23" s="84" customFormat="1" ht="31.2" x14ac:dyDescent="0.3">
      <c r="A9" s="91"/>
    </row>
    <row r="11" spans="1:23" ht="21" customHeight="1" x14ac:dyDescent="0.3">
      <c r="B11" s="70"/>
      <c r="C11" s="94" t="s">
        <v>111</v>
      </c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6"/>
      <c r="O11" s="84"/>
      <c r="P11" s="83"/>
      <c r="Q11" s="84"/>
      <c r="R11" s="84"/>
      <c r="S11" s="83"/>
    </row>
    <row r="12" spans="1:23" ht="21" customHeight="1" x14ac:dyDescent="0.3">
      <c r="B12"/>
      <c r="C12" s="64"/>
      <c r="D12" s="65" t="s">
        <v>40</v>
      </c>
      <c r="E12" s="65" t="s">
        <v>38</v>
      </c>
      <c r="F12" s="65" t="s">
        <v>37</v>
      </c>
      <c r="G12" s="65" t="s">
        <v>36</v>
      </c>
      <c r="H12" s="65" t="s">
        <v>34</v>
      </c>
      <c r="I12" s="65" t="s">
        <v>104</v>
      </c>
      <c r="J12" s="65" t="s">
        <v>35</v>
      </c>
      <c r="K12" s="65" t="s">
        <v>20</v>
      </c>
      <c r="L12" s="65" t="s">
        <v>39</v>
      </c>
      <c r="M12" s="65" t="s">
        <v>58</v>
      </c>
      <c r="N12" s="66"/>
      <c r="P12" s="83"/>
      <c r="Q12" s="63"/>
      <c r="S12" s="83"/>
    </row>
    <row r="13" spans="1:23" x14ac:dyDescent="0.3">
      <c r="A13" s="54"/>
      <c r="B13"/>
      <c r="C13" s="64"/>
      <c r="D13" s="65">
        <v>4</v>
      </c>
      <c r="E13" s="65">
        <v>4</v>
      </c>
      <c r="F13" s="65">
        <v>4</v>
      </c>
      <c r="G13" s="65">
        <v>4</v>
      </c>
      <c r="H13" s="65">
        <v>6</v>
      </c>
      <c r="I13" s="65">
        <v>2</v>
      </c>
      <c r="J13" s="65">
        <v>2</v>
      </c>
      <c r="K13" s="65">
        <v>2</v>
      </c>
      <c r="L13" s="65">
        <v>2</v>
      </c>
      <c r="M13" s="65">
        <v>2</v>
      </c>
      <c r="N13" s="66" t="s">
        <v>60</v>
      </c>
      <c r="P13" s="83"/>
      <c r="Q13" s="63"/>
      <c r="S13" s="83"/>
    </row>
    <row r="14" spans="1:23" ht="21" customHeight="1" x14ac:dyDescent="0.3">
      <c r="A14" s="51"/>
      <c r="B14"/>
      <c r="C14" s="67"/>
      <c r="D14" s="68">
        <v>3</v>
      </c>
      <c r="E14" s="68">
        <v>3</v>
      </c>
      <c r="F14" s="68">
        <v>3</v>
      </c>
      <c r="G14" s="68">
        <v>3</v>
      </c>
      <c r="H14" s="68">
        <v>5</v>
      </c>
      <c r="I14" s="68">
        <v>1</v>
      </c>
      <c r="J14" s="68">
        <v>1</v>
      </c>
      <c r="K14" s="68">
        <v>1</v>
      </c>
      <c r="L14" s="68">
        <v>1</v>
      </c>
      <c r="M14" s="68">
        <v>1</v>
      </c>
      <c r="N14" s="69" t="s">
        <v>61</v>
      </c>
      <c r="P14" s="83"/>
      <c r="Q14" s="63"/>
      <c r="S14" s="83"/>
    </row>
    <row r="15" spans="1:23" ht="21" customHeight="1" x14ac:dyDescent="0.3">
      <c r="A15" s="51"/>
      <c r="B15"/>
      <c r="D15" s="83"/>
      <c r="G15" s="83"/>
      <c r="H15" s="63"/>
      <c r="J15" s="83"/>
      <c r="K15" s="63"/>
      <c r="M15" s="83"/>
      <c r="N15" s="63"/>
      <c r="P15" s="83"/>
      <c r="Q15" s="63"/>
      <c r="S15" s="83"/>
    </row>
    <row r="16" spans="1:23" ht="21" customHeight="1" x14ac:dyDescent="0.3">
      <c r="A16" s="51"/>
      <c r="B16"/>
      <c r="D16" s="83"/>
      <c r="G16" s="83"/>
      <c r="H16" s="63"/>
      <c r="J16" s="83"/>
      <c r="K16" s="63"/>
      <c r="M16" s="83"/>
      <c r="N16" s="63"/>
      <c r="P16" s="83"/>
      <c r="Q16" s="63"/>
      <c r="S16" s="83"/>
    </row>
    <row r="17" spans="1:19" ht="31.2" x14ac:dyDescent="0.3">
      <c r="A17" s="51"/>
      <c r="B17"/>
      <c r="C17" s="99" t="s">
        <v>173</v>
      </c>
      <c r="D17" s="100"/>
      <c r="E17" s="84"/>
      <c r="F17" s="99" t="s">
        <v>0</v>
      </c>
      <c r="G17" s="100"/>
      <c r="H17" s="84"/>
      <c r="I17" s="99" t="s">
        <v>104</v>
      </c>
      <c r="J17" s="100"/>
      <c r="K17" s="84"/>
      <c r="L17" s="99" t="s">
        <v>43</v>
      </c>
      <c r="M17" s="100"/>
      <c r="N17" s="84"/>
      <c r="O17" s="99" t="s">
        <v>64</v>
      </c>
      <c r="P17" s="100"/>
      <c r="Q17" s="84"/>
      <c r="R17" s="99" t="s">
        <v>103</v>
      </c>
      <c r="S17" s="100"/>
    </row>
    <row r="18" spans="1:19" ht="21" customHeight="1" x14ac:dyDescent="0.3">
      <c r="A18" s="51"/>
      <c r="B18"/>
      <c r="C18" s="97">
        <f ca="1">_xlfn.SHEET("إعدادات")</f>
        <v>1</v>
      </c>
      <c r="D18" s="98"/>
      <c r="F18" s="97">
        <f ca="1">_xlfn.SHEET("وحدات سفلية")</f>
        <v>4</v>
      </c>
      <c r="G18" s="98"/>
      <c r="H18" s="63"/>
      <c r="I18" s="97">
        <f ca="1">_xlfn.SHEET("بورديوم")</f>
        <v>5</v>
      </c>
      <c r="J18" s="98"/>
      <c r="K18" s="63"/>
      <c r="L18" s="97">
        <f ca="1">_xlfn.SHEET("وحدات علوية")</f>
        <v>6</v>
      </c>
      <c r="M18" s="98"/>
      <c r="N18" s="63"/>
      <c r="O18" s="97">
        <f ca="1">_xlfn.SHEET("دواليب")</f>
        <v>7</v>
      </c>
      <c r="P18" s="98"/>
      <c r="Q18" s="63"/>
      <c r="R18" s="97">
        <f ca="1">_xlfn.SHEET("تجاليد")</f>
        <v>8</v>
      </c>
      <c r="S18" s="98"/>
    </row>
    <row r="19" spans="1:19" ht="21" customHeight="1" x14ac:dyDescent="0.3">
      <c r="A19" s="51"/>
      <c r="B19"/>
      <c r="C19" s="71" t="str">
        <f>K12</f>
        <v>HPL</v>
      </c>
      <c r="D19" s="72" t="s">
        <v>31</v>
      </c>
      <c r="F19" s="71" t="str" cm="1">
        <f t="array" aca="1" ref="F19" ca="1">defaultValue(G19,C18)</f>
        <v>HPL</v>
      </c>
      <c r="G19" s="72" t="s">
        <v>31</v>
      </c>
      <c r="H19" s="63"/>
      <c r="I19" s="71" t="str">
        <f>I12</f>
        <v>بورديوم</v>
      </c>
      <c r="J19" s="72" t="s">
        <v>31</v>
      </c>
      <c r="K19" s="63"/>
      <c r="L19" s="71" t="str" cm="1">
        <f t="array" aca="1" ref="L19" ca="1">defaultValue(M19,C18)</f>
        <v>HPL</v>
      </c>
      <c r="M19" s="72" t="s">
        <v>31</v>
      </c>
      <c r="N19" s="63"/>
      <c r="O19" s="71" t="str" cm="1">
        <f t="array" aca="1" ref="O19" ca="1">defaultValue(P19,C18)</f>
        <v>HPL</v>
      </c>
      <c r="P19" s="72" t="s">
        <v>31</v>
      </c>
      <c r="Q19" s="63"/>
      <c r="R19" s="75" t="str" cm="1">
        <f t="array" aca="1" ref="R19" ca="1">defaultValue("دلف المطبخ",C18)</f>
        <v>يوفيلاك</v>
      </c>
      <c r="S19" s="75" t="s">
        <v>9</v>
      </c>
    </row>
    <row r="20" spans="1:19" ht="21" customHeight="1" x14ac:dyDescent="0.3">
      <c r="A20" s="51"/>
      <c r="B20"/>
      <c r="C20" s="73" t="str">
        <f>H12</f>
        <v>يوفيلاك</v>
      </c>
      <c r="D20" s="74" t="s">
        <v>32</v>
      </c>
      <c r="F20" s="73" t="str" cm="1">
        <f t="array" aca="1" ref="F20" ca="1">defaultValue(G20,C18)</f>
        <v>يوفيلاك</v>
      </c>
      <c r="G20" s="74" t="s">
        <v>32</v>
      </c>
      <c r="H20" s="63"/>
      <c r="I20" s="73" t="str" cm="1">
        <f t="array" aca="1" ref="I20" ca="1">defaultValue(J20,F18)</f>
        <v>يوفيلاك</v>
      </c>
      <c r="J20" s="74" t="s">
        <v>32</v>
      </c>
      <c r="K20" s="63"/>
      <c r="L20" s="73" t="str" cm="1">
        <f t="array" aca="1" ref="L20" ca="1">defaultValue(M20,C18)</f>
        <v>يوفيلاك</v>
      </c>
      <c r="M20" s="74" t="s">
        <v>32</v>
      </c>
      <c r="N20" s="63"/>
      <c r="O20" s="73" t="str" cm="1">
        <f t="array" aca="1" ref="O20" ca="1">defaultValue(P20,C18)</f>
        <v>يوفيلاك</v>
      </c>
      <c r="P20" s="74" t="s">
        <v>32</v>
      </c>
      <c r="Q20" s="63"/>
      <c r="R20" s="79" t="e" cm="1">
        <f t="array" ref="R20">defaultValue(S20,1)</f>
        <v>#N/A</v>
      </c>
      <c r="S20" s="81"/>
    </row>
    <row r="21" spans="1:19" ht="21" customHeight="1" x14ac:dyDescent="0.3">
      <c r="A21" s="51"/>
      <c r="B21"/>
      <c r="C21" s="76" t="str">
        <f>M12</f>
        <v>ظهر</v>
      </c>
      <c r="D21" s="77" t="s">
        <v>58</v>
      </c>
      <c r="F21" s="76" t="str" cm="1">
        <f t="array" aca="1" ref="F21" ca="1">defaultValue(G21,C18)</f>
        <v>ظهر</v>
      </c>
      <c r="G21" s="77" t="s">
        <v>58</v>
      </c>
      <c r="H21" s="63"/>
      <c r="I21" s="76" t="str" cm="1">
        <f t="array" aca="1" ref="I21" ca="1">defaultValue(J21,F18)</f>
        <v>ظهر</v>
      </c>
      <c r="J21" s="77" t="s">
        <v>58</v>
      </c>
      <c r="K21" s="63"/>
      <c r="L21" s="87" t="str" cm="1">
        <f t="array" aca="1" ref="L21" ca="1">defaultValue(M21,C18)</f>
        <v>ظهر</v>
      </c>
      <c r="M21" s="88" t="s">
        <v>58</v>
      </c>
      <c r="N21" s="63"/>
      <c r="O21" s="87" t="str" cm="1">
        <f t="array" aca="1" ref="O21" ca="1">defaultValue(P21,C18)</f>
        <v>ظهر</v>
      </c>
      <c r="P21" s="88" t="s">
        <v>58</v>
      </c>
      <c r="Q21" s="63"/>
      <c r="R21" s="79" t="e" cm="1">
        <f t="array" ref="R21">defaultValue(S21,1)</f>
        <v>#N/A</v>
      </c>
      <c r="S21" s="81"/>
    </row>
    <row r="22" spans="1:19" ht="21" customHeight="1" x14ac:dyDescent="0.3">
      <c r="A22" s="51"/>
      <c r="B22"/>
      <c r="C22" s="79">
        <v>45</v>
      </c>
      <c r="D22" s="81" t="s">
        <v>19</v>
      </c>
      <c r="F22" s="79">
        <v>56</v>
      </c>
      <c r="G22" s="81" t="s">
        <v>113</v>
      </c>
      <c r="H22" s="78"/>
      <c r="I22" s="79" cm="1">
        <f t="array" aca="1" ref="I22" ca="1">defaultValue(J22,F18)</f>
        <v>56</v>
      </c>
      <c r="J22" s="81" t="s">
        <v>113</v>
      </c>
      <c r="K22" s="63"/>
      <c r="L22" s="79">
        <v>30</v>
      </c>
      <c r="M22" s="81" t="s">
        <v>113</v>
      </c>
      <c r="N22" s="63"/>
      <c r="O22" s="79" t="e" cm="1">
        <f t="array" ref="O22">defaultValue(P22,C21)</f>
        <v>#VALUE!</v>
      </c>
      <c r="P22" s="81"/>
      <c r="Q22" s="63"/>
      <c r="R22" s="79" t="e" cm="1">
        <f t="array" ref="R22">defaultValue(S22,1)</f>
        <v>#N/A</v>
      </c>
      <c r="S22" s="81"/>
    </row>
    <row r="23" spans="1:19" ht="21" customHeight="1" x14ac:dyDescent="0.3">
      <c r="A23" s="51"/>
      <c r="B23"/>
      <c r="C23" s="80">
        <v>3.5</v>
      </c>
      <c r="D23" s="82" t="s">
        <v>16</v>
      </c>
      <c r="F23" s="79">
        <v>78</v>
      </c>
      <c r="G23" s="81" t="s">
        <v>3</v>
      </c>
      <c r="H23" s="63"/>
      <c r="I23" s="79" cm="1">
        <f t="array" aca="1" ref="I23" ca="1">defaultValue(J23,F18)</f>
        <v>78</v>
      </c>
      <c r="J23" s="81" t="s">
        <v>3</v>
      </c>
      <c r="K23" s="63"/>
      <c r="L23" s="79">
        <v>70</v>
      </c>
      <c r="M23" s="81" t="s">
        <v>3</v>
      </c>
      <c r="N23" s="63"/>
      <c r="O23" s="79" t="e" cm="1">
        <f t="array" ref="O23">defaultValue(P23,C22)</f>
        <v>#VALUE!</v>
      </c>
      <c r="P23" s="81"/>
      <c r="Q23" s="63"/>
      <c r="R23" s="79" t="e" cm="1">
        <f t="array" ref="R23">defaultValue(S23,1)</f>
        <v>#N/A</v>
      </c>
      <c r="S23" s="81"/>
    </row>
    <row r="24" spans="1:19" ht="21" customHeight="1" x14ac:dyDescent="0.3">
      <c r="A24" s="51"/>
      <c r="B24"/>
      <c r="C24" s="85" t="b">
        <v>1</v>
      </c>
      <c r="D24" s="81" t="s">
        <v>114</v>
      </c>
      <c r="F24" s="79" cm="1">
        <f t="array" aca="1" ref="F24" ca="1">defaultValue(G24,C18)</f>
        <v>45</v>
      </c>
      <c r="G24" s="81" t="s">
        <v>19</v>
      </c>
      <c r="H24" s="63"/>
      <c r="I24" s="79" cm="1">
        <f t="array" aca="1" ref="I24" ca="1">defaultValue(J24,F18)</f>
        <v>45</v>
      </c>
      <c r="J24" s="81" t="s">
        <v>19</v>
      </c>
      <c r="K24" s="63"/>
      <c r="L24" s="79" cm="1">
        <f t="array" ref="L24">defaultValue(M24,1)</f>
        <v>45</v>
      </c>
      <c r="M24" s="81" t="s">
        <v>19</v>
      </c>
      <c r="N24" s="63"/>
      <c r="O24" s="79" t="e" cm="1">
        <f t="array" ref="O24">defaultValue(P24,C23)</f>
        <v>#N/A</v>
      </c>
      <c r="P24" s="81"/>
      <c r="Q24" s="63"/>
      <c r="R24" s="79" t="e" cm="1">
        <f t="array" ref="R24">defaultValue(S24,1)</f>
        <v>#N/A</v>
      </c>
      <c r="S24" s="81"/>
    </row>
    <row r="25" spans="1:19" ht="21" customHeight="1" x14ac:dyDescent="0.3">
      <c r="A25" s="51"/>
      <c r="B25"/>
      <c r="C25" s="85"/>
      <c r="D25" s="81"/>
      <c r="F25" s="79" cm="1">
        <f t="array" aca="1" ref="F25" ca="1">defaultValue(G25,C18)</f>
        <v>3.5</v>
      </c>
      <c r="G25" s="81" t="s">
        <v>16</v>
      </c>
      <c r="H25" s="63"/>
      <c r="I25" s="79" cm="1">
        <f t="array" aca="1" ref="I25" ca="1">defaultValue(J25,F18)</f>
        <v>3.5</v>
      </c>
      <c r="J25" s="81" t="s">
        <v>16</v>
      </c>
      <c r="K25" s="63"/>
      <c r="L25" s="79" cm="1">
        <f t="array" ref="L25">defaultValue(M25,1)</f>
        <v>3.5</v>
      </c>
      <c r="M25" s="81" t="s">
        <v>16</v>
      </c>
      <c r="N25" s="63"/>
      <c r="O25" s="79" t="e" cm="1">
        <f t="array" ref="O25">defaultValue(P25,C24)</f>
        <v>#VALUE!</v>
      </c>
      <c r="P25" s="81"/>
      <c r="Q25" s="63"/>
      <c r="R25" s="79" t="e" cm="1">
        <f t="array" ref="R25">defaultValue(S25,1)</f>
        <v>#N/A</v>
      </c>
      <c r="S25" s="81"/>
    </row>
    <row r="26" spans="1:19" ht="21" customHeight="1" x14ac:dyDescent="0.3">
      <c r="A26" s="51"/>
      <c r="B26"/>
      <c r="C26" s="85"/>
      <c r="D26" s="81"/>
      <c r="F26" s="79" t="b" cm="1">
        <f t="array" aca="1" ref="F26" ca="1">defaultValue(G26,C18)</f>
        <v>1</v>
      </c>
      <c r="G26" s="81" t="s">
        <v>114</v>
      </c>
      <c r="H26" s="63"/>
      <c r="I26" s="79" t="b" cm="1">
        <f t="array" aca="1" ref="I26" ca="1">defaultValue(J26,F18)</f>
        <v>1</v>
      </c>
      <c r="J26" s="81" t="s">
        <v>114</v>
      </c>
      <c r="K26" s="63"/>
      <c r="L26" s="79">
        <v>0</v>
      </c>
      <c r="M26" s="81" t="s">
        <v>115</v>
      </c>
      <c r="N26" s="63"/>
      <c r="O26" s="79" t="e" cm="1">
        <f t="array" ref="O26">defaultValue(P26,C25)</f>
        <v>#VALUE!</v>
      </c>
      <c r="P26" s="81"/>
      <c r="Q26" s="63"/>
      <c r="R26" s="79" t="e" cm="1">
        <f t="array" ref="R26">defaultValue(S26,1)</f>
        <v>#N/A</v>
      </c>
      <c r="S26" s="82"/>
    </row>
    <row r="27" spans="1:19" ht="21" customHeight="1" x14ac:dyDescent="0.3">
      <c r="A27" s="51"/>
      <c r="B27"/>
      <c r="C27" s="86"/>
      <c r="D27" s="82"/>
      <c r="F27" s="80" t="e" cm="1">
        <f t="array" ref="F27">defaultValue(G27,1)</f>
        <v>#N/A</v>
      </c>
      <c r="G27" s="82"/>
      <c r="H27" s="63"/>
      <c r="I27" s="80" t="e" cm="1">
        <f t="array" ref="I27">defaultValue(J27,3)</f>
        <v>#VALUE!</v>
      </c>
      <c r="J27" s="82"/>
      <c r="K27" s="63"/>
      <c r="L27" s="80" t="e" cm="1">
        <f t="array" ref="L27">defaultValue(M27,1)</f>
        <v>#N/A</v>
      </c>
      <c r="M27" s="82"/>
      <c r="N27" s="63"/>
      <c r="O27" s="80" t="e" cm="1">
        <f t="array" ref="O27">defaultValue(P27,C26)</f>
        <v>#VALUE!</v>
      </c>
      <c r="P27" s="82"/>
      <c r="Q27" s="63"/>
      <c r="R27" s="79" t="e" cm="1">
        <f t="array" ref="R27">defaultValue(S27,1)</f>
        <v>#N/A</v>
      </c>
      <c r="S27" s="81"/>
    </row>
    <row r="28" spans="1:19" ht="21" customHeight="1" x14ac:dyDescent="0.3">
      <c r="A28" s="51"/>
      <c r="B28"/>
      <c r="C28" s="85"/>
      <c r="D28" s="81"/>
      <c r="F28" s="79" t="e" cm="1">
        <f t="array" ref="F28">defaultValue(G28,1)</f>
        <v>#N/A</v>
      </c>
      <c r="G28" s="81"/>
      <c r="H28" s="63"/>
      <c r="I28" s="79" t="e" cm="1">
        <f t="array" ref="I28">defaultValue(J28,3)</f>
        <v>#VALUE!</v>
      </c>
      <c r="J28" s="81"/>
      <c r="K28" s="63"/>
      <c r="L28" s="79" t="e" cm="1">
        <f t="array" ref="L28">defaultValue(M28,1)</f>
        <v>#N/A</v>
      </c>
      <c r="M28" s="81"/>
      <c r="N28" s="63"/>
      <c r="O28" s="79" t="e" cm="1">
        <f t="array" ref="O28">defaultValue(P28,C27)</f>
        <v>#VALUE!</v>
      </c>
      <c r="P28" s="81"/>
      <c r="Q28" s="63"/>
      <c r="R28" s="79" t="e" cm="1">
        <f t="array" ref="R28">defaultValue(S28,1)</f>
        <v>#N/A</v>
      </c>
      <c r="S28" s="81"/>
    </row>
    <row r="29" spans="1:19" ht="21" customHeight="1" x14ac:dyDescent="0.3">
      <c r="A29" s="51"/>
      <c r="B29"/>
      <c r="C29" s="85"/>
      <c r="D29" s="81"/>
      <c r="F29" s="79" t="e" cm="1">
        <f t="array" ref="F29">defaultValue(G29,1)</f>
        <v>#N/A</v>
      </c>
      <c r="G29" s="81"/>
      <c r="H29" s="63"/>
      <c r="I29" s="79" t="e" cm="1">
        <f t="array" ref="I29">defaultValue(J29,3)</f>
        <v>#VALUE!</v>
      </c>
      <c r="J29" s="81"/>
      <c r="K29" s="63"/>
      <c r="L29" s="79" t="e" cm="1">
        <f t="array" ref="L29">defaultValue(M29,1)</f>
        <v>#N/A</v>
      </c>
      <c r="M29" s="81"/>
      <c r="N29" s="63"/>
      <c r="O29" s="79" t="e" cm="1">
        <f t="array" ref="O29">defaultValue(P29,C28)</f>
        <v>#VALUE!</v>
      </c>
      <c r="P29" s="81"/>
      <c r="Q29" s="63"/>
      <c r="R29" s="79" t="e" cm="1">
        <f t="array" ref="R29">defaultValue(S29,1)</f>
        <v>#N/A</v>
      </c>
      <c r="S29" s="81"/>
    </row>
    <row r="30" spans="1:19" ht="21" customHeight="1" x14ac:dyDescent="0.3">
      <c r="A30" s="51"/>
      <c r="B30"/>
      <c r="C30" s="85"/>
      <c r="D30" s="81"/>
      <c r="F30" s="79" t="e" cm="1">
        <f t="array" ref="F30">defaultValue(G30,1)</f>
        <v>#N/A</v>
      </c>
      <c r="G30" s="81"/>
      <c r="H30" s="63"/>
      <c r="I30" s="79" t="e" cm="1">
        <f t="array" ref="I30">defaultValue(J30,3)</f>
        <v>#VALUE!</v>
      </c>
      <c r="J30" s="81"/>
      <c r="K30" s="63"/>
      <c r="L30" s="79" t="e" cm="1">
        <f t="array" ref="L30">defaultValue(M30,1)</f>
        <v>#N/A</v>
      </c>
      <c r="M30" s="81"/>
      <c r="N30" s="63"/>
      <c r="O30" s="79" t="e" cm="1">
        <f t="array" ref="O30">defaultValue(P30,C29)</f>
        <v>#VALUE!</v>
      </c>
      <c r="P30" s="81"/>
      <c r="Q30" s="63"/>
      <c r="R30" s="79" t="e" cm="1">
        <f t="array" ref="R30">defaultValue(S30,1)</f>
        <v>#N/A</v>
      </c>
      <c r="S30" s="82"/>
    </row>
    <row r="31" spans="1:19" ht="21" customHeight="1" x14ac:dyDescent="0.3">
      <c r="C31" s="86"/>
      <c r="D31" s="82"/>
      <c r="F31" s="80" t="e" cm="1">
        <f t="array" ref="F31">defaultValue(G31,1)</f>
        <v>#N/A</v>
      </c>
      <c r="G31" s="82"/>
      <c r="H31" s="63"/>
      <c r="I31" s="79" t="e" cm="1">
        <f t="array" ref="I31">defaultValue(J31,3)</f>
        <v>#VALUE!</v>
      </c>
      <c r="J31" s="82"/>
      <c r="K31" s="63"/>
      <c r="L31" s="79" t="e" cm="1">
        <f t="array" ref="L31">defaultValue(M31,1)</f>
        <v>#N/A</v>
      </c>
      <c r="M31" s="82"/>
      <c r="N31" s="63"/>
      <c r="O31" s="79" t="e" cm="1">
        <f t="array" ref="O31">defaultValue(P31,C30)</f>
        <v>#VALUE!</v>
      </c>
      <c r="P31" s="82"/>
      <c r="Q31" s="63"/>
      <c r="R31" s="79" t="e" cm="1">
        <f t="array" ref="R31">defaultValue(S31,1)</f>
        <v>#N/A</v>
      </c>
      <c r="S31" s="82"/>
    </row>
  </sheetData>
  <mergeCells count="13">
    <mergeCell ref="C11:N11"/>
    <mergeCell ref="O18:P18"/>
    <mergeCell ref="R18:S18"/>
    <mergeCell ref="C17:D17"/>
    <mergeCell ref="C18:D18"/>
    <mergeCell ref="F18:G18"/>
    <mergeCell ref="I18:J18"/>
    <mergeCell ref="L18:M18"/>
    <mergeCell ref="F17:G17"/>
    <mergeCell ref="I17:J17"/>
    <mergeCell ref="L17:M17"/>
    <mergeCell ref="O17:P17"/>
    <mergeCell ref="R17:S17"/>
  </mergeCells>
  <phoneticPr fontId="10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BJ67"/>
  <sheetViews>
    <sheetView tabSelected="1" zoomScale="85" zoomScaleNormal="85" workbookViewId="0">
      <pane ySplit="8" topLeftCell="A48" activePane="bottomLeft" state="frozen"/>
      <selection pane="bottomLeft" activeCell="H22" sqref="H22"/>
    </sheetView>
  </sheetViews>
  <sheetFormatPr defaultRowHeight="14.4" x14ac:dyDescent="0.3"/>
  <cols>
    <col min="1" max="1" width="8.88671875" style="34" customWidth="1"/>
    <col min="2" max="2" width="21.21875" style="1" customWidth="1"/>
    <col min="3" max="3" width="10.77734375" style="1" customWidth="1"/>
    <col min="4" max="4" width="14" style="1" customWidth="1"/>
    <col min="5" max="5" width="12.6640625" style="1" customWidth="1"/>
    <col min="6" max="6" width="10.664062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62" s="34" customFormat="1" x14ac:dyDescent="0.3">
      <c r="B1" s="34">
        <v>3</v>
      </c>
    </row>
    <row r="2" spans="1:62" s="34" customFormat="1" x14ac:dyDescent="0.3">
      <c r="B2" s="34" t="s">
        <v>180</v>
      </c>
    </row>
    <row r="3" spans="1:62" s="34" customFormat="1" x14ac:dyDescent="0.3">
      <c r="B3" s="34" t="s">
        <v>179</v>
      </c>
    </row>
    <row r="4" spans="1:62" s="34" customFormat="1" x14ac:dyDescent="0.3"/>
    <row r="5" spans="1:62" s="34" customFormat="1" x14ac:dyDescent="0.3"/>
    <row r="6" spans="1:62" s="34" customFormat="1" x14ac:dyDescent="0.3"/>
    <row r="7" spans="1:62" s="34" customFormat="1" x14ac:dyDescent="0.3"/>
    <row r="8" spans="1:62" s="34" customFormat="1" x14ac:dyDescent="0.3"/>
    <row r="9" spans="1:62" x14ac:dyDescent="0.3">
      <c r="A9" s="40"/>
    </row>
    <row r="13" spans="1:62" ht="34.799999999999997" customHeight="1" x14ac:dyDescent="0.3">
      <c r="A13" s="54" t="s">
        <v>155</v>
      </c>
      <c r="B13" s="15"/>
      <c r="C13" s="14">
        <v>1</v>
      </c>
      <c r="D13" s="22" t="s">
        <v>59</v>
      </c>
      <c r="E13" s="101" t="s">
        <v>181</v>
      </c>
      <c r="F13" s="102"/>
      <c r="G13" s="102"/>
      <c r="H13" s="103"/>
      <c r="I13" s="2" t="s">
        <v>30</v>
      </c>
      <c r="J13" s="2">
        <f>letterToNumber(A13)</f>
        <v>1</v>
      </c>
      <c r="K13" s="27">
        <f ca="1">_xlfn.SHEET("نماذج")</f>
        <v>2</v>
      </c>
      <c r="BB13"/>
      <c r="BC13"/>
      <c r="BD13"/>
      <c r="BE13"/>
      <c r="BF13"/>
      <c r="BG13"/>
      <c r="BH13"/>
      <c r="BI13"/>
      <c r="BJ13"/>
    </row>
    <row r="14" spans="1:62" ht="21" x14ac:dyDescent="0.3">
      <c r="A14" s="51">
        <v>1</v>
      </c>
      <c r="B14" s="15"/>
      <c r="C14" s="8"/>
      <c r="D14" s="7"/>
      <c r="E14" s="27" t="str" cm="1">
        <f t="array" aca="1" ref="E14" ca="1">defaultValue(F14,K13)</f>
        <v>ظهر</v>
      </c>
      <c r="F14" s="7" t="s">
        <v>58</v>
      </c>
      <c r="G14" s="27" t="str" cm="1">
        <f t="array" aca="1" ref="G14" ca="1">defaultValue(H14,K13)</f>
        <v>يوفيلاك</v>
      </c>
      <c r="H14" s="7" t="s">
        <v>32</v>
      </c>
      <c r="I14" s="27" t="str" cm="1">
        <f t="array" aca="1" ref="I14" ca="1">defaultValue(J14,K13)</f>
        <v>HPL</v>
      </c>
      <c r="J14" s="7" t="s">
        <v>31</v>
      </c>
      <c r="K14" s="25" t="s">
        <v>111</v>
      </c>
      <c r="BB14"/>
      <c r="BC14"/>
      <c r="BD14"/>
      <c r="BE14"/>
      <c r="BF14"/>
      <c r="BG14"/>
      <c r="BH14"/>
      <c r="BI14"/>
      <c r="BJ14"/>
    </row>
    <row r="15" spans="1:62" ht="15.6" x14ac:dyDescent="0.3">
      <c r="A15" s="51">
        <v>1</v>
      </c>
      <c r="B15" s="15"/>
      <c r="C15" s="7"/>
      <c r="D15" s="18"/>
      <c r="E15" s="7"/>
      <c r="F15" s="7"/>
      <c r="G15" s="7" t="s">
        <v>16</v>
      </c>
      <c r="H15" s="7" t="s">
        <v>22</v>
      </c>
      <c r="I15" s="7" t="s">
        <v>3</v>
      </c>
      <c r="J15" s="7" t="s">
        <v>113</v>
      </c>
      <c r="K15" s="7"/>
      <c r="BB15"/>
      <c r="BC15"/>
      <c r="BD15"/>
      <c r="BE15"/>
      <c r="BF15"/>
      <c r="BG15"/>
      <c r="BH15"/>
      <c r="BI15"/>
      <c r="BJ15"/>
    </row>
    <row r="16" spans="1:62" ht="15.6" x14ac:dyDescent="0.3">
      <c r="A16" s="51">
        <v>1</v>
      </c>
      <c r="B16" s="15"/>
      <c r="C16" s="8"/>
      <c r="D16" s="8"/>
      <c r="E16" s="27"/>
      <c r="F16" s="7"/>
      <c r="G16" s="27" cm="1">
        <f t="array" aca="1" ref="G16" ca="1">defaultValue(G15,K13)</f>
        <v>3.5</v>
      </c>
      <c r="H16" s="8"/>
      <c r="I16" s="27"/>
      <c r="J16" s="27"/>
      <c r="K16" s="7"/>
      <c r="BB16"/>
      <c r="BC16"/>
      <c r="BD16"/>
      <c r="BE16"/>
      <c r="BF16"/>
      <c r="BG16"/>
      <c r="BH16"/>
      <c r="BI16"/>
      <c r="BJ16"/>
    </row>
    <row r="17" spans="1:62" ht="15.6" x14ac:dyDescent="0.3">
      <c r="A17" s="51">
        <v>0</v>
      </c>
      <c r="B17" s="15"/>
      <c r="C17" s="3"/>
      <c r="D17" s="3"/>
      <c r="E17" s="3"/>
      <c r="F17" s="3"/>
      <c r="G17" s="3"/>
      <c r="H17" s="3"/>
      <c r="I17" s="3"/>
      <c r="J17" s="3"/>
      <c r="K17" s="3"/>
      <c r="BB17"/>
      <c r="BC17"/>
      <c r="BD17"/>
      <c r="BE17"/>
      <c r="BF17"/>
      <c r="BG17"/>
      <c r="BH17"/>
      <c r="BI17"/>
      <c r="BJ17"/>
    </row>
    <row r="18" spans="1:62" ht="15.6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33</v>
      </c>
      <c r="J18" s="6" t="s">
        <v>8</v>
      </c>
      <c r="K18" s="6" t="s">
        <v>185</v>
      </c>
      <c r="BB18"/>
      <c r="BC18"/>
      <c r="BD18"/>
      <c r="BE18"/>
      <c r="BF18"/>
      <c r="BG18"/>
      <c r="BH18"/>
      <c r="BI18"/>
      <c r="BJ18"/>
    </row>
    <row r="19" spans="1:62" ht="15.6" x14ac:dyDescent="0.3">
      <c r="A19" s="51">
        <v>0</v>
      </c>
      <c r="B19" s="15"/>
      <c r="K19" s="3"/>
      <c r="BB19"/>
      <c r="BC19"/>
      <c r="BD19"/>
      <c r="BE19"/>
      <c r="BF19"/>
      <c r="BG19"/>
      <c r="BH19"/>
      <c r="BI19"/>
      <c r="BJ19"/>
    </row>
    <row r="20" spans="1:62" ht="15.6" x14ac:dyDescent="0.3">
      <c r="A20" s="51">
        <v>3</v>
      </c>
      <c r="B20" s="15" t="str" cm="1">
        <f t="array" ref="B20">visible(E13, K20)</f>
        <v>وحدة عادية</v>
      </c>
      <c r="C20" s="6" cm="1">
        <f t="array" ref="C20">visible((1),K20)</f>
        <v>1</v>
      </c>
      <c r="D20" s="6" t="str" cm="1">
        <f t="array" aca="1" ref="D20" ca="1">visible((I14),K20)</f>
        <v>HPL</v>
      </c>
      <c r="E20" s="6" t="str" cm="1">
        <f t="array" ref="E20">visible(("replace me"),K20)</f>
        <v>replace me</v>
      </c>
      <c r="F20" s="6" t="str" cm="1">
        <f t="array" ref="F20">visible(("replace me"),K20)</f>
        <v>replace me</v>
      </c>
      <c r="G20" s="6" t="str" cm="1">
        <f t="array" ref="G20">visible(("replace me"),K20)</f>
        <v>replace me</v>
      </c>
      <c r="H20" s="6" t="str" cm="1">
        <f t="array" ref="H20">visible(("replace me"),K20)</f>
        <v>replace me</v>
      </c>
      <c r="I20" s="6" cm="1">
        <f t="array" aca="1" ref="I20" ca="1">visible(materialNum(D20),K20)</f>
        <v>2</v>
      </c>
      <c r="J20" s="6" t="str" cm="1">
        <f t="array" ref="J20">visible((""),K20)</f>
        <v/>
      </c>
      <c r="K20" s="6" t="b">
        <v>1</v>
      </c>
      <c r="BB20"/>
      <c r="BC20"/>
      <c r="BD20"/>
      <c r="BE20"/>
      <c r="BF20"/>
      <c r="BG20"/>
      <c r="BH20"/>
      <c r="BI20"/>
      <c r="BJ20"/>
    </row>
    <row r="21" spans="1:62" ht="15.6" x14ac:dyDescent="0.3">
      <c r="A21" s="51">
        <v>3</v>
      </c>
      <c r="B21" s="15" t="str" cm="1">
        <f t="array" ref="B21">visible(E13, K21)</f>
        <v>وحدة عادية</v>
      </c>
      <c r="C21" s="6" cm="1">
        <f t="array" ref="C21">visible(2,K21)</f>
        <v>2</v>
      </c>
      <c r="D21" s="6" t="str" cm="1">
        <f t="array" aca="1" ref="D21" ca="1">visible((I14),K21)</f>
        <v>HPL</v>
      </c>
      <c r="E21" s="6" t="str" cm="1">
        <f t="array" ref="E21">visible(("replace me"),K21)</f>
        <v>replace me</v>
      </c>
      <c r="F21" s="6" t="str" cm="1">
        <f t="array" ref="F21">visible(("replace me"),K21)</f>
        <v>replace me</v>
      </c>
      <c r="G21" s="6" t="str" cm="1">
        <f t="array" ref="G21">visible(("replace me"),K21)</f>
        <v>replace me</v>
      </c>
      <c r="H21" s="6" t="str" cm="1">
        <f t="array" ref="H21">visible(("replace me"),K21)</f>
        <v>replace me</v>
      </c>
      <c r="I21" s="6" cm="1">
        <f t="array" aca="1" ref="I21" ca="1">visible(materialNum(D21),K21)</f>
        <v>2</v>
      </c>
      <c r="J21" s="6" t="str" cm="1">
        <f t="array" ref="J21">visible((""),K21)</f>
        <v/>
      </c>
      <c r="K21" s="6" t="b">
        <v>1</v>
      </c>
      <c r="BB21"/>
      <c r="BC21"/>
      <c r="BD21"/>
      <c r="BE21"/>
      <c r="BF21"/>
      <c r="BG21"/>
      <c r="BH21"/>
      <c r="BI21"/>
      <c r="BJ21"/>
    </row>
    <row r="22" spans="1:62" ht="15.6" x14ac:dyDescent="0.3">
      <c r="A22" s="51">
        <v>3</v>
      </c>
      <c r="B22" s="15" t="str" cm="1">
        <f t="array" ref="B22">visible(E13, K22)</f>
        <v>وحدة عادية</v>
      </c>
      <c r="C22" s="6" cm="1">
        <f t="array" ref="C22">visible(3,K22)</f>
        <v>3</v>
      </c>
      <c r="D22" s="6" t="str" cm="1">
        <f t="array" aca="1" ref="D22" ca="1">visible((I14),K22)</f>
        <v>HPL</v>
      </c>
      <c r="E22" s="6" t="str" cm="1">
        <f t="array" ref="E22">visible(("replace me"),K22)</f>
        <v>replace me</v>
      </c>
      <c r="F22" s="6" t="str" cm="1">
        <f t="array" ref="F22">visible(("replace me"),K22)</f>
        <v>replace me</v>
      </c>
      <c r="G22" s="6" t="str" cm="1">
        <f t="array" ref="G22">visible(("replace me"),K22)</f>
        <v>replace me</v>
      </c>
      <c r="H22" s="6" t="str" cm="1">
        <f t="array" ref="H22">visible(("replace me"),K22)</f>
        <v>replace me</v>
      </c>
      <c r="I22" s="6" cm="1">
        <f t="array" aca="1" ref="I22" ca="1">visible(materialNum(D22),K22)</f>
        <v>2</v>
      </c>
      <c r="J22" s="6" t="str" cm="1">
        <f t="array" ref="J22">visible((""),K22)</f>
        <v/>
      </c>
      <c r="K22" s="6" t="b">
        <v>1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51">
        <v>3</v>
      </c>
      <c r="B23" s="15" t="str" cm="1">
        <f t="array" ref="B23">visible(E13, K23)</f>
        <v>وحدة عادية</v>
      </c>
      <c r="C23" s="6" cm="1">
        <f t="array" ref="C23">visible(4,K23)</f>
        <v>4</v>
      </c>
      <c r="D23" s="6" t="str" cm="1">
        <f t="array" aca="1" ref="D23" ca="1">visible((I14),K23)</f>
        <v>HPL</v>
      </c>
      <c r="E23" s="6" t="str" cm="1">
        <f t="array" ref="E23">visible(("replace me"),K23)</f>
        <v>replace me</v>
      </c>
      <c r="F23" s="6" t="str" cm="1">
        <f t="array" ref="F23">visible(("replace me"),K23)</f>
        <v>replace me</v>
      </c>
      <c r="G23" s="6" t="str" cm="1">
        <f t="array" ref="G23">visible(("replace me"),K23)</f>
        <v>replace me</v>
      </c>
      <c r="H23" s="6" t="str" cm="1">
        <f t="array" ref="H23">visible(("replace me"),K23)</f>
        <v>replace me</v>
      </c>
      <c r="I23" s="6" cm="1">
        <f t="array" aca="1" ref="I23" ca="1">visible(materialNum(D23),K23)</f>
        <v>2</v>
      </c>
      <c r="J23" s="6" t="str" cm="1">
        <f t="array" ref="J23">visible((""),K23)</f>
        <v/>
      </c>
      <c r="K23" s="6" t="b">
        <v>1</v>
      </c>
      <c r="BB23"/>
      <c r="BC23"/>
      <c r="BD23"/>
      <c r="BE23"/>
      <c r="BF23"/>
      <c r="BG23"/>
      <c r="BH23"/>
      <c r="BI23"/>
      <c r="BJ23"/>
    </row>
    <row r="24" spans="1:62" ht="15.6" x14ac:dyDescent="0.3">
      <c r="A24" s="51">
        <v>0</v>
      </c>
      <c r="B24" s="15"/>
      <c r="K24" s="3"/>
      <c r="BB24"/>
      <c r="BC24"/>
      <c r="BD24"/>
      <c r="BE24"/>
      <c r="BF24"/>
      <c r="BG24"/>
      <c r="BH24"/>
      <c r="BI24"/>
      <c r="BJ24"/>
    </row>
    <row r="25" spans="1:62" ht="15.6" x14ac:dyDescent="0.3">
      <c r="A25" s="51">
        <v>4</v>
      </c>
      <c r="B25" s="15" t="str" cm="1">
        <f t="array" ref="B25">visible(E13, K25)</f>
        <v>وحدة عادية</v>
      </c>
      <c r="C25" s="9" cm="1">
        <f t="array" ref="C25">visible(5,K25)</f>
        <v>5</v>
      </c>
      <c r="D25" s="9" t="str" cm="1">
        <f t="array" aca="1" ref="D25" ca="1">visible((G14),K25)</f>
        <v>يوفيلاك</v>
      </c>
      <c r="E25" s="9" t="str" cm="1">
        <f t="array" ref="E25">visible(("replace me"),K25)</f>
        <v>replace me</v>
      </c>
      <c r="F25" s="9" t="str" cm="1">
        <f t="array" ref="F25">visible(("replace me"),K25)</f>
        <v>replace me</v>
      </c>
      <c r="G25" s="9" t="str" cm="1">
        <f t="array" ref="G25">visible(("replace me"),K25)</f>
        <v>replace me</v>
      </c>
      <c r="H25" s="9" t="str" cm="1">
        <f t="array" ref="H25">visible(("replace me"),K25)</f>
        <v>replace me</v>
      </c>
      <c r="I25" s="9" cm="1">
        <f t="array" aca="1" ref="I25" ca="1">visible(materialNum(D25),K25)</f>
        <v>6</v>
      </c>
      <c r="J25" s="9" t="str" cm="1">
        <f t="array" ref="J25">visible((""),K25)</f>
        <v/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51">
        <v>4</v>
      </c>
      <c r="B26" s="15" t="str" cm="1">
        <f t="array" ref="B26">visible(E13, K26)</f>
        <v>وحدة عادية</v>
      </c>
      <c r="C26" s="9" cm="1">
        <f t="array" ref="C26">visible(6,K26)</f>
        <v>6</v>
      </c>
      <c r="D26" s="9" t="str" cm="1">
        <f t="array" aca="1" ref="D26" ca="1">visible((G14),K26)</f>
        <v>يوفيلاك</v>
      </c>
      <c r="E26" s="9" t="str" cm="1">
        <f t="array" ref="E26">visible(("replace me"),K26)</f>
        <v>replace me</v>
      </c>
      <c r="F26" s="9" t="str" cm="1">
        <f t="array" ref="F26">visible(("replace me"),K26)</f>
        <v>replace me</v>
      </c>
      <c r="G26" s="9" t="str" cm="1">
        <f t="array" ref="G26">visible(("replace me"),K26)</f>
        <v>replace me</v>
      </c>
      <c r="H26" s="9" t="str" cm="1">
        <f t="array" ref="H26">visible(("replace me"),K26)</f>
        <v>replace me</v>
      </c>
      <c r="I26" s="9" cm="1">
        <f t="array" aca="1" ref="I26" ca="1">visible(materialNum(D26),K26)</f>
        <v>6</v>
      </c>
      <c r="J26" s="9" t="str" cm="1">
        <f t="array" ref="J26">visible((""),K26)</f>
        <v/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51">
        <v>0</v>
      </c>
      <c r="B27" s="15"/>
      <c r="K27" s="3"/>
      <c r="BB27"/>
      <c r="BC27"/>
      <c r="BD27"/>
      <c r="BE27"/>
      <c r="BF27"/>
      <c r="BG27"/>
      <c r="BH27"/>
      <c r="BI27"/>
      <c r="BJ27"/>
    </row>
    <row r="28" spans="1:62" ht="15.6" x14ac:dyDescent="0.3">
      <c r="A28" s="51">
        <v>5</v>
      </c>
      <c r="B28" s="15" t="str" cm="1">
        <f t="array" ref="B28">visible(E13, K28)</f>
        <v>وحدة عادية</v>
      </c>
      <c r="C28" s="19" cm="1">
        <f t="array" ref="C28">visible(7,K28)</f>
        <v>7</v>
      </c>
      <c r="D28" s="19" t="str" cm="1">
        <f t="array" aca="1" ref="D28" ca="1">visible((E14),K28)</f>
        <v>ظهر</v>
      </c>
      <c r="E28" s="19" t="str" cm="1">
        <f t="array" ref="E28">visible(("replace me"),K28)</f>
        <v>replace me</v>
      </c>
      <c r="F28" s="19" t="str" cm="1">
        <f t="array" ref="F28">visible(("replace me"),K28)</f>
        <v>replace me</v>
      </c>
      <c r="G28" s="19" t="str" cm="1">
        <f t="array" ref="G28">visible(("replace me"),K28)</f>
        <v>replace me</v>
      </c>
      <c r="H28" s="19" t="str" cm="1">
        <f t="array" ref="H28">visible(("replace me"),K28)</f>
        <v>replace me</v>
      </c>
      <c r="I28" s="19" cm="1">
        <f t="array" aca="1" ref="I28" ca="1">visible(materialNum(D28),K28)</f>
        <v>2</v>
      </c>
      <c r="J28" s="19" t="str" cm="1">
        <f t="array" ref="J28">visible((""),K28)</f>
        <v/>
      </c>
      <c r="K28" s="19" t="b">
        <v>1</v>
      </c>
      <c r="BB28"/>
      <c r="BC28"/>
      <c r="BD28"/>
      <c r="BE28"/>
      <c r="BF28"/>
      <c r="BG28"/>
      <c r="BH28"/>
      <c r="BI28"/>
      <c r="BJ28"/>
    </row>
    <row r="29" spans="1:62" x14ac:dyDescent="0.3">
      <c r="A29" s="34">
        <v>255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4">
        <v>255</v>
      </c>
      <c r="BB30"/>
      <c r="BC30"/>
      <c r="BD30"/>
      <c r="BE30"/>
      <c r="BF30"/>
      <c r="BG30"/>
      <c r="BH30"/>
      <c r="BI30"/>
      <c r="BJ30"/>
    </row>
    <row r="31" spans="1:62" ht="37.200000000000003" customHeight="1" x14ac:dyDescent="0.3">
      <c r="A31" s="54" t="s">
        <v>160</v>
      </c>
      <c r="B31" s="15"/>
      <c r="C31" s="14">
        <v>1</v>
      </c>
      <c r="D31" s="22" t="s">
        <v>59</v>
      </c>
      <c r="E31" s="101" t="s">
        <v>182</v>
      </c>
      <c r="F31" s="102"/>
      <c r="G31" s="102"/>
      <c r="H31" s="103"/>
      <c r="I31" s="2" t="s">
        <v>30</v>
      </c>
      <c r="J31" s="2">
        <f>letterToNumber(A31)</f>
        <v>2</v>
      </c>
      <c r="K31" s="27">
        <f ca="1">_xlfn.SHEET("وحدات سفلية")</f>
        <v>4</v>
      </c>
      <c r="BB31"/>
      <c r="BC31"/>
      <c r="BD31"/>
      <c r="BE31"/>
      <c r="BF31"/>
      <c r="BG31"/>
      <c r="BH31"/>
      <c r="BI31"/>
      <c r="BJ31"/>
    </row>
    <row r="32" spans="1:62" ht="21" x14ac:dyDescent="0.3">
      <c r="A32" s="51">
        <v>1</v>
      </c>
      <c r="B32" s="15"/>
      <c r="C32" s="8"/>
      <c r="D32" s="7"/>
      <c r="E32" s="27" t="str" cm="1">
        <f t="array" aca="1" ref="E32" ca="1">defaultValue(F32,K31)</f>
        <v>ظهر</v>
      </c>
      <c r="F32" s="7" t="s">
        <v>58</v>
      </c>
      <c r="G32" s="27" t="str" cm="1">
        <f t="array" aca="1" ref="G32" ca="1">defaultValue(H32,K31)</f>
        <v>يوفيلاك</v>
      </c>
      <c r="H32" s="7" t="s">
        <v>32</v>
      </c>
      <c r="I32" s="27" t="str" cm="1">
        <f t="array" aca="1" ref="I32" ca="1">defaultValue(J32,K31)</f>
        <v>HPL</v>
      </c>
      <c r="J32" s="7" t="s">
        <v>31</v>
      </c>
      <c r="K32" s="25" t="s">
        <v>111</v>
      </c>
      <c r="BB32"/>
      <c r="BC32"/>
      <c r="BD32"/>
      <c r="BE32"/>
      <c r="BF32"/>
      <c r="BG32"/>
      <c r="BH32"/>
      <c r="BI32"/>
      <c r="BJ32"/>
    </row>
    <row r="33" spans="1:62" ht="15.6" x14ac:dyDescent="0.3">
      <c r="A33" s="51">
        <v>1</v>
      </c>
      <c r="B33" s="15"/>
      <c r="C33" s="7" t="s">
        <v>12</v>
      </c>
      <c r="D33" s="7" t="s">
        <v>18</v>
      </c>
      <c r="E33" s="93"/>
      <c r="F33" s="93" t="s">
        <v>114</v>
      </c>
      <c r="G33" s="7" t="s">
        <v>16</v>
      </c>
      <c r="H33" s="7" t="s">
        <v>22</v>
      </c>
      <c r="I33" s="7" t="s">
        <v>3</v>
      </c>
      <c r="J33" s="7" t="s">
        <v>113</v>
      </c>
      <c r="K33" s="7"/>
      <c r="BB33"/>
      <c r="BC33"/>
      <c r="BD33"/>
      <c r="BE33"/>
      <c r="BF33"/>
      <c r="BG33"/>
      <c r="BH33"/>
      <c r="BI33"/>
      <c r="BJ33"/>
    </row>
    <row r="34" spans="1:62" ht="15.6" x14ac:dyDescent="0.3">
      <c r="A34" s="51">
        <v>1</v>
      </c>
      <c r="B34" s="15"/>
      <c r="C34" s="27">
        <v>1</v>
      </c>
      <c r="D34" s="27">
        <v>5</v>
      </c>
      <c r="E34" s="46"/>
      <c r="F34" s="27" t="b" cm="1">
        <f t="array" aca="1" ref="F34" ca="1">defaultValue(F33,K31)</f>
        <v>1</v>
      </c>
      <c r="G34" s="27" cm="1">
        <f t="array" aca="1" ref="G34" ca="1">defaultValue(G33,K31)</f>
        <v>3.5</v>
      </c>
      <c r="H34" s="8"/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BB34"/>
      <c r="BC34"/>
      <c r="BD34"/>
      <c r="BE34"/>
      <c r="BF34"/>
      <c r="BG34"/>
      <c r="BH34"/>
      <c r="BI34"/>
      <c r="BJ34"/>
    </row>
    <row r="35" spans="1:62" ht="15.6" x14ac:dyDescent="0.3">
      <c r="A35" s="51">
        <v>0</v>
      </c>
      <c r="B35" s="15"/>
      <c r="C35" s="3"/>
      <c r="D35" s="3"/>
      <c r="E35" s="3"/>
      <c r="F35" s="3"/>
      <c r="G35" s="3"/>
      <c r="H35" s="3"/>
      <c r="I35" s="3"/>
      <c r="J35" s="3"/>
      <c r="K35" s="3"/>
      <c r="BB35"/>
      <c r="BC35"/>
      <c r="BD35"/>
      <c r="BE35"/>
      <c r="BF35"/>
      <c r="BG35"/>
      <c r="BH35"/>
      <c r="BI35"/>
      <c r="BJ35"/>
    </row>
    <row r="36" spans="1:62" ht="15.6" x14ac:dyDescent="0.3">
      <c r="A36" s="51">
        <v>2</v>
      </c>
      <c r="B36" s="15"/>
      <c r="C36" s="6" t="s">
        <v>4</v>
      </c>
      <c r="D36" s="6" t="s">
        <v>9</v>
      </c>
      <c r="E36" s="6" t="s">
        <v>5</v>
      </c>
      <c r="F36" s="6" t="s">
        <v>7</v>
      </c>
      <c r="G36" s="6" t="s">
        <v>1</v>
      </c>
      <c r="H36" s="6" t="s">
        <v>6</v>
      </c>
      <c r="I36" s="6" t="s">
        <v>33</v>
      </c>
      <c r="J36" s="6" t="s">
        <v>8</v>
      </c>
      <c r="K36" s="6" t="s">
        <v>185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51">
        <v>0</v>
      </c>
      <c r="B37" s="15"/>
      <c r="K37" s="3"/>
      <c r="BB37"/>
      <c r="BC37"/>
      <c r="BD37"/>
      <c r="BE37"/>
      <c r="BF37"/>
      <c r="BG37"/>
      <c r="BH37"/>
      <c r="BI37"/>
      <c r="BJ37"/>
    </row>
    <row r="38" spans="1:62" ht="15.6" x14ac:dyDescent="0.3">
      <c r="A38" s="51">
        <v>3</v>
      </c>
      <c r="B38" s="15" t="str" cm="1">
        <f t="array" ref="B38">visible(E31, K38)</f>
        <v>وحدة سفلية</v>
      </c>
      <c r="C38" s="6" cm="1">
        <f t="array" ref="C38">visible((1),K38)</f>
        <v>1</v>
      </c>
      <c r="D38" s="6" t="str" cm="1">
        <f t="array" aca="1" ref="D38" ca="1">visible((I32),K38)</f>
        <v>HPL</v>
      </c>
      <c r="E38" s="6" t="str" cm="1">
        <f t="array" ref="E38">visible(("قاعدة"),K38)</f>
        <v>قاعدة</v>
      </c>
      <c r="F38" s="6" cm="1">
        <f t="array" ref="F38">visible((H34 -3.6),K38)</f>
        <v>-3.6</v>
      </c>
      <c r="G38" s="6" cm="1">
        <f t="array" aca="1" ref="G38" ca="1">visible((J34),K38)</f>
        <v>56</v>
      </c>
      <c r="H38" s="6" cm="1">
        <f t="array" ref="H38">visible((C31),K38)</f>
        <v>1</v>
      </c>
      <c r="I38" s="6" cm="1">
        <f t="array" aca="1" ref="I38" ca="1">visible(materialNum(D38),K38)</f>
        <v>2</v>
      </c>
      <c r="J38" s="6" t="str" cm="1">
        <f t="array" ref="J38">visible((""),K38)</f>
        <v/>
      </c>
      <c r="K38" s="6" t="b">
        <v>1</v>
      </c>
      <c r="BB38"/>
      <c r="BC38"/>
      <c r="BD38"/>
      <c r="BE38"/>
      <c r="BF38"/>
      <c r="BG38"/>
      <c r="BH38"/>
      <c r="BI38"/>
      <c r="BJ38"/>
    </row>
    <row r="39" spans="1:62" ht="15.6" x14ac:dyDescent="0.3">
      <c r="A39" s="51">
        <v>3</v>
      </c>
      <c r="B39" s="15" t="str" cm="1">
        <f t="array" ref="B39">visible(E31, K39)</f>
        <v>وحدة سفلية</v>
      </c>
      <c r="C39" s="6" cm="1">
        <f t="array" ref="C39">visible(2,K39)</f>
        <v>2</v>
      </c>
      <c r="D39" s="6" t="str" cm="1">
        <f t="array" aca="1" ref="D39" ca="1">visible((I32),K39)</f>
        <v>HPL</v>
      </c>
      <c r="E39" s="6" t="str" cm="1">
        <f t="array" ref="E39">visible(("أجناب"),K39)</f>
        <v>أجناب</v>
      </c>
      <c r="F39" s="6" cm="1">
        <f t="array" aca="1" ref="F39" ca="1">visible((I34),K39)</f>
        <v>78</v>
      </c>
      <c r="G39" s="6" cm="1">
        <f t="array" aca="1" ref="G39" ca="1">visible((J34),K39)</f>
        <v>56</v>
      </c>
      <c r="H39" s="6" cm="1">
        <f t="array" ref="H39">visible((2 *C31),K39)</f>
        <v>2</v>
      </c>
      <c r="I39" s="6" cm="1">
        <f t="array" aca="1" ref="I39" ca="1">visible(materialNum(D39),K39)</f>
        <v>2</v>
      </c>
      <c r="J39" s="6" t="str" cm="1">
        <f t="array" ref="J39">visible((""),K39)</f>
        <v/>
      </c>
      <c r="K39" s="6" t="b">
        <v>1</v>
      </c>
      <c r="BB39"/>
      <c r="BC39"/>
      <c r="BD39"/>
      <c r="BE39"/>
      <c r="BF39"/>
      <c r="BG39"/>
      <c r="BH39"/>
      <c r="BI39"/>
      <c r="BJ39"/>
    </row>
    <row r="40" spans="1:62" ht="15.6" x14ac:dyDescent="0.3">
      <c r="A40" s="51">
        <v>3</v>
      </c>
      <c r="B40" s="15" t="str" cm="1">
        <f t="array" ref="B40">visible(E31, K40)</f>
        <v>وحدة سفلية</v>
      </c>
      <c r="C40" s="6" cm="1">
        <f t="array" ref="C40">visible(3,K40)</f>
        <v>3</v>
      </c>
      <c r="D40" s="6" t="str" cm="1">
        <f t="array" aca="1" ref="D40" ca="1">visible((I32),K40)</f>
        <v>HPL</v>
      </c>
      <c r="E40" s="6" t="str" cm="1">
        <f t="array" ref="E40">visible(("مرايا علوية 1"),K40)</f>
        <v>مرايا علوية 1</v>
      </c>
      <c r="F40" s="6" cm="1">
        <f t="array" ref="F40">visible((H34-3.6),K40)</f>
        <v>-3.6</v>
      </c>
      <c r="G40" s="6" cm="1">
        <f t="array" ref="G40">visible((10),K40)</f>
        <v>10</v>
      </c>
      <c r="H40" s="6" cm="1">
        <f t="array" ref="H40">visible((C31),K40)</f>
        <v>1</v>
      </c>
      <c r="I40" s="6" cm="1">
        <f t="array" aca="1" ref="I40" ca="1">visible(materialNum(D40),K40)</f>
        <v>2</v>
      </c>
      <c r="J40" s="6" t="str" cm="1">
        <f t="array" ref="J40">visible((""),K40)</f>
        <v/>
      </c>
      <c r="K40" s="6" t="b">
        <v>1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51">
        <v>3</v>
      </c>
      <c r="B41" s="15" t="str" cm="1">
        <f t="array" ref="B41">visible(E31, K41)</f>
        <v>وحدة سفلية</v>
      </c>
      <c r="C41" s="6" cm="1">
        <f t="array" ref="C41">visible(4,K41)</f>
        <v>4</v>
      </c>
      <c r="D41" s="6" t="str" cm="1">
        <f t="array" aca="1" ref="D41" ca="1">visible((I32),K41)</f>
        <v>HPL</v>
      </c>
      <c r="E41" s="6" t="str" cm="1">
        <f t="array" ref="E41">visible(("مرايا علوية 2"),K41)</f>
        <v>مرايا علوية 2</v>
      </c>
      <c r="F41" s="6" cm="1">
        <f t="array" ref="F41">visible((H34-3.6),K41)</f>
        <v>-3.6</v>
      </c>
      <c r="G41" s="6" cm="1">
        <f t="array" ref="G41">visible((7),K41)</f>
        <v>7</v>
      </c>
      <c r="H41" s="6" cm="1">
        <f t="array" ref="H41">visible((C31),K41)</f>
        <v>1</v>
      </c>
      <c r="I41" s="6" cm="1">
        <f t="array" aca="1" ref="I41" ca="1">visible(materialNum(D41),K41)</f>
        <v>2</v>
      </c>
      <c r="J41" s="6" t="str" cm="1">
        <f t="array" ref="J41">visible((""),K41)</f>
        <v/>
      </c>
      <c r="K41" s="6" t="b">
        <v>1</v>
      </c>
      <c r="BB41"/>
      <c r="BC41"/>
      <c r="BD41"/>
      <c r="BE41"/>
      <c r="BF41"/>
      <c r="BG41"/>
      <c r="BH41"/>
      <c r="BI41"/>
      <c r="BJ41"/>
    </row>
    <row r="42" spans="1:62" ht="15.6" x14ac:dyDescent="0.3">
      <c r="A42" s="51">
        <v>3</v>
      </c>
      <c r="B42" s="15" t="str" cm="1">
        <f t="array" ref="B42">visible(E31, K42)</f>
        <v>وحدة سفلية</v>
      </c>
      <c r="C42" s="6" cm="1">
        <f t="array" ref="C42">visible(5,K42)</f>
        <v>5</v>
      </c>
      <c r="D42" s="6" t="str" cm="1">
        <f t="array" aca="1" ref="D42" ca="1">visible((I32),K42)</f>
        <v>HPL</v>
      </c>
      <c r="E42" s="6" t="str" cm="1">
        <f t="array" ref="E42">visible(("رف"),K42)</f>
        <v>رف</v>
      </c>
      <c r="F42" s="6" cm="1">
        <f t="array" ref="F42">visible((H35-3.8),K42)</f>
        <v>-3.8</v>
      </c>
      <c r="G42" s="6" cm="1">
        <f t="array" aca="1" ref="G42" ca="1">visible((J34-6),K42)</f>
        <v>50</v>
      </c>
      <c r="H42" s="6" cm="1">
        <f t="array" ref="H42">visible((D34*C31),K42)</f>
        <v>5</v>
      </c>
      <c r="I42" s="6" cm="1">
        <f t="array" aca="1" ref="I42" ca="1">visible(materialNum(D42),K42)</f>
        <v>2</v>
      </c>
      <c r="J42" s="6" t="str" cm="1">
        <f t="array" ref="J42">visible((""),K42)</f>
        <v/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51">
        <v>0</v>
      </c>
      <c r="B43" s="15"/>
      <c r="C43" s="3"/>
      <c r="D43" s="3"/>
      <c r="E43" s="3"/>
      <c r="F43" s="3"/>
      <c r="G43" s="3"/>
      <c r="H43" s="3"/>
      <c r="I43" s="3"/>
      <c r="J43" s="3"/>
      <c r="K43" s="3"/>
      <c r="BB43"/>
      <c r="BC43"/>
      <c r="BD43"/>
      <c r="BE43"/>
      <c r="BF43"/>
      <c r="BG43"/>
      <c r="BH43"/>
      <c r="BI43"/>
      <c r="BJ43"/>
    </row>
    <row r="44" spans="1:62" ht="15.6" x14ac:dyDescent="0.3">
      <c r="A44" s="51">
        <v>4</v>
      </c>
      <c r="B44" s="15" t="str" cm="1">
        <f t="array" ref="B44">visible(E31, K44)</f>
        <v>وحدة سفلية</v>
      </c>
      <c r="C44" s="9" cm="1">
        <f t="array" ref="C44">visible(6,K44)</f>
        <v>6</v>
      </c>
      <c r="D44" s="9" t="str" cm="1">
        <f t="array" aca="1" ref="D44" ca="1">visible((G32),K44)</f>
        <v>يوفيلاك</v>
      </c>
      <c r="E44" s="9" t="str" cm="1">
        <f t="array" ref="E44">visible(("دلف"),K44)</f>
        <v>دلف</v>
      </c>
      <c r="F44" s="9" cm="1">
        <f t="array" aca="1" ref="F44" ca="1">visible((I34-0.5-G34),K44)</f>
        <v>74</v>
      </c>
      <c r="G44" s="9" cm="1">
        <f t="array" ref="G44">visible(((H34/C34)-0.5),K44)</f>
        <v>-0.5</v>
      </c>
      <c r="H44" s="9" cm="1">
        <f t="array" ref="H44">visible((C34*C31),K44)</f>
        <v>1</v>
      </c>
      <c r="I44" s="9" cm="1">
        <f t="array" aca="1" ref="I44" ca="1">visible(materialNum(D44),K44)</f>
        <v>6</v>
      </c>
      <c r="J44" s="9" t="str" cm="1">
        <f t="array" ref="J44">visible((""),K44)</f>
        <v/>
      </c>
      <c r="K44" s="9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51">
        <v>0</v>
      </c>
      <c r="B45" s="15"/>
      <c r="K45" s="3"/>
      <c r="BB45"/>
      <c r="BC45"/>
      <c r="BD45"/>
      <c r="BE45"/>
      <c r="BF45"/>
      <c r="BG45"/>
      <c r="BH45"/>
      <c r="BI45"/>
      <c r="BJ45"/>
    </row>
    <row r="46" spans="1:62" ht="15.6" x14ac:dyDescent="0.3">
      <c r="A46" s="51">
        <v>5</v>
      </c>
      <c r="B46" s="15" t="str" cm="1">
        <f t="array" aca="1" ref="B46" ca="1">visible(E31, K46)</f>
        <v>وحدة سفلية</v>
      </c>
      <c r="C46" s="19" cm="1">
        <f t="array" aca="1" ref="C46" ca="1">visible(7,K46)</f>
        <v>7</v>
      </c>
      <c r="D46" s="19" t="str" cm="1">
        <f t="array" aca="1" ref="D46" ca="1">visible((E32),K46)</f>
        <v>ظهر</v>
      </c>
      <c r="E46" s="19" t="str" cm="1">
        <f t="array" aca="1" ref="E46" ca="1">visible(("ظهر"),K46)</f>
        <v>ظهر</v>
      </c>
      <c r="F46" s="19" cm="1">
        <f t="array" aca="1" ref="F46" ca="1">visible((I34-2),K46)</f>
        <v>76</v>
      </c>
      <c r="G46" s="19" cm="1">
        <f t="array" aca="1" ref="G46" ca="1">visible((H34-2),K46)</f>
        <v>-2</v>
      </c>
      <c r="H46" s="19" cm="1">
        <f t="array" aca="1" ref="H46" ca="1">visible((C31),K46)</f>
        <v>1</v>
      </c>
      <c r="I46" s="19" cm="1">
        <f t="array" aca="1" ref="I46" ca="1">visible(materialNum(D46),K46)</f>
        <v>2</v>
      </c>
      <c r="J46" s="19" t="str" cm="1">
        <f t="array" aca="1" ref="J46" ca="1">visible((""),K46)</f>
        <v/>
      </c>
      <c r="K46" s="19" t="b">
        <f ca="1">F34</f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51">
        <v>255</v>
      </c>
      <c r="B47" s="15"/>
      <c r="C47"/>
      <c r="D47"/>
      <c r="E47"/>
      <c r="F47"/>
      <c r="G47"/>
      <c r="H47"/>
      <c r="I47"/>
      <c r="J47"/>
      <c r="K47"/>
      <c r="BB47"/>
      <c r="BC47"/>
      <c r="BD47"/>
      <c r="BE47"/>
      <c r="BF47"/>
      <c r="BG47"/>
      <c r="BH47"/>
      <c r="BI47"/>
      <c r="BJ47"/>
    </row>
    <row r="48" spans="1:62" ht="15.6" x14ac:dyDescent="0.3">
      <c r="A48" s="51">
        <v>255</v>
      </c>
      <c r="B48" s="15"/>
      <c r="C48"/>
      <c r="D48"/>
      <c r="E48"/>
      <c r="F48"/>
      <c r="G48"/>
      <c r="H48"/>
      <c r="I48"/>
      <c r="J48"/>
      <c r="K48"/>
      <c r="BB48"/>
      <c r="BC48"/>
      <c r="BD48"/>
      <c r="BE48"/>
      <c r="BF48"/>
      <c r="BG48"/>
      <c r="BH48"/>
      <c r="BI48"/>
      <c r="BJ48"/>
    </row>
    <row r="49" spans="1:62" ht="35.4" customHeight="1" x14ac:dyDescent="0.3">
      <c r="A49" s="54" t="s">
        <v>156</v>
      </c>
      <c r="B49" s="15"/>
      <c r="C49" s="14">
        <v>1</v>
      </c>
      <c r="D49" s="22" t="s">
        <v>59</v>
      </c>
      <c r="E49" s="101" t="s">
        <v>183</v>
      </c>
      <c r="F49" s="102"/>
      <c r="G49" s="102"/>
      <c r="H49" s="103"/>
      <c r="I49" s="2" t="s">
        <v>30</v>
      </c>
      <c r="J49" s="2">
        <f>letterToNumber(A49)</f>
        <v>3</v>
      </c>
      <c r="K49" s="27">
        <f ca="1">_xlfn.SHEET("وحدات سفلية")</f>
        <v>4</v>
      </c>
      <c r="BB49"/>
      <c r="BC49"/>
      <c r="BD49"/>
      <c r="BE49"/>
      <c r="BF49"/>
      <c r="BG49"/>
      <c r="BH49"/>
      <c r="BI49"/>
      <c r="BJ49"/>
    </row>
    <row r="50" spans="1:62" ht="21" x14ac:dyDescent="0.3">
      <c r="A50" s="51">
        <v>1</v>
      </c>
      <c r="B50" s="15"/>
      <c r="C50" s="8"/>
      <c r="D50" s="7"/>
      <c r="E50" s="27" t="str" cm="1">
        <f t="array" aca="1" ref="E50" ca="1">defaultValue(F50,K49)</f>
        <v>ظهر</v>
      </c>
      <c r="F50" s="7" t="s">
        <v>58</v>
      </c>
      <c r="G50" s="27" t="str" cm="1">
        <f t="array" aca="1" ref="G50" ca="1">defaultValue(H50,K49)</f>
        <v>يوفيلاك</v>
      </c>
      <c r="H50" s="7" t="s">
        <v>32</v>
      </c>
      <c r="I50" s="27" t="str" cm="1">
        <f t="array" aca="1" ref="I50" ca="1">defaultValue(J50,K49)</f>
        <v>HPL</v>
      </c>
      <c r="J50" s="7" t="s">
        <v>31</v>
      </c>
      <c r="K50" s="25" t="s">
        <v>111</v>
      </c>
      <c r="BB50"/>
      <c r="BC50"/>
      <c r="BD50"/>
      <c r="BE50"/>
      <c r="BF50"/>
      <c r="BG50"/>
      <c r="BH50"/>
      <c r="BI50"/>
      <c r="BJ50"/>
    </row>
    <row r="51" spans="1:62" ht="15.6" x14ac:dyDescent="0.3">
      <c r="A51" s="51">
        <v>1</v>
      </c>
      <c r="B51" s="15"/>
      <c r="C51" s="7" t="s">
        <v>12</v>
      </c>
      <c r="D51" s="7" t="s">
        <v>18</v>
      </c>
      <c r="E51" s="93"/>
      <c r="F51" s="93" t="s">
        <v>114</v>
      </c>
      <c r="G51" s="7" t="s">
        <v>16</v>
      </c>
      <c r="H51" s="7" t="s">
        <v>22</v>
      </c>
      <c r="I51" s="7" t="s">
        <v>3</v>
      </c>
      <c r="J51" s="7" t="s">
        <v>113</v>
      </c>
      <c r="K51" s="7"/>
      <c r="BB51"/>
      <c r="BC51"/>
      <c r="BD51"/>
      <c r="BE51"/>
      <c r="BF51"/>
      <c r="BG51"/>
      <c r="BH51"/>
      <c r="BI51"/>
      <c r="BJ51"/>
    </row>
    <row r="52" spans="1:62" ht="15.6" x14ac:dyDescent="0.3">
      <c r="A52" s="51">
        <v>1</v>
      </c>
      <c r="B52" s="15"/>
      <c r="C52" s="27">
        <v>1</v>
      </c>
      <c r="D52" s="27">
        <v>5</v>
      </c>
      <c r="E52" s="46"/>
      <c r="F52" s="27" t="b" cm="1">
        <f t="array" aca="1" ref="F52" ca="1">defaultValue(F51,K49)</f>
        <v>1</v>
      </c>
      <c r="G52" s="27" cm="1">
        <f t="array" aca="1" ref="G52" ca="1">defaultValue(G51,K49)</f>
        <v>3.5</v>
      </c>
      <c r="H52" s="8"/>
      <c r="I52" s="27" cm="1">
        <f t="array" aca="1" ref="I52" ca="1">defaultValue(I51,K49)</f>
        <v>78</v>
      </c>
      <c r="J52" s="27" cm="1">
        <f t="array" aca="1" ref="J52" ca="1">defaultValue(J51,K49)</f>
        <v>56</v>
      </c>
      <c r="K52" s="7"/>
      <c r="BB52"/>
      <c r="BC52"/>
      <c r="BD52"/>
      <c r="BE52"/>
      <c r="BF52"/>
      <c r="BG52"/>
      <c r="BH52"/>
      <c r="BI52"/>
      <c r="BJ52"/>
    </row>
    <row r="53" spans="1:62" ht="15.6" x14ac:dyDescent="0.3">
      <c r="A53" s="51">
        <v>0</v>
      </c>
      <c r="B53" s="15"/>
      <c r="C53" s="3"/>
      <c r="D53" s="3"/>
      <c r="E53" s="3"/>
      <c r="F53" s="3"/>
      <c r="G53" s="3"/>
      <c r="H53" s="3"/>
      <c r="I53" s="3"/>
      <c r="J53" s="3"/>
      <c r="K53" s="3"/>
      <c r="BB53"/>
      <c r="BC53"/>
      <c r="BD53"/>
      <c r="BE53"/>
      <c r="BF53"/>
      <c r="BG53"/>
      <c r="BH53"/>
      <c r="BI53"/>
      <c r="BJ53"/>
    </row>
    <row r="54" spans="1:62" ht="15.6" x14ac:dyDescent="0.3">
      <c r="A54" s="51">
        <v>2</v>
      </c>
      <c r="B54" s="15"/>
      <c r="C54" s="6" t="s">
        <v>4</v>
      </c>
      <c r="D54" s="6" t="s">
        <v>9</v>
      </c>
      <c r="E54" s="6" t="s">
        <v>5</v>
      </c>
      <c r="F54" s="6" t="s">
        <v>7</v>
      </c>
      <c r="G54" s="6" t="s">
        <v>1</v>
      </c>
      <c r="H54" s="6" t="s">
        <v>6</v>
      </c>
      <c r="I54" s="6" t="s">
        <v>33</v>
      </c>
      <c r="J54" s="6" t="s">
        <v>8</v>
      </c>
      <c r="K54" s="6" t="s">
        <v>185</v>
      </c>
      <c r="BB54"/>
      <c r="BC54"/>
      <c r="BD54"/>
      <c r="BE54"/>
      <c r="BF54"/>
      <c r="BG54"/>
      <c r="BH54"/>
      <c r="BI54"/>
      <c r="BJ54"/>
    </row>
    <row r="55" spans="1:62" ht="15.6" x14ac:dyDescent="0.3">
      <c r="A55" s="51">
        <v>0</v>
      </c>
      <c r="B55" s="15"/>
      <c r="K55" s="3"/>
      <c r="BB55"/>
      <c r="BC55"/>
      <c r="BD55"/>
      <c r="BE55"/>
      <c r="BF55"/>
      <c r="BG55"/>
      <c r="BH55"/>
      <c r="BI55"/>
      <c r="BJ55"/>
    </row>
    <row r="56" spans="1:62" ht="15.6" x14ac:dyDescent="0.3">
      <c r="A56" s="51">
        <v>3</v>
      </c>
      <c r="B56" s="15" t="str" cm="1">
        <f t="array" ref="B56">visible(E49, K56)</f>
        <v>وحدة سفلية ادراج</v>
      </c>
      <c r="C56" s="6">
        <f>visible(1,K56)</f>
        <v>1</v>
      </c>
      <c r="D56" s="6" t="str" cm="1">
        <f t="array" aca="1" ref="D56" ca="1">visible((I50),K56)</f>
        <v>HPL</v>
      </c>
      <c r="E56" s="6" t="str" cm="1">
        <f t="array" ref="E56">visible(("قاعدة"),K56)</f>
        <v>قاعدة</v>
      </c>
      <c r="F56" s="6" cm="1">
        <f t="array" ref="F56">visible((H52 -3.6),K56)</f>
        <v>-3.6</v>
      </c>
      <c r="G56" s="6" cm="1">
        <f t="array" aca="1" ref="G56" ca="1">visible((J52),K56)</f>
        <v>56</v>
      </c>
      <c r="H56" s="6" cm="1">
        <f t="array" ref="H56">visible((C49),K56)</f>
        <v>1</v>
      </c>
      <c r="I56" s="6" cm="1">
        <f t="array" aca="1" ref="I56" ca="1">visible(materialNum(D56),K56)</f>
        <v>2</v>
      </c>
      <c r="J56" s="6" t="str" cm="1">
        <f t="array" ref="J56">visible((""),K56)</f>
        <v/>
      </c>
      <c r="K56" s="6" t="b">
        <v>1</v>
      </c>
      <c r="BB56"/>
      <c r="BC56"/>
      <c r="BD56"/>
      <c r="BE56"/>
      <c r="BF56"/>
      <c r="BG56"/>
      <c r="BH56"/>
      <c r="BI56"/>
      <c r="BJ56"/>
    </row>
    <row r="57" spans="1:62" ht="15.6" x14ac:dyDescent="0.3">
      <c r="A57" s="51">
        <v>3</v>
      </c>
      <c r="B57" s="15" t="str" cm="1">
        <f t="array" ref="B57">visible(E49, K57)</f>
        <v>وحدة سفلية ادراج</v>
      </c>
      <c r="C57" s="6">
        <f>visible(2,K57)</f>
        <v>2</v>
      </c>
      <c r="D57" s="6" t="str" cm="1">
        <f t="array" aca="1" ref="D57" ca="1">visible((I50),K57)</f>
        <v>HPL</v>
      </c>
      <c r="E57" s="6" t="str" cm="1">
        <f t="array" ref="E57">visible(("أجناب"),K57)</f>
        <v>أجناب</v>
      </c>
      <c r="F57" s="6" cm="1">
        <f t="array" aca="1" ref="F57" ca="1">visible((I52),K57)</f>
        <v>78</v>
      </c>
      <c r="G57" s="6" cm="1">
        <f t="array" aca="1" ref="G57" ca="1">visible((J52),K57)</f>
        <v>56</v>
      </c>
      <c r="H57" s="6" cm="1">
        <f t="array" ref="H57">visible((2 *C49),K57)</f>
        <v>2</v>
      </c>
      <c r="I57" s="6" cm="1">
        <f t="array" aca="1" ref="I57" ca="1">visible(materialNum(D57),K57)</f>
        <v>2</v>
      </c>
      <c r="J57" s="6" t="str" cm="1">
        <f t="array" ref="J57">visible((""),K57)</f>
        <v/>
      </c>
      <c r="K57" s="6" t="b">
        <v>1</v>
      </c>
      <c r="BB57"/>
      <c r="BC57"/>
      <c r="BD57"/>
      <c r="BE57"/>
      <c r="BF57"/>
      <c r="BG57"/>
      <c r="BH57"/>
      <c r="BI57"/>
      <c r="BJ57"/>
    </row>
    <row r="58" spans="1:62" ht="15.6" x14ac:dyDescent="0.3">
      <c r="A58" s="51">
        <v>3</v>
      </c>
      <c r="B58" s="15" t="str" cm="1">
        <f t="array" ref="B58">visible(E49, K58)</f>
        <v>وحدة سفلية ادراج</v>
      </c>
      <c r="C58" s="6">
        <f>visible(3,K58)</f>
        <v>3</v>
      </c>
      <c r="D58" s="6" t="str" cm="1">
        <f t="array" aca="1" ref="D58" ca="1">visible((I50),K58)</f>
        <v>HPL</v>
      </c>
      <c r="E58" s="6" t="str" cm="1">
        <f t="array" ref="E58">visible(("مرايا علوية 1"),K58)</f>
        <v>مرايا علوية 1</v>
      </c>
      <c r="F58" s="6" cm="1">
        <f t="array" ref="F58">visible((H52-3.6),K58)</f>
        <v>-3.6</v>
      </c>
      <c r="G58" s="6" cm="1">
        <f t="array" ref="G58">visible((10),K58)</f>
        <v>10</v>
      </c>
      <c r="H58" s="6" cm="1">
        <f t="array" ref="H58">visible((C49),K58)</f>
        <v>1</v>
      </c>
      <c r="I58" s="6" cm="1">
        <f t="array" aca="1" ref="I58" ca="1">visible(materialNum(D58),K58)</f>
        <v>2</v>
      </c>
      <c r="J58" s="6" t="str" cm="1">
        <f t="array" ref="J58">visible((""),K58)</f>
        <v/>
      </c>
      <c r="K58" s="6" t="b">
        <v>1</v>
      </c>
      <c r="BB58"/>
      <c r="BC58"/>
      <c r="BD58"/>
      <c r="BE58"/>
      <c r="BF58"/>
      <c r="BG58"/>
      <c r="BH58"/>
      <c r="BI58"/>
      <c r="BJ58"/>
    </row>
    <row r="59" spans="1:62" ht="15.6" x14ac:dyDescent="0.3">
      <c r="A59" s="51">
        <v>3</v>
      </c>
      <c r="B59" s="15" t="str" cm="1">
        <f t="array" ref="B59">visible(E49, K59)</f>
        <v>وحدة سفلية ادراج</v>
      </c>
      <c r="C59" s="6">
        <f>visible(4,K59)</f>
        <v>4</v>
      </c>
      <c r="D59" s="6" t="str" cm="1">
        <f t="array" aca="1" ref="D59" ca="1">visible((I50),K59)</f>
        <v>HPL</v>
      </c>
      <c r="E59" s="6" t="str" cm="1">
        <f t="array" ref="E59">visible(("مرايا علوية 2"),K59)</f>
        <v>مرايا علوية 2</v>
      </c>
      <c r="F59" s="6" cm="1">
        <f t="array" ref="F59">visible((H52-3.6),K59)</f>
        <v>-3.6</v>
      </c>
      <c r="G59" s="6" cm="1">
        <f t="array" ref="G59">visible((7),K59)</f>
        <v>7</v>
      </c>
      <c r="H59" s="6" cm="1">
        <f t="array" ref="H59">visible((C49),K59)</f>
        <v>1</v>
      </c>
      <c r="I59" s="6" cm="1">
        <f t="array" aca="1" ref="I59" ca="1">visible(materialNum(D59),K59)</f>
        <v>2</v>
      </c>
      <c r="J59" s="6" t="str" cm="1">
        <f t="array" ref="J59">visible((""),K59)</f>
        <v/>
      </c>
      <c r="K59" s="6" t="b">
        <v>1</v>
      </c>
      <c r="BB59"/>
      <c r="BC59"/>
      <c r="BD59"/>
      <c r="BE59"/>
      <c r="BF59"/>
      <c r="BG59"/>
      <c r="BH59"/>
      <c r="BI59"/>
      <c r="BJ59"/>
    </row>
    <row r="60" spans="1:62" ht="15.6" x14ac:dyDescent="0.3">
      <c r="A60" s="51">
        <v>3</v>
      </c>
      <c r="B60" s="15" t="str" cm="1">
        <f t="array" ref="B60">visible(E49, K60)</f>
        <v>وحدة سفلية ادراج</v>
      </c>
      <c r="C60" s="6">
        <f>visible(5,K60)</f>
        <v>5</v>
      </c>
      <c r="D60" s="6" t="str" cm="1">
        <f t="array" aca="1" ref="D60" ca="1">visible((I50),K60)</f>
        <v>HPL</v>
      </c>
      <c r="E60" s="6" t="str" cm="1">
        <f t="array" ref="E60">visible(("رف"),K60)</f>
        <v>رف</v>
      </c>
      <c r="F60" s="6" cm="1">
        <f t="array" ref="F60">visible((H53-3.8),K60)</f>
        <v>-3.8</v>
      </c>
      <c r="G60" s="6" cm="1">
        <f t="array" aca="1" ref="G60" ca="1">visible((J52-6),K60)</f>
        <v>50</v>
      </c>
      <c r="H60" s="6" cm="1">
        <f t="array" ref="H60">visible((D52*C49),K60)</f>
        <v>5</v>
      </c>
      <c r="I60" s="6" cm="1">
        <f t="array" aca="1" ref="I60" ca="1">visible(materialNum(D60),K60)</f>
        <v>2</v>
      </c>
      <c r="J60" s="6" t="str" cm="1">
        <f t="array" ref="J60">visible((""),K60)</f>
        <v/>
      </c>
      <c r="K60" s="6" t="b">
        <v>1</v>
      </c>
      <c r="BB60"/>
      <c r="BC60"/>
      <c r="BD60"/>
      <c r="BE60"/>
      <c r="BF60"/>
      <c r="BG60"/>
      <c r="BH60"/>
      <c r="BI60"/>
      <c r="BJ60"/>
    </row>
    <row r="61" spans="1:62" ht="15.6" x14ac:dyDescent="0.3">
      <c r="A61" s="51">
        <v>0</v>
      </c>
      <c r="B61" s="15"/>
      <c r="C61" s="3"/>
      <c r="D61" s="3"/>
      <c r="E61" s="3"/>
      <c r="F61" s="3"/>
      <c r="G61" s="3"/>
      <c r="H61" s="3"/>
      <c r="I61" s="3"/>
      <c r="J61" s="3"/>
      <c r="K61" s="3"/>
      <c r="BB61"/>
      <c r="BC61"/>
      <c r="BD61"/>
      <c r="BE61"/>
      <c r="BF61"/>
      <c r="BG61"/>
      <c r="BH61"/>
      <c r="BI61"/>
      <c r="BJ61"/>
    </row>
    <row r="62" spans="1:62" ht="15.6" x14ac:dyDescent="0.3">
      <c r="A62" s="51">
        <v>4</v>
      </c>
      <c r="B62" s="15" t="str" cm="1">
        <f t="array" ref="B62">visible(E49, K62)</f>
        <v>وحدة سفلية ادراج</v>
      </c>
      <c r="C62" s="9">
        <f>visible(6,K62)</f>
        <v>6</v>
      </c>
      <c r="D62" s="9" t="str" cm="1">
        <f t="array" aca="1" ref="D62" ca="1">visible((G50),K62)</f>
        <v>يوفيلاك</v>
      </c>
      <c r="E62" s="9" t="str" cm="1">
        <f t="array" ref="E62">visible(("دلف"),K62)</f>
        <v>دلف</v>
      </c>
      <c r="F62" s="9" cm="1">
        <f t="array" aca="1" ref="F62" ca="1">visible((I52-0.5-G52),K62)</f>
        <v>74</v>
      </c>
      <c r="G62" s="9" cm="1">
        <f t="array" ref="G62">visible(((H52/C52)-0.5),K62)</f>
        <v>-0.5</v>
      </c>
      <c r="H62" s="9" cm="1">
        <f t="array" ref="H62">visible((C52*C49),K62)</f>
        <v>1</v>
      </c>
      <c r="I62" s="9" cm="1">
        <f t="array" aca="1" ref="I62" ca="1">visible(materialNum(D62),K62)</f>
        <v>6</v>
      </c>
      <c r="J62" s="9" t="str" cm="1">
        <f t="array" ref="J62">visible((""),K62)</f>
        <v/>
      </c>
      <c r="K62" s="9" t="b">
        <v>1</v>
      </c>
      <c r="BB62"/>
      <c r="BC62"/>
      <c r="BD62"/>
      <c r="BE62"/>
      <c r="BF62"/>
      <c r="BG62"/>
      <c r="BH62"/>
      <c r="BI62"/>
      <c r="BJ62"/>
    </row>
    <row r="63" spans="1:62" ht="15.6" x14ac:dyDescent="0.3">
      <c r="A63" s="51">
        <v>0</v>
      </c>
      <c r="B63" s="15"/>
      <c r="K63" s="3"/>
      <c r="BB63"/>
      <c r="BC63"/>
      <c r="BD63"/>
      <c r="BE63"/>
      <c r="BF63"/>
      <c r="BG63"/>
      <c r="BH63"/>
      <c r="BI63"/>
      <c r="BJ63"/>
    </row>
    <row r="64" spans="1:62" ht="15.6" x14ac:dyDescent="0.3">
      <c r="A64" s="51">
        <v>5</v>
      </c>
      <c r="B64" s="15" t="str" cm="1">
        <f t="array" aca="1" ref="B64" ca="1">visible(E49, K64)</f>
        <v>وحدة سفلية ادراج</v>
      </c>
      <c r="C64" s="19">
        <f ca="1">visible(7,K64)</f>
        <v>7</v>
      </c>
      <c r="D64" s="19" t="str" cm="1">
        <f t="array" aca="1" ref="D64" ca="1">visible((E50),K64)</f>
        <v>ظهر</v>
      </c>
      <c r="E64" s="19" t="str" cm="1">
        <f t="array" aca="1" ref="E64" ca="1">visible(("ظهر"),K64)</f>
        <v>ظهر</v>
      </c>
      <c r="F64" s="19" cm="1">
        <f t="array" aca="1" ref="F64" ca="1">visible((I52-2),K64)</f>
        <v>76</v>
      </c>
      <c r="G64" s="19" cm="1">
        <f t="array" aca="1" ref="G64" ca="1">visible((H52-2),K64)</f>
        <v>-2</v>
      </c>
      <c r="H64" s="19" cm="1">
        <f t="array" aca="1" ref="H64" ca="1">visible((C49),K64)</f>
        <v>1</v>
      </c>
      <c r="I64" s="19" cm="1">
        <f t="array" aca="1" ref="I64" ca="1">visible(materialNum(D64),K64)</f>
        <v>2</v>
      </c>
      <c r="J64" s="19" t="str" cm="1">
        <f t="array" aca="1" ref="J64" ca="1">visible((""),K64)</f>
        <v/>
      </c>
      <c r="K64" s="19" t="b">
        <f ca="1">F52</f>
        <v>1</v>
      </c>
      <c r="BB64"/>
      <c r="BC64"/>
      <c r="BD64"/>
      <c r="BE64"/>
      <c r="BF64"/>
      <c r="BG64"/>
      <c r="BH64"/>
      <c r="BI64"/>
      <c r="BJ64"/>
    </row>
    <row r="65" spans="1:62" ht="15.6" x14ac:dyDescent="0.3">
      <c r="A65" s="51">
        <v>255</v>
      </c>
      <c r="B65" s="15"/>
      <c r="C65"/>
      <c r="D65"/>
      <c r="E65"/>
      <c r="F65"/>
      <c r="G65"/>
      <c r="H65"/>
      <c r="I65"/>
      <c r="J65"/>
      <c r="K65"/>
      <c r="BB65"/>
      <c r="BC65"/>
      <c r="BD65"/>
      <c r="BE65"/>
      <c r="BF65"/>
      <c r="BG65"/>
      <c r="BH65"/>
      <c r="BI65"/>
      <c r="BJ65"/>
    </row>
    <row r="66" spans="1:62" ht="15.6" x14ac:dyDescent="0.3">
      <c r="A66" s="51">
        <v>255</v>
      </c>
      <c r="B66" s="15"/>
      <c r="C66"/>
      <c r="D66"/>
      <c r="E66"/>
      <c r="F66"/>
      <c r="G66"/>
      <c r="H66"/>
      <c r="I66"/>
      <c r="J66"/>
      <c r="K66"/>
      <c r="BB66"/>
      <c r="BC66"/>
      <c r="BD66"/>
      <c r="BE66"/>
      <c r="BF66"/>
      <c r="BG66"/>
      <c r="BH66"/>
      <c r="BI66"/>
      <c r="BJ66"/>
    </row>
    <row r="67" spans="1:62" x14ac:dyDescent="0.3">
      <c r="BB67"/>
      <c r="BC67"/>
      <c r="BD67"/>
      <c r="BE67"/>
      <c r="BF67"/>
      <c r="BG67"/>
      <c r="BH67"/>
      <c r="BI67"/>
      <c r="BJ67"/>
    </row>
  </sheetData>
  <mergeCells count="3">
    <mergeCell ref="E13:H13"/>
    <mergeCell ref="E31:H31"/>
    <mergeCell ref="E49:H4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259080</xdr:colOff>
                    <xdr:row>5</xdr:row>
                    <xdr:rowOff>60960</xdr:rowOff>
                  </from>
                  <to>
                    <xdr:col>10</xdr:col>
                    <xdr:colOff>754380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15240</xdr:colOff>
                    <xdr:row>5</xdr:row>
                    <xdr:rowOff>60960</xdr:rowOff>
                  </from>
                  <to>
                    <xdr:col>5</xdr:col>
                    <xdr:colOff>182880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320040</xdr:colOff>
                    <xdr:row>5</xdr:row>
                    <xdr:rowOff>60960</xdr:rowOff>
                  </from>
                  <to>
                    <xdr:col>7</xdr:col>
                    <xdr:colOff>868680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7620</xdr:colOff>
                    <xdr:row>5</xdr:row>
                    <xdr:rowOff>45720</xdr:rowOff>
                  </from>
                  <to>
                    <xdr:col>14</xdr:col>
                    <xdr:colOff>175260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13"/>
  <sheetViews>
    <sheetView zoomScale="70" zoomScaleNormal="70" workbookViewId="0">
      <pane ySplit="8" topLeftCell="A9" activePane="bottomLeft" state="frozen"/>
      <selection pane="bottomLeft"/>
    </sheetView>
  </sheetViews>
  <sheetFormatPr defaultRowHeight="14.4" x14ac:dyDescent="0.3"/>
  <cols>
    <col min="1" max="1" width="10.77734375" style="41" customWidth="1"/>
    <col min="2" max="2" width="34.44140625" style="42" customWidth="1"/>
    <col min="3" max="3" width="8.88671875" style="42" customWidth="1"/>
    <col min="4" max="4" width="11.6640625" style="42" customWidth="1"/>
    <col min="5" max="5" width="27.6640625" style="42" customWidth="1"/>
    <col min="6" max="6" width="8.88671875" style="42" customWidth="1"/>
    <col min="7" max="7" width="12.5546875" style="42" customWidth="1"/>
    <col min="8" max="8" width="8.88671875" style="42" customWidth="1"/>
    <col min="9" max="9" width="13.109375" style="42" customWidth="1"/>
    <col min="10" max="10" width="11.21875" style="42" customWidth="1"/>
    <col min="11" max="11" width="8.88671875" style="42"/>
    <col min="12" max="12" width="12.33203125" style="42" customWidth="1"/>
    <col min="13" max="13" width="10.21875" style="42" customWidth="1"/>
    <col min="14" max="14" width="8.88671875" style="42" customWidth="1"/>
    <col min="15" max="17" width="8.88671875" style="42"/>
    <col min="18" max="22" width="10.6640625" style="42" hidden="1" customWidth="1"/>
    <col min="23" max="52" width="0" style="42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42"/>
  </cols>
  <sheetData>
    <row r="1" spans="2:63" s="41" customFormat="1" x14ac:dyDescent="0.3">
      <c r="B1" s="43">
        <v>1</v>
      </c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</row>
    <row r="2" spans="2:63" s="41" customFormat="1" ht="21" x14ac:dyDescent="0.4">
      <c r="B2" s="47" t="s">
        <v>126</v>
      </c>
      <c r="E2" s="104" t="s">
        <v>112</v>
      </c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</row>
    <row r="3" spans="2:63" s="41" customFormat="1" x14ac:dyDescent="0.3">
      <c r="B3" s="43"/>
      <c r="E3" s="41" cm="1">
        <f t="array" ref="E3:P5">materials[]</f>
        <v>0</v>
      </c>
      <c r="F3" s="41" t="str">
        <v>بوليلاك</v>
      </c>
      <c r="G3" s="41" t="str">
        <v>Lumber J</v>
      </c>
      <c r="H3" s="41" t="str">
        <v>بولى بلس</v>
      </c>
      <c r="I3" s="41" t="str">
        <v>PVC</v>
      </c>
      <c r="J3" s="41" t="str">
        <v>يوفيلاك</v>
      </c>
      <c r="K3" s="41" t="str">
        <v>بورديوم</v>
      </c>
      <c r="L3" s="41" t="str">
        <v>كونتر ميلامين</v>
      </c>
      <c r="M3" s="41" t="str">
        <v>HPL</v>
      </c>
      <c r="N3" s="41" t="str">
        <v>CPL</v>
      </c>
      <c r="O3" s="41" t="str">
        <v>ظهر</v>
      </c>
      <c r="P3" s="41">
        <v>0</v>
      </c>
      <c r="R3" s="41" t="s">
        <v>0</v>
      </c>
      <c r="S3" s="41" t="s">
        <v>104</v>
      </c>
      <c r="T3" s="41" t="s">
        <v>43</v>
      </c>
      <c r="U3" s="41" t="s">
        <v>64</v>
      </c>
      <c r="V3" s="44" t="s">
        <v>103</v>
      </c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</row>
    <row r="4" spans="2:63" s="41" customFormat="1" x14ac:dyDescent="0.3">
      <c r="B4" s="43"/>
      <c r="E4" s="41">
        <v>0</v>
      </c>
      <c r="F4" s="41">
        <v>4</v>
      </c>
      <c r="G4" s="41">
        <v>4</v>
      </c>
      <c r="H4" s="41">
        <v>4</v>
      </c>
      <c r="I4" s="41">
        <v>4</v>
      </c>
      <c r="J4" s="41">
        <v>6</v>
      </c>
      <c r="K4" s="41">
        <v>2</v>
      </c>
      <c r="L4" s="41">
        <v>2</v>
      </c>
      <c r="M4" s="41">
        <v>2</v>
      </c>
      <c r="N4" s="41">
        <v>2</v>
      </c>
      <c r="O4" s="41">
        <v>2</v>
      </c>
      <c r="P4" s="41" t="str">
        <v xml:space="preserve">خشبى </v>
      </c>
      <c r="R4" s="41">
        <v>1</v>
      </c>
      <c r="S4" s="41">
        <v>2</v>
      </c>
      <c r="T4" s="41">
        <v>3</v>
      </c>
      <c r="U4" s="41">
        <v>4</v>
      </c>
      <c r="V4" s="41">
        <v>5</v>
      </c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</row>
    <row r="5" spans="2:63" s="41" customFormat="1" x14ac:dyDescent="0.3">
      <c r="B5" s="43"/>
      <c r="E5" s="41">
        <v>0</v>
      </c>
      <c r="F5" s="41">
        <v>3</v>
      </c>
      <c r="G5" s="41">
        <v>3</v>
      </c>
      <c r="H5" s="41">
        <v>3</v>
      </c>
      <c r="I5" s="41">
        <v>3</v>
      </c>
      <c r="J5" s="41">
        <v>5</v>
      </c>
      <c r="K5" s="41">
        <v>1</v>
      </c>
      <c r="L5" s="41">
        <v>1</v>
      </c>
      <c r="M5" s="41">
        <v>1</v>
      </c>
      <c r="N5" s="41">
        <v>1</v>
      </c>
      <c r="O5" s="41">
        <v>1</v>
      </c>
      <c r="P5" s="41" t="str">
        <v>سادة</v>
      </c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</row>
    <row r="6" spans="2:63" s="41" customFormat="1" x14ac:dyDescent="0.3">
      <c r="B6" s="43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</row>
    <row r="7" spans="2:63" s="41" customFormat="1" x14ac:dyDescent="0.3">
      <c r="B7" s="43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</row>
    <row r="8" spans="2:63" s="41" customFormat="1" x14ac:dyDescent="0.3">
      <c r="B8" s="43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</row>
    <row r="9" spans="2:63" x14ac:dyDescent="0.3">
      <c r="BD9"/>
    </row>
    <row r="13" spans="2:63" x14ac:dyDescent="0.3">
      <c r="BB13"/>
      <c r="BC13"/>
      <c r="BD13"/>
      <c r="BE13"/>
      <c r="BF13"/>
      <c r="BG13"/>
      <c r="BH13"/>
      <c r="BI13"/>
      <c r="BJ13"/>
    </row>
  </sheetData>
  <mergeCells count="1">
    <mergeCell ref="E2:P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7620</xdr:colOff>
                    <xdr:row>5</xdr:row>
                    <xdr:rowOff>38100</xdr:rowOff>
                  </from>
                  <to>
                    <xdr:col>4</xdr:col>
                    <xdr:colOff>1882140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266700</xdr:colOff>
                    <xdr:row>5</xdr:row>
                    <xdr:rowOff>45720</xdr:rowOff>
                  </from>
                  <to>
                    <xdr:col>7</xdr:col>
                    <xdr:colOff>495300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213360</xdr:colOff>
                    <xdr:row>5</xdr:row>
                    <xdr:rowOff>60960</xdr:rowOff>
                  </from>
                  <to>
                    <xdr:col>10</xdr:col>
                    <xdr:colOff>541020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2"/>
  <sheetViews>
    <sheetView topLeftCell="A14" zoomScale="85" zoomScaleNormal="85" workbookViewId="0">
      <selection activeCell="E23" sqref="E23"/>
    </sheetView>
  </sheetViews>
  <sheetFormatPr defaultRowHeight="15.6" x14ac:dyDescent="0.3"/>
  <cols>
    <col min="1" max="1" width="8.21875" style="51" customWidth="1"/>
    <col min="2" max="2" width="26.88671875" style="15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1.21875" style="3" customWidth="1"/>
    <col min="9" max="9" width="9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35" customFormat="1" x14ac:dyDescent="0.3">
      <c r="A1" s="51">
        <v>13</v>
      </c>
      <c r="B1" s="52">
        <v>7</v>
      </c>
    </row>
    <row r="2" spans="1:75" s="35" customFormat="1" ht="37.200000000000003" customHeight="1" x14ac:dyDescent="0.3">
      <c r="A2" s="51">
        <v>30</v>
      </c>
      <c r="B2" s="48" t="s">
        <v>121</v>
      </c>
      <c r="C2" s="106" t="s">
        <v>0</v>
      </c>
      <c r="D2" s="106"/>
      <c r="E2" s="106"/>
      <c r="F2" s="106"/>
      <c r="G2" s="106"/>
      <c r="H2" s="106"/>
      <c r="I2" s="106"/>
      <c r="J2" s="106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</row>
    <row r="3" spans="1:75" s="35" customFormat="1" ht="18" customHeight="1" x14ac:dyDescent="0.3">
      <c r="A3" s="51"/>
      <c r="B3" s="53" t="s">
        <v>174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Q3" s="45"/>
      <c r="R3" s="34"/>
      <c r="S3" s="34"/>
      <c r="T3" s="34"/>
      <c r="U3" s="34"/>
      <c r="V3" s="40"/>
      <c r="W3" s="40"/>
      <c r="X3" s="40"/>
      <c r="Y3" s="40"/>
      <c r="Z3" s="40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</row>
    <row r="4" spans="1:75" s="35" customFormat="1" ht="14.4" x14ac:dyDescent="0.3">
      <c r="A4" s="51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Q4" s="45"/>
      <c r="R4" s="34"/>
      <c r="S4" s="34"/>
      <c r="T4" s="34"/>
      <c r="U4" s="34"/>
      <c r="V4" s="34"/>
      <c r="W4" s="34"/>
      <c r="X4" s="34"/>
      <c r="Y4" s="34"/>
      <c r="Z4" s="34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</row>
    <row r="5" spans="1:75" s="35" customFormat="1" ht="14.4" x14ac:dyDescent="0.3">
      <c r="A5" s="51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</row>
    <row r="6" spans="1:75" s="35" customFormat="1" ht="14.4" x14ac:dyDescent="0.3">
      <c r="A6" s="51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</row>
    <row r="7" spans="1:75" s="37" customFormat="1" ht="18" x14ac:dyDescent="0.3">
      <c r="A7" s="51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</row>
    <row r="8" spans="1:75" s="38" customFormat="1" ht="18" x14ac:dyDescent="0.3">
      <c r="A8" s="51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</row>
    <row r="9" spans="1:75" customFormat="1" ht="14.4" x14ac:dyDescent="0.3">
      <c r="A9" s="51"/>
      <c r="K9" s="1"/>
    </row>
    <row r="10" spans="1:75" customFormat="1" ht="14.4" x14ac:dyDescent="0.3">
      <c r="A10" s="51"/>
      <c r="K10" s="1"/>
    </row>
    <row r="11" spans="1:75" x14ac:dyDescent="0.3"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</row>
    <row r="12" spans="1:75" x14ac:dyDescent="0.3"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</row>
    <row r="13" spans="1:75" ht="36" x14ac:dyDescent="0.3">
      <c r="A13" s="51" t="s">
        <v>155</v>
      </c>
      <c r="C13" s="14">
        <v>1</v>
      </c>
      <c r="D13" s="22" t="s">
        <v>59</v>
      </c>
      <c r="E13" s="101" t="s">
        <v>142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_xlfn.SHEET("وحدات سفلية")</f>
        <v>4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</row>
    <row r="14" spans="1:75" ht="40.799999999999997" customHeight="1" x14ac:dyDescent="0.3">
      <c r="A14" s="51">
        <v>1</v>
      </c>
      <c r="C14" s="7" t="s">
        <v>129</v>
      </c>
      <c r="D14" s="7" t="s">
        <v>128</v>
      </c>
      <c r="E14" s="7" t="s">
        <v>130</v>
      </c>
      <c r="F14" s="7" t="s">
        <v>127</v>
      </c>
      <c r="G14" s="27" t="str">
        <f>INDEX(global[[#All],[Column1]],MATCH(H14,global[[#All],[Column2]],0))</f>
        <v>ظهر</v>
      </c>
      <c r="H14" s="7" t="s">
        <v>58</v>
      </c>
      <c r="I14" s="9" cm="1">
        <f t="array" aca="1" ref="I14" ca="1">defaultValue(J14,K13)</f>
        <v>45</v>
      </c>
      <c r="J14" s="16" t="s">
        <v>19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</row>
    <row r="15" spans="1:75" ht="31.2" x14ac:dyDescent="0.3">
      <c r="A15" s="51">
        <v>1</v>
      </c>
      <c r="C15" s="8">
        <v>0</v>
      </c>
      <c r="D15" s="8">
        <v>0</v>
      </c>
      <c r="E15" s="7">
        <v>0</v>
      </c>
      <c r="F15" s="7">
        <v>0</v>
      </c>
      <c r="G15" s="7" t="s">
        <v>16</v>
      </c>
      <c r="H15" s="7" t="s">
        <v>22</v>
      </c>
      <c r="I15" s="7" t="s">
        <v>3</v>
      </c>
      <c r="J15" s="7" t="s">
        <v>113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A16" s="51">
        <v>1</v>
      </c>
      <c r="C16" s="8">
        <v>30</v>
      </c>
      <c r="D16" s="8">
        <v>20</v>
      </c>
      <c r="E16" s="7">
        <v>10</v>
      </c>
      <c r="F16" s="7">
        <v>7</v>
      </c>
      <c r="G16" s="27" cm="1">
        <f t="array" aca="1" ref="G16" ca="1">defaultValue(G15,K13)</f>
        <v>3.5</v>
      </c>
      <c r="H16" s="8">
        <v>60</v>
      </c>
      <c r="I16" s="27" cm="1">
        <f t="array" aca="1" ref="I16" ca="1">defaultValue(I15,K13)</f>
        <v>78</v>
      </c>
      <c r="J16" s="27" cm="1">
        <f t="array" aca="1" ref="J16" ca="1">defaultValue(J15,K13)</f>
        <v>56</v>
      </c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1.2" x14ac:dyDescent="0.3">
      <c r="A17" s="51">
        <v>1</v>
      </c>
      <c r="B17" s="59" t="s">
        <v>148</v>
      </c>
      <c r="C17" s="60">
        <v>0</v>
      </c>
      <c r="D17" s="58">
        <v>4</v>
      </c>
      <c r="E17" s="58" t="s">
        <v>143</v>
      </c>
      <c r="F17" s="27" t="str" cm="1">
        <f t="array" aca="1" ref="F17" ca="1">defaultValue(G17,K13)</f>
        <v>يوفيلاك</v>
      </c>
      <c r="G17" s="7" t="s">
        <v>32</v>
      </c>
      <c r="H17" s="27" t="str" cm="1">
        <f t="array" aca="1" ref="H17" ca="1">defaultValue(I17,K13)</f>
        <v>HPL</v>
      </c>
      <c r="I17" s="7" t="s">
        <v>31</v>
      </c>
      <c r="J17" s="25" t="s">
        <v>111</v>
      </c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ht="14.4" x14ac:dyDescent="0.3">
      <c r="A18" s="51">
        <v>0</v>
      </c>
      <c r="B18"/>
      <c r="C18"/>
      <c r="D18"/>
      <c r="E18"/>
      <c r="F18"/>
      <c r="G18"/>
      <c r="H18"/>
      <c r="I18"/>
      <c r="J18"/>
      <c r="K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x14ac:dyDescent="0.3">
      <c r="A19" s="51">
        <v>2</v>
      </c>
      <c r="C19" s="6" t="s">
        <v>4</v>
      </c>
      <c r="D19" s="6" t="s">
        <v>9</v>
      </c>
      <c r="E19" s="6" t="s">
        <v>5</v>
      </c>
      <c r="F19" s="6" t="s">
        <v>7</v>
      </c>
      <c r="G19" s="6" t="s">
        <v>1</v>
      </c>
      <c r="H19" s="6" t="s">
        <v>6</v>
      </c>
      <c r="I19" s="6" t="s">
        <v>33</v>
      </c>
      <c r="J19" s="6" t="s">
        <v>8</v>
      </c>
      <c r="K19" s="6" t="s">
        <v>185</v>
      </c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ht="14.4" x14ac:dyDescent="0.3">
      <c r="A20" s="51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51">
        <v>3</v>
      </c>
      <c r="B21" s="15" t="str">
        <f>E13</f>
        <v xml:space="preserve">وحدة سفلية    أدراج </v>
      </c>
      <c r="C21" s="6">
        <v>1</v>
      </c>
      <c r="D21" s="6" t="str">
        <f ca="1">H17</f>
        <v>HPL</v>
      </c>
      <c r="E21" s="6" t="s">
        <v>10</v>
      </c>
      <c r="F21" s="6">
        <f>H16-3.6</f>
        <v>56.4</v>
      </c>
      <c r="G21" s="6">
        <f ca="1">J16</f>
        <v>56</v>
      </c>
      <c r="H21" s="6">
        <f>1*C13</f>
        <v>1</v>
      </c>
      <c r="I21" s="6">
        <f ca="1">HLOOKUP(D21, materials[], 2,FALSE)</f>
        <v>2</v>
      </c>
      <c r="J21" s="6"/>
      <c r="K21" s="6" t="b">
        <v>1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51">
        <v>3</v>
      </c>
      <c r="B22" s="15" t="str">
        <f>B21</f>
        <v xml:space="preserve">وحدة سفلية    أدراج </v>
      </c>
      <c r="C22" s="6">
        <f>C21+1</f>
        <v>2</v>
      </c>
      <c r="D22" s="6" t="str">
        <f ca="1">H17</f>
        <v>HPL</v>
      </c>
      <c r="E22" s="6" t="s">
        <v>11</v>
      </c>
      <c r="F22" s="6">
        <f ca="1">I16</f>
        <v>78</v>
      </c>
      <c r="G22" s="6">
        <f ca="1">J16</f>
        <v>56</v>
      </c>
      <c r="H22" s="6">
        <f>2*C13</f>
        <v>2</v>
      </c>
      <c r="I22" s="6">
        <f ca="1">HLOOKUP(D22, materials[], 2,FALSE)</f>
        <v>2</v>
      </c>
      <c r="J22" s="6"/>
      <c r="K22" s="6" t="b">
        <v>1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51">
        <v>3</v>
      </c>
      <c r="B23" s="15" t="str">
        <f>B21</f>
        <v xml:space="preserve">وحدة سفلية    أدراج </v>
      </c>
      <c r="C23" s="6">
        <f t="shared" ref="C23:C35" si="0">C22+1</f>
        <v>3</v>
      </c>
      <c r="D23" s="6" t="str">
        <f ca="1">H17</f>
        <v>HPL</v>
      </c>
      <c r="E23" s="6" t="s">
        <v>13</v>
      </c>
      <c r="F23" s="6">
        <f>H16-3.6</f>
        <v>56.4</v>
      </c>
      <c r="G23" s="6">
        <v>10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51">
        <v>3</v>
      </c>
      <c r="B24" s="15" t="str">
        <f>B21</f>
        <v xml:space="preserve">وحدة سفلية    أدراج </v>
      </c>
      <c r="C24" s="6">
        <f t="shared" si="0"/>
        <v>4</v>
      </c>
      <c r="D24" s="6" t="str">
        <f ca="1">H17</f>
        <v>HPL</v>
      </c>
      <c r="E24" s="6" t="s">
        <v>14</v>
      </c>
      <c r="F24" s="6">
        <f>H16-3.6</f>
        <v>56.4</v>
      </c>
      <c r="G24" s="6">
        <v>7</v>
      </c>
      <c r="H24" s="6">
        <f>1*C13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51">
        <v>3</v>
      </c>
      <c r="B25" s="15" t="str">
        <f>B21</f>
        <v xml:space="preserve">وحدة سفلية    أدراج </v>
      </c>
      <c r="C25" s="10">
        <f t="shared" si="0"/>
        <v>5</v>
      </c>
      <c r="D25" s="10" t="str">
        <f ca="1">H17</f>
        <v>HPL</v>
      </c>
      <c r="E25" s="10" t="s">
        <v>131</v>
      </c>
      <c r="F25" s="10">
        <f>H16-3.6-3.6-2.5</f>
        <v>50.3</v>
      </c>
      <c r="G25" s="10">
        <f>E16</f>
        <v>10</v>
      </c>
      <c r="H25" s="10">
        <f>E15*C13</f>
        <v>0</v>
      </c>
      <c r="I25" s="10">
        <f ca="1">HLOOKUP(D25, materials[], 2,FALSE)</f>
        <v>2</v>
      </c>
      <c r="J25" s="10"/>
      <c r="K25" s="10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51">
        <v>3</v>
      </c>
      <c r="B26" s="15" t="str">
        <f>B21</f>
        <v xml:space="preserve">وحدة سفلية    أدراج </v>
      </c>
      <c r="C26" s="10">
        <f t="shared" si="0"/>
        <v>6</v>
      </c>
      <c r="D26" s="10" t="str">
        <f ca="1">H17</f>
        <v>HPL</v>
      </c>
      <c r="E26" s="10" t="s">
        <v>132</v>
      </c>
      <c r="F26" s="10">
        <f ca="1">I14</f>
        <v>45</v>
      </c>
      <c r="G26" s="10">
        <f>E16</f>
        <v>10</v>
      </c>
      <c r="H26" s="10">
        <f>E15*2*C13</f>
        <v>0</v>
      </c>
      <c r="I26" s="10">
        <f ca="1">HLOOKUP(D26, materials[], 2,FALSE)</f>
        <v>2</v>
      </c>
      <c r="J26" s="10"/>
      <c r="K26" s="10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51">
        <v>3</v>
      </c>
      <c r="B27" s="15" t="str">
        <f>B21</f>
        <v xml:space="preserve">وحدة سفلية    أدراج </v>
      </c>
      <c r="C27" s="10">
        <f t="shared" si="0"/>
        <v>7</v>
      </c>
      <c r="D27" s="10" t="str">
        <f ca="1">H17</f>
        <v>HPL</v>
      </c>
      <c r="E27" s="10" t="s">
        <v>133</v>
      </c>
      <c r="F27" s="10">
        <f>H16-3.6-3.6-2.5</f>
        <v>50.3</v>
      </c>
      <c r="G27" s="10">
        <f>E16-3</f>
        <v>7</v>
      </c>
      <c r="H27" s="10">
        <f>E15*C13</f>
        <v>0</v>
      </c>
      <c r="I27" s="10">
        <f ca="1">HLOOKUP(D27, materials[], 2,FALSE)</f>
        <v>2</v>
      </c>
      <c r="J27" s="10"/>
      <c r="K27" s="10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51">
        <v>3</v>
      </c>
      <c r="B28" s="15" t="str">
        <f>B21</f>
        <v xml:space="preserve">وحدة سفلية    أدراج </v>
      </c>
      <c r="C28" s="11">
        <f t="shared" si="0"/>
        <v>8</v>
      </c>
      <c r="D28" s="11" t="str">
        <f ca="1">H17</f>
        <v>HPL</v>
      </c>
      <c r="E28" s="11" t="s">
        <v>134</v>
      </c>
      <c r="F28" s="11">
        <f>H16-3.6-3.6-2.5</f>
        <v>50.3</v>
      </c>
      <c r="G28" s="11">
        <f>D16</f>
        <v>20</v>
      </c>
      <c r="H28" s="11">
        <f>(D15*C13)</f>
        <v>0</v>
      </c>
      <c r="I28" s="11">
        <f ca="1">HLOOKUP(D28, materials[], 2,FALSE)</f>
        <v>2</v>
      </c>
      <c r="J28" s="11"/>
      <c r="K28" s="11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51">
        <v>3</v>
      </c>
      <c r="B29" s="15" t="str">
        <f>B21</f>
        <v xml:space="preserve">وحدة سفلية    أدراج </v>
      </c>
      <c r="C29" s="11">
        <f t="shared" si="0"/>
        <v>9</v>
      </c>
      <c r="D29" s="11" t="str">
        <f ca="1">H17</f>
        <v>HPL</v>
      </c>
      <c r="E29" s="11" t="s">
        <v>135</v>
      </c>
      <c r="F29" s="11">
        <f ca="1">I14</f>
        <v>45</v>
      </c>
      <c r="G29" s="11">
        <f>D16</f>
        <v>20</v>
      </c>
      <c r="H29" s="11">
        <f>(D15)*2*C13</f>
        <v>0</v>
      </c>
      <c r="I29" s="11">
        <f ca="1">HLOOKUP(D29, materials[], 2,FALSE)</f>
        <v>2</v>
      </c>
      <c r="J29" s="11"/>
      <c r="K29" s="11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51">
        <v>3</v>
      </c>
      <c r="B30" s="15" t="str">
        <f>B21</f>
        <v xml:space="preserve">وحدة سفلية    أدراج </v>
      </c>
      <c r="C30" s="11">
        <f t="shared" si="0"/>
        <v>10</v>
      </c>
      <c r="D30" s="11" t="str">
        <f ca="1">H17</f>
        <v>HPL</v>
      </c>
      <c r="E30" s="11" t="s">
        <v>136</v>
      </c>
      <c r="F30" s="11">
        <f>H16-3.6-3.6-2.5</f>
        <v>50.3</v>
      </c>
      <c r="G30" s="11">
        <f>D16-3</f>
        <v>17</v>
      </c>
      <c r="H30" s="11">
        <f>(D15)*C13</f>
        <v>0</v>
      </c>
      <c r="I30" s="11">
        <f ca="1">HLOOKUP(D30, materials[], 2,FALSE)</f>
        <v>2</v>
      </c>
      <c r="J30" s="11"/>
      <c r="K30" s="11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x14ac:dyDescent="0.3">
      <c r="A31" s="51">
        <v>3</v>
      </c>
      <c r="B31" s="15" t="str">
        <f>B21</f>
        <v xml:space="preserve">وحدة سفلية    أدراج </v>
      </c>
      <c r="C31" s="10">
        <f t="shared" si="0"/>
        <v>11</v>
      </c>
      <c r="D31" s="10" t="str">
        <f ca="1">H17</f>
        <v>HPL</v>
      </c>
      <c r="E31" s="10" t="s">
        <v>139</v>
      </c>
      <c r="F31" s="10">
        <f>H16-3.6-3.6-2.5</f>
        <v>50.3</v>
      </c>
      <c r="G31" s="10">
        <f>C16</f>
        <v>30</v>
      </c>
      <c r="H31" s="10">
        <f>C15*C13</f>
        <v>0</v>
      </c>
      <c r="I31" s="10">
        <f ca="1">HLOOKUP(D31, materials[], 2,FALSE)</f>
        <v>2</v>
      </c>
      <c r="J31" s="10"/>
      <c r="K31" s="10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51">
        <v>3</v>
      </c>
      <c r="B32" s="15" t="str">
        <f>B21</f>
        <v xml:space="preserve">وحدة سفلية    أدراج </v>
      </c>
      <c r="C32" s="10">
        <f t="shared" si="0"/>
        <v>12</v>
      </c>
      <c r="D32" s="10" t="str">
        <f ca="1">H17</f>
        <v>HPL</v>
      </c>
      <c r="E32" s="10" t="s">
        <v>140</v>
      </c>
      <c r="F32" s="10">
        <f ca="1">I14</f>
        <v>45</v>
      </c>
      <c r="G32" s="10">
        <f>C16</f>
        <v>30</v>
      </c>
      <c r="H32" s="10">
        <f>C15*2*C13</f>
        <v>0</v>
      </c>
      <c r="I32" s="10">
        <f ca="1">HLOOKUP(D32, materials[], 2,FALSE)</f>
        <v>2</v>
      </c>
      <c r="J32" s="10"/>
      <c r="K32" s="10" t="b"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x14ac:dyDescent="0.3">
      <c r="A33" s="51">
        <v>3</v>
      </c>
      <c r="B33" s="15" t="str">
        <f>B21</f>
        <v xml:space="preserve">وحدة سفلية    أدراج </v>
      </c>
      <c r="C33" s="10">
        <f t="shared" si="0"/>
        <v>13</v>
      </c>
      <c r="D33" s="10" t="str">
        <f ca="1">H17</f>
        <v>HPL</v>
      </c>
      <c r="E33" s="10" t="s">
        <v>141</v>
      </c>
      <c r="F33" s="10">
        <f>H16-3.6-3.6-2.5</f>
        <v>50.3</v>
      </c>
      <c r="G33" s="10">
        <f>C16-3</f>
        <v>27</v>
      </c>
      <c r="H33" s="10">
        <f>C15*C13</f>
        <v>0</v>
      </c>
      <c r="I33" s="10">
        <f ca="1">HLOOKUP(D33, materials[], 2,FALSE)</f>
        <v>2</v>
      </c>
      <c r="J33" s="10"/>
      <c r="K33" s="10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3</v>
      </c>
      <c r="B34" s="15" t="str">
        <f>B21</f>
        <v xml:space="preserve">وحدة سفلية    أدراج </v>
      </c>
      <c r="C34" s="11">
        <f t="shared" si="0"/>
        <v>14</v>
      </c>
      <c r="D34" s="11" t="str">
        <f ca="1">H17</f>
        <v>HPL</v>
      </c>
      <c r="E34" s="11" t="s">
        <v>138</v>
      </c>
      <c r="F34" s="11">
        <f>H16-3.6-3.6-2.5</f>
        <v>50.3</v>
      </c>
      <c r="G34" s="11">
        <f>F16</f>
        <v>7</v>
      </c>
      <c r="H34" s="11">
        <f>C13*F15*2</f>
        <v>0</v>
      </c>
      <c r="I34" s="11">
        <f ca="1">HLOOKUP(D34, materials[], 2,FALSE)</f>
        <v>2</v>
      </c>
      <c r="J34" s="11"/>
      <c r="K34" s="11" t="b">
        <v>1</v>
      </c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x14ac:dyDescent="0.3">
      <c r="A35" s="51">
        <v>3</v>
      </c>
      <c r="B35" s="15" t="str">
        <f>B21</f>
        <v xml:space="preserve">وحدة سفلية    أدراج </v>
      </c>
      <c r="C35" s="11">
        <f t="shared" si="0"/>
        <v>15</v>
      </c>
      <c r="D35" s="11" t="str">
        <f ca="1">H17</f>
        <v>HPL</v>
      </c>
      <c r="E35" s="11" t="s">
        <v>137</v>
      </c>
      <c r="F35" s="11">
        <f ca="1">I14</f>
        <v>45</v>
      </c>
      <c r="G35" s="11">
        <f>F16</f>
        <v>7</v>
      </c>
      <c r="H35" s="11">
        <f>C13*F15*2</f>
        <v>0</v>
      </c>
      <c r="I35" s="11">
        <f ca="1">HLOOKUP(D35, materials[], 2,FALSE)</f>
        <v>2</v>
      </c>
      <c r="J35" s="11"/>
      <c r="K35" s="11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4</v>
      </c>
      <c r="B37" s="15" t="str">
        <f>B21</f>
        <v xml:space="preserve">وحدة سفلية    أدراج </v>
      </c>
      <c r="C37" s="9">
        <f>C35+1</f>
        <v>16</v>
      </c>
      <c r="D37" s="9" t="str">
        <f ca="1">F17</f>
        <v>يوفيلاك</v>
      </c>
      <c r="E37" s="9" t="s">
        <v>144</v>
      </c>
      <c r="F37" s="9">
        <f ca="1">((I16/D17)-0.5-G16)</f>
        <v>15.5</v>
      </c>
      <c r="G37" s="9">
        <f>H16-0.5</f>
        <v>59.5</v>
      </c>
      <c r="H37" s="9" t="str">
        <f>IF(D17&gt;3,"",(D17*C13))</f>
        <v/>
      </c>
      <c r="I37" s="9">
        <f ca="1">HLOOKUP(D37, materials[], 2,FALSE)</f>
        <v>6</v>
      </c>
      <c r="J37" s="9"/>
      <c r="K37" s="9" t="b">
        <v>1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51">
        <v>4</v>
      </c>
      <c r="B38" s="15" t="str">
        <f>B21</f>
        <v xml:space="preserve">وحدة سفلية    أدراج </v>
      </c>
      <c r="C38" s="9">
        <f>C37+1</f>
        <v>17</v>
      </c>
      <c r="D38" s="9" t="str">
        <f ca="1">F17</f>
        <v>يوفيلاك</v>
      </c>
      <c r="E38" s="9" t="s">
        <v>145</v>
      </c>
      <c r="F38" s="9">
        <f ca="1">((I16/D17)-0.5-G16)</f>
        <v>15.5</v>
      </c>
      <c r="G38" s="9">
        <f>H16-0.5</f>
        <v>59.5</v>
      </c>
      <c r="H38" s="9" t="str">
        <f>IF(AND(D17=4,C17),(D17*C13),"")</f>
        <v/>
      </c>
      <c r="I38" s="9">
        <f ca="1">HLOOKUP(D38, materials[], 2,FALSE)</f>
        <v>6</v>
      </c>
      <c r="J38" s="9"/>
      <c r="K38" s="9" t="b">
        <v>1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4</v>
      </c>
      <c r="B39" s="15" t="str">
        <f>B21</f>
        <v xml:space="preserve">وحدة سفلية    أدراج </v>
      </c>
      <c r="C39" s="9">
        <f>C38+1</f>
        <v>18</v>
      </c>
      <c r="D39" s="9" t="str">
        <f ca="1">F17</f>
        <v>يوفيلاك</v>
      </c>
      <c r="E39" s="9" t="s">
        <v>146</v>
      </c>
      <c r="F39" s="9">
        <f ca="1">((I16/D17)-0.5-G16)</f>
        <v>15.5</v>
      </c>
      <c r="G39" s="9">
        <f>H16-0.5</f>
        <v>59.5</v>
      </c>
      <c r="H39" s="9">
        <f>IF(AND(D17=4,NOT(C17)),(D17*C13),"")</f>
        <v>4</v>
      </c>
      <c r="I39" s="9">
        <f ca="1">HLOOKUP(D39, materials[], 2,FALSE)</f>
        <v>6</v>
      </c>
      <c r="J39" s="9"/>
      <c r="K39" s="9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4</v>
      </c>
      <c r="B40" s="15" t="str">
        <f>B21</f>
        <v xml:space="preserve">وحدة سفلية    أدراج </v>
      </c>
      <c r="C40" s="9">
        <f>C39+1</f>
        <v>19</v>
      </c>
      <c r="D40" s="9" t="str">
        <f ca="1">F17</f>
        <v>يوفيلاك</v>
      </c>
      <c r="E40" s="9" t="s">
        <v>147</v>
      </c>
      <c r="F40" s="9">
        <f ca="1">((I16/D17)*2)-G16-0.5</f>
        <v>35</v>
      </c>
      <c r="G40" s="9">
        <f>H16-0.5</f>
        <v>59.5</v>
      </c>
      <c r="H40" s="9">
        <f>IF(AND(D17=4,NOT(C17)),(D17*C13),"")</f>
        <v>4</v>
      </c>
      <c r="I40" s="9">
        <f ca="1">HLOOKUP(D40, materials[], 2,FALSE)</f>
        <v>6</v>
      </c>
      <c r="J40" s="9"/>
      <c r="K40" s="9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ht="14.4" x14ac:dyDescent="0.3">
      <c r="A41" s="51">
        <v>0</v>
      </c>
      <c r="B41"/>
      <c r="C41"/>
      <c r="D41"/>
      <c r="E41"/>
      <c r="F41"/>
      <c r="G41"/>
      <c r="H41"/>
      <c r="I41"/>
      <c r="J41"/>
      <c r="K4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5</v>
      </c>
      <c r="B42" s="15" t="str">
        <f>B21</f>
        <v xml:space="preserve">وحدة سفلية    أدراج </v>
      </c>
      <c r="C42" s="19">
        <f>C37+1</f>
        <v>17</v>
      </c>
      <c r="D42" s="19" t="str">
        <f>G14</f>
        <v>ظهر</v>
      </c>
      <c r="E42" s="19" t="s">
        <v>58</v>
      </c>
      <c r="F42" s="19">
        <f ca="1">I16-2</f>
        <v>76</v>
      </c>
      <c r="G42" s="19">
        <f>H16-2</f>
        <v>58</v>
      </c>
      <c r="H42" s="19">
        <f>1*C13</f>
        <v>1</v>
      </c>
      <c r="I42" s="19">
        <f>HLOOKUP(D42, materials[], 2,FALSE)</f>
        <v>2</v>
      </c>
      <c r="J42" s="19"/>
      <c r="K42" s="19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5</v>
      </c>
      <c r="B43" s="15" t="str">
        <f>B21</f>
        <v xml:space="preserve">وحدة سفلية    أدراج </v>
      </c>
      <c r="C43" s="19">
        <f>C38+1</f>
        <v>18</v>
      </c>
      <c r="D43" s="19" t="str">
        <f>G14</f>
        <v>ظهر</v>
      </c>
      <c r="E43" s="19" t="s">
        <v>149</v>
      </c>
      <c r="F43" s="19">
        <f>H16-3.6-3.6-2.5+2</f>
        <v>52.3</v>
      </c>
      <c r="G43" s="19">
        <f ca="1">I14-1</f>
        <v>44</v>
      </c>
      <c r="H43" s="19">
        <f>E15*C13</f>
        <v>0</v>
      </c>
      <c r="I43" s="19">
        <f>HLOOKUP(D43, materials[], 2,FALSE)</f>
        <v>2</v>
      </c>
      <c r="J43" s="19"/>
      <c r="K43" s="19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5</v>
      </c>
      <c r="B44" s="15" t="str">
        <f>B21</f>
        <v xml:space="preserve">وحدة سفلية    أدراج </v>
      </c>
      <c r="C44" s="19">
        <f>C39+1</f>
        <v>19</v>
      </c>
      <c r="D44" s="19" t="str">
        <f>G14</f>
        <v>ظهر</v>
      </c>
      <c r="E44" s="19" t="s">
        <v>150</v>
      </c>
      <c r="F44" s="19">
        <f>H16-3.6-3.6-2.5+2</f>
        <v>52.3</v>
      </c>
      <c r="G44" s="19">
        <f ca="1">I14-1</f>
        <v>44</v>
      </c>
      <c r="H44" s="19">
        <f>(D15*C13)</f>
        <v>0</v>
      </c>
      <c r="I44" s="19">
        <f>HLOOKUP(D44, materials[], 2,FALSE)</f>
        <v>2</v>
      </c>
      <c r="J44" s="19"/>
      <c r="K44" s="19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5</v>
      </c>
      <c r="B45" s="15" t="str">
        <f>B21</f>
        <v xml:space="preserve">وحدة سفلية    أدراج </v>
      </c>
      <c r="C45" s="19">
        <f>C40+1</f>
        <v>20</v>
      </c>
      <c r="D45" s="19" t="str">
        <f>G14</f>
        <v>ظهر</v>
      </c>
      <c r="E45" s="19" t="s">
        <v>151</v>
      </c>
      <c r="F45" s="19">
        <f>H16-3.6-3.6-2.5+2</f>
        <v>52.3</v>
      </c>
      <c r="G45" s="19">
        <f ca="1">I14-1</f>
        <v>44</v>
      </c>
      <c r="H45" s="19">
        <f>C15*C13</f>
        <v>0</v>
      </c>
      <c r="I45" s="19">
        <f>HLOOKUP(D45, materials[], 2,FALSE)</f>
        <v>2</v>
      </c>
      <c r="J45" s="19"/>
      <c r="K45" s="19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255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255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ht="36" x14ac:dyDescent="0.3">
      <c r="A48" s="51" t="s">
        <v>160</v>
      </c>
      <c r="C48" s="14">
        <v>1</v>
      </c>
      <c r="D48" s="22" t="s">
        <v>59</v>
      </c>
      <c r="E48" s="101" t="s">
        <v>23</v>
      </c>
      <c r="F48" s="102"/>
      <c r="G48" s="102"/>
      <c r="H48" s="103"/>
      <c r="I48" s="2" t="s">
        <v>30</v>
      </c>
      <c r="J48" s="2">
        <f>letterToNumber(A48)</f>
        <v>2</v>
      </c>
      <c r="K48" s="7">
        <f ca="1">_xlfn.SHEET("وحدات سفلية")</f>
        <v>4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ht="31.2" x14ac:dyDescent="0.3">
      <c r="A49" s="51">
        <v>1</v>
      </c>
      <c r="C49" s="7" t="s">
        <v>12</v>
      </c>
      <c r="D49" s="7" t="s">
        <v>18</v>
      </c>
      <c r="E49" s="7" t="s">
        <v>16</v>
      </c>
      <c r="F49" s="105"/>
      <c r="G49" s="7" t="s">
        <v>24</v>
      </c>
      <c r="H49" s="7" t="s">
        <v>22</v>
      </c>
      <c r="I49" s="7" t="s">
        <v>3</v>
      </c>
      <c r="J49" s="7" t="s">
        <v>113</v>
      </c>
      <c r="K49" s="7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1</v>
      </c>
      <c r="C50" s="8">
        <v>1</v>
      </c>
      <c r="D50" s="8">
        <v>1</v>
      </c>
      <c r="E50" s="27" cm="1">
        <f t="array" aca="1" ref="E50" ca="1">defaultValue(E49,K48)</f>
        <v>3.5</v>
      </c>
      <c r="F50" s="105"/>
      <c r="G50" s="27">
        <v>56</v>
      </c>
      <c r="H50" s="8">
        <v>105</v>
      </c>
      <c r="I50" s="27" cm="1">
        <f t="array" aca="1" ref="I50" ca="1">defaultValue(I49,K48)</f>
        <v>78</v>
      </c>
      <c r="J50" s="27" cm="1">
        <f t="array" aca="1" ref="J50" ca="1">defaultValue(J49,K48)</f>
        <v>56</v>
      </c>
      <c r="K50" s="7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ht="31.2" x14ac:dyDescent="0.3">
      <c r="A51" s="51">
        <v>1</v>
      </c>
      <c r="C51" s="8"/>
      <c r="D51" s="27" t="str" cm="1">
        <f t="array" aca="1" ref="D51" ca="1">defaultValue(E51,K48)</f>
        <v>ظهر</v>
      </c>
      <c r="E51" s="7" t="s">
        <v>58</v>
      </c>
      <c r="F51" s="27" t="str" cm="1">
        <f t="array" aca="1" ref="F51" ca="1">defaultValue(G51,K48)</f>
        <v>يوفيلاك</v>
      </c>
      <c r="G51" s="7" t="s">
        <v>32</v>
      </c>
      <c r="H51" s="27" t="str" cm="1">
        <f t="array" aca="1" ref="H51" ca="1">defaultValue(I51,K48)</f>
        <v>HPL</v>
      </c>
      <c r="I51" s="7" t="s">
        <v>31</v>
      </c>
      <c r="J51" s="25" t="s">
        <v>111</v>
      </c>
      <c r="K51" s="7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ht="14.4" x14ac:dyDescent="0.3">
      <c r="A52" s="51">
        <v>0</v>
      </c>
      <c r="B52"/>
      <c r="C52"/>
      <c r="D52"/>
      <c r="E52"/>
      <c r="F52"/>
      <c r="G52"/>
      <c r="H52"/>
      <c r="I52"/>
      <c r="J52"/>
      <c r="K52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2</v>
      </c>
      <c r="C53" s="6" t="s">
        <v>4</v>
      </c>
      <c r="D53" s="6" t="s">
        <v>9</v>
      </c>
      <c r="E53" s="6" t="s">
        <v>5</v>
      </c>
      <c r="F53" s="6" t="s">
        <v>7</v>
      </c>
      <c r="G53" s="6" t="s">
        <v>1</v>
      </c>
      <c r="H53" s="6" t="s">
        <v>6</v>
      </c>
      <c r="I53" s="6" t="s">
        <v>33</v>
      </c>
      <c r="J53" s="6" t="s">
        <v>8</v>
      </c>
      <c r="K53" s="6" t="s">
        <v>185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51">
        <v>3</v>
      </c>
      <c r="B55" s="15" t="str">
        <f>E48</f>
        <v xml:space="preserve">وحدة سفلية  تلبيسة دلفة /دلفتين </v>
      </c>
      <c r="C55" s="6">
        <v>1</v>
      </c>
      <c r="D55" s="6" t="str">
        <f ca="1">H51</f>
        <v>HPL</v>
      </c>
      <c r="E55" s="6" t="s">
        <v>10</v>
      </c>
      <c r="F55" s="6">
        <f>H50-3.6</f>
        <v>101.4</v>
      </c>
      <c r="G55" s="6">
        <f ca="1">J50</f>
        <v>56</v>
      </c>
      <c r="H55" s="6">
        <f>1*C48</f>
        <v>1</v>
      </c>
      <c r="I55" s="6">
        <f ca="1">HLOOKUP(D55, materials[], 2,FALSE)</f>
        <v>2</v>
      </c>
      <c r="J55" s="6"/>
      <c r="K55" s="6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51">
        <v>3</v>
      </c>
      <c r="B56" s="15" t="str">
        <f>B55</f>
        <v xml:space="preserve">وحدة سفلية  تلبيسة دلفة /دلفتين </v>
      </c>
      <c r="C56" s="6">
        <f>C55+1</f>
        <v>2</v>
      </c>
      <c r="D56" s="6" t="str">
        <f ca="1">H51</f>
        <v>HPL</v>
      </c>
      <c r="E56" s="6" t="s">
        <v>11</v>
      </c>
      <c r="F56" s="6">
        <f ca="1">I50</f>
        <v>78</v>
      </c>
      <c r="G56" s="6">
        <f ca="1">J50</f>
        <v>56</v>
      </c>
      <c r="H56" s="6">
        <v>2</v>
      </c>
      <c r="I56" s="6">
        <f ca="1">HLOOKUP(D56, materials[], 2,FALSE)</f>
        <v>2</v>
      </c>
      <c r="J56" s="6"/>
      <c r="K56" s="6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51">
        <v>3</v>
      </c>
      <c r="B57" s="15" t="str">
        <f>B55</f>
        <v xml:space="preserve">وحدة سفلية  تلبيسة دلفة /دلفتين </v>
      </c>
      <c r="C57" s="6">
        <f t="shared" ref="C57:C60" si="1">C56+1</f>
        <v>3</v>
      </c>
      <c r="D57" s="6" t="str">
        <f ca="1">H51</f>
        <v>HPL</v>
      </c>
      <c r="E57" s="6" t="s">
        <v>13</v>
      </c>
      <c r="F57" s="6">
        <f>H50-3.6</f>
        <v>101.4</v>
      </c>
      <c r="G57" s="6">
        <v>10</v>
      </c>
      <c r="H57" s="6">
        <f>1*C48</f>
        <v>1</v>
      </c>
      <c r="I57" s="6">
        <f ca="1">HLOOKUP(D57, materials[], 2,FALSE)</f>
        <v>2</v>
      </c>
      <c r="J57" s="6"/>
      <c r="K57" s="6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51">
        <v>3</v>
      </c>
      <c r="B58" s="15" t="str">
        <f>B55</f>
        <v xml:space="preserve">وحدة سفلية  تلبيسة دلفة /دلفتين </v>
      </c>
      <c r="C58" s="6">
        <f t="shared" si="1"/>
        <v>4</v>
      </c>
      <c r="D58" s="6" t="str">
        <f ca="1">H51</f>
        <v>HPL</v>
      </c>
      <c r="E58" s="6" t="s">
        <v>14</v>
      </c>
      <c r="F58" s="6">
        <f>H50-3.6</f>
        <v>101.4</v>
      </c>
      <c r="G58" s="6">
        <v>7</v>
      </c>
      <c r="H58" s="6">
        <f>1*C48</f>
        <v>1</v>
      </c>
      <c r="I58" s="6">
        <f ca="1">HLOOKUP(D58, materials[], 2,FALSE)</f>
        <v>2</v>
      </c>
      <c r="J58" s="6"/>
      <c r="K58" s="6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51">
        <v>3</v>
      </c>
      <c r="B59" s="15" t="str">
        <f>B55</f>
        <v xml:space="preserve">وحدة سفلية  تلبيسة دلفة /دلفتين </v>
      </c>
      <c r="C59" s="6">
        <f t="shared" si="1"/>
        <v>5</v>
      </c>
      <c r="D59" s="6" t="str">
        <f ca="1">H51</f>
        <v>HPL</v>
      </c>
      <c r="E59" s="6" t="s">
        <v>17</v>
      </c>
      <c r="F59" s="6">
        <f>H50-3.8</f>
        <v>101.2</v>
      </c>
      <c r="G59" s="6">
        <f ca="1">J50-6</f>
        <v>50</v>
      </c>
      <c r="H59" s="6">
        <f>D50*C48</f>
        <v>1</v>
      </c>
      <c r="I59" s="6">
        <f ca="1">HLOOKUP(D59, materials[], 2,FALSE)</f>
        <v>2</v>
      </c>
      <c r="J59" s="6"/>
      <c r="K59" s="6" t="b">
        <v>1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3</v>
      </c>
      <c r="B60" s="15" t="str">
        <f>B55</f>
        <v xml:space="preserve">وحدة سفلية  تلبيسة دلفة /دلفتين </v>
      </c>
      <c r="C60" s="6">
        <f t="shared" si="1"/>
        <v>6</v>
      </c>
      <c r="D60" s="6" t="str">
        <f ca="1">H51</f>
        <v>HPL</v>
      </c>
      <c r="E60" s="6" t="s">
        <v>24</v>
      </c>
      <c r="F60" s="6">
        <f ca="1">I50</f>
        <v>78</v>
      </c>
      <c r="G60" s="6">
        <f>G50</f>
        <v>56</v>
      </c>
      <c r="H60" s="6">
        <f>1*C48</f>
        <v>1</v>
      </c>
      <c r="I60" s="6">
        <f ca="1">HLOOKUP(D60, materials[], 2,FALSE)</f>
        <v>2</v>
      </c>
      <c r="J60" s="6"/>
      <c r="K60" s="6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ht="14.4" x14ac:dyDescent="0.3">
      <c r="A61" s="51">
        <v>0</v>
      </c>
      <c r="B61"/>
      <c r="C61"/>
      <c r="D61"/>
      <c r="E61"/>
      <c r="F61"/>
      <c r="G61"/>
      <c r="H61"/>
      <c r="I61"/>
      <c r="J61"/>
      <c r="K6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4</v>
      </c>
      <c r="B62" s="15" t="str">
        <f>B55</f>
        <v xml:space="preserve">وحدة سفلية  تلبيسة دلفة /دلفتين </v>
      </c>
      <c r="C62" s="9">
        <f>C60+1</f>
        <v>7</v>
      </c>
      <c r="D62" s="9" t="str">
        <f ca="1">F51</f>
        <v>يوفيلاك</v>
      </c>
      <c r="E62" s="9" t="s">
        <v>15</v>
      </c>
      <c r="F62" s="9">
        <f ca="1">I50-0.5-E50</f>
        <v>74</v>
      </c>
      <c r="G62" s="9">
        <f>(H50-G50-G63)/C50-0.5</f>
        <v>44.5</v>
      </c>
      <c r="H62" s="9">
        <f>C50*C48</f>
        <v>1</v>
      </c>
      <c r="I62" s="9">
        <f ca="1">HLOOKUP(D62, materials[], 2,FALSE)</f>
        <v>6</v>
      </c>
      <c r="J62" s="9"/>
      <c r="K62" s="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4</v>
      </c>
      <c r="B63" s="15" t="str">
        <f>B55</f>
        <v xml:space="preserve">وحدة سفلية  تلبيسة دلفة /دلفتين </v>
      </c>
      <c r="C63" s="9">
        <f t="shared" ref="C63" si="2">C62+1</f>
        <v>8</v>
      </c>
      <c r="D63" s="9" t="str">
        <f ca="1">F51</f>
        <v>يوفيلاك</v>
      </c>
      <c r="E63" s="9" t="s">
        <v>25</v>
      </c>
      <c r="F63" s="9">
        <f ca="1">I50</f>
        <v>78</v>
      </c>
      <c r="G63" s="9">
        <v>4</v>
      </c>
      <c r="H63" s="9">
        <f>1*C48</f>
        <v>1</v>
      </c>
      <c r="I63" s="9">
        <f ca="1">HLOOKUP(D63, materials[], 2,FALSE)</f>
        <v>6</v>
      </c>
      <c r="J63" s="9"/>
      <c r="K63" s="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ht="14.4" x14ac:dyDescent="0.3">
      <c r="A64" s="51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5</v>
      </c>
      <c r="B65" s="15" t="str">
        <f>B55</f>
        <v xml:space="preserve">وحدة سفلية  تلبيسة دلفة /دلفتين </v>
      </c>
      <c r="C65" s="19">
        <f>C63+1</f>
        <v>9</v>
      </c>
      <c r="D65" s="19" t="str">
        <f ca="1">D51</f>
        <v>ظهر</v>
      </c>
      <c r="E65" s="19" t="s">
        <v>58</v>
      </c>
      <c r="F65" s="19">
        <f ca="1">I50-2</f>
        <v>76</v>
      </c>
      <c r="G65" s="19">
        <f>H50-2</f>
        <v>103</v>
      </c>
      <c r="H65" s="19">
        <f>1*C48</f>
        <v>1</v>
      </c>
      <c r="I65" s="19">
        <f ca="1">HLOOKUP(D65, materials[], 2,FALSE)</f>
        <v>2</v>
      </c>
      <c r="J65" s="19"/>
      <c r="K65" s="19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x14ac:dyDescent="0.3">
      <c r="A66" s="51">
        <v>255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x14ac:dyDescent="0.3">
      <c r="A67" s="51">
        <v>255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ht="36" x14ac:dyDescent="0.3">
      <c r="A68" s="51" t="s">
        <v>156</v>
      </c>
      <c r="C68" s="14">
        <v>1</v>
      </c>
      <c r="D68" s="22" t="s">
        <v>59</v>
      </c>
      <c r="E68" s="101" t="s">
        <v>26</v>
      </c>
      <c r="F68" s="102"/>
      <c r="G68" s="102"/>
      <c r="H68" s="103"/>
      <c r="I68" s="2" t="s">
        <v>30</v>
      </c>
      <c r="J68" s="2">
        <f>letterToNumber(A68)</f>
        <v>3</v>
      </c>
      <c r="K68" s="7">
        <f ca="1">_xlfn.SHEET("وحدات سفلية")</f>
        <v>4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x14ac:dyDescent="0.3">
      <c r="A69" s="51">
        <v>1</v>
      </c>
      <c r="C69" s="7"/>
      <c r="D69" s="7" t="s">
        <v>18</v>
      </c>
      <c r="E69" s="7" t="s">
        <v>16</v>
      </c>
      <c r="F69" s="105"/>
      <c r="G69" s="7"/>
      <c r="H69" s="7" t="s">
        <v>22</v>
      </c>
      <c r="I69" s="7" t="s">
        <v>3</v>
      </c>
      <c r="J69" s="7" t="s">
        <v>113</v>
      </c>
      <c r="K69" s="7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x14ac:dyDescent="0.3">
      <c r="A70" s="51">
        <v>1</v>
      </c>
      <c r="C70" s="8"/>
      <c r="D70" s="8">
        <v>1</v>
      </c>
      <c r="E70" s="27" cm="1">
        <f t="array" aca="1" ref="E70" ca="1">defaultValue(E69,K68)</f>
        <v>3.5</v>
      </c>
      <c r="F70" s="105"/>
      <c r="G70" s="7"/>
      <c r="H70" s="8"/>
      <c r="I70" s="27" cm="1">
        <f t="array" aca="1" ref="I70" ca="1">defaultValue(I69,K68)</f>
        <v>78</v>
      </c>
      <c r="J70" s="27" cm="1">
        <f t="array" aca="1" ref="J70" ca="1">defaultValue(J69,K68)</f>
        <v>56</v>
      </c>
      <c r="K70" s="7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x14ac:dyDescent="0.3">
      <c r="A71" s="51">
        <v>1</v>
      </c>
      <c r="C71" s="28"/>
      <c r="D71" s="12"/>
      <c r="E71" s="12"/>
      <c r="F71" s="13"/>
      <c r="G71" s="7"/>
      <c r="H71" s="8"/>
      <c r="I71" s="27" cm="1">
        <f t="array" aca="1" ref="I71" ca="1">defaultValue(I69,K68)</f>
        <v>78</v>
      </c>
      <c r="J71" s="27" cm="1">
        <f t="array" aca="1" ref="J71" ca="1">defaultValue(J69,K68)</f>
        <v>56</v>
      </c>
      <c r="K71" s="7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31.2" x14ac:dyDescent="0.3">
      <c r="A72" s="51">
        <v>1</v>
      </c>
      <c r="C72" s="8"/>
      <c r="D72" s="27" t="str" cm="1">
        <f t="array" aca="1" ref="D72" ca="1">defaultValue(E72,K68)</f>
        <v>ظهر</v>
      </c>
      <c r="E72" s="7" t="s">
        <v>58</v>
      </c>
      <c r="F72" s="27" t="str" cm="1">
        <f t="array" aca="1" ref="F72" ca="1">defaultValue(G72,K68)</f>
        <v>يوفيلاك</v>
      </c>
      <c r="G72" s="7" t="s">
        <v>32</v>
      </c>
      <c r="H72" s="27" t="str" cm="1">
        <f t="array" aca="1" ref="H72" ca="1">defaultValue(I72,K68)</f>
        <v>HPL</v>
      </c>
      <c r="I72" s="7" t="s">
        <v>31</v>
      </c>
      <c r="J72" s="25" t="s">
        <v>111</v>
      </c>
      <c r="K72" s="7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ht="14.4" x14ac:dyDescent="0.3">
      <c r="A73" s="51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51">
        <v>2</v>
      </c>
      <c r="C74" s="6" t="s">
        <v>4</v>
      </c>
      <c r="D74" s="6" t="s">
        <v>9</v>
      </c>
      <c r="E74" s="6" t="s">
        <v>5</v>
      </c>
      <c r="F74" s="6" t="s">
        <v>7</v>
      </c>
      <c r="G74" s="6" t="s">
        <v>1</v>
      </c>
      <c r="H74" s="6" t="s">
        <v>6</v>
      </c>
      <c r="I74" s="6" t="s">
        <v>33</v>
      </c>
      <c r="J74" s="6" t="s">
        <v>8</v>
      </c>
      <c r="K74" s="6" t="s">
        <v>185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ht="14.4" x14ac:dyDescent="0.3">
      <c r="A75" s="51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51">
        <v>3</v>
      </c>
      <c r="B76" s="15">
        <f>B75</f>
        <v>0</v>
      </c>
      <c r="C76" s="6">
        <v>1</v>
      </c>
      <c r="D76" s="6" t="str">
        <f ca="1">H72</f>
        <v>HPL</v>
      </c>
      <c r="E76" s="6" t="s">
        <v>10</v>
      </c>
      <c r="F76" s="6">
        <f>H70-1.8</f>
        <v>-1.8</v>
      </c>
      <c r="G76" s="6">
        <f>H71-1.8</f>
        <v>-1.8</v>
      </c>
      <c r="H76" s="6">
        <f>1*C68</f>
        <v>1</v>
      </c>
      <c r="I76" s="6">
        <f ca="1">HLOOKUP(D76, materials[], 2,FALSE)</f>
        <v>2</v>
      </c>
      <c r="J76" s="6"/>
      <c r="K76" s="6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51">
        <v>3</v>
      </c>
      <c r="B77" s="15">
        <f>B75</f>
        <v>0</v>
      </c>
      <c r="C77" s="6">
        <f>C76+1</f>
        <v>2</v>
      </c>
      <c r="D77" s="6" t="str">
        <f ca="1">H72</f>
        <v>HPL</v>
      </c>
      <c r="E77" s="6" t="s">
        <v>11</v>
      </c>
      <c r="F77" s="6">
        <f ca="1">I70</f>
        <v>78</v>
      </c>
      <c r="G77" s="6">
        <f ca="1">J70</f>
        <v>56</v>
      </c>
      <c r="H77" s="6">
        <f>2*C68</f>
        <v>2</v>
      </c>
      <c r="I77" s="6">
        <f ca="1">HLOOKUP(D77, materials[], 2,FALSE)</f>
        <v>2</v>
      </c>
      <c r="J77" s="6"/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51">
        <v>3</v>
      </c>
      <c r="B78" s="15">
        <f>B75</f>
        <v>0</v>
      </c>
      <c r="C78" s="6">
        <f t="shared" ref="C78:C81" si="3">C77+1</f>
        <v>3</v>
      </c>
      <c r="D78" s="6" t="str">
        <f ca="1">H72</f>
        <v>HPL</v>
      </c>
      <c r="E78" s="6" t="s">
        <v>13</v>
      </c>
      <c r="F78" s="6">
        <f>H70-1.8</f>
        <v>-1.8</v>
      </c>
      <c r="G78" s="6">
        <v>10</v>
      </c>
      <c r="H78" s="6">
        <f>2*C68</f>
        <v>2</v>
      </c>
      <c r="I78" s="6">
        <f ca="1">HLOOKUP(D78, materials[], 2,FALSE)</f>
        <v>2</v>
      </c>
      <c r="J78" s="6"/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51">
        <v>3</v>
      </c>
      <c r="B79" s="15">
        <f>B75</f>
        <v>0</v>
      </c>
      <c r="C79" s="6">
        <f t="shared" si="3"/>
        <v>4</v>
      </c>
      <c r="D79" s="6" t="str">
        <f ca="1">H72</f>
        <v>HPL</v>
      </c>
      <c r="E79" s="6" t="s">
        <v>14</v>
      </c>
      <c r="F79" s="6">
        <f>H70-1.8</f>
        <v>-1.8</v>
      </c>
      <c r="G79" s="6">
        <v>7</v>
      </c>
      <c r="H79" s="6">
        <f>2*C68</f>
        <v>2</v>
      </c>
      <c r="I79" s="6">
        <f ca="1">HLOOKUP(D79, materials[], 2,FALSE)</f>
        <v>2</v>
      </c>
      <c r="J79" s="6"/>
      <c r="K79" s="6" t="b">
        <v>1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51">
        <v>3</v>
      </c>
      <c r="B80" s="15">
        <f>B75</f>
        <v>0</v>
      </c>
      <c r="C80" s="6">
        <f t="shared" si="3"/>
        <v>5</v>
      </c>
      <c r="D80" s="6" t="str">
        <f ca="1">H72</f>
        <v>HPL</v>
      </c>
      <c r="E80" s="6" t="s">
        <v>27</v>
      </c>
      <c r="F80" s="6">
        <f ca="1">I70</f>
        <v>78</v>
      </c>
      <c r="G80" s="6">
        <v>10</v>
      </c>
      <c r="H80" s="6">
        <f>1*C68</f>
        <v>1</v>
      </c>
      <c r="I80" s="6">
        <f ca="1">HLOOKUP(D80, materials[], 2,FALSE)</f>
        <v>2</v>
      </c>
      <c r="J80" s="6"/>
      <c r="K80" s="6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51">
        <v>3</v>
      </c>
      <c r="B81" s="15">
        <f>B75</f>
        <v>0</v>
      </c>
      <c r="C81" s="6">
        <f t="shared" si="3"/>
        <v>6</v>
      </c>
      <c r="D81" s="6" t="str">
        <f ca="1">H72</f>
        <v>HPL</v>
      </c>
      <c r="E81" s="6" t="s">
        <v>17</v>
      </c>
      <c r="F81" s="6">
        <f>H70-3.8</f>
        <v>-3.8</v>
      </c>
      <c r="G81" s="6">
        <f>H71-3.8</f>
        <v>-3.8</v>
      </c>
      <c r="H81" s="6">
        <f>D70*C68</f>
        <v>1</v>
      </c>
      <c r="I81" s="6">
        <f ca="1">HLOOKUP(D81, materials[], 2,FALSE)</f>
        <v>2</v>
      </c>
      <c r="J81" s="6"/>
      <c r="K81" s="6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ht="14.4" x14ac:dyDescent="0.3">
      <c r="A82" s="51">
        <v>0</v>
      </c>
      <c r="B82"/>
      <c r="C82"/>
      <c r="D82"/>
      <c r="E82"/>
      <c r="F82"/>
      <c r="G82"/>
      <c r="H82"/>
      <c r="I82"/>
      <c r="J82"/>
      <c r="K82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51">
        <v>4</v>
      </c>
      <c r="B83" s="15">
        <f>B75</f>
        <v>0</v>
      </c>
      <c r="C83" s="9">
        <f>C81+1</f>
        <v>7</v>
      </c>
      <c r="D83" s="9" t="str">
        <f ca="1">F72</f>
        <v>يوفيلاك</v>
      </c>
      <c r="E83" s="9" t="s">
        <v>28</v>
      </c>
      <c r="F83" s="9">
        <f ca="1">I70-0.5-E70</f>
        <v>74</v>
      </c>
      <c r="G83" s="9">
        <f>H70-56-3</f>
        <v>-59</v>
      </c>
      <c r="H83" s="9">
        <f>1*C68</f>
        <v>1</v>
      </c>
      <c r="I83" s="9">
        <f ca="1">HLOOKUP(D83, materials[], 2,FALSE)</f>
        <v>6</v>
      </c>
      <c r="J83" s="9"/>
      <c r="K83" s="9" t="b">
        <v>1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51">
        <v>4</v>
      </c>
      <c r="B84" s="15">
        <f>B75</f>
        <v>0</v>
      </c>
      <c r="C84" s="9">
        <f t="shared" ref="C84" si="4">C83+1</f>
        <v>8</v>
      </c>
      <c r="D84" s="9" t="str">
        <f ca="1">F72</f>
        <v>يوفيلاك</v>
      </c>
      <c r="E84" s="9" t="s">
        <v>41</v>
      </c>
      <c r="F84" s="9">
        <f ca="1">I71-0.5-E70</f>
        <v>74</v>
      </c>
      <c r="G84" s="9">
        <f>H71-56-3</f>
        <v>-59</v>
      </c>
      <c r="H84" s="9">
        <f>1*C68</f>
        <v>1</v>
      </c>
      <c r="I84" s="9">
        <f ca="1">HLOOKUP(D84, materials[], 2,FALSE)</f>
        <v>6</v>
      </c>
      <c r="J84" s="9"/>
      <c r="K84" s="9" t="b">
        <v>1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ht="14.4" x14ac:dyDescent="0.3">
      <c r="A85" s="51">
        <v>0</v>
      </c>
      <c r="B85"/>
      <c r="C85"/>
      <c r="D85"/>
      <c r="E85"/>
      <c r="F85"/>
      <c r="G85"/>
      <c r="H85"/>
      <c r="I85"/>
      <c r="J85"/>
      <c r="K85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x14ac:dyDescent="0.3">
      <c r="A86" s="51">
        <v>5</v>
      </c>
      <c r="B86" s="15">
        <f>B75</f>
        <v>0</v>
      </c>
      <c r="C86" s="19">
        <f>C84+1</f>
        <v>9</v>
      </c>
      <c r="D86" s="19" t="str">
        <f ca="1">D72</f>
        <v>ظهر</v>
      </c>
      <c r="E86" s="19" t="s">
        <v>58</v>
      </c>
      <c r="F86" s="19">
        <f ca="1">I71-1</f>
        <v>77</v>
      </c>
      <c r="G86" s="19">
        <f>H71-1</f>
        <v>-1</v>
      </c>
      <c r="H86" s="19">
        <f>2*C68</f>
        <v>2</v>
      </c>
      <c r="I86" s="19">
        <f ca="1">HLOOKUP(D86, materials[], 2,FALSE)</f>
        <v>2</v>
      </c>
      <c r="J86" s="19"/>
      <c r="K86" s="19" t="b">
        <v>1</v>
      </c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51">
        <v>255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51">
        <v>255</v>
      </c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ht="36" x14ac:dyDescent="0.3">
      <c r="A89" s="51" t="s">
        <v>161</v>
      </c>
      <c r="C89" s="14">
        <v>1</v>
      </c>
      <c r="D89" s="22" t="s">
        <v>59</v>
      </c>
      <c r="E89" s="101" t="s">
        <v>29</v>
      </c>
      <c r="F89" s="102"/>
      <c r="G89" s="102"/>
      <c r="H89" s="103"/>
      <c r="I89" s="2" t="s">
        <v>30</v>
      </c>
      <c r="J89" s="2">
        <f>letterToNumber(A89)</f>
        <v>4</v>
      </c>
      <c r="K89" s="7">
        <f ca="1">_xlfn.SHEET("وحدات سفلية")</f>
        <v>4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x14ac:dyDescent="0.3">
      <c r="A90" s="51">
        <v>1</v>
      </c>
      <c r="C90" s="7"/>
      <c r="D90" s="7" t="s">
        <v>18</v>
      </c>
      <c r="E90" s="7" t="s">
        <v>16</v>
      </c>
      <c r="F90" s="105"/>
      <c r="G90" s="7"/>
      <c r="H90" s="7" t="s">
        <v>22</v>
      </c>
      <c r="I90" s="7" t="s">
        <v>3</v>
      </c>
      <c r="J90" s="7" t="s">
        <v>113</v>
      </c>
      <c r="K90" s="7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x14ac:dyDescent="0.3">
      <c r="A91" s="51">
        <v>1</v>
      </c>
      <c r="C91" s="8"/>
      <c r="D91" s="8">
        <v>1</v>
      </c>
      <c r="E91" s="27" cm="1">
        <f t="array" aca="1" ref="E91" ca="1">defaultValue(E90,K89)</f>
        <v>3.5</v>
      </c>
      <c r="F91" s="105"/>
      <c r="G91" s="7"/>
      <c r="H91" s="8"/>
      <c r="I91" s="27" cm="1">
        <f t="array" aca="1" ref="I91" ca="1">defaultValue(I90,K89)</f>
        <v>78</v>
      </c>
      <c r="J91" s="27" cm="1">
        <f t="array" aca="1" ref="J91" ca="1">defaultValue(J90,K89)</f>
        <v>56</v>
      </c>
      <c r="K91" s="7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x14ac:dyDescent="0.3">
      <c r="A92" s="51">
        <v>1</v>
      </c>
      <c r="C92" s="28"/>
      <c r="D92" s="12"/>
      <c r="E92" s="12"/>
      <c r="F92" s="13"/>
      <c r="G92" s="7"/>
      <c r="H92" s="8"/>
      <c r="I92" s="27" cm="1">
        <f t="array" aca="1" ref="I92" ca="1">defaultValue(I90,K89)</f>
        <v>78</v>
      </c>
      <c r="J92" s="27" cm="1">
        <f t="array" aca="1" ref="J92" ca="1">defaultValue(J90,K89)</f>
        <v>56</v>
      </c>
      <c r="K92" s="7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ht="31.2" x14ac:dyDescent="0.3">
      <c r="A93" s="51">
        <v>1</v>
      </c>
      <c r="C93" s="8"/>
      <c r="D93" s="27" t="str" cm="1">
        <f t="array" aca="1" ref="D93" ca="1">defaultValue(E93,K89)</f>
        <v>ظهر</v>
      </c>
      <c r="E93" s="7" t="s">
        <v>58</v>
      </c>
      <c r="F93" s="27" t="str" cm="1">
        <f t="array" aca="1" ref="F93" ca="1">defaultValue(G93,K89)</f>
        <v>يوفيلاك</v>
      </c>
      <c r="G93" s="7" t="s">
        <v>32</v>
      </c>
      <c r="H93" s="27" t="str" cm="1">
        <f t="array" aca="1" ref="H93" ca="1">defaultValue(I93,K89)</f>
        <v>HPL</v>
      </c>
      <c r="I93" s="7" t="s">
        <v>31</v>
      </c>
      <c r="J93" s="25" t="s">
        <v>111</v>
      </c>
      <c r="K93" s="7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ht="14.4" x14ac:dyDescent="0.3">
      <c r="A94" s="51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x14ac:dyDescent="0.3">
      <c r="A95" s="51">
        <v>2</v>
      </c>
      <c r="C95" s="6" t="s">
        <v>4</v>
      </c>
      <c r="D95" s="6" t="s">
        <v>9</v>
      </c>
      <c r="E95" s="6" t="s">
        <v>5</v>
      </c>
      <c r="F95" s="6" t="s">
        <v>7</v>
      </c>
      <c r="G95" s="6" t="s">
        <v>1</v>
      </c>
      <c r="H95" s="6" t="s">
        <v>6</v>
      </c>
      <c r="I95" s="6" t="s">
        <v>33</v>
      </c>
      <c r="J95" s="6" t="s">
        <v>8</v>
      </c>
      <c r="K95" s="6" t="s">
        <v>185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ht="14.4" x14ac:dyDescent="0.3">
      <c r="A96" s="51">
        <v>0</v>
      </c>
      <c r="B96"/>
      <c r="C96"/>
      <c r="D96"/>
      <c r="E96"/>
      <c r="F96"/>
      <c r="G96"/>
      <c r="H96"/>
      <c r="I96"/>
      <c r="J96"/>
      <c r="K96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9" x14ac:dyDescent="0.3">
      <c r="A97" s="51">
        <v>3</v>
      </c>
      <c r="B97" s="15" t="str">
        <f>E89</f>
        <v>وحدة سفلية  ركنة 45</v>
      </c>
      <c r="C97" s="6">
        <v>1</v>
      </c>
      <c r="D97" s="6" t="str">
        <f ca="1">H93</f>
        <v>HPL</v>
      </c>
      <c r="E97" s="6" t="s">
        <v>10</v>
      </c>
      <c r="F97" s="6">
        <f>H91-1.8</f>
        <v>-1.8</v>
      </c>
      <c r="G97" s="6">
        <f>H92-1.8</f>
        <v>-1.8</v>
      </c>
      <c r="H97" s="6">
        <f>1*C89</f>
        <v>1</v>
      </c>
      <c r="I97" s="6">
        <f ca="1">HLOOKUP(D97, materials[], 2,FALSE)</f>
        <v>2</v>
      </c>
      <c r="J97" s="6"/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9" x14ac:dyDescent="0.3">
      <c r="A98" s="51">
        <v>3</v>
      </c>
      <c r="B98" s="15" t="str">
        <f>B97</f>
        <v>وحدة سفلية  ركنة 45</v>
      </c>
      <c r="C98" s="6">
        <f>C97+1</f>
        <v>2</v>
      </c>
      <c r="D98" s="6" t="str">
        <f ca="1">H93</f>
        <v>HPL</v>
      </c>
      <c r="E98" s="6" t="s">
        <v>11</v>
      </c>
      <c r="F98" s="6">
        <f ca="1">I91</f>
        <v>78</v>
      </c>
      <c r="G98" s="6">
        <f ca="1">J91</f>
        <v>56</v>
      </c>
      <c r="H98" s="6">
        <f>2*C89</f>
        <v>2</v>
      </c>
      <c r="I98" s="6">
        <f ca="1">HLOOKUP(D98, materials[], 2,FALSE)</f>
        <v>2</v>
      </c>
      <c r="J98" s="6"/>
      <c r="K98" s="6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9" x14ac:dyDescent="0.3">
      <c r="A99" s="51">
        <v>3</v>
      </c>
      <c r="B99" s="15" t="str">
        <f>B97</f>
        <v>وحدة سفلية  ركنة 45</v>
      </c>
      <c r="C99" s="6">
        <f t="shared" ref="C99:C102" si="5">C98+1</f>
        <v>3</v>
      </c>
      <c r="D99" s="6" t="str">
        <f ca="1">H93</f>
        <v>HPL</v>
      </c>
      <c r="E99" s="6" t="s">
        <v>13</v>
      </c>
      <c r="F99" s="6">
        <f>H91-1.8</f>
        <v>-1.8</v>
      </c>
      <c r="G99" s="6">
        <v>10</v>
      </c>
      <c r="H99" s="6">
        <f>3*C89</f>
        <v>3</v>
      </c>
      <c r="I99" s="6">
        <f ca="1">HLOOKUP(D99, materials[], 2,FALSE)</f>
        <v>2</v>
      </c>
      <c r="J99" s="6"/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</row>
    <row r="100" spans="1:79" x14ac:dyDescent="0.3">
      <c r="A100" s="51">
        <v>3</v>
      </c>
      <c r="B100" s="15" t="str">
        <f>B97</f>
        <v>وحدة سفلية  ركنة 45</v>
      </c>
      <c r="C100" s="6">
        <f t="shared" si="5"/>
        <v>4</v>
      </c>
      <c r="D100" s="6" t="str">
        <f ca="1">H93</f>
        <v>HPL</v>
      </c>
      <c r="E100" s="6" t="s">
        <v>14</v>
      </c>
      <c r="F100" s="6">
        <f>H91-1.8</f>
        <v>-1.8</v>
      </c>
      <c r="G100" s="6">
        <v>7</v>
      </c>
      <c r="H100" s="6">
        <f>2*C89</f>
        <v>2</v>
      </c>
      <c r="I100" s="6">
        <f ca="1">HLOOKUP(D100, materials[], 2,FALSE)</f>
        <v>2</v>
      </c>
      <c r="J100" s="6"/>
      <c r="K100" s="6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</row>
    <row r="101" spans="1:79" x14ac:dyDescent="0.3">
      <c r="A101" s="51">
        <v>3</v>
      </c>
      <c r="B101" s="15" t="str">
        <f>B97</f>
        <v>وحدة سفلية  ركنة 45</v>
      </c>
      <c r="C101" s="6">
        <f t="shared" si="5"/>
        <v>5</v>
      </c>
      <c r="D101" s="6" t="str">
        <f ca="1">H93</f>
        <v>HPL</v>
      </c>
      <c r="E101" s="6" t="s">
        <v>27</v>
      </c>
      <c r="F101" s="6">
        <v>70</v>
      </c>
      <c r="G101" s="6">
        <v>10</v>
      </c>
      <c r="H101" s="6">
        <f>1*C89</f>
        <v>1</v>
      </c>
      <c r="I101" s="6">
        <f ca="1">HLOOKUP(D101, materials[], 2,FALSE)</f>
        <v>2</v>
      </c>
      <c r="J101" s="6"/>
      <c r="K101" s="6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</row>
    <row r="102" spans="1:79" x14ac:dyDescent="0.3">
      <c r="A102" s="51">
        <v>3</v>
      </c>
      <c r="B102" s="15" t="str">
        <f>B97</f>
        <v>وحدة سفلية  ركنة 45</v>
      </c>
      <c r="C102" s="6">
        <f t="shared" si="5"/>
        <v>6</v>
      </c>
      <c r="D102" s="6" t="str">
        <f ca="1">H93</f>
        <v>HPL</v>
      </c>
      <c r="E102" s="6" t="s">
        <v>17</v>
      </c>
      <c r="F102" s="6">
        <f>H91-3.8</f>
        <v>-3.8</v>
      </c>
      <c r="G102" s="6">
        <f>H92-3.8</f>
        <v>-3.8</v>
      </c>
      <c r="H102" s="6">
        <f>D91*C89</f>
        <v>1</v>
      </c>
      <c r="I102" s="6">
        <f ca="1">HLOOKUP(D102, materials[], 2,FALSE)</f>
        <v>2</v>
      </c>
      <c r="J102" s="6"/>
      <c r="K102" s="6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</row>
    <row r="103" spans="1:79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</row>
    <row r="104" spans="1:79" x14ac:dyDescent="0.3">
      <c r="A104" s="51">
        <v>4</v>
      </c>
      <c r="B104" s="15" t="str">
        <f>B97</f>
        <v>وحدة سفلية  ركنة 45</v>
      </c>
      <c r="C104" s="9">
        <f>C102+1</f>
        <v>7</v>
      </c>
      <c r="D104" s="9" t="str">
        <f ca="1">F93</f>
        <v>يوفيلاك</v>
      </c>
      <c r="E104" s="9" t="s">
        <v>28</v>
      </c>
      <c r="F104" s="9">
        <f ca="1">I91-0.5-E91</f>
        <v>74</v>
      </c>
      <c r="G104" s="17">
        <f ca="1">(SQRT((H91-J91)^2+(H92-J92)^2))-2</f>
        <v>77.195959492893323</v>
      </c>
      <c r="H104" s="9">
        <f>1*C89</f>
        <v>1</v>
      </c>
      <c r="I104" s="9">
        <f ca="1">HLOOKUP(D104, materials[], 2,FALSE)</f>
        <v>6</v>
      </c>
      <c r="J104" s="9"/>
      <c r="K104" s="9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</row>
    <row r="105" spans="1:79" ht="14.4" x14ac:dyDescent="0.3">
      <c r="A105" s="51">
        <v>0</v>
      </c>
      <c r="B105"/>
      <c r="C105"/>
      <c r="D105"/>
      <c r="E105"/>
      <c r="F105"/>
      <c r="G105"/>
      <c r="H105"/>
      <c r="I105"/>
      <c r="J105"/>
      <c r="K105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</row>
    <row r="106" spans="1:79" x14ac:dyDescent="0.3">
      <c r="A106" s="51">
        <v>5</v>
      </c>
      <c r="B106" s="15" t="str">
        <f>B97</f>
        <v>وحدة سفلية  ركنة 45</v>
      </c>
      <c r="C106" s="19">
        <f>C104+1</f>
        <v>8</v>
      </c>
      <c r="D106" s="19" t="str">
        <f ca="1">D93</f>
        <v>ظهر</v>
      </c>
      <c r="E106" s="19" t="s">
        <v>58</v>
      </c>
      <c r="F106" s="19">
        <f ca="1">I91-1</f>
        <v>77</v>
      </c>
      <c r="G106" s="19">
        <f>H91-1</f>
        <v>-1</v>
      </c>
      <c r="H106" s="19">
        <f>1*C89</f>
        <v>1</v>
      </c>
      <c r="I106" s="19">
        <f ca="1">HLOOKUP(D106, materials[], 2,FALSE)</f>
        <v>2</v>
      </c>
      <c r="J106" s="19"/>
      <c r="K106" s="19" t="b">
        <v>1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</row>
    <row r="107" spans="1:79" x14ac:dyDescent="0.3">
      <c r="A107" s="51">
        <v>255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</row>
    <row r="108" spans="1:79" x14ac:dyDescent="0.3">
      <c r="A108" s="51">
        <v>255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</row>
    <row r="109" spans="1:79" ht="36" x14ac:dyDescent="0.3">
      <c r="A109" s="51" t="s">
        <v>157</v>
      </c>
      <c r="B109" s="3"/>
      <c r="C109" s="14">
        <v>1</v>
      </c>
      <c r="D109" s="22" t="s">
        <v>59</v>
      </c>
      <c r="E109" s="101" t="s">
        <v>105</v>
      </c>
      <c r="F109" s="102"/>
      <c r="G109" s="102"/>
      <c r="H109" s="103"/>
      <c r="I109" s="2" t="s">
        <v>30</v>
      </c>
      <c r="J109" s="2">
        <f>letterToNumber(A109)</f>
        <v>5</v>
      </c>
      <c r="K109" s="7">
        <f ca="1">_xlfn.SHEET("وحدات سفلية")</f>
        <v>4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</row>
    <row r="110" spans="1:79" ht="31.2" x14ac:dyDescent="0.3">
      <c r="A110" s="51">
        <v>1</v>
      </c>
      <c r="B110" s="21"/>
      <c r="C110" s="7" t="s">
        <v>12</v>
      </c>
      <c r="D110" s="7" t="s">
        <v>18</v>
      </c>
      <c r="E110" s="7" t="s">
        <v>16</v>
      </c>
      <c r="F110" s="105"/>
      <c r="G110" s="16" t="s">
        <v>19</v>
      </c>
      <c r="H110" s="7" t="s">
        <v>22</v>
      </c>
      <c r="I110" s="7" t="s">
        <v>3</v>
      </c>
      <c r="J110" s="7" t="s">
        <v>113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</row>
    <row r="111" spans="1:79" x14ac:dyDescent="0.3">
      <c r="A111" s="51">
        <v>1</v>
      </c>
      <c r="B111" s="21"/>
      <c r="C111" s="8"/>
      <c r="D111" s="8">
        <v>0</v>
      </c>
      <c r="E111" s="27" cm="1">
        <f t="array" aca="1" ref="E111" ca="1">defaultValue(E110,K109)</f>
        <v>3.5</v>
      </c>
      <c r="F111" s="105"/>
      <c r="G111" s="27" cm="1">
        <f t="array" aca="1" ref="G111" ca="1">defaultValue(G110,K109)</f>
        <v>45</v>
      </c>
      <c r="H111" s="8">
        <v>60</v>
      </c>
      <c r="I111" s="27" cm="1">
        <f t="array" aca="1" ref="I111" ca="1">defaultValue(I110,K109)</f>
        <v>78</v>
      </c>
      <c r="J111" s="27" cm="1">
        <f t="array" aca="1" ref="J111" ca="1">defaultValue(J110,K109)</f>
        <v>56</v>
      </c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</row>
    <row r="112" spans="1:79" ht="31.2" x14ac:dyDescent="0.3">
      <c r="A112" s="51">
        <v>1</v>
      </c>
      <c r="B112" s="21"/>
      <c r="C112" s="8"/>
      <c r="D112" s="27" t="str" cm="1">
        <f t="array" aca="1" ref="D112" ca="1">defaultValue(E112,K109)</f>
        <v>ظهر</v>
      </c>
      <c r="E112" s="7" t="s">
        <v>58</v>
      </c>
      <c r="F112" s="27" t="str" cm="1">
        <f t="array" aca="1" ref="F112" ca="1">defaultValue(G112,K109)</f>
        <v>يوفيلاك</v>
      </c>
      <c r="G112" s="7" t="s">
        <v>32</v>
      </c>
      <c r="H112" s="27" t="str" cm="1">
        <f t="array" aca="1" ref="H112" ca="1">defaultValue(I112,K109)</f>
        <v>HPL</v>
      </c>
      <c r="I112" s="7" t="s">
        <v>31</v>
      </c>
      <c r="J112" s="25" t="s">
        <v>111</v>
      </c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</row>
    <row r="113" spans="1:79" ht="14.4" x14ac:dyDescent="0.3">
      <c r="A113" s="51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</row>
    <row r="114" spans="1:79" ht="14.4" x14ac:dyDescent="0.3">
      <c r="A114" s="51">
        <v>2</v>
      </c>
      <c r="B114" s="21"/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33</v>
      </c>
      <c r="J114" s="6" t="s">
        <v>8</v>
      </c>
      <c r="K114" s="6" t="s">
        <v>185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</row>
    <row r="115" spans="1:79" ht="14.4" x14ac:dyDescent="0.3">
      <c r="A115" s="51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</row>
    <row r="116" spans="1:79" x14ac:dyDescent="0.3">
      <c r="A116" s="51">
        <v>3</v>
      </c>
      <c r="B116" s="15" t="str">
        <f>E109</f>
        <v xml:space="preserve">وحدة سفلية  فرن </v>
      </c>
      <c r="C116" s="6">
        <v>1</v>
      </c>
      <c r="D116" s="6" t="str">
        <f ca="1">H112</f>
        <v>HPL</v>
      </c>
      <c r="E116" s="6" t="s">
        <v>10</v>
      </c>
      <c r="F116" s="6">
        <f>H111-3.6</f>
        <v>56.4</v>
      </c>
      <c r="G116" s="6">
        <f ca="1">J111</f>
        <v>56</v>
      </c>
      <c r="H116" s="6">
        <f>2*C109</f>
        <v>2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</row>
    <row r="117" spans="1:79" x14ac:dyDescent="0.3">
      <c r="A117" s="51">
        <v>3</v>
      </c>
      <c r="B117" s="15" t="str">
        <f>B116</f>
        <v xml:space="preserve">وحدة سفلية  فرن </v>
      </c>
      <c r="C117" s="6">
        <f>C116+1</f>
        <v>2</v>
      </c>
      <c r="D117" s="6" t="str">
        <f ca="1">H112</f>
        <v>HPL</v>
      </c>
      <c r="E117" s="6" t="s">
        <v>11</v>
      </c>
      <c r="F117" s="6">
        <f ca="1">I111</f>
        <v>78</v>
      </c>
      <c r="G117" s="6">
        <f ca="1">J111</f>
        <v>56</v>
      </c>
      <c r="H117" s="6">
        <f>2*C109</f>
        <v>2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</row>
    <row r="118" spans="1:79" x14ac:dyDescent="0.3">
      <c r="A118" s="51">
        <v>3</v>
      </c>
      <c r="B118" s="15" t="str">
        <f>B116</f>
        <v xml:space="preserve">وحدة سفلية  فرن </v>
      </c>
      <c r="C118" s="6">
        <f t="shared" ref="C118:C123" si="6">C117+1</f>
        <v>3</v>
      </c>
      <c r="D118" s="6" t="str">
        <f ca="1">H112</f>
        <v>HPL</v>
      </c>
      <c r="E118" s="6" t="s">
        <v>13</v>
      </c>
      <c r="F118" s="6">
        <f>H111-3.6</f>
        <v>56.4</v>
      </c>
      <c r="G118" s="6">
        <v>10</v>
      </c>
      <c r="H118" s="6">
        <f>2*C109</f>
        <v>2</v>
      </c>
      <c r="I118" s="6">
        <f ca="1">HLOOKUP(D118, materials[], 2,FALSE)</f>
        <v>2</v>
      </c>
      <c r="J118" s="6"/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</row>
    <row r="119" spans="1:79" x14ac:dyDescent="0.3">
      <c r="A119" s="51">
        <v>3</v>
      </c>
      <c r="B119" s="15" t="str">
        <f>B116</f>
        <v xml:space="preserve">وحدة سفلية  فرن </v>
      </c>
      <c r="C119" s="6">
        <f t="shared" si="6"/>
        <v>4</v>
      </c>
      <c r="D119" s="6" t="str">
        <f ca="1">H112</f>
        <v>HPL</v>
      </c>
      <c r="E119" s="6" t="s">
        <v>14</v>
      </c>
      <c r="F119" s="6">
        <f>H111-3.6</f>
        <v>56.4</v>
      </c>
      <c r="G119" s="6">
        <v>7</v>
      </c>
      <c r="H119" s="6">
        <f>2*C109</f>
        <v>2</v>
      </c>
      <c r="I119" s="6">
        <f ca="1">HLOOKUP(D119, materials[], 2,FALSE)</f>
        <v>2</v>
      </c>
      <c r="J119" s="6"/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</row>
    <row r="120" spans="1:79" x14ac:dyDescent="0.3">
      <c r="A120" s="51">
        <v>3</v>
      </c>
      <c r="B120" s="15" t="str">
        <f>B116</f>
        <v xml:space="preserve">وحدة سفلية  فرن </v>
      </c>
      <c r="C120" s="6">
        <f t="shared" si="6"/>
        <v>5</v>
      </c>
      <c r="D120" s="6" t="str">
        <f ca="1">H112</f>
        <v>HPL</v>
      </c>
      <c r="E120" s="6" t="s">
        <v>17</v>
      </c>
      <c r="F120" s="6">
        <f>H111-3.8</f>
        <v>56.2</v>
      </c>
      <c r="G120" s="6">
        <f ca="1">J111-6</f>
        <v>50</v>
      </c>
      <c r="H120" s="6">
        <f>D111*C109</f>
        <v>0</v>
      </c>
      <c r="I120" s="6">
        <f ca="1">HLOOKUP(D120, materials[], 2,FALSE)</f>
        <v>2</v>
      </c>
      <c r="J120" s="6"/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</row>
    <row r="121" spans="1:79" x14ac:dyDescent="0.3">
      <c r="A121" s="51">
        <v>3</v>
      </c>
      <c r="B121" s="15" t="str">
        <f>B117</f>
        <v xml:space="preserve">وحدة سفلية  فرن </v>
      </c>
      <c r="C121" s="10">
        <f t="shared" si="6"/>
        <v>6</v>
      </c>
      <c r="D121" s="10" t="str">
        <f ca="1">H112</f>
        <v>HPL</v>
      </c>
      <c r="E121" s="10" t="s">
        <v>21</v>
      </c>
      <c r="F121" s="10">
        <f>H111-3.6-3.6-2.5</f>
        <v>50.3</v>
      </c>
      <c r="G121" s="10">
        <v>10</v>
      </c>
      <c r="H121" s="10">
        <f>1*C109</f>
        <v>1</v>
      </c>
      <c r="I121" s="10">
        <f ca="1">HLOOKUP(D121, materials[], 2,FALSE)</f>
        <v>2</v>
      </c>
      <c r="J121" s="10"/>
      <c r="K121" s="10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51">
        <v>3</v>
      </c>
      <c r="B122" s="15" t="str">
        <f>B118</f>
        <v xml:space="preserve">وحدة سفلية  فرن </v>
      </c>
      <c r="C122" s="10">
        <f t="shared" si="6"/>
        <v>7</v>
      </c>
      <c r="D122" s="10" t="str">
        <f ca="1">H112</f>
        <v>HPL</v>
      </c>
      <c r="E122" s="10" t="s">
        <v>153</v>
      </c>
      <c r="F122" s="10">
        <f ca="1">G111</f>
        <v>45</v>
      </c>
      <c r="G122" s="10">
        <v>10</v>
      </c>
      <c r="H122" s="10">
        <f>2*C109</f>
        <v>2</v>
      </c>
      <c r="I122" s="10">
        <f ca="1">HLOOKUP(D122, materials[], 2,FALSE)</f>
        <v>2</v>
      </c>
      <c r="J122" s="10"/>
      <c r="K122" s="10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x14ac:dyDescent="0.3">
      <c r="A123" s="51">
        <v>3</v>
      </c>
      <c r="B123" s="15" t="str">
        <f>B119</f>
        <v xml:space="preserve">وحدة سفلية  فرن </v>
      </c>
      <c r="C123" s="10">
        <f t="shared" si="6"/>
        <v>8</v>
      </c>
      <c r="D123" s="10" t="str">
        <f ca="1">H112</f>
        <v>HPL</v>
      </c>
      <c r="E123" s="10" t="s">
        <v>154</v>
      </c>
      <c r="F123" s="10">
        <f>H111-3.6-3.6-2.5</f>
        <v>50.3</v>
      </c>
      <c r="G123" s="10">
        <f>10-3</f>
        <v>7</v>
      </c>
      <c r="H123" s="10">
        <f>1*C109</f>
        <v>1</v>
      </c>
      <c r="I123" s="10">
        <f ca="1">HLOOKUP(D123, materials[], 2,FALSE)</f>
        <v>2</v>
      </c>
      <c r="J123" s="10"/>
      <c r="K123" s="10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ht="14.4" x14ac:dyDescent="0.3">
      <c r="A124" s="51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x14ac:dyDescent="0.3">
      <c r="A125" s="51">
        <v>4</v>
      </c>
      <c r="B125" s="15" t="str">
        <f>B116</f>
        <v xml:space="preserve">وحدة سفلية  فرن </v>
      </c>
      <c r="C125" s="9">
        <f>C123+1</f>
        <v>9</v>
      </c>
      <c r="D125" s="9" t="str">
        <f ca="1">F112</f>
        <v>يوفيلاك</v>
      </c>
      <c r="E125" s="9" t="s">
        <v>15</v>
      </c>
      <c r="F125" s="9" t="str">
        <f>IF(H125=0,"",(I111-0.5-E111))</f>
        <v/>
      </c>
      <c r="G125" s="9" t="str">
        <f>IF(H125=0, "",(H111/C111)-0.5)</f>
        <v/>
      </c>
      <c r="H125" s="9">
        <f>C111*C109</f>
        <v>0</v>
      </c>
      <c r="I125" s="9">
        <f ca="1">HLOOKUP(D125, materials[], 2,FALSE)</f>
        <v>6</v>
      </c>
      <c r="J125" s="9"/>
      <c r="K125" s="9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51">
        <v>4</v>
      </c>
      <c r="B126" s="15" t="str">
        <f>B116</f>
        <v xml:space="preserve">وحدة سفلية  فرن </v>
      </c>
      <c r="C126" s="9">
        <f>C125+1</f>
        <v>10</v>
      </c>
      <c r="D126" s="9" t="str">
        <f ca="1">F112</f>
        <v>يوفيلاك</v>
      </c>
      <c r="E126" s="9" t="s">
        <v>152</v>
      </c>
      <c r="F126" s="9">
        <f>H111-0.5</f>
        <v>59.5</v>
      </c>
      <c r="G126" s="9">
        <f ca="1">I111-E111-60.5</f>
        <v>14</v>
      </c>
      <c r="H126" s="9">
        <f>1*C109</f>
        <v>1</v>
      </c>
      <c r="I126" s="9">
        <f ca="1">HLOOKUP(D126, materials[], 2,FALSE)</f>
        <v>6</v>
      </c>
      <c r="J126" s="9"/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14.4" x14ac:dyDescent="0.3">
      <c r="A127" s="51">
        <v>0</v>
      </c>
      <c r="B127"/>
      <c r="C127"/>
      <c r="D127"/>
      <c r="E127"/>
      <c r="F127"/>
      <c r="G127"/>
      <c r="H127"/>
      <c r="I127"/>
      <c r="J127"/>
      <c r="K127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x14ac:dyDescent="0.3">
      <c r="A128" s="51">
        <v>5</v>
      </c>
      <c r="B128" s="15" t="str">
        <f>B116</f>
        <v xml:space="preserve">وحدة سفلية  فرن </v>
      </c>
      <c r="C128" s="19">
        <f>C126+1</f>
        <v>11</v>
      </c>
      <c r="D128" s="19" t="str">
        <f ca="1">D112</f>
        <v>ظهر</v>
      </c>
      <c r="E128" s="19" t="s">
        <v>58</v>
      </c>
      <c r="F128" s="19">
        <f ca="1">I111-2</f>
        <v>76</v>
      </c>
      <c r="G128" s="19">
        <f>H111-2</f>
        <v>58</v>
      </c>
      <c r="H128" s="19">
        <f>1*C109</f>
        <v>1</v>
      </c>
      <c r="I128" s="19">
        <f ca="1">HLOOKUP(D128, materials[], 2,FALSE)</f>
        <v>2</v>
      </c>
      <c r="J128" s="19"/>
      <c r="K128" s="19" t="b">
        <v>1</v>
      </c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51">
        <v>5</v>
      </c>
      <c r="B129" s="15" t="str">
        <f>B116</f>
        <v xml:space="preserve">وحدة سفلية  فرن </v>
      </c>
      <c r="C129" s="19">
        <f>C128+1</f>
        <v>12</v>
      </c>
      <c r="D129" s="19" t="str">
        <f ca="1">D112</f>
        <v>ظهر</v>
      </c>
      <c r="E129" s="19" t="s">
        <v>149</v>
      </c>
      <c r="F129" s="19">
        <f>H111-3.6-3.6-2.5+2</f>
        <v>52.3</v>
      </c>
      <c r="G129" s="19">
        <f ca="1">G111-1</f>
        <v>44</v>
      </c>
      <c r="H129" s="19">
        <f>1*C109</f>
        <v>1</v>
      </c>
      <c r="I129" s="19">
        <f ca="1">HLOOKUP(D129, materials[], 2,FALSE)</f>
        <v>2</v>
      </c>
      <c r="J129" s="19"/>
      <c r="K129" s="19" t="b">
        <v>1</v>
      </c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x14ac:dyDescent="0.3">
      <c r="A130" s="51">
        <v>255</v>
      </c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x14ac:dyDescent="0.3">
      <c r="A131" s="51">
        <v>255</v>
      </c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36" x14ac:dyDescent="0.3">
      <c r="A132" s="54" t="s">
        <v>158</v>
      </c>
      <c r="C132" s="14">
        <v>1</v>
      </c>
      <c r="D132" s="22" t="s">
        <v>59</v>
      </c>
      <c r="E132" s="101" t="s">
        <v>162</v>
      </c>
      <c r="F132" s="102"/>
      <c r="G132" s="102"/>
      <c r="H132" s="103"/>
      <c r="I132" s="2" t="s">
        <v>30</v>
      </c>
      <c r="J132" s="2">
        <f>letterToNumber(A132)</f>
        <v>6</v>
      </c>
      <c r="K132" s="7">
        <f ca="1">_xlfn.SHEET("وحدات سفلية")</f>
        <v>4</v>
      </c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31.2" x14ac:dyDescent="0.3">
      <c r="A133" s="51">
        <v>1</v>
      </c>
      <c r="C133" s="7" t="s">
        <v>12</v>
      </c>
      <c r="D133" s="18" t="s">
        <v>18</v>
      </c>
      <c r="E133" s="7" t="s">
        <v>16</v>
      </c>
      <c r="F133" s="18" t="s">
        <v>163</v>
      </c>
      <c r="G133" s="16" t="s">
        <v>19</v>
      </c>
      <c r="H133" s="7" t="s">
        <v>22</v>
      </c>
      <c r="I133" s="7" t="s">
        <v>3</v>
      </c>
      <c r="J133" s="7" t="s">
        <v>113</v>
      </c>
      <c r="K133" s="7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51">
        <v>1</v>
      </c>
      <c r="C134" s="8">
        <v>2</v>
      </c>
      <c r="D134" s="8">
        <v>1</v>
      </c>
      <c r="E134" s="27" cm="1">
        <f t="array" aca="1" ref="E134" ca="1">defaultValue(E133,K132)</f>
        <v>3.5</v>
      </c>
      <c r="F134" s="8">
        <v>1</v>
      </c>
      <c r="G134" s="27" cm="1">
        <f t="array" aca="1" ref="G134" ca="1">defaultValue(G133,K132)</f>
        <v>45</v>
      </c>
      <c r="H134" s="8">
        <v>60</v>
      </c>
      <c r="I134" s="27" cm="1">
        <f t="array" aca="1" ref="I134" ca="1">defaultValue(I133,K132)</f>
        <v>78</v>
      </c>
      <c r="J134" s="27" cm="1">
        <f t="array" aca="1" ref="J134" ca="1">defaultValue(J133,K132)</f>
        <v>56</v>
      </c>
      <c r="K134" s="7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ht="31.2" x14ac:dyDescent="0.3">
      <c r="A135" s="51">
        <v>1</v>
      </c>
      <c r="C135" s="8"/>
      <c r="D135" s="27" t="str" cm="1">
        <f t="array" aca="1" ref="D135" ca="1">defaultValue(E135,K132)</f>
        <v>ظهر</v>
      </c>
      <c r="E135" s="7" t="s">
        <v>58</v>
      </c>
      <c r="F135" s="27" t="str" cm="1">
        <f t="array" aca="1" ref="F135" ca="1">defaultValue(G135,K132)</f>
        <v>يوفيلاك</v>
      </c>
      <c r="G135" s="7" t="s">
        <v>32</v>
      </c>
      <c r="H135" s="27" t="str" cm="1">
        <f t="array" aca="1" ref="H135" ca="1">defaultValue(I135,K132)</f>
        <v>HPL</v>
      </c>
      <c r="I135" s="7" t="s">
        <v>31</v>
      </c>
      <c r="J135" s="25" t="s">
        <v>111</v>
      </c>
      <c r="K135" s="7"/>
      <c r="BB135"/>
      <c r="BC135"/>
      <c r="BD135"/>
      <c r="BE135"/>
      <c r="BF135"/>
      <c r="BG135"/>
      <c r="BH135"/>
      <c r="BI135"/>
      <c r="BJ135"/>
    </row>
    <row r="136" spans="1:79" ht="14.4" x14ac:dyDescent="0.3">
      <c r="A136" s="51">
        <v>0</v>
      </c>
      <c r="B136"/>
      <c r="C136"/>
      <c r="D136"/>
      <c r="E136"/>
      <c r="F136"/>
      <c r="G136"/>
      <c r="H136"/>
      <c r="I136"/>
      <c r="J136"/>
      <c r="K136"/>
      <c r="BB136"/>
      <c r="BC136"/>
      <c r="BD136"/>
      <c r="BE136"/>
      <c r="BF136"/>
      <c r="BG136"/>
      <c r="BH136"/>
      <c r="BI136"/>
      <c r="BJ136"/>
    </row>
    <row r="137" spans="1:79" x14ac:dyDescent="0.3">
      <c r="A137" s="51">
        <v>2</v>
      </c>
      <c r="C137" s="6" t="s">
        <v>4</v>
      </c>
      <c r="D137" s="6" t="s">
        <v>9</v>
      </c>
      <c r="E137" s="6" t="s">
        <v>5</v>
      </c>
      <c r="F137" s="6" t="s">
        <v>7</v>
      </c>
      <c r="G137" s="6" t="s">
        <v>1</v>
      </c>
      <c r="H137" s="6" t="s">
        <v>6</v>
      </c>
      <c r="I137" s="6" t="s">
        <v>33</v>
      </c>
      <c r="J137" s="6" t="s">
        <v>8</v>
      </c>
      <c r="K137" s="6" t="s">
        <v>185</v>
      </c>
      <c r="BB137"/>
      <c r="BC137"/>
      <c r="BD137"/>
      <c r="BE137"/>
      <c r="BF137"/>
      <c r="BG137"/>
      <c r="BH137"/>
      <c r="BI137"/>
      <c r="BJ137"/>
    </row>
    <row r="138" spans="1:79" ht="14.4" x14ac:dyDescent="0.3">
      <c r="A138" s="51">
        <v>0</v>
      </c>
      <c r="B138"/>
      <c r="C138"/>
      <c r="D138"/>
      <c r="E138"/>
      <c r="F138"/>
      <c r="G138"/>
      <c r="H138"/>
      <c r="I138"/>
      <c r="J138"/>
      <c r="K138"/>
      <c r="BB138"/>
      <c r="BC138"/>
      <c r="BD138"/>
      <c r="BE138"/>
      <c r="BF138"/>
      <c r="BG138"/>
      <c r="BH138"/>
      <c r="BI138"/>
      <c r="BJ138"/>
    </row>
    <row r="139" spans="1:79" x14ac:dyDescent="0.3">
      <c r="A139" s="51">
        <v>3</v>
      </c>
      <c r="B139" s="15" t="str">
        <f>E132</f>
        <v>وحدة سفلية دلفة /دلفتين + درج</v>
      </c>
      <c r="C139" s="6">
        <v>1</v>
      </c>
      <c r="D139" s="6" t="str">
        <f ca="1">H135</f>
        <v>HPL</v>
      </c>
      <c r="E139" s="6" t="s">
        <v>10</v>
      </c>
      <c r="F139" s="6">
        <f>H134-3.6</f>
        <v>56.4</v>
      </c>
      <c r="G139" s="6">
        <f ca="1">J134</f>
        <v>56</v>
      </c>
      <c r="H139" s="6">
        <f>1*C132</f>
        <v>1</v>
      </c>
      <c r="I139" s="6">
        <f ca="1">HLOOKUP(D139, materials[], 2,FALSE)</f>
        <v>2</v>
      </c>
      <c r="J139" s="6"/>
      <c r="K139" s="6" t="b">
        <v>1</v>
      </c>
      <c r="BB139"/>
      <c r="BC139"/>
      <c r="BD139"/>
      <c r="BE139"/>
      <c r="BF139"/>
      <c r="BG139"/>
      <c r="BH139"/>
      <c r="BI139"/>
      <c r="BJ139"/>
    </row>
    <row r="140" spans="1:79" x14ac:dyDescent="0.3">
      <c r="A140" s="51">
        <v>3</v>
      </c>
      <c r="B140" s="15" t="str">
        <f>B139</f>
        <v>وحدة سفلية دلفة /دلفتين + درج</v>
      </c>
      <c r="C140" s="6">
        <f>C139+1</f>
        <v>2</v>
      </c>
      <c r="D140" s="6" t="str">
        <f ca="1">H135</f>
        <v>HPL</v>
      </c>
      <c r="E140" s="6" t="s">
        <v>11</v>
      </c>
      <c r="F140" s="6">
        <f ca="1">I134</f>
        <v>78</v>
      </c>
      <c r="G140" s="6">
        <f ca="1">J134</f>
        <v>56</v>
      </c>
      <c r="H140" s="6">
        <f>2*C132</f>
        <v>2</v>
      </c>
      <c r="I140" s="6">
        <f ca="1">HLOOKUP(D140, materials[], 2,FALSE)</f>
        <v>2</v>
      </c>
      <c r="J140" s="6"/>
      <c r="K140" s="6" t="b">
        <v>1</v>
      </c>
      <c r="BB140"/>
      <c r="BC140"/>
      <c r="BD140"/>
      <c r="BE140"/>
      <c r="BF140"/>
      <c r="BG140"/>
      <c r="BH140"/>
      <c r="BI140"/>
      <c r="BJ140"/>
    </row>
    <row r="141" spans="1:79" x14ac:dyDescent="0.3">
      <c r="A141" s="51">
        <v>3</v>
      </c>
      <c r="B141" s="15" t="str">
        <f>B139</f>
        <v>وحدة سفلية دلفة /دلفتين + درج</v>
      </c>
      <c r="C141" s="6">
        <f t="shared" ref="C141:C146" si="7">C140+1</f>
        <v>3</v>
      </c>
      <c r="D141" s="6" t="str">
        <f ca="1">H135</f>
        <v>HPL</v>
      </c>
      <c r="E141" s="6" t="s">
        <v>13</v>
      </c>
      <c r="F141" s="6">
        <f>H134-3.6</f>
        <v>56.4</v>
      </c>
      <c r="G141" s="6">
        <f>10</f>
        <v>10</v>
      </c>
      <c r="H141" s="6">
        <f>1*C132</f>
        <v>1</v>
      </c>
      <c r="I141" s="6">
        <f ca="1">HLOOKUP(D141, materials[], 2,FALSE)</f>
        <v>2</v>
      </c>
      <c r="J141" s="6"/>
      <c r="K141" s="6" t="b">
        <v>1</v>
      </c>
      <c r="BB141"/>
      <c r="BC141"/>
      <c r="BD141"/>
      <c r="BE141"/>
      <c r="BF141"/>
      <c r="BG141"/>
      <c r="BH141"/>
      <c r="BI141"/>
      <c r="BJ141"/>
    </row>
    <row r="142" spans="1:79" x14ac:dyDescent="0.3">
      <c r="A142" s="51">
        <v>3</v>
      </c>
      <c r="B142" s="15" t="str">
        <f>B139</f>
        <v>وحدة سفلية دلفة /دلفتين + درج</v>
      </c>
      <c r="C142" s="6">
        <f t="shared" si="7"/>
        <v>4</v>
      </c>
      <c r="D142" s="6" t="str">
        <f ca="1">H135</f>
        <v>HPL</v>
      </c>
      <c r="E142" s="6" t="s">
        <v>14</v>
      </c>
      <c r="F142" s="6">
        <f>H134-3.6</f>
        <v>56.4</v>
      </c>
      <c r="G142" s="6">
        <f>7</f>
        <v>7</v>
      </c>
      <c r="H142" s="6">
        <f>1*C132</f>
        <v>1</v>
      </c>
      <c r="I142" s="6">
        <f ca="1">HLOOKUP(D142, materials[], 2,FALSE)</f>
        <v>2</v>
      </c>
      <c r="J142" s="6"/>
      <c r="K142" s="6" t="b">
        <v>1</v>
      </c>
      <c r="BB142"/>
      <c r="BC142"/>
      <c r="BD142"/>
      <c r="BE142"/>
      <c r="BF142"/>
      <c r="BG142"/>
      <c r="BH142"/>
      <c r="BI142"/>
      <c r="BJ142"/>
    </row>
    <row r="143" spans="1:79" x14ac:dyDescent="0.3">
      <c r="A143" s="51">
        <v>3</v>
      </c>
      <c r="B143" s="15" t="str">
        <f>B139</f>
        <v>وحدة سفلية دلفة /دلفتين + درج</v>
      </c>
      <c r="C143" s="6">
        <f t="shared" si="7"/>
        <v>5</v>
      </c>
      <c r="D143" s="6" t="str">
        <f ca="1">H135</f>
        <v>HPL</v>
      </c>
      <c r="E143" s="6" t="s">
        <v>17</v>
      </c>
      <c r="F143" s="6">
        <f>H134-3.8</f>
        <v>56.2</v>
      </c>
      <c r="G143" s="6">
        <f ca="1">J134-6</f>
        <v>50</v>
      </c>
      <c r="H143" s="6">
        <f>D134*C132</f>
        <v>1</v>
      </c>
      <c r="I143" s="6">
        <f ca="1">HLOOKUP(D143, materials[], 2,FALSE)</f>
        <v>2</v>
      </c>
      <c r="J143" s="6"/>
      <c r="K143" s="6" t="b">
        <v>1</v>
      </c>
      <c r="BB143"/>
      <c r="BC143"/>
      <c r="BD143"/>
      <c r="BE143"/>
      <c r="BF143"/>
      <c r="BG143"/>
      <c r="BH143"/>
      <c r="BI143"/>
      <c r="BJ143"/>
    </row>
    <row r="144" spans="1:79" x14ac:dyDescent="0.3">
      <c r="A144" s="51">
        <v>3</v>
      </c>
      <c r="B144" s="15" t="str">
        <f>B140</f>
        <v>وحدة سفلية دلفة /دلفتين + درج</v>
      </c>
      <c r="C144" s="10">
        <f t="shared" si="7"/>
        <v>6</v>
      </c>
      <c r="D144" s="10" t="str">
        <f ca="1">H135</f>
        <v>HPL</v>
      </c>
      <c r="E144" s="10" t="s">
        <v>21</v>
      </c>
      <c r="F144" s="10">
        <f>H134-3.6-3.6-2.5</f>
        <v>50.3</v>
      </c>
      <c r="G144" s="10">
        <v>10</v>
      </c>
      <c r="H144" s="10">
        <f>F134*C132</f>
        <v>1</v>
      </c>
      <c r="I144" s="10">
        <f ca="1">HLOOKUP(D144, materials[], 2,FALSE)</f>
        <v>2</v>
      </c>
      <c r="J144" s="10"/>
      <c r="K144" s="10" t="b">
        <v>1</v>
      </c>
      <c r="BB144"/>
      <c r="BC144"/>
      <c r="BD144"/>
      <c r="BE144"/>
      <c r="BF144"/>
      <c r="BG144"/>
      <c r="BH144"/>
      <c r="BI144"/>
      <c r="BJ144"/>
    </row>
    <row r="145" spans="1:62" x14ac:dyDescent="0.3">
      <c r="A145" s="51">
        <v>3</v>
      </c>
      <c r="B145" s="15" t="str">
        <f>B141</f>
        <v>وحدة سفلية دلفة /دلفتين + درج</v>
      </c>
      <c r="C145" s="10">
        <f t="shared" si="7"/>
        <v>7</v>
      </c>
      <c r="D145" s="10" t="str">
        <f ca="1">H135</f>
        <v>HPL</v>
      </c>
      <c r="E145" s="10" t="s">
        <v>153</v>
      </c>
      <c r="F145" s="10">
        <f ca="1">G134</f>
        <v>45</v>
      </c>
      <c r="G145" s="10">
        <v>10</v>
      </c>
      <c r="H145" s="10">
        <f>2*C132*F134</f>
        <v>2</v>
      </c>
      <c r="I145" s="10">
        <f ca="1">HLOOKUP(D145, materials[], 2,FALSE)</f>
        <v>2</v>
      </c>
      <c r="J145" s="10"/>
      <c r="K145" s="10" t="b">
        <v>1</v>
      </c>
      <c r="BB145"/>
      <c r="BC145"/>
      <c r="BD145"/>
      <c r="BE145"/>
      <c r="BF145"/>
      <c r="BG145"/>
      <c r="BH145"/>
      <c r="BI145"/>
      <c r="BJ145"/>
    </row>
    <row r="146" spans="1:62" x14ac:dyDescent="0.3">
      <c r="A146" s="51">
        <v>3</v>
      </c>
      <c r="B146" s="15" t="str">
        <f>B142</f>
        <v>وحدة سفلية دلفة /دلفتين + درج</v>
      </c>
      <c r="C146" s="10">
        <f t="shared" si="7"/>
        <v>8</v>
      </c>
      <c r="D146" s="10" t="str">
        <f ca="1">H135</f>
        <v>HPL</v>
      </c>
      <c r="E146" s="10" t="s">
        <v>154</v>
      </c>
      <c r="F146" s="10">
        <f>H134-3.6-3.6-2.5</f>
        <v>50.3</v>
      </c>
      <c r="G146" s="10">
        <f>10-3</f>
        <v>7</v>
      </c>
      <c r="H146" s="10">
        <f>F134*C132</f>
        <v>1</v>
      </c>
      <c r="I146" s="10">
        <f ca="1">HLOOKUP(D146, materials[], 2,FALSE)</f>
        <v>2</v>
      </c>
      <c r="J146" s="10"/>
      <c r="K146" s="10" t="b">
        <v>1</v>
      </c>
      <c r="BB146"/>
      <c r="BC146"/>
      <c r="BD146"/>
      <c r="BE146"/>
      <c r="BF146"/>
      <c r="BG146"/>
      <c r="BH146"/>
      <c r="BI146"/>
      <c r="BJ146"/>
    </row>
    <row r="147" spans="1:62" ht="14.4" x14ac:dyDescent="0.3">
      <c r="A147" s="51">
        <v>0</v>
      </c>
      <c r="B147"/>
      <c r="C147"/>
      <c r="D147"/>
      <c r="E147"/>
      <c r="F147"/>
      <c r="G147"/>
      <c r="H147"/>
      <c r="I147"/>
      <c r="J147"/>
      <c r="K147"/>
      <c r="BB147"/>
      <c r="BC147"/>
      <c r="BD147"/>
      <c r="BE147"/>
      <c r="BF147"/>
      <c r="BG147"/>
      <c r="BH147"/>
      <c r="BI147"/>
      <c r="BJ147"/>
    </row>
    <row r="148" spans="1:62" x14ac:dyDescent="0.3">
      <c r="A148" s="51">
        <v>4</v>
      </c>
      <c r="B148" s="15" t="str">
        <f>B139</f>
        <v>وحدة سفلية دلفة /دلفتين + درج</v>
      </c>
      <c r="C148" s="9">
        <f>C146+1</f>
        <v>9</v>
      </c>
      <c r="D148" s="9" t="str">
        <f ca="1">F135</f>
        <v>يوفيلاك</v>
      </c>
      <c r="E148" s="9" t="s">
        <v>15</v>
      </c>
      <c r="F148" s="9">
        <f ca="1">I134-0.5-E134-G149</f>
        <v>59</v>
      </c>
      <c r="G148" s="9">
        <f>(H134/C134)-0.5</f>
        <v>29.5</v>
      </c>
      <c r="H148" s="9">
        <f>C134*C132</f>
        <v>2</v>
      </c>
      <c r="I148" s="9">
        <f ca="1">HLOOKUP(D148, materials[], 2,FALSE)</f>
        <v>6</v>
      </c>
      <c r="J148" s="9"/>
      <c r="K148" s="9" t="b">
        <v>1</v>
      </c>
      <c r="BB148"/>
      <c r="BC148"/>
      <c r="BD148"/>
      <c r="BE148"/>
      <c r="BF148"/>
      <c r="BG148"/>
      <c r="BH148"/>
      <c r="BI148"/>
      <c r="BJ148"/>
    </row>
    <row r="149" spans="1:62" x14ac:dyDescent="0.3">
      <c r="A149" s="51">
        <v>4</v>
      </c>
      <c r="B149" s="15" t="str">
        <f>B139</f>
        <v>وحدة سفلية دلفة /دلفتين + درج</v>
      </c>
      <c r="C149" s="9">
        <f>C148+1</f>
        <v>10</v>
      </c>
      <c r="D149" s="9" t="str">
        <f ca="1">F135</f>
        <v>يوفيلاك</v>
      </c>
      <c r="E149" s="9" t="s">
        <v>165</v>
      </c>
      <c r="F149" s="9">
        <f>H134-0.5</f>
        <v>59.5</v>
      </c>
      <c r="G149" s="9">
        <f ca="1">I134-E134-59.5</f>
        <v>15</v>
      </c>
      <c r="H149" s="9">
        <f>F134*C132</f>
        <v>1</v>
      </c>
      <c r="I149" s="9">
        <f ca="1">HLOOKUP(D149, materials[], 2,FALSE)</f>
        <v>6</v>
      </c>
      <c r="J149" s="9"/>
      <c r="K149" s="9" t="b">
        <v>1</v>
      </c>
      <c r="BB149"/>
      <c r="BC149"/>
      <c r="BD149"/>
      <c r="BE149"/>
      <c r="BF149"/>
      <c r="BG149"/>
      <c r="BH149"/>
      <c r="BI149"/>
      <c r="BJ149"/>
    </row>
    <row r="150" spans="1:62" ht="14.4" x14ac:dyDescent="0.3">
      <c r="A150" s="51">
        <v>0</v>
      </c>
      <c r="B150"/>
      <c r="C150"/>
      <c r="D150"/>
      <c r="E150"/>
      <c r="F150"/>
      <c r="G150"/>
      <c r="H150"/>
      <c r="I150"/>
      <c r="J150"/>
      <c r="K150"/>
      <c r="BB150"/>
      <c r="BC150"/>
      <c r="BD150"/>
      <c r="BE150"/>
      <c r="BF150"/>
      <c r="BG150"/>
      <c r="BH150"/>
      <c r="BI150"/>
      <c r="BJ150"/>
    </row>
    <row r="151" spans="1:62" x14ac:dyDescent="0.3">
      <c r="A151" s="51">
        <v>5</v>
      </c>
      <c r="B151" s="15" t="str">
        <f>B139</f>
        <v>وحدة سفلية دلفة /دلفتين + درج</v>
      </c>
      <c r="C151" s="19">
        <f>C148+1</f>
        <v>10</v>
      </c>
      <c r="D151" s="19" t="str">
        <f ca="1">D135</f>
        <v>ظهر</v>
      </c>
      <c r="E151" s="19" t="s">
        <v>58</v>
      </c>
      <c r="F151" s="19">
        <f ca="1">I134-2</f>
        <v>76</v>
      </c>
      <c r="G151" s="19">
        <f>H134-2</f>
        <v>58</v>
      </c>
      <c r="H151" s="19">
        <f>1*C132</f>
        <v>1</v>
      </c>
      <c r="I151" s="19">
        <f ca="1">HLOOKUP(D151, materials[], 2,FALSE)</f>
        <v>2</v>
      </c>
      <c r="J151" s="19"/>
      <c r="K151" s="19" t="b">
        <v>1</v>
      </c>
      <c r="BB151"/>
      <c r="BC151"/>
      <c r="BD151"/>
      <c r="BE151"/>
      <c r="BF151"/>
      <c r="BG151"/>
      <c r="BH151"/>
      <c r="BI151"/>
      <c r="BJ151"/>
    </row>
    <row r="152" spans="1:62" x14ac:dyDescent="0.3">
      <c r="A152" s="51">
        <v>5</v>
      </c>
      <c r="B152" s="15" t="str">
        <f>B139</f>
        <v>وحدة سفلية دلفة /دلفتين + درج</v>
      </c>
      <c r="C152" s="19">
        <f>C151+1</f>
        <v>11</v>
      </c>
      <c r="D152" s="19" t="str">
        <f ca="1">D135</f>
        <v>ظهر</v>
      </c>
      <c r="E152" s="19" t="s">
        <v>164</v>
      </c>
      <c r="F152" s="19">
        <f>H134-3.6-3.6-2.5+2</f>
        <v>52.3</v>
      </c>
      <c r="G152" s="19">
        <f ca="1">G134-1</f>
        <v>44</v>
      </c>
      <c r="H152" s="19">
        <f>1*C132</f>
        <v>1</v>
      </c>
      <c r="I152" s="19">
        <f ca="1">HLOOKUP(D152, materials[], 2,FALSE)</f>
        <v>2</v>
      </c>
      <c r="J152" s="19"/>
      <c r="K152" s="19" t="b">
        <v>1</v>
      </c>
      <c r="BB152"/>
      <c r="BC152"/>
      <c r="BD152"/>
      <c r="BE152"/>
      <c r="BF152"/>
      <c r="BG152"/>
      <c r="BH152"/>
      <c r="BI152"/>
      <c r="BJ152"/>
    </row>
    <row r="153" spans="1:62" x14ac:dyDescent="0.3">
      <c r="A153" s="51">
        <v>255</v>
      </c>
      <c r="BB153"/>
      <c r="BC153"/>
      <c r="BD153"/>
      <c r="BE153"/>
      <c r="BF153"/>
      <c r="BG153"/>
      <c r="BH153"/>
      <c r="BI153"/>
      <c r="BJ153"/>
    </row>
    <row r="154" spans="1:62" x14ac:dyDescent="0.3">
      <c r="A154" s="51">
        <v>255</v>
      </c>
      <c r="BB154"/>
      <c r="BC154"/>
      <c r="BD154"/>
      <c r="BE154"/>
      <c r="BF154"/>
      <c r="BG154"/>
      <c r="BH154"/>
      <c r="BI154"/>
      <c r="BJ154"/>
    </row>
    <row r="155" spans="1:62" ht="36" x14ac:dyDescent="0.3">
      <c r="A155" s="54" t="s">
        <v>159</v>
      </c>
      <c r="C155" s="14">
        <v>1</v>
      </c>
      <c r="D155" s="22" t="s">
        <v>59</v>
      </c>
      <c r="E155" s="101" t="s">
        <v>184</v>
      </c>
      <c r="F155" s="102"/>
      <c r="G155" s="102"/>
      <c r="H155" s="103"/>
      <c r="I155" s="2" t="s">
        <v>30</v>
      </c>
      <c r="J155" s="2">
        <f>letterToNumber(A155)</f>
        <v>7</v>
      </c>
      <c r="K155" s="27">
        <f ca="1">_xlfn.SHEET("وحدات سفلية")</f>
        <v>4</v>
      </c>
    </row>
    <row r="156" spans="1:62" ht="21" x14ac:dyDescent="0.3">
      <c r="A156" s="51">
        <v>1</v>
      </c>
      <c r="C156" s="8"/>
      <c r="D156" s="7"/>
      <c r="E156" s="27" t="str" cm="1">
        <f t="array" aca="1" ref="E156" ca="1">defaultValue(F156,K155)</f>
        <v>ظهر</v>
      </c>
      <c r="F156" s="7" t="s">
        <v>58</v>
      </c>
      <c r="G156" s="27" t="str" cm="1">
        <f t="array" aca="1" ref="G156" ca="1">defaultValue(H156,K155)</f>
        <v>يوفيلاك</v>
      </c>
      <c r="H156" s="7" t="s">
        <v>32</v>
      </c>
      <c r="I156" s="27" t="str" cm="1">
        <f t="array" aca="1" ref="I156" ca="1">defaultValue(J156,K155)</f>
        <v>HPL</v>
      </c>
      <c r="J156" s="7" t="s">
        <v>31</v>
      </c>
      <c r="K156" s="25" t="s">
        <v>111</v>
      </c>
    </row>
    <row r="157" spans="1:62" ht="31.2" x14ac:dyDescent="0.3">
      <c r="A157" s="51">
        <v>1</v>
      </c>
      <c r="C157" s="7" t="s">
        <v>12</v>
      </c>
      <c r="D157" s="7" t="s">
        <v>18</v>
      </c>
      <c r="E157" s="93"/>
      <c r="F157" s="93" t="s">
        <v>114</v>
      </c>
      <c r="G157" s="7" t="s">
        <v>16</v>
      </c>
      <c r="H157" s="7" t="s">
        <v>22</v>
      </c>
      <c r="I157" s="7" t="s">
        <v>3</v>
      </c>
      <c r="J157" s="7" t="s">
        <v>113</v>
      </c>
      <c r="K157" s="7"/>
    </row>
    <row r="158" spans="1:62" x14ac:dyDescent="0.3">
      <c r="A158" s="51">
        <v>1</v>
      </c>
      <c r="C158" s="27">
        <v>1</v>
      </c>
      <c r="D158" s="27">
        <v>5</v>
      </c>
      <c r="E158" s="46"/>
      <c r="F158" s="27" t="b" cm="1">
        <f t="array" aca="1" ref="F158" ca="1">defaultValue(F157,K155)</f>
        <v>1</v>
      </c>
      <c r="G158" s="27" cm="1">
        <f t="array" aca="1" ref="G158" ca="1">defaultValue(G157,K155)</f>
        <v>3.5</v>
      </c>
      <c r="H158" s="8"/>
      <c r="I158" s="27" cm="1">
        <f t="array" aca="1" ref="I158" ca="1">defaultValue(I157,K155)</f>
        <v>78</v>
      </c>
      <c r="J158" s="27" cm="1">
        <f t="array" aca="1" ref="J158" ca="1">defaultValue(J157,K155)</f>
        <v>56</v>
      </c>
      <c r="K158" s="7"/>
    </row>
    <row r="159" spans="1:62" x14ac:dyDescent="0.3">
      <c r="A159" s="51">
        <v>0</v>
      </c>
    </row>
    <row r="160" spans="1:62" x14ac:dyDescent="0.3">
      <c r="A160" s="51">
        <v>2</v>
      </c>
      <c r="C160" s="6" t="s">
        <v>4</v>
      </c>
      <c r="D160" s="6" t="s">
        <v>9</v>
      </c>
      <c r="E160" s="6" t="s">
        <v>5</v>
      </c>
      <c r="F160" s="6" t="s">
        <v>7</v>
      </c>
      <c r="G160" s="6" t="s">
        <v>1</v>
      </c>
      <c r="H160" s="6" t="s">
        <v>6</v>
      </c>
      <c r="I160" s="6" t="s">
        <v>33</v>
      </c>
      <c r="J160" s="6" t="s">
        <v>8</v>
      </c>
      <c r="K160" s="6" t="s">
        <v>185</v>
      </c>
    </row>
    <row r="161" spans="1:11" x14ac:dyDescent="0.3">
      <c r="A161" s="51">
        <v>0</v>
      </c>
      <c r="C161" s="1"/>
      <c r="D161" s="1"/>
      <c r="E161" s="1"/>
      <c r="F161" s="1"/>
      <c r="G161" s="1"/>
      <c r="H161" s="1"/>
      <c r="I161" s="1"/>
      <c r="J161" s="1"/>
    </row>
    <row r="162" spans="1:11" x14ac:dyDescent="0.3">
      <c r="A162" s="51">
        <v>3</v>
      </c>
      <c r="B162" s="15" t="str" cm="1">
        <f t="array" ref="B162">visible(E155, K162)</f>
        <v>وحدة سفلية دلفة/ دلفتين</v>
      </c>
      <c r="C162" s="6" cm="1">
        <f t="array" ref="C162">visible((1),K162)</f>
        <v>1</v>
      </c>
      <c r="D162" s="6" t="str" cm="1">
        <f t="array" aca="1" ref="D162" ca="1">visible((I156),K162)</f>
        <v>HPL</v>
      </c>
      <c r="E162" s="6" t="str" cm="1">
        <f t="array" ref="E162">visible(("قاعدة"),K162)</f>
        <v>قاعدة</v>
      </c>
      <c r="F162" s="6" cm="1">
        <f t="array" ref="F162">visible((H158 -3.6),K162)</f>
        <v>-3.6</v>
      </c>
      <c r="G162" s="6" cm="1">
        <f t="array" aca="1" ref="G162" ca="1">visible((J158),K162)</f>
        <v>56</v>
      </c>
      <c r="H162" s="6" cm="1">
        <f t="array" ref="H162">visible((C155),K162)</f>
        <v>1</v>
      </c>
      <c r="I162" s="6" cm="1">
        <f t="array" aca="1" ref="I162" ca="1">visible(materialNum(D162),K162)</f>
        <v>2</v>
      </c>
      <c r="J162" s="6" t="str" cm="1">
        <f t="array" ref="J162">visible((""),M162)</f>
        <v/>
      </c>
      <c r="K162" s="6" t="b">
        <v>1</v>
      </c>
    </row>
    <row r="163" spans="1:11" x14ac:dyDescent="0.3">
      <c r="A163" s="51">
        <v>3</v>
      </c>
      <c r="B163" s="15" t="str" cm="1">
        <f t="array" ref="B163">visible(E155, K163)</f>
        <v>وحدة سفلية دلفة/ دلفتين</v>
      </c>
      <c r="C163" s="6" cm="1">
        <f t="array" ref="C163">visible(2,K163)</f>
        <v>2</v>
      </c>
      <c r="D163" s="6" t="str" cm="1">
        <f t="array" aca="1" ref="D163" ca="1">visible((I156),K163)</f>
        <v>HPL</v>
      </c>
      <c r="E163" s="6" t="str" cm="1">
        <f t="array" ref="E163">visible(("أجناب"),K163)</f>
        <v>أجناب</v>
      </c>
      <c r="F163" s="6" cm="1">
        <f t="array" aca="1" ref="F163" ca="1">visible((I158),K163)</f>
        <v>78</v>
      </c>
      <c r="G163" s="6" cm="1">
        <f t="array" aca="1" ref="G163" ca="1">visible((J158),K163)</f>
        <v>56</v>
      </c>
      <c r="H163" s="6" cm="1">
        <f t="array" ref="H163">visible((2 *C155),K163)</f>
        <v>2</v>
      </c>
      <c r="I163" s="6" cm="1">
        <f t="array" aca="1" ref="I163" ca="1">visible(materialNum(D163),K163)</f>
        <v>2</v>
      </c>
      <c r="J163" s="6" t="str" cm="1">
        <f t="array" ref="J163">visible((""),M163)</f>
        <v/>
      </c>
      <c r="K163" s="6" t="b">
        <v>1</v>
      </c>
    </row>
    <row r="164" spans="1:11" x14ac:dyDescent="0.3">
      <c r="A164" s="51">
        <v>3</v>
      </c>
      <c r="B164" s="15" t="str" cm="1">
        <f t="array" ref="B164">visible(E155, K164)</f>
        <v>وحدة سفلية دلفة/ دلفتين</v>
      </c>
      <c r="C164" s="6" cm="1">
        <f t="array" ref="C164">visible(3,K164)</f>
        <v>3</v>
      </c>
      <c r="D164" s="6" t="str" cm="1">
        <f t="array" aca="1" ref="D164" ca="1">visible((I156),K164)</f>
        <v>HPL</v>
      </c>
      <c r="E164" s="6" t="str" cm="1">
        <f t="array" ref="E164">visible(("مرايا علوية 1"),K164)</f>
        <v>مرايا علوية 1</v>
      </c>
      <c r="F164" s="6" cm="1">
        <f t="array" ref="F164">visible((H158-3.6),K164)</f>
        <v>-3.6</v>
      </c>
      <c r="G164" s="6" cm="1">
        <f t="array" ref="G164">visible((10),K164)</f>
        <v>10</v>
      </c>
      <c r="H164" s="6" cm="1">
        <f t="array" ref="H164">visible((C155),K164)</f>
        <v>1</v>
      </c>
      <c r="I164" s="6" cm="1">
        <f t="array" aca="1" ref="I164" ca="1">visible(materialNum(D164),K164)</f>
        <v>2</v>
      </c>
      <c r="J164" s="6" t="str" cm="1">
        <f t="array" ref="J164">visible((""),M164)</f>
        <v/>
      </c>
      <c r="K164" s="6" t="b">
        <v>1</v>
      </c>
    </row>
    <row r="165" spans="1:11" x14ac:dyDescent="0.3">
      <c r="A165" s="51">
        <v>3</v>
      </c>
      <c r="B165" s="15" t="str" cm="1">
        <f t="array" ref="B165">visible(E155, K165)</f>
        <v>وحدة سفلية دلفة/ دلفتين</v>
      </c>
      <c r="C165" s="6" cm="1">
        <f t="array" ref="C165">visible(4,K165)</f>
        <v>4</v>
      </c>
      <c r="D165" s="6" t="str" cm="1">
        <f t="array" aca="1" ref="D165" ca="1">visible((I156),K165)</f>
        <v>HPL</v>
      </c>
      <c r="E165" s="6" t="str" cm="1">
        <f t="array" ref="E165">visible(("مرايا علوية 2"),K165)</f>
        <v>مرايا علوية 2</v>
      </c>
      <c r="F165" s="6" cm="1">
        <f t="array" ref="F165">visible((H158-3.6),K165)</f>
        <v>-3.6</v>
      </c>
      <c r="G165" s="6" cm="1">
        <f t="array" ref="G165">visible((7),K165)</f>
        <v>7</v>
      </c>
      <c r="H165" s="6" cm="1">
        <f t="array" ref="H165">visible((C155),K165)</f>
        <v>1</v>
      </c>
      <c r="I165" s="6" cm="1">
        <f t="array" aca="1" ref="I165" ca="1">visible(materialNum(D165),K165)</f>
        <v>2</v>
      </c>
      <c r="J165" s="6" t="str" cm="1">
        <f t="array" ref="J165">visible((""),M165)</f>
        <v/>
      </c>
      <c r="K165" s="6" t="b">
        <v>1</v>
      </c>
    </row>
    <row r="166" spans="1:11" x14ac:dyDescent="0.3">
      <c r="A166" s="51">
        <v>3</v>
      </c>
      <c r="B166" s="15" t="str" cm="1">
        <f t="array" ref="B166">visible(E155, K166)</f>
        <v>وحدة سفلية دلفة/ دلفتين</v>
      </c>
      <c r="C166" s="6" cm="1">
        <f t="array" ref="C166">visible(5,K166)</f>
        <v>5</v>
      </c>
      <c r="D166" s="6" t="str" cm="1">
        <f t="array" aca="1" ref="D166" ca="1">visible((I156),K166)</f>
        <v>HPL</v>
      </c>
      <c r="E166" s="6" t="str" cm="1">
        <f t="array" ref="E166">visible(("رف"),K166)</f>
        <v>رف</v>
      </c>
      <c r="F166" s="6" cm="1">
        <f t="array" ref="F166">visible((H159-3.8),K166)</f>
        <v>-3.8</v>
      </c>
      <c r="G166" s="6" cm="1">
        <f t="array" aca="1" ref="G166" ca="1">visible((J158-6),K166)</f>
        <v>50</v>
      </c>
      <c r="H166" s="6" cm="1">
        <f t="array" ref="H166">visible((D158*C155),K166)</f>
        <v>5</v>
      </c>
      <c r="I166" s="6" cm="1">
        <f t="array" aca="1" ref="I166" ca="1">visible(materialNum(D166),K166)</f>
        <v>2</v>
      </c>
      <c r="J166" s="6" t="str" cm="1">
        <f t="array" ref="J166">visible((""),M166)</f>
        <v/>
      </c>
      <c r="K166" s="6" t="b">
        <v>1</v>
      </c>
    </row>
    <row r="167" spans="1:11" x14ac:dyDescent="0.3">
      <c r="A167" s="51">
        <v>0</v>
      </c>
    </row>
    <row r="168" spans="1:11" x14ac:dyDescent="0.3">
      <c r="A168" s="51">
        <v>4</v>
      </c>
      <c r="B168" s="15" t="str" cm="1">
        <f t="array" ref="B168">visible(E155, K168)</f>
        <v>وحدة سفلية دلفة/ دلفتين</v>
      </c>
      <c r="C168" s="9" cm="1">
        <f t="array" ref="C168">visible(6,K168)</f>
        <v>6</v>
      </c>
      <c r="D168" s="9" t="str" cm="1">
        <f t="array" aca="1" ref="D168" ca="1">visible((G156),K168)</f>
        <v>يوفيلاك</v>
      </c>
      <c r="E168" s="9" t="str" cm="1">
        <f t="array" ref="E168">visible(("دلف"),K168)</f>
        <v>دلف</v>
      </c>
      <c r="F168" s="9" cm="1">
        <f t="array" aca="1" ref="F168" ca="1">visible((I158-0.5-G158),K168)</f>
        <v>74</v>
      </c>
      <c r="G168" s="9" cm="1">
        <f t="array" ref="G168">visible(((H158/C158)-0.5),K168)</f>
        <v>-0.5</v>
      </c>
      <c r="H168" s="9" cm="1">
        <f t="array" ref="H168">visible((C158*C155),K168)</f>
        <v>1</v>
      </c>
      <c r="I168" s="9" cm="1">
        <f t="array" aca="1" ref="I168" ca="1">visible(materialNum(D168),K168)</f>
        <v>6</v>
      </c>
      <c r="J168" s="9" t="str" cm="1">
        <f t="array" ref="J168">visible((""),M168)</f>
        <v/>
      </c>
      <c r="K168" s="9" t="b">
        <v>1</v>
      </c>
    </row>
    <row r="169" spans="1:11" x14ac:dyDescent="0.3">
      <c r="A169" s="51">
        <v>0</v>
      </c>
      <c r="C169" s="1"/>
      <c r="D169" s="1"/>
      <c r="E169" s="1"/>
      <c r="F169" s="1"/>
      <c r="G169" s="1"/>
      <c r="H169" s="1"/>
      <c r="I169" s="1"/>
      <c r="J169" s="1"/>
    </row>
    <row r="170" spans="1:11" x14ac:dyDescent="0.3">
      <c r="A170" s="51">
        <v>5</v>
      </c>
      <c r="B170" s="15" t="str" cm="1">
        <f t="array" aca="1" ref="B170" ca="1">visible(E155, K170)</f>
        <v>وحدة سفلية دلفة/ دلفتين</v>
      </c>
      <c r="C170" s="19" cm="1">
        <f t="array" aca="1" ref="C170" ca="1">visible(7,K170)</f>
        <v>7</v>
      </c>
      <c r="D170" s="19" t="str" cm="1">
        <f t="array" aca="1" ref="D170" ca="1">visible((E156),K170)</f>
        <v>ظهر</v>
      </c>
      <c r="E170" s="19" t="str" cm="1">
        <f t="array" aca="1" ref="E170" ca="1">visible(("ظهر"),K170)</f>
        <v>ظهر</v>
      </c>
      <c r="F170" s="19" cm="1">
        <f t="array" aca="1" ref="F170" ca="1">visible((I158-2),K170)</f>
        <v>76</v>
      </c>
      <c r="G170" s="19" cm="1">
        <f t="array" aca="1" ref="G170" ca="1">visible((H158-2),K170)</f>
        <v>-2</v>
      </c>
      <c r="H170" s="19" cm="1">
        <f t="array" aca="1" ref="H170" ca="1">visible((C155),K170)</f>
        <v>1</v>
      </c>
      <c r="I170" s="19" cm="1">
        <f t="array" aca="1" ref="I170" ca="1">visible(materialNum(D170),K170)</f>
        <v>2</v>
      </c>
      <c r="J170" s="19" t="str" cm="1">
        <f t="array" ref="J170">visible((""),M170)</f>
        <v/>
      </c>
      <c r="K170" s="19" t="b">
        <f ca="1">F158</f>
        <v>1</v>
      </c>
    </row>
    <row r="171" spans="1:11" x14ac:dyDescent="0.3">
      <c r="A171" s="51">
        <v>255</v>
      </c>
      <c r="C171"/>
      <c r="D171"/>
      <c r="E171"/>
      <c r="F171"/>
      <c r="G171"/>
      <c r="H171"/>
      <c r="I171"/>
      <c r="J171"/>
      <c r="K171"/>
    </row>
    <row r="172" spans="1:11" x14ac:dyDescent="0.3">
      <c r="A172" s="51">
        <v>255</v>
      </c>
      <c r="C172"/>
      <c r="D172"/>
      <c r="E172"/>
      <c r="F172"/>
      <c r="G172"/>
      <c r="H172"/>
      <c r="I172"/>
      <c r="J172"/>
      <c r="K172"/>
    </row>
  </sheetData>
  <mergeCells count="12">
    <mergeCell ref="E155:H155"/>
    <mergeCell ref="E132:H132"/>
    <mergeCell ref="E109:H109"/>
    <mergeCell ref="F110:F111"/>
    <mergeCell ref="E89:H89"/>
    <mergeCell ref="E48:H48"/>
    <mergeCell ref="F90:F91"/>
    <mergeCell ref="F69:F70"/>
    <mergeCell ref="E68:H68"/>
    <mergeCell ref="C2:J2"/>
    <mergeCell ref="F49:F50"/>
    <mergeCell ref="E13:H13"/>
  </mergeCells>
  <phoneticPr fontId="10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45720</xdr:rowOff>
                  </from>
                  <to>
                    <xdr:col>11</xdr:col>
                    <xdr:colOff>441960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693420</xdr:colOff>
                    <xdr:row>5</xdr:row>
                    <xdr:rowOff>45720</xdr:rowOff>
                  </from>
                  <to>
                    <xdr:col>5</xdr:col>
                    <xdr:colOff>274320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411480</xdr:colOff>
                    <xdr:row>5</xdr:row>
                    <xdr:rowOff>45720</xdr:rowOff>
                  </from>
                  <to>
                    <xdr:col>8</xdr:col>
                    <xdr:colOff>358140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modifyBlock">
                <anchor moveWithCells="1" sizeWithCells="1">
                  <from>
                    <xdr:col>12</xdr:col>
                    <xdr:colOff>167640</xdr:colOff>
                    <xdr:row>5</xdr:row>
                    <xdr:rowOff>22860</xdr:rowOff>
                  </from>
                  <to>
                    <xdr:col>15</xdr:col>
                    <xdr:colOff>335280</xdr:colOff>
                    <xdr:row>6</xdr:row>
                    <xdr:rowOff>205740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W149"/>
  <sheetViews>
    <sheetView topLeftCell="B1" zoomScale="86" zoomScaleNormal="70" workbookViewId="0">
      <selection activeCell="M6" sqref="M6"/>
    </sheetView>
  </sheetViews>
  <sheetFormatPr defaultRowHeight="15.6" x14ac:dyDescent="0.3"/>
  <cols>
    <col min="1" max="1" width="7.44140625" style="36" hidden="1" customWidth="1"/>
    <col min="2" max="2" width="34" style="3" customWidth="1"/>
    <col min="3" max="3" width="8.109375" style="3" customWidth="1"/>
    <col min="4" max="4" width="8" style="3" customWidth="1"/>
    <col min="5" max="5" width="17.109375" style="3" customWidth="1"/>
    <col min="6" max="6" width="7.77734375" style="3" customWidth="1"/>
    <col min="7" max="7" width="7.88671875" style="3" customWidth="1"/>
    <col min="8" max="8" width="8.33203125" style="3" customWidth="1"/>
    <col min="9" max="9" width="8.21875" style="3" customWidth="1"/>
    <col min="10" max="10" width="13.6640625" style="3" customWidth="1"/>
    <col min="11" max="17" width="8.88671875" style="3" customWidth="1"/>
    <col min="18" max="18" width="24.33203125" style="3" customWidth="1"/>
    <col min="19" max="19" width="28.77734375" style="3" customWidth="1"/>
    <col min="20" max="20" width="28.44140625" style="3" customWidth="1"/>
    <col min="21" max="21" width="27.21875" style="3" customWidth="1"/>
    <col min="22" max="22" width="28.77734375" style="3" customWidth="1"/>
    <col min="23" max="23" width="23.33203125" style="3" customWidth="1"/>
    <col min="24" max="24" width="22.88671875" style="3" customWidth="1"/>
    <col min="25" max="52" width="8.88671875" style="3" customWidth="1"/>
    <col min="53" max="16384" width="8.88671875" style="3"/>
  </cols>
  <sheetData>
    <row r="1" spans="1:25" s="35" customFormat="1" x14ac:dyDescent="0.3">
      <c r="A1" s="36">
        <v>74</v>
      </c>
      <c r="B1" s="55">
        <v>6</v>
      </c>
    </row>
    <row r="2" spans="1:25" s="35" customFormat="1" ht="31.2" x14ac:dyDescent="0.3">
      <c r="A2" s="36">
        <v>96</v>
      </c>
      <c r="B2" s="48" t="s">
        <v>122</v>
      </c>
      <c r="C2" s="106" t="s">
        <v>104</v>
      </c>
      <c r="D2" s="106"/>
      <c r="E2" s="106"/>
      <c r="F2" s="106"/>
      <c r="G2" s="106"/>
      <c r="H2" s="106"/>
      <c r="I2" s="106"/>
      <c r="J2" s="106"/>
    </row>
    <row r="3" spans="1:25" s="35" customFormat="1" ht="14.4" x14ac:dyDescent="0.3">
      <c r="A3" s="45"/>
      <c r="B3" s="53" t="s">
        <v>175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34"/>
      <c r="S3" s="34"/>
      <c r="T3" s="34"/>
      <c r="U3" s="34"/>
      <c r="V3" s="40"/>
      <c r="W3" s="40"/>
      <c r="X3" s="40"/>
      <c r="Y3" s="40"/>
    </row>
    <row r="4" spans="1:25" s="35" customFormat="1" ht="14.4" x14ac:dyDescent="0.3">
      <c r="A4" s="45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34"/>
      <c r="S4" s="34"/>
      <c r="T4" s="34"/>
      <c r="U4" s="34"/>
      <c r="V4" s="34"/>
      <c r="W4" s="34"/>
      <c r="X4" s="34"/>
      <c r="Y4" s="34"/>
    </row>
    <row r="5" spans="1:25" s="35" customFormat="1" ht="14.4" x14ac:dyDescent="0.3">
      <c r="A5" s="45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</row>
    <row r="6" spans="1:25" s="35" customFormat="1" ht="14.4" x14ac:dyDescent="0.3">
      <c r="A6" s="45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</row>
    <row r="7" spans="1:25" s="37" customFormat="1" ht="18" x14ac:dyDescent="0.3">
      <c r="A7" s="45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</row>
    <row r="8" spans="1:25" s="38" customFormat="1" ht="18" x14ac:dyDescent="0.3">
      <c r="A8" s="45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</row>
    <row r="9" spans="1:25" customFormat="1" ht="14.4" x14ac:dyDescent="0.3">
      <c r="A9" s="45"/>
    </row>
    <row r="10" spans="1:25" customFormat="1" ht="14.4" x14ac:dyDescent="0.3">
      <c r="A10" s="45"/>
    </row>
    <row r="12" spans="1:25" ht="14.4" x14ac:dyDescent="0.3">
      <c r="A12" s="35"/>
    </row>
    <row r="13" spans="1:25" s="4" customFormat="1" ht="36" x14ac:dyDescent="0.3">
      <c r="A13" s="39" t="s">
        <v>155</v>
      </c>
      <c r="B13" s="15"/>
      <c r="C13" s="14">
        <v>1</v>
      </c>
      <c r="D13" s="22" t="s">
        <v>59</v>
      </c>
      <c r="E13" s="101" t="s">
        <v>116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_xlfn.SHEET("بورديوم")</f>
        <v>5</v>
      </c>
    </row>
    <row r="14" spans="1:25" ht="31.2" x14ac:dyDescent="0.3">
      <c r="A14" s="35">
        <v>1</v>
      </c>
      <c r="B14" s="15"/>
      <c r="C14" s="7" t="s">
        <v>12</v>
      </c>
      <c r="D14" s="18" t="s">
        <v>18</v>
      </c>
      <c r="E14" s="7" t="s">
        <v>16</v>
      </c>
      <c r="F14" s="29" t="s">
        <v>114</v>
      </c>
      <c r="G14" s="105"/>
      <c r="H14" s="7" t="s">
        <v>22</v>
      </c>
      <c r="I14" s="7" t="s">
        <v>3</v>
      </c>
      <c r="J14" s="7" t="s">
        <v>113</v>
      </c>
      <c r="K14" s="7"/>
    </row>
    <row r="15" spans="1:25" x14ac:dyDescent="0.3">
      <c r="A15" s="35">
        <v>1</v>
      </c>
      <c r="B15" s="15"/>
      <c r="C15" s="8">
        <v>1</v>
      </c>
      <c r="D15" s="8">
        <v>1</v>
      </c>
      <c r="E15" s="27" cm="1">
        <f t="array" aca="1" ref="E15" ca="1">defaultValue(E14,K13)</f>
        <v>3.5</v>
      </c>
      <c r="F15" s="27" t="b" cm="1">
        <f t="array" aca="1" ref="F15" ca="1">defaultValue(F14,K13)</f>
        <v>1</v>
      </c>
      <c r="G15" s="105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7"/>
    </row>
    <row r="16" spans="1:25" ht="31.2" x14ac:dyDescent="0.3">
      <c r="A16" s="35">
        <v>1</v>
      </c>
      <c r="B16" s="15"/>
      <c r="C16" s="8"/>
      <c r="D16" s="27" t="str" cm="1">
        <f t="array" aca="1" ref="D16" ca="1">defaultValue(E16,K13)</f>
        <v>ظهر</v>
      </c>
      <c r="E16" s="7" t="s">
        <v>58</v>
      </c>
      <c r="F16" s="27" t="str" cm="1">
        <f t="array" aca="1" ref="F16" ca="1">defaultValue(G16,K13)</f>
        <v>يوفيلاك</v>
      </c>
      <c r="G16" s="7" t="s">
        <v>32</v>
      </c>
      <c r="H16" s="27" t="str" cm="1">
        <f t="array" aca="1" ref="H16" ca="1">defaultValue(I16,K13)</f>
        <v>بورديوم</v>
      </c>
      <c r="I16" s="7" t="s">
        <v>31</v>
      </c>
      <c r="J16" s="25" t="s">
        <v>111</v>
      </c>
      <c r="K16" s="7"/>
    </row>
    <row r="17" spans="1:75" ht="14.4" x14ac:dyDescent="0.3">
      <c r="A17" s="35">
        <v>0</v>
      </c>
      <c r="B17"/>
      <c r="C17"/>
      <c r="D17"/>
      <c r="E17"/>
      <c r="F17"/>
      <c r="G17"/>
      <c r="H17"/>
      <c r="I17"/>
      <c r="J17"/>
      <c r="K17"/>
    </row>
    <row r="18" spans="1:75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33</v>
      </c>
      <c r="J18" s="6" t="s">
        <v>8</v>
      </c>
      <c r="K18" s="6" t="s">
        <v>185</v>
      </c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</row>
    <row r="20" spans="1:75" x14ac:dyDescent="0.3">
      <c r="A20" s="51">
        <v>3</v>
      </c>
      <c r="B20" s="15" t="str">
        <f>E13</f>
        <v>وحدة سفلية دلفة /دلفتين (بورديوم)</v>
      </c>
      <c r="C20" s="6">
        <v>1</v>
      </c>
      <c r="D20" s="6" t="str">
        <f ca="1">H16</f>
        <v>بورديوم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6" t="b">
        <v>1</v>
      </c>
    </row>
    <row r="21" spans="1:75" x14ac:dyDescent="0.3">
      <c r="A21" s="51">
        <v>3</v>
      </c>
      <c r="B21" s="15" t="str">
        <f>B20</f>
        <v>وحدة سفلية دلفة /دلفتين (بورديوم)</v>
      </c>
      <c r="C21" s="6">
        <f>C20+1</f>
        <v>2</v>
      </c>
      <c r="D21" s="6" t="str">
        <f ca="1">H16</f>
        <v>بورديوم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6" t="b">
        <v>1</v>
      </c>
    </row>
    <row r="22" spans="1:75" x14ac:dyDescent="0.3">
      <c r="A22" s="51">
        <v>3</v>
      </c>
      <c r="B22" s="15" t="str">
        <f>B20</f>
        <v>وحدة سفلية دلفة /دلفتين (بورديوم)</v>
      </c>
      <c r="C22" s="6">
        <f t="shared" ref="C22:C24" si="0">C21+1</f>
        <v>3</v>
      </c>
      <c r="D22" s="6" t="str">
        <f ca="1">H16</f>
        <v>بورديوم</v>
      </c>
      <c r="E22" s="6" t="s">
        <v>13</v>
      </c>
      <c r="F22" s="6">
        <f>H15-3.6</f>
        <v>-3.6</v>
      </c>
      <c r="G22" s="6">
        <v>10</v>
      </c>
      <c r="H22" s="6">
        <f>1*C13</f>
        <v>1</v>
      </c>
      <c r="I22" s="6">
        <f ca="1">HLOOKUP(D22, materials[], 2,FALSE)</f>
        <v>2</v>
      </c>
      <c r="J22" s="6"/>
      <c r="K22" s="6" t="b">
        <v>1</v>
      </c>
    </row>
    <row r="23" spans="1:75" x14ac:dyDescent="0.3">
      <c r="A23" s="51">
        <v>3</v>
      </c>
      <c r="B23" s="15" t="str">
        <f>B20</f>
        <v>وحدة سفلية دلفة /دلفتين (بورديوم)</v>
      </c>
      <c r="C23" s="6">
        <f t="shared" si="0"/>
        <v>4</v>
      </c>
      <c r="D23" s="6" t="str">
        <f ca="1">H16</f>
        <v>بورديوم</v>
      </c>
      <c r="E23" s="6" t="s">
        <v>14</v>
      </c>
      <c r="F23" s="6">
        <f>H15-3.6</f>
        <v>-3.6</v>
      </c>
      <c r="G23" s="6">
        <v>7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</row>
    <row r="24" spans="1:75" x14ac:dyDescent="0.3">
      <c r="A24" s="51">
        <v>3</v>
      </c>
      <c r="B24" s="15" t="str">
        <f>B20</f>
        <v>وحدة سفلية دلفة /دلفتين (بورديوم)</v>
      </c>
      <c r="C24" s="6">
        <f t="shared" si="0"/>
        <v>5</v>
      </c>
      <c r="D24" s="6" t="str">
        <f ca="1">H16</f>
        <v>بورديوم</v>
      </c>
      <c r="E24" s="6" t="s">
        <v>17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6" t="b">
        <v>1</v>
      </c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</row>
    <row r="26" spans="1:75" x14ac:dyDescent="0.3">
      <c r="A26" s="51">
        <v>4</v>
      </c>
      <c r="B26" s="15" t="str">
        <f>B20</f>
        <v>وحدة سفلية دلفة /دلفتين (بورديوم)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1</v>
      </c>
      <c r="I26" s="9">
        <f ca="1">HLOOKUP(D26, materials[], 2,FALSE)</f>
        <v>6</v>
      </c>
      <c r="J26" s="9"/>
      <c r="K26" s="9" t="b">
        <v>1</v>
      </c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</row>
    <row r="28" spans="1:75" x14ac:dyDescent="0.3">
      <c r="A28" s="51">
        <v>5</v>
      </c>
      <c r="B28" s="15" t="str">
        <f ca="1">IF(F15,B20, "")</f>
        <v>وحدة سفلية دلفة /دلفتين (بورديوم)</v>
      </c>
      <c r="C28" s="19">
        <f ca="1">IF(F15,C26+1, "")</f>
        <v>7</v>
      </c>
      <c r="D28" s="19" t="str">
        <f ca="1">IF(F15,D16, "")</f>
        <v>ظهر</v>
      </c>
      <c r="E28" s="19" t="str">
        <f ca="1">IF(F15,"ظهر", "")</f>
        <v>ظهر</v>
      </c>
      <c r="F28" s="19">
        <f ca="1">IF(F15,I15-2, "")</f>
        <v>76</v>
      </c>
      <c r="G28" s="19">
        <f ca="1">IF(F15,H15-2, "")</f>
        <v>-2</v>
      </c>
      <c r="H28" s="19">
        <f ca="1">IF(F15,0, "")</f>
        <v>0</v>
      </c>
      <c r="I28" s="19">
        <f ca="1">IF(F15,HLOOKUP(D28, materials[], 2,FALSE), "")</f>
        <v>2</v>
      </c>
      <c r="J28" s="19"/>
      <c r="K28" s="19" t="b">
        <v>1</v>
      </c>
    </row>
    <row r="29" spans="1:75" ht="14.4" x14ac:dyDescent="0.3">
      <c r="A29" s="35">
        <v>255</v>
      </c>
    </row>
    <row r="30" spans="1:75" x14ac:dyDescent="0.3">
      <c r="A30" s="35">
        <v>255</v>
      </c>
      <c r="B30" s="15"/>
    </row>
    <row r="31" spans="1:75" ht="36" x14ac:dyDescent="0.3">
      <c r="A31" s="51" t="s">
        <v>160</v>
      </c>
      <c r="B31" s="15"/>
      <c r="C31" s="14">
        <v>1</v>
      </c>
      <c r="D31" s="22" t="s">
        <v>59</v>
      </c>
      <c r="E31" s="101" t="s">
        <v>142</v>
      </c>
      <c r="F31" s="102"/>
      <c r="G31" s="102"/>
      <c r="H31" s="103"/>
      <c r="I31" s="2" t="s">
        <v>30</v>
      </c>
      <c r="J31" s="2">
        <f>letterToNumber(A31)</f>
        <v>2</v>
      </c>
      <c r="K31" s="7">
        <f ca="1">_xlfn.SHEET("بورديوم")</f>
        <v>5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B32" s="15"/>
      <c r="C32" s="7" t="s">
        <v>129</v>
      </c>
      <c r="D32" s="7" t="s">
        <v>128</v>
      </c>
      <c r="E32" s="7" t="s">
        <v>130</v>
      </c>
      <c r="F32" s="7" t="s">
        <v>127</v>
      </c>
      <c r="G32" s="27" t="str">
        <f ca="1">INDEX(boardiumGlobal[[#All],[Column1]],MATCH(H32,boardiumGlobal[[#All],[Column2]],0))</f>
        <v>ظهر</v>
      </c>
      <c r="H32" s="7" t="s">
        <v>58</v>
      </c>
      <c r="I32" s="27" cm="1">
        <f t="array" aca="1" ref="I32" ca="1">defaultValue(J32,K31)</f>
        <v>45</v>
      </c>
      <c r="J32" s="16" t="s">
        <v>19</v>
      </c>
      <c r="K32" s="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B33" s="29" t="s">
        <v>114</v>
      </c>
      <c r="C33" s="8">
        <v>0</v>
      </c>
      <c r="D33" s="8">
        <v>0</v>
      </c>
      <c r="E33" s="7">
        <v>0</v>
      </c>
      <c r="F33" s="7">
        <v>0</v>
      </c>
      <c r="G33" s="7" t="s">
        <v>16</v>
      </c>
      <c r="H33" s="7" t="s">
        <v>22</v>
      </c>
      <c r="I33" s="7" t="s">
        <v>3</v>
      </c>
      <c r="J33" s="7" t="s">
        <v>113</v>
      </c>
      <c r="K33" s="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B34" s="27" t="b" cm="1">
        <f t="array" aca="1" ref="B34" ca="1">defaultValue(B33,K31)</f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148</v>
      </c>
      <c r="C35" s="60">
        <v>0</v>
      </c>
      <c r="D35" s="58">
        <v>4</v>
      </c>
      <c r="E35" s="58" t="s">
        <v>143</v>
      </c>
      <c r="F35" s="27" t="str" cm="1">
        <f t="array" aca="1" ref="F35" ca="1">defaultValue(G35,K31)</f>
        <v>يوفيلاك</v>
      </c>
      <c r="G35" s="7" t="s">
        <v>32</v>
      </c>
      <c r="H35" s="27" t="str" cm="1">
        <f t="array" aca="1" ref="H35" ca="1">defaultValue(I35,K31)</f>
        <v>بورديوم</v>
      </c>
      <c r="I35" s="7" t="s">
        <v>31</v>
      </c>
      <c r="J35" s="25" t="s">
        <v>111</v>
      </c>
      <c r="K35" s="7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B37" s="15"/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33</v>
      </c>
      <c r="J37" s="6" t="s">
        <v>8</v>
      </c>
      <c r="K37" s="6" t="s">
        <v>185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بورديوم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6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بورديوم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6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بورديوم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6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بورديوم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6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بورديوم</v>
      </c>
      <c r="E43" s="10" t="s">
        <v>131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10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بورديوم</v>
      </c>
      <c r="E44" s="10" t="s">
        <v>132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10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بورديوم</v>
      </c>
      <c r="E45" s="10" t="s">
        <v>133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10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بورديوم</v>
      </c>
      <c r="E46" s="11" t="s">
        <v>134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11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بورديوم</v>
      </c>
      <c r="E47" s="11" t="s">
        <v>135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11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بورديوم</v>
      </c>
      <c r="E48" s="11" t="s">
        <v>136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11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بورديوم</v>
      </c>
      <c r="E49" s="10" t="s">
        <v>139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10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بورديوم</v>
      </c>
      <c r="E50" s="10" t="s">
        <v>140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10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بورديوم</v>
      </c>
      <c r="E51" s="10" t="s">
        <v>141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10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بورديوم</v>
      </c>
      <c r="E52" s="11" t="s">
        <v>138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11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بورديوم</v>
      </c>
      <c r="E53" s="11" t="s">
        <v>137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11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ht="28.8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144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9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ht="28.8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145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9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ht="28.8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146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9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ht="28.8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147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9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 ca="1">G32</f>
        <v>ظهر</v>
      </c>
      <c r="E60" s="19" t="s">
        <v>58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 ca="1">HLOOKUP(D60, materials[], 2,FALSE)</f>
        <v>2</v>
      </c>
      <c r="J60" s="19"/>
      <c r="K60" s="19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 ca="1">G32</f>
        <v>ظهر</v>
      </c>
      <c r="E61" s="19" t="s">
        <v>149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 ca="1">HLOOKUP(D61, materials[], 2,FALSE)</f>
        <v>2</v>
      </c>
      <c r="J61" s="19"/>
      <c r="K61" s="19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 ca="1">G32</f>
        <v>ظهر</v>
      </c>
      <c r="E62" s="19" t="s">
        <v>150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 ca="1">HLOOKUP(D62, materials[], 2,FALSE)</f>
        <v>2</v>
      </c>
      <c r="J62" s="19"/>
      <c r="K62" s="1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 ca="1">G32</f>
        <v>ظهر</v>
      </c>
      <c r="E63" s="19" t="s">
        <v>151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 ca="1">HLOOKUP(D63, materials[], 2,FALSE)</f>
        <v>2</v>
      </c>
      <c r="J63" s="19"/>
      <c r="K63" s="1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B64" s="15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B65" s="15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35" t="s">
        <v>156</v>
      </c>
      <c r="B66" s="15"/>
      <c r="C66" s="14">
        <v>1</v>
      </c>
      <c r="D66" s="22" t="s">
        <v>59</v>
      </c>
      <c r="E66" s="101" t="s">
        <v>119</v>
      </c>
      <c r="F66" s="102"/>
      <c r="G66" s="102"/>
      <c r="H66" s="103"/>
      <c r="I66" s="2" t="s">
        <v>30</v>
      </c>
      <c r="J66" s="2">
        <f>letterToNumber(A66)</f>
        <v>3</v>
      </c>
      <c r="K66" s="7">
        <f ca="1">_xlfn.SHEET("بورديوم")</f>
        <v>5</v>
      </c>
    </row>
    <row r="67" spans="1:75" ht="31.2" x14ac:dyDescent="0.3">
      <c r="A67" s="35">
        <v>1</v>
      </c>
      <c r="B67" s="15"/>
      <c r="C67" s="7" t="s">
        <v>12</v>
      </c>
      <c r="D67" s="7" t="s">
        <v>18</v>
      </c>
      <c r="E67" s="7" t="s">
        <v>16</v>
      </c>
      <c r="F67" s="29" t="s">
        <v>114</v>
      </c>
      <c r="G67" s="105"/>
      <c r="H67" s="7" t="s">
        <v>22</v>
      </c>
      <c r="I67" s="7" t="s">
        <v>3</v>
      </c>
      <c r="J67" s="7" t="s">
        <v>113</v>
      </c>
      <c r="K67" s="7"/>
    </row>
    <row r="68" spans="1:75" x14ac:dyDescent="0.3">
      <c r="A68" s="35">
        <v>1</v>
      </c>
      <c r="B68" s="15"/>
      <c r="C68" s="8">
        <v>1</v>
      </c>
      <c r="D68" s="8">
        <v>1</v>
      </c>
      <c r="E68" s="27" cm="1">
        <f t="array" aca="1" ref="E68" ca="1">defaultValue(E67,K66)</f>
        <v>3.5</v>
      </c>
      <c r="F68" s="27" t="b" cm="1">
        <f t="array" aca="1" ref="F68" ca="1">defaultValue(F67,K66)</f>
        <v>1</v>
      </c>
      <c r="G68" s="105"/>
      <c r="H68" s="8"/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K68" s="7"/>
    </row>
    <row r="69" spans="1:75" ht="31.2" x14ac:dyDescent="0.3">
      <c r="A69" s="35">
        <v>1</v>
      </c>
      <c r="B69" s="15"/>
      <c r="C69" s="8"/>
      <c r="D69" s="27" t="str" cm="1">
        <f t="array" aca="1" ref="D69" ca="1">defaultValue(E69,K66)</f>
        <v>ظهر</v>
      </c>
      <c r="E69" s="7" t="s">
        <v>58</v>
      </c>
      <c r="F69" s="27" t="str" cm="1">
        <f t="array" aca="1" ref="F69" ca="1">defaultValue(G69,K66)</f>
        <v>يوفيلاك</v>
      </c>
      <c r="G69" s="7" t="s">
        <v>32</v>
      </c>
      <c r="H69" s="27" t="str" cm="1">
        <f t="array" aca="1" ref="H69" ca="1">defaultValue(I69,K66)</f>
        <v>بورديوم</v>
      </c>
      <c r="I69" s="7" t="s">
        <v>31</v>
      </c>
      <c r="J69" s="25" t="s">
        <v>111</v>
      </c>
      <c r="K69" s="7"/>
    </row>
    <row r="70" spans="1:75" ht="14.4" x14ac:dyDescent="0.3">
      <c r="A70" s="35">
        <v>0</v>
      </c>
      <c r="B70"/>
      <c r="C70"/>
      <c r="D70"/>
      <c r="E70"/>
      <c r="F70"/>
      <c r="G70"/>
      <c r="H70"/>
      <c r="I70"/>
      <c r="J70"/>
      <c r="K70"/>
    </row>
    <row r="71" spans="1:75" x14ac:dyDescent="0.3">
      <c r="A71" s="51">
        <v>2</v>
      </c>
      <c r="B71" s="15"/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33</v>
      </c>
      <c r="J71" s="6" t="s">
        <v>8</v>
      </c>
      <c r="K71" s="6" t="s">
        <v>185</v>
      </c>
    </row>
    <row r="72" spans="1:75" ht="15.6" customHeight="1" x14ac:dyDescent="0.3">
      <c r="A72" s="51">
        <v>0</v>
      </c>
      <c r="B72"/>
      <c r="C72"/>
      <c r="D72"/>
      <c r="E72"/>
      <c r="F72"/>
      <c r="G72"/>
      <c r="H72"/>
      <c r="I72"/>
      <c r="J72"/>
      <c r="K72"/>
    </row>
    <row r="73" spans="1:75" ht="15.6" customHeight="1" x14ac:dyDescent="0.3">
      <c r="A73" s="51">
        <v>3</v>
      </c>
      <c r="B73" s="15" t="str">
        <f>E66</f>
        <v>وحدة سفلية  تلبيسة دلفة /دلفتين (بورديوم)</v>
      </c>
      <c r="C73" s="6">
        <v>1</v>
      </c>
      <c r="D73" s="6" t="str">
        <f ca="1">H69</f>
        <v>بورديوم</v>
      </c>
      <c r="E73" s="6" t="s">
        <v>10</v>
      </c>
      <c r="F73" s="6">
        <f>H68-3.6</f>
        <v>-3.6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6" t="b">
        <v>1</v>
      </c>
    </row>
    <row r="74" spans="1:75" ht="15.6" customHeight="1" x14ac:dyDescent="0.3">
      <c r="A74" s="51">
        <v>3</v>
      </c>
      <c r="B74" s="15" t="str">
        <f>B73</f>
        <v>وحدة سفلية  تلبيسة دلفة /دلفتين (بورديوم)</v>
      </c>
      <c r="C74" s="6">
        <f>C73+1</f>
        <v>2</v>
      </c>
      <c r="D74" s="6" t="str">
        <f ca="1">H69</f>
        <v>بورديوم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6" t="b">
        <v>1</v>
      </c>
    </row>
    <row r="75" spans="1:75" ht="15.6" customHeight="1" x14ac:dyDescent="0.3">
      <c r="A75" s="51">
        <v>3</v>
      </c>
      <c r="B75" s="15" t="str">
        <f>B73</f>
        <v>وحدة سفلية  تلبيسة دلفة /دلفتين (بورديوم)</v>
      </c>
      <c r="C75" s="6">
        <f t="shared" ref="C75:C78" si="2">C74+1</f>
        <v>3</v>
      </c>
      <c r="D75" s="6" t="str">
        <f ca="1">H69</f>
        <v>بورديوم</v>
      </c>
      <c r="E75" s="6" t="s">
        <v>13</v>
      </c>
      <c r="F75" s="6">
        <f>H68-3.6</f>
        <v>-3.6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6" t="b">
        <v>1</v>
      </c>
    </row>
    <row r="76" spans="1:75" ht="15.6" customHeight="1" x14ac:dyDescent="0.3">
      <c r="A76" s="51">
        <v>3</v>
      </c>
      <c r="B76" s="15" t="str">
        <f>B73</f>
        <v>وحدة سفلية  تلبيسة دلفة /دلفتين (بورديوم)</v>
      </c>
      <c r="C76" s="6">
        <f t="shared" si="2"/>
        <v>4</v>
      </c>
      <c r="D76" s="6" t="str">
        <f ca="1">H69</f>
        <v>بورديوم</v>
      </c>
      <c r="E76" s="6" t="s">
        <v>14</v>
      </c>
      <c r="F76" s="6">
        <f>H68-3.6</f>
        <v>-3.6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6" t="b">
        <v>1</v>
      </c>
    </row>
    <row r="77" spans="1:75" ht="15.6" customHeight="1" x14ac:dyDescent="0.3">
      <c r="A77" s="51">
        <v>3</v>
      </c>
      <c r="B77" s="15" t="str">
        <f>B73</f>
        <v>وحدة سفلية  تلبيسة دلفة /دلفتين (بورديوم)</v>
      </c>
      <c r="C77" s="6">
        <f t="shared" si="2"/>
        <v>5</v>
      </c>
      <c r="D77" s="6" t="str">
        <f ca="1">H69</f>
        <v>بورديوم</v>
      </c>
      <c r="E77" s="6" t="s">
        <v>17</v>
      </c>
      <c r="F77" s="6">
        <f>H68-3.8</f>
        <v>-3.8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6" t="b">
        <v>1</v>
      </c>
    </row>
    <row r="78" spans="1:75" ht="15.6" customHeight="1" x14ac:dyDescent="0.3">
      <c r="A78" s="51">
        <v>3</v>
      </c>
      <c r="B78" s="15" t="str">
        <f>B73</f>
        <v>وحدة سفلية  تلبيسة دلفة /دلفتين (بورديوم)</v>
      </c>
      <c r="C78" s="6">
        <f t="shared" si="2"/>
        <v>6</v>
      </c>
      <c r="D78" s="6" t="str">
        <f ca="1">H69</f>
        <v>بورديوم</v>
      </c>
      <c r="E78" s="6" t="s">
        <v>24</v>
      </c>
      <c r="F78" s="6">
        <f ca="1">I68</f>
        <v>78</v>
      </c>
      <c r="G78" s="6">
        <f ca="1">J68</f>
        <v>56</v>
      </c>
      <c r="H78" s="6">
        <f>1*C66</f>
        <v>1</v>
      </c>
      <c r="I78" s="6">
        <f ca="1">HLOOKUP(D78, materials[], 2,FALSE)</f>
        <v>2</v>
      </c>
      <c r="J78" s="6"/>
      <c r="K78" s="6" t="b">
        <v>1</v>
      </c>
    </row>
    <row r="79" spans="1:75" ht="15.6" customHeight="1" x14ac:dyDescent="0.3">
      <c r="A79" s="51">
        <v>0</v>
      </c>
      <c r="B79"/>
      <c r="C79"/>
      <c r="D79"/>
      <c r="E79"/>
      <c r="F79"/>
      <c r="G79"/>
      <c r="H79"/>
      <c r="I79"/>
      <c r="J79"/>
      <c r="K79"/>
    </row>
    <row r="80" spans="1:75" ht="15.6" customHeight="1" x14ac:dyDescent="0.3">
      <c r="A80" s="51">
        <v>4</v>
      </c>
      <c r="B80" s="15" t="str">
        <f>B73</f>
        <v>وحدة سفلية  تلبيسة دلفة /دلفتين (بورديوم)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 ca="1">(H68-J68-G81)/C68-0.5</f>
        <v>-60.5</v>
      </c>
      <c r="H80" s="9">
        <f>C68*C66</f>
        <v>1</v>
      </c>
      <c r="I80" s="9">
        <f ca="1">HLOOKUP(D80, materials[], 2,FALSE)</f>
        <v>6</v>
      </c>
      <c r="J80" s="9"/>
      <c r="K80" s="9" t="b">
        <v>1</v>
      </c>
    </row>
    <row r="81" spans="1:11" ht="20.399999999999999" customHeight="1" x14ac:dyDescent="0.3">
      <c r="A81" s="51">
        <v>4</v>
      </c>
      <c r="B81" s="15" t="str">
        <f>B73</f>
        <v>وحدة سفلية  تلبيسة دلفة /دلفتين (بورديوم)</v>
      </c>
      <c r="C81" s="9">
        <f t="shared" ref="C81" si="3">C80+1</f>
        <v>8</v>
      </c>
      <c r="D81" s="9" t="str">
        <f ca="1">F69</f>
        <v>يوفيلاك</v>
      </c>
      <c r="E81" s="9" t="s">
        <v>25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9" t="b">
        <v>1</v>
      </c>
    </row>
    <row r="82" spans="1:11" ht="15.6" customHeight="1" x14ac:dyDescent="0.3">
      <c r="A82" s="51">
        <v>0</v>
      </c>
      <c r="B82"/>
      <c r="C82"/>
      <c r="D82"/>
      <c r="E82"/>
      <c r="F82"/>
      <c r="G82"/>
      <c r="H82"/>
      <c r="I82"/>
      <c r="J82"/>
      <c r="K82"/>
    </row>
    <row r="83" spans="1:11" ht="31.2" x14ac:dyDescent="0.3">
      <c r="A83" s="51">
        <v>5</v>
      </c>
      <c r="B83" s="15" t="str">
        <f ca="1">IF(F68,B73, "")</f>
        <v>وحدة سفلية  تلبيسة دلفة /دلفتين (بورديوم)</v>
      </c>
      <c r="C83" s="19">
        <f ca="1">IF(F68,C81+1, "")</f>
        <v>9</v>
      </c>
      <c r="D83" s="19" t="str">
        <f ca="1">IF(F68,D69, "")</f>
        <v>ظهر</v>
      </c>
      <c r="E83" s="19" t="str">
        <f ca="1">IF(F68,"ظهر", "")</f>
        <v>ظهر</v>
      </c>
      <c r="F83" s="19">
        <f ca="1">IF(F68,I68-2, "")</f>
        <v>76</v>
      </c>
      <c r="G83" s="19">
        <f ca="1">IF(F68,H68-2, "")</f>
        <v>-2</v>
      </c>
      <c r="H83" s="19">
        <f ca="1">IF(F68,1*C66, "")</f>
        <v>1</v>
      </c>
      <c r="I83" s="19">
        <f ca="1">IF(F68,HLOOKUP(D83,materials[], 2,FALSE), "")</f>
        <v>2</v>
      </c>
      <c r="J83" s="19"/>
      <c r="K83" s="19" t="b">
        <v>1</v>
      </c>
    </row>
    <row r="84" spans="1:11" ht="14.4" x14ac:dyDescent="0.3">
      <c r="A84" s="35">
        <v>255</v>
      </c>
    </row>
    <row r="85" spans="1:11" x14ac:dyDescent="0.3">
      <c r="A85" s="35">
        <v>255</v>
      </c>
      <c r="B85" s="15"/>
    </row>
    <row r="86" spans="1:11" ht="36" x14ac:dyDescent="0.3">
      <c r="A86" s="35" t="s">
        <v>161</v>
      </c>
      <c r="B86" s="15"/>
      <c r="C86" s="14">
        <v>1</v>
      </c>
      <c r="D86" s="22" t="s">
        <v>59</v>
      </c>
      <c r="E86" s="101" t="s">
        <v>117</v>
      </c>
      <c r="F86" s="102"/>
      <c r="G86" s="102"/>
      <c r="H86" s="103"/>
      <c r="I86" s="2" t="s">
        <v>30</v>
      </c>
      <c r="J86" s="2">
        <f>letterToNumber(A86)</f>
        <v>4</v>
      </c>
      <c r="K86" s="7">
        <f ca="1">_xlfn.SHEET("بورديوم")</f>
        <v>5</v>
      </c>
    </row>
    <row r="87" spans="1:11" ht="31.2" x14ac:dyDescent="0.3">
      <c r="A87" s="35">
        <v>1</v>
      </c>
      <c r="B87" s="15"/>
      <c r="C87" s="7"/>
      <c r="D87" s="7" t="s">
        <v>18</v>
      </c>
      <c r="E87" s="7" t="s">
        <v>16</v>
      </c>
      <c r="F87" s="29" t="s">
        <v>114</v>
      </c>
      <c r="G87" s="7"/>
      <c r="H87" s="7" t="s">
        <v>22</v>
      </c>
      <c r="I87" s="7" t="s">
        <v>3</v>
      </c>
      <c r="J87" s="7" t="s">
        <v>113</v>
      </c>
      <c r="K87" s="7"/>
    </row>
    <row r="88" spans="1:11" x14ac:dyDescent="0.3">
      <c r="A88" s="35">
        <v>1</v>
      </c>
      <c r="B88" s="15"/>
      <c r="C88" s="8"/>
      <c r="D88" s="8">
        <v>1</v>
      </c>
      <c r="E88" s="27" cm="1">
        <f t="array" aca="1" ref="E88" ca="1">defaultValue(E87,K86)</f>
        <v>3.5</v>
      </c>
      <c r="F88" s="27" t="b" cm="1">
        <f t="array" aca="1" ref="F88" ca="1">defaultValue(F87,K86)</f>
        <v>1</v>
      </c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K88" s="7"/>
    </row>
    <row r="89" spans="1:11" x14ac:dyDescent="0.3">
      <c r="A89" s="35">
        <v>1</v>
      </c>
      <c r="B89" s="15"/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K89" s="7"/>
    </row>
    <row r="90" spans="1:11" ht="31.2" x14ac:dyDescent="0.3">
      <c r="A90" s="35">
        <v>1</v>
      </c>
      <c r="B90" s="15"/>
      <c r="C90" s="8"/>
      <c r="D90" s="27" t="str" cm="1">
        <f t="array" aca="1" ref="D90" ca="1">defaultValue(E90,K86)</f>
        <v>ظهر</v>
      </c>
      <c r="E90" s="7" t="s">
        <v>58</v>
      </c>
      <c r="F90" s="27" t="str" cm="1">
        <f t="array" aca="1" ref="F90" ca="1">defaultValue(G90,K86)</f>
        <v>يوفيلاك</v>
      </c>
      <c r="G90" s="7" t="s">
        <v>32</v>
      </c>
      <c r="H90" s="27" t="str" cm="1">
        <f t="array" aca="1" ref="H90" ca="1">defaultValue(I90,K86)</f>
        <v>بورديوم</v>
      </c>
      <c r="I90" s="7" t="s">
        <v>31</v>
      </c>
      <c r="J90" s="25" t="s">
        <v>111</v>
      </c>
      <c r="K90" s="7"/>
    </row>
    <row r="91" spans="1:11" ht="14.4" x14ac:dyDescent="0.3">
      <c r="A91" s="35">
        <v>0</v>
      </c>
      <c r="B91"/>
      <c r="C91"/>
      <c r="D91"/>
      <c r="E91"/>
      <c r="F91"/>
      <c r="G91"/>
      <c r="H91"/>
      <c r="I91"/>
      <c r="J91"/>
      <c r="K91"/>
    </row>
    <row r="92" spans="1:11" x14ac:dyDescent="0.3">
      <c r="A92" s="51">
        <v>2</v>
      </c>
      <c r="B92" s="15"/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33</v>
      </c>
      <c r="J92" s="6" t="s">
        <v>8</v>
      </c>
      <c r="K92" s="6" t="s">
        <v>185</v>
      </c>
    </row>
    <row r="93" spans="1:11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</row>
    <row r="94" spans="1:11" x14ac:dyDescent="0.3">
      <c r="A94" s="51">
        <v>3</v>
      </c>
      <c r="B94" s="15" t="str">
        <f>E86</f>
        <v>وحدة سفلية  زاوية 90 (بورديوم)</v>
      </c>
      <c r="C94" s="6">
        <v>1</v>
      </c>
      <c r="D94" s="6" t="str">
        <f ca="1">H90</f>
        <v>بورديوم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6" t="b">
        <v>1</v>
      </c>
    </row>
    <row r="95" spans="1:11" x14ac:dyDescent="0.3">
      <c r="A95" s="51">
        <v>3</v>
      </c>
      <c r="B95" s="15" t="str">
        <f>B94</f>
        <v>وحدة سفلية  زاوية 90 (بورديوم)</v>
      </c>
      <c r="C95" s="6">
        <f>C94+1</f>
        <v>2</v>
      </c>
      <c r="D95" s="6" t="str">
        <f ca="1">H90</f>
        <v>بورديوم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6" t="b">
        <v>1</v>
      </c>
    </row>
    <row r="96" spans="1:11" x14ac:dyDescent="0.3">
      <c r="A96" s="51">
        <v>3</v>
      </c>
      <c r="B96" s="15" t="str">
        <f>B94</f>
        <v>وحدة سفلية  زاوية 90 (بورديوم)</v>
      </c>
      <c r="C96" s="6">
        <f t="shared" ref="C96:C99" si="4">C95+1</f>
        <v>3</v>
      </c>
      <c r="D96" s="6" t="str">
        <f ca="1">H90</f>
        <v>بورديوم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6" t="b">
        <v>1</v>
      </c>
    </row>
    <row r="97" spans="1:11" x14ac:dyDescent="0.3">
      <c r="A97" s="51">
        <v>3</v>
      </c>
      <c r="B97" s="15" t="str">
        <f>B94</f>
        <v>وحدة سفلية  زاوية 90 (بورديوم)</v>
      </c>
      <c r="C97" s="6">
        <f t="shared" si="4"/>
        <v>4</v>
      </c>
      <c r="D97" s="6" t="str">
        <f ca="1">H90</f>
        <v>بورديوم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6" t="b">
        <v>1</v>
      </c>
    </row>
    <row r="98" spans="1:11" x14ac:dyDescent="0.3">
      <c r="A98" s="51">
        <v>3</v>
      </c>
      <c r="B98" s="15" t="str">
        <f>B94</f>
        <v>وحدة سفلية  زاوية 90 (بورديوم)</v>
      </c>
      <c r="C98" s="6">
        <f t="shared" si="4"/>
        <v>5</v>
      </c>
      <c r="D98" s="6" t="str">
        <f ca="1">H90</f>
        <v>بورديوم</v>
      </c>
      <c r="E98" s="6" t="s">
        <v>27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6" t="b">
        <v>1</v>
      </c>
    </row>
    <row r="99" spans="1:11" x14ac:dyDescent="0.3">
      <c r="A99" s="51">
        <v>3</v>
      </c>
      <c r="B99" s="15" t="str">
        <f>B94</f>
        <v>وحدة سفلية  زاوية 90 (بورديوم)</v>
      </c>
      <c r="C99" s="6">
        <f t="shared" si="4"/>
        <v>6</v>
      </c>
      <c r="D99" s="6" t="str">
        <f ca="1">H90</f>
        <v>بورديوم</v>
      </c>
      <c r="E99" s="6" t="s">
        <v>17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6" t="b">
        <v>1</v>
      </c>
    </row>
    <row r="100" spans="1:11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</row>
    <row r="101" spans="1:11" x14ac:dyDescent="0.3">
      <c r="A101" s="51">
        <v>4</v>
      </c>
      <c r="B101" s="15" t="str">
        <f>B94</f>
        <v>وحدة سفلية  زاوية 90 (بورديوم)</v>
      </c>
      <c r="C101" s="9">
        <f>C99+1</f>
        <v>7</v>
      </c>
      <c r="D101" s="9" t="str">
        <f ca="1">F90</f>
        <v>يوفيلاك</v>
      </c>
      <c r="E101" s="9" t="s">
        <v>28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9" t="b">
        <v>1</v>
      </c>
    </row>
    <row r="102" spans="1:11" x14ac:dyDescent="0.3">
      <c r="A102" s="51">
        <v>4</v>
      </c>
      <c r="B102" s="15" t="str">
        <f>B94</f>
        <v>وحدة سفلية  زاوية 90 (بورديوم)</v>
      </c>
      <c r="C102" s="9">
        <f t="shared" ref="C102" si="5">C101+1</f>
        <v>8</v>
      </c>
      <c r="D102" s="9" t="str">
        <f ca="1">F90</f>
        <v>يوفيلاك</v>
      </c>
      <c r="E102" s="9" t="s">
        <v>41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9" t="b">
        <v>1</v>
      </c>
    </row>
    <row r="103" spans="1:11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</row>
    <row r="104" spans="1:11" x14ac:dyDescent="0.3">
      <c r="A104" s="51">
        <v>5</v>
      </c>
      <c r="B104" s="15" t="str">
        <f ca="1">IF(F88,B94, "")</f>
        <v>وحدة سفلية  زاوية 90 (بورديوم)</v>
      </c>
      <c r="C104" s="19">
        <f ca="1">IF(F88,C102+1, "")</f>
        <v>9</v>
      </c>
      <c r="D104" s="19" t="str">
        <f ca="1">IF(F88,D90, "")</f>
        <v>ظهر</v>
      </c>
      <c r="E104" s="19" t="str">
        <f ca="1">IF(F88,"ظهر", "")</f>
        <v>ظهر</v>
      </c>
      <c r="F104" s="19">
        <f ca="1">IF(F88,I89-1, "")</f>
        <v>77</v>
      </c>
      <c r="G104" s="19">
        <f ca="1">IF(F88,H89-1, "")</f>
        <v>-1</v>
      </c>
      <c r="H104" s="19">
        <f ca="1">IF(F88,2*C86, "")</f>
        <v>2</v>
      </c>
      <c r="I104" s="19">
        <f ca="1">IF(F88,HLOOKUP(D104, materials[], 2,FALSE), "")</f>
        <v>2</v>
      </c>
      <c r="J104" s="19"/>
      <c r="K104" s="19" t="b">
        <v>1</v>
      </c>
    </row>
    <row r="105" spans="1:11" ht="14.4" x14ac:dyDescent="0.3">
      <c r="A105" s="35">
        <v>255</v>
      </c>
    </row>
    <row r="106" spans="1:11" x14ac:dyDescent="0.3">
      <c r="A106" s="35">
        <v>255</v>
      </c>
      <c r="B106" s="15"/>
    </row>
    <row r="107" spans="1:11" ht="36" x14ac:dyDescent="0.3">
      <c r="A107" s="35" t="s">
        <v>157</v>
      </c>
      <c r="B107" s="15"/>
      <c r="C107" s="14">
        <v>1</v>
      </c>
      <c r="D107" s="22" t="s">
        <v>59</v>
      </c>
      <c r="E107" s="101" t="s">
        <v>118</v>
      </c>
      <c r="F107" s="102"/>
      <c r="G107" s="102"/>
      <c r="H107" s="103"/>
      <c r="I107" s="2" t="s">
        <v>30</v>
      </c>
      <c r="J107" s="2">
        <f>letterToNumber(A107)</f>
        <v>5</v>
      </c>
      <c r="K107" s="7">
        <f ca="1">_xlfn.SHEET("بورديوم")</f>
        <v>5</v>
      </c>
    </row>
    <row r="108" spans="1:11" ht="31.2" x14ac:dyDescent="0.3">
      <c r="A108" s="35">
        <v>1</v>
      </c>
      <c r="B108" s="15"/>
      <c r="C108" s="7"/>
      <c r="D108" s="7" t="s">
        <v>18</v>
      </c>
      <c r="E108" s="7" t="s">
        <v>16</v>
      </c>
      <c r="F108" s="29" t="s">
        <v>114</v>
      </c>
      <c r="G108" s="7"/>
      <c r="H108" s="7" t="s">
        <v>22</v>
      </c>
      <c r="I108" s="7" t="s">
        <v>3</v>
      </c>
      <c r="J108" s="7" t="s">
        <v>113</v>
      </c>
      <c r="K108" s="7"/>
    </row>
    <row r="109" spans="1:11" x14ac:dyDescent="0.3">
      <c r="A109" s="35">
        <v>1</v>
      </c>
      <c r="B109" s="15"/>
      <c r="C109" s="8"/>
      <c r="D109" s="8">
        <v>1</v>
      </c>
      <c r="E109" s="27" cm="1">
        <f t="array" aca="1" ref="E109" ca="1">defaultValue(E108,K107)</f>
        <v>3.5</v>
      </c>
      <c r="F109" s="27" t="b" cm="1">
        <f t="array" aca="1" ref="F109" ca="1">defaultValue(F108,K107)</f>
        <v>1</v>
      </c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K109" s="7"/>
    </row>
    <row r="110" spans="1:11" x14ac:dyDescent="0.3">
      <c r="A110" s="35">
        <v>1</v>
      </c>
      <c r="B110" s="15"/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K110" s="7"/>
    </row>
    <row r="111" spans="1:11" ht="31.2" x14ac:dyDescent="0.3">
      <c r="A111" s="35">
        <v>1</v>
      </c>
      <c r="B111" s="15"/>
      <c r="C111" s="8"/>
      <c r="D111" s="27" t="str" cm="1">
        <f t="array" aca="1" ref="D111" ca="1">defaultValue(E111,K107)</f>
        <v>ظهر</v>
      </c>
      <c r="E111" s="7" t="s">
        <v>58</v>
      </c>
      <c r="F111" s="27" t="str" cm="1">
        <f t="array" aca="1" ref="F111" ca="1">defaultValue(G111,K107)</f>
        <v>يوفيلاك</v>
      </c>
      <c r="G111" s="7" t="s">
        <v>32</v>
      </c>
      <c r="H111" s="27" t="str" cm="1">
        <f t="array" aca="1" ref="H111" ca="1">defaultValue(I111,K107)</f>
        <v>بورديوم</v>
      </c>
      <c r="I111" s="7" t="s">
        <v>31</v>
      </c>
      <c r="J111" s="25" t="s">
        <v>111</v>
      </c>
      <c r="K111" s="7"/>
    </row>
    <row r="112" spans="1:11" ht="14.4" x14ac:dyDescent="0.3">
      <c r="A112" s="35">
        <v>0</v>
      </c>
      <c r="B112"/>
      <c r="C112"/>
      <c r="D112"/>
      <c r="E112"/>
      <c r="F112"/>
      <c r="G112"/>
      <c r="H112"/>
      <c r="I112"/>
      <c r="J112"/>
      <c r="K112"/>
    </row>
    <row r="113" spans="1:11" x14ac:dyDescent="0.3">
      <c r="A113" s="51">
        <v>2</v>
      </c>
      <c r="B113" s="15"/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33</v>
      </c>
      <c r="J113" s="6" t="s">
        <v>8</v>
      </c>
      <c r="K113" s="6" t="s">
        <v>185</v>
      </c>
    </row>
    <row r="114" spans="1:11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</row>
    <row r="115" spans="1:11" x14ac:dyDescent="0.3">
      <c r="A115" s="51">
        <v>3</v>
      </c>
      <c r="B115" s="15" t="str">
        <f>E107</f>
        <v>وحدة سفلية  ركنة 45 (بورديوم)</v>
      </c>
      <c r="C115" s="6">
        <v>1</v>
      </c>
      <c r="D115" s="6" t="str">
        <f ca="1">H111</f>
        <v>بورديوم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6" t="b">
        <v>1</v>
      </c>
    </row>
    <row r="116" spans="1:11" x14ac:dyDescent="0.3">
      <c r="A116" s="51">
        <v>3</v>
      </c>
      <c r="B116" s="15" t="str">
        <f>B115</f>
        <v>وحدة سفلية  ركنة 45 (بورديوم)</v>
      </c>
      <c r="C116" s="6">
        <f>C115+1</f>
        <v>2</v>
      </c>
      <c r="D116" s="6" t="str">
        <f ca="1">H111</f>
        <v>بورديوم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6" t="b">
        <v>1</v>
      </c>
    </row>
    <row r="117" spans="1:11" x14ac:dyDescent="0.3">
      <c r="A117" s="51">
        <v>3</v>
      </c>
      <c r="B117" s="15" t="str">
        <f>B115</f>
        <v>وحدة سفلية  ركنة 45 (بورديوم)</v>
      </c>
      <c r="C117" s="6">
        <f t="shared" ref="C117:C120" si="6">C116+1</f>
        <v>3</v>
      </c>
      <c r="D117" s="6" t="str">
        <f ca="1">H111</f>
        <v>بورديوم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6" t="b">
        <v>1</v>
      </c>
    </row>
    <row r="118" spans="1:11" x14ac:dyDescent="0.3">
      <c r="A118" s="51">
        <v>3</v>
      </c>
      <c r="B118" s="15" t="str">
        <f>B115</f>
        <v>وحدة سفلية  ركنة 45 (بورديوم)</v>
      </c>
      <c r="C118" s="6">
        <f t="shared" si="6"/>
        <v>4</v>
      </c>
      <c r="D118" s="6" t="str">
        <f ca="1">H111</f>
        <v>بورديوم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6" t="b">
        <v>1</v>
      </c>
    </row>
    <row r="119" spans="1:11" x14ac:dyDescent="0.3">
      <c r="A119" s="51">
        <v>3</v>
      </c>
      <c r="B119" s="15" t="str">
        <f>B115</f>
        <v>وحدة سفلية  ركنة 45 (بورديوم)</v>
      </c>
      <c r="C119" s="6">
        <f t="shared" si="6"/>
        <v>5</v>
      </c>
      <c r="D119" s="6" t="str">
        <f ca="1">H111</f>
        <v>بورديوم</v>
      </c>
      <c r="E119" s="6" t="s">
        <v>27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6" t="b">
        <v>1</v>
      </c>
    </row>
    <row r="120" spans="1:11" x14ac:dyDescent="0.3">
      <c r="A120" s="51">
        <v>3</v>
      </c>
      <c r="B120" s="15" t="str">
        <f>B115</f>
        <v>وحدة سفلية  ركنة 45 (بورديوم)</v>
      </c>
      <c r="C120" s="6">
        <f t="shared" si="6"/>
        <v>6</v>
      </c>
      <c r="D120" s="6" t="str">
        <f ca="1">H111</f>
        <v>بورديوم</v>
      </c>
      <c r="E120" s="6" t="s">
        <v>17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6" t="b">
        <v>1</v>
      </c>
    </row>
    <row r="121" spans="1:11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</row>
    <row r="122" spans="1:11" x14ac:dyDescent="0.3">
      <c r="A122" s="51">
        <v>4</v>
      </c>
      <c r="B122" s="15" t="str">
        <f>B115</f>
        <v>وحدة سفلية  ركنة 45 (بورديوم)</v>
      </c>
      <c r="C122" s="9">
        <f>C120+1</f>
        <v>7</v>
      </c>
      <c r="D122" s="9" t="str">
        <f ca="1">F111</f>
        <v>يوفيلاك</v>
      </c>
      <c r="E122" s="9" t="s">
        <v>28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9" t="b">
        <v>1</v>
      </c>
    </row>
    <row r="123" spans="1:11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</row>
    <row r="124" spans="1:11" x14ac:dyDescent="0.3">
      <c r="A124" s="51">
        <v>5</v>
      </c>
      <c r="B124" s="15" t="str">
        <f ca="1">IF(F109,B115, "")</f>
        <v>وحدة سفلية  ركنة 45 (بورديوم)</v>
      </c>
      <c r="C124" s="19">
        <f ca="1">IF(F109,C122+1, "")</f>
        <v>8</v>
      </c>
      <c r="D124" s="19" t="str">
        <f ca="1">IF(F109,D111, "")</f>
        <v>ظهر</v>
      </c>
      <c r="E124" s="19" t="str">
        <f ca="1">IF(F109,"ظهر", "")</f>
        <v>ظهر</v>
      </c>
      <c r="F124" s="19">
        <f ca="1">IF(F109,I109-1, "")</f>
        <v>77</v>
      </c>
      <c r="G124" s="19">
        <f ca="1">IF(F109,H109-1, "")</f>
        <v>-1</v>
      </c>
      <c r="H124" s="19">
        <f ca="1">IF(F109,1*C107, "")</f>
        <v>1</v>
      </c>
      <c r="I124" s="19">
        <f ca="1">IF(F109,HLOOKUP(D124, materials[], 2,FALSE), "")</f>
        <v>2</v>
      </c>
      <c r="J124" s="19"/>
      <c r="K124" s="19" t="b">
        <v>1</v>
      </c>
    </row>
    <row r="125" spans="1:11" x14ac:dyDescent="0.3">
      <c r="A125" s="35">
        <v>255</v>
      </c>
      <c r="B125" s="15"/>
    </row>
    <row r="126" spans="1:11" x14ac:dyDescent="0.3">
      <c r="A126" s="35">
        <v>255</v>
      </c>
      <c r="B126" s="15"/>
    </row>
    <row r="127" spans="1:11" ht="36" x14ac:dyDescent="0.3">
      <c r="A127" s="54" t="s">
        <v>158</v>
      </c>
      <c r="B127" s="15"/>
      <c r="C127" s="14">
        <v>1</v>
      </c>
      <c r="D127" s="22" t="s">
        <v>59</v>
      </c>
      <c r="E127" s="101" t="s">
        <v>162</v>
      </c>
      <c r="F127" s="102"/>
      <c r="G127" s="102"/>
      <c r="H127" s="103"/>
      <c r="I127" s="2" t="s">
        <v>30</v>
      </c>
      <c r="J127" s="2">
        <f>letterToNumber(A127)</f>
        <v>6</v>
      </c>
      <c r="K127" s="7">
        <f ca="1">_xlfn.SHEET("بورديوم")</f>
        <v>5</v>
      </c>
    </row>
    <row r="128" spans="1:11" ht="31.2" x14ac:dyDescent="0.3">
      <c r="A128" s="51">
        <v>1</v>
      </c>
      <c r="B128" s="15"/>
      <c r="C128" s="7" t="s">
        <v>12</v>
      </c>
      <c r="D128" s="18" t="s">
        <v>18</v>
      </c>
      <c r="E128" s="7" t="s">
        <v>16</v>
      </c>
      <c r="F128" s="29" t="s">
        <v>114</v>
      </c>
      <c r="G128" s="16" t="s">
        <v>19</v>
      </c>
      <c r="H128" s="7" t="s">
        <v>22</v>
      </c>
      <c r="I128" s="7" t="s">
        <v>3</v>
      </c>
      <c r="J128" s="7" t="s">
        <v>113</v>
      </c>
      <c r="K128" s="7"/>
    </row>
    <row r="129" spans="1:11" x14ac:dyDescent="0.3">
      <c r="A129" s="51">
        <v>1</v>
      </c>
      <c r="B129" s="15"/>
      <c r="C129" s="8">
        <v>2</v>
      </c>
      <c r="D129" s="8">
        <v>1</v>
      </c>
      <c r="E129" s="27" cm="1">
        <f t="array" aca="1" ref="E129" ca="1">defaultValue(E128,K127)</f>
        <v>3.5</v>
      </c>
      <c r="F129" s="27" t="b" cm="1">
        <f t="array" aca="1" ref="F129" ca="1">defaultValue(F128,K127)</f>
        <v>1</v>
      </c>
      <c r="G129" s="27" cm="1">
        <f t="array" aca="1" ref="G129" ca="1">defaultValue(G128,K127)</f>
        <v>45</v>
      </c>
      <c r="H129" s="8">
        <v>80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K129" s="7"/>
    </row>
    <row r="130" spans="1:11" ht="31.2" x14ac:dyDescent="0.3">
      <c r="A130" s="51">
        <v>1</v>
      </c>
      <c r="B130" s="15"/>
      <c r="C130" s="8"/>
      <c r="D130" s="27" t="str" cm="1">
        <f t="array" aca="1" ref="D130" ca="1">defaultValue(E130,K127)</f>
        <v>ظهر</v>
      </c>
      <c r="E130" s="7" t="s">
        <v>58</v>
      </c>
      <c r="F130" s="27" t="str" cm="1">
        <f t="array" aca="1" ref="F130" ca="1">defaultValue(G130,K127)</f>
        <v>يوفيلاك</v>
      </c>
      <c r="G130" s="7" t="s">
        <v>32</v>
      </c>
      <c r="H130" s="27" t="str" cm="1">
        <f t="array" aca="1" ref="H130" ca="1">defaultValue(I130,K127)</f>
        <v>بورديوم</v>
      </c>
      <c r="I130" s="7" t="s">
        <v>31</v>
      </c>
      <c r="J130" s="25" t="s">
        <v>111</v>
      </c>
      <c r="K130" s="7"/>
    </row>
    <row r="131" spans="1:11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</row>
    <row r="132" spans="1:11" x14ac:dyDescent="0.3">
      <c r="A132" s="51">
        <v>2</v>
      </c>
      <c r="B132" s="15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33</v>
      </c>
      <c r="J132" s="6" t="s">
        <v>8</v>
      </c>
      <c r="K132" s="6" t="s">
        <v>185</v>
      </c>
    </row>
    <row r="133" spans="1:11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</row>
    <row r="134" spans="1:11" x14ac:dyDescent="0.3">
      <c r="A134" s="51">
        <v>3</v>
      </c>
      <c r="B134" s="15" t="str">
        <f>E127</f>
        <v>وحدة سفلية دلفة /دلفتين + درج</v>
      </c>
      <c r="C134" s="6">
        <v>1</v>
      </c>
      <c r="D134" s="6" t="str">
        <f ca="1">H130</f>
        <v>بورديوم</v>
      </c>
      <c r="E134" s="6" t="s">
        <v>10</v>
      </c>
      <c r="F134" s="6">
        <f>H129-3.6</f>
        <v>76.400000000000006</v>
      </c>
      <c r="G134" s="6">
        <f ca="1">J129</f>
        <v>56</v>
      </c>
      <c r="H134" s="6">
        <f>1*C127</f>
        <v>1</v>
      </c>
      <c r="I134" s="6">
        <f ca="1">HLOOKUP(D134, materials[], 2,FALSE)</f>
        <v>2</v>
      </c>
      <c r="J134" s="6"/>
      <c r="K134" s="6" t="b">
        <v>1</v>
      </c>
    </row>
    <row r="135" spans="1:11" x14ac:dyDescent="0.3">
      <c r="A135" s="51">
        <v>3</v>
      </c>
      <c r="B135" s="15" t="str">
        <f>B134</f>
        <v>وحدة سفلية دلفة /دلفتين + درج</v>
      </c>
      <c r="C135" s="6">
        <f>C134+1</f>
        <v>2</v>
      </c>
      <c r="D135" s="6" t="str">
        <f ca="1">H130</f>
        <v>بورديوم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6" t="b">
        <v>1</v>
      </c>
    </row>
    <row r="136" spans="1:11" x14ac:dyDescent="0.3">
      <c r="A136" s="51">
        <v>3</v>
      </c>
      <c r="B136" s="15" t="str">
        <f>B134</f>
        <v>وحدة سفلية دلفة /دلفتين + درج</v>
      </c>
      <c r="C136" s="6">
        <f t="shared" ref="C136:C141" si="7">C135+1</f>
        <v>3</v>
      </c>
      <c r="D136" s="6" t="str">
        <f ca="1">H130</f>
        <v>بورديوم</v>
      </c>
      <c r="E136" s="6" t="s">
        <v>13</v>
      </c>
      <c r="F136" s="6">
        <f>H129-3.6</f>
        <v>76.400000000000006</v>
      </c>
      <c r="G136" s="6">
        <f>10</f>
        <v>10</v>
      </c>
      <c r="H136" s="6">
        <f>1*C127</f>
        <v>1</v>
      </c>
      <c r="I136" s="6">
        <f ca="1">HLOOKUP(D136, materials[], 2,FALSE)</f>
        <v>2</v>
      </c>
      <c r="J136" s="6"/>
      <c r="K136" s="6" t="b">
        <v>1</v>
      </c>
    </row>
    <row r="137" spans="1:11" x14ac:dyDescent="0.3">
      <c r="A137" s="51">
        <v>3</v>
      </c>
      <c r="B137" s="15" t="str">
        <f>B134</f>
        <v>وحدة سفلية دلفة /دلفتين + درج</v>
      </c>
      <c r="C137" s="6">
        <f t="shared" si="7"/>
        <v>4</v>
      </c>
      <c r="D137" s="6" t="str">
        <f ca="1">H130</f>
        <v>بورديوم</v>
      </c>
      <c r="E137" s="6" t="s">
        <v>14</v>
      </c>
      <c r="F137" s="6">
        <f>H129-3.6</f>
        <v>76.400000000000006</v>
      </c>
      <c r="G137" s="6">
        <f>7</f>
        <v>7</v>
      </c>
      <c r="H137" s="6">
        <f>1*C127</f>
        <v>1</v>
      </c>
      <c r="I137" s="6">
        <f ca="1">HLOOKUP(D137, materials[], 2,FALSE)</f>
        <v>2</v>
      </c>
      <c r="J137" s="6"/>
      <c r="K137" s="6" t="b">
        <v>1</v>
      </c>
    </row>
    <row r="138" spans="1:11" x14ac:dyDescent="0.3">
      <c r="A138" s="51">
        <v>3</v>
      </c>
      <c r="B138" s="15" t="str">
        <f>B134</f>
        <v>وحدة سفلية دلفة /دلفتين + درج</v>
      </c>
      <c r="C138" s="6">
        <f t="shared" si="7"/>
        <v>5</v>
      </c>
      <c r="D138" s="6" t="str">
        <f ca="1">H130</f>
        <v>بورديوم</v>
      </c>
      <c r="E138" s="6" t="s">
        <v>17</v>
      </c>
      <c r="F138" s="6">
        <f>H129-3.8</f>
        <v>76.2</v>
      </c>
      <c r="G138" s="6">
        <f ca="1">J129-6</f>
        <v>50</v>
      </c>
      <c r="H138" s="6">
        <f>D129*C127</f>
        <v>1</v>
      </c>
      <c r="I138" s="6">
        <f ca="1">HLOOKUP(D138, materials[], 2,FALSE)</f>
        <v>2</v>
      </c>
      <c r="J138" s="6"/>
      <c r="K138" s="6" t="b">
        <v>1</v>
      </c>
    </row>
    <row r="139" spans="1:11" x14ac:dyDescent="0.3">
      <c r="A139" s="51">
        <v>3</v>
      </c>
      <c r="B139" s="15" t="str">
        <f>B135</f>
        <v>وحدة سفلية دلفة /دلفتين + درج</v>
      </c>
      <c r="C139" s="10">
        <f t="shared" si="7"/>
        <v>6</v>
      </c>
      <c r="D139" s="10" t="str">
        <f ca="1">H130</f>
        <v>بورديوم</v>
      </c>
      <c r="E139" s="10" t="s">
        <v>21</v>
      </c>
      <c r="F139" s="10">
        <f>H129-3.6-3.6-2.5</f>
        <v>70.300000000000011</v>
      </c>
      <c r="G139" s="10">
        <v>10</v>
      </c>
      <c r="H139" s="10">
        <f ca="1">F129*C127</f>
        <v>1</v>
      </c>
      <c r="I139" s="10">
        <f ca="1">HLOOKUP(D139, materials[], 2,FALSE)</f>
        <v>2</v>
      </c>
      <c r="J139" s="10"/>
      <c r="K139" s="6" t="b">
        <v>1</v>
      </c>
    </row>
    <row r="140" spans="1:11" x14ac:dyDescent="0.3">
      <c r="A140" s="51">
        <v>3</v>
      </c>
      <c r="B140" s="15" t="str">
        <f>B136</f>
        <v>وحدة سفلية دلفة /دلفتين + درج</v>
      </c>
      <c r="C140" s="10">
        <f t="shared" si="7"/>
        <v>7</v>
      </c>
      <c r="D140" s="10" t="str">
        <f ca="1">H130</f>
        <v>بورديوم</v>
      </c>
      <c r="E140" s="10" t="s">
        <v>153</v>
      </c>
      <c r="F140" s="10">
        <f ca="1">G129</f>
        <v>45</v>
      </c>
      <c r="G140" s="10">
        <v>10</v>
      </c>
      <c r="H140" s="10">
        <f ca="1">2*C127*F129</f>
        <v>2</v>
      </c>
      <c r="I140" s="10">
        <f ca="1">HLOOKUP(D140, materials[], 2,FALSE)</f>
        <v>2</v>
      </c>
      <c r="J140" s="10"/>
      <c r="K140" s="6" t="b">
        <v>1</v>
      </c>
    </row>
    <row r="141" spans="1:11" x14ac:dyDescent="0.3">
      <c r="A141" s="51">
        <v>3</v>
      </c>
      <c r="B141" s="15" t="str">
        <f>B137</f>
        <v>وحدة سفلية دلفة /دلفتين + درج</v>
      </c>
      <c r="C141" s="10">
        <f t="shared" si="7"/>
        <v>8</v>
      </c>
      <c r="D141" s="10" t="str">
        <f ca="1">H130</f>
        <v>بورديوم</v>
      </c>
      <c r="E141" s="10" t="s">
        <v>154</v>
      </c>
      <c r="F141" s="10">
        <f>H129-3.6-3.6-2.5</f>
        <v>70.300000000000011</v>
      </c>
      <c r="G141" s="10">
        <f>10-3</f>
        <v>7</v>
      </c>
      <c r="H141" s="10">
        <f ca="1">F129*C127</f>
        <v>1</v>
      </c>
      <c r="I141" s="10">
        <f ca="1">HLOOKUP(D141, materials[], 2,FALSE)</f>
        <v>2</v>
      </c>
      <c r="J141" s="10"/>
      <c r="K141" s="6" t="b">
        <v>1</v>
      </c>
    </row>
    <row r="142" spans="1:11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</row>
    <row r="143" spans="1:11" x14ac:dyDescent="0.3">
      <c r="A143" s="51">
        <v>4</v>
      </c>
      <c r="B143" s="15" t="str">
        <f>B134</f>
        <v>وحدة سفلية دلفة /دلفتين + درج</v>
      </c>
      <c r="C143" s="9">
        <f>C141+1</f>
        <v>9</v>
      </c>
      <c r="D143" s="9" t="str">
        <f ca="1">F130</f>
        <v>يوفيلاك</v>
      </c>
      <c r="E143" s="9" t="s">
        <v>15</v>
      </c>
      <c r="F143" s="9">
        <f ca="1">I129-0.5-E129-G144</f>
        <v>59</v>
      </c>
      <c r="G143" s="9">
        <f>(H129/C129)-0.5</f>
        <v>39.5</v>
      </c>
      <c r="H143" s="9">
        <f>C129*C127</f>
        <v>2</v>
      </c>
      <c r="I143" s="9">
        <f ca="1">HLOOKUP(D143, materials[], 2,FALSE)</f>
        <v>6</v>
      </c>
      <c r="J143" s="9"/>
      <c r="K143" s="9" t="b">
        <v>1</v>
      </c>
    </row>
    <row r="144" spans="1:11" x14ac:dyDescent="0.3">
      <c r="A144" s="51">
        <v>4</v>
      </c>
      <c r="B144" s="15" t="str">
        <f>B134</f>
        <v>وحدة سفلية دلفة /دلفتين + درج</v>
      </c>
      <c r="C144" s="9">
        <f>C143+1</f>
        <v>10</v>
      </c>
      <c r="D144" s="9" t="str">
        <f ca="1">F130</f>
        <v>يوفيلاك</v>
      </c>
      <c r="E144" s="9" t="s">
        <v>165</v>
      </c>
      <c r="F144" s="9">
        <f>H129-0.5</f>
        <v>79.5</v>
      </c>
      <c r="G144" s="9">
        <f ca="1">I129-E129-59.5</f>
        <v>15</v>
      </c>
      <c r="H144" s="9">
        <f ca="1">F129*C127</f>
        <v>1</v>
      </c>
      <c r="I144" s="9">
        <f ca="1">HLOOKUP(D144, materials[], 2,FALSE)</f>
        <v>6</v>
      </c>
      <c r="J144" s="9"/>
      <c r="K144" s="9" t="b">
        <v>1</v>
      </c>
    </row>
    <row r="145" spans="1:11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</row>
    <row r="146" spans="1:11" x14ac:dyDescent="0.3">
      <c r="A146" s="51">
        <v>5</v>
      </c>
      <c r="B146" s="15" t="str">
        <f>B134</f>
        <v>وحدة سفلية دلفة /دلفتين + درج</v>
      </c>
      <c r="C146" s="19">
        <f>C143+1</f>
        <v>10</v>
      </c>
      <c r="D146" s="19" t="str">
        <f ca="1">D130</f>
        <v>ظهر</v>
      </c>
      <c r="E146" s="19" t="s">
        <v>58</v>
      </c>
      <c r="F146" s="19">
        <f ca="1">I129-2</f>
        <v>76</v>
      </c>
      <c r="G146" s="19">
        <f>H129-2</f>
        <v>78</v>
      </c>
      <c r="H146" s="19">
        <f>1*C127</f>
        <v>1</v>
      </c>
      <c r="I146" s="19">
        <f ca="1">HLOOKUP(D146, materials[], 2,FALSE)</f>
        <v>2</v>
      </c>
      <c r="J146" s="19"/>
      <c r="K146" s="19" t="b">
        <v>1</v>
      </c>
    </row>
    <row r="147" spans="1:11" x14ac:dyDescent="0.3">
      <c r="A147" s="51">
        <v>5</v>
      </c>
      <c r="B147" s="15" t="str">
        <f>B134</f>
        <v>وحدة سفلية دلفة /دلفتين + درج</v>
      </c>
      <c r="C147" s="19">
        <f>C146+1</f>
        <v>11</v>
      </c>
      <c r="D147" s="19" t="str">
        <f ca="1">D130</f>
        <v>ظهر</v>
      </c>
      <c r="E147" s="19" t="s">
        <v>164</v>
      </c>
      <c r="F147" s="19">
        <f>H129-3.6-3.6-2.5+2</f>
        <v>72.300000000000011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19" t="b">
        <v>1</v>
      </c>
    </row>
    <row r="148" spans="1:11" x14ac:dyDescent="0.3">
      <c r="A148" s="51">
        <v>255</v>
      </c>
      <c r="B148" s="15"/>
    </row>
    <row r="149" spans="1:11" x14ac:dyDescent="0.3">
      <c r="A149" s="51">
        <v>255</v>
      </c>
      <c r="B149" s="15"/>
    </row>
  </sheetData>
  <mergeCells count="9">
    <mergeCell ref="E127:H127"/>
    <mergeCell ref="E31:H31"/>
    <mergeCell ref="C2:J2"/>
    <mergeCell ref="E86:H86"/>
    <mergeCell ref="G67:G68"/>
    <mergeCell ref="E66:H66"/>
    <mergeCell ref="E107:H107"/>
    <mergeCell ref="G14:G15"/>
    <mergeCell ref="E13:H13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11</xdr:col>
                    <xdr:colOff>464820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insertBlock">
                <anchor moveWithCells="1" sizeWithCells="1">
                  <from>
                    <xdr:col>2</xdr:col>
                    <xdr:colOff>15240</xdr:colOff>
                    <xdr:row>5</xdr:row>
                    <xdr:rowOff>7620</xdr:rowOff>
                  </from>
                  <to>
                    <xdr:col>4</xdr:col>
                    <xdr:colOff>922020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deleteBlock">
                <anchor moveWithCells="1" sizeWithCells="1">
                  <from>
                    <xdr:col>4</xdr:col>
                    <xdr:colOff>1059180</xdr:colOff>
                    <xdr:row>5</xdr:row>
                    <xdr:rowOff>7620</xdr:rowOff>
                  </from>
                  <to>
                    <xdr:col>8</xdr:col>
                    <xdr:colOff>396240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modifyBlock">
                <anchor moveWithCells="1" sizeWithCells="1">
                  <from>
                    <xdr:col>12</xdr:col>
                    <xdr:colOff>160020</xdr:colOff>
                    <xdr:row>5</xdr:row>
                    <xdr:rowOff>38100</xdr:rowOff>
                  </from>
                  <to>
                    <xdr:col>15</xdr:col>
                    <xdr:colOff>327660</xdr:colOff>
                    <xdr:row>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87"/>
  <sheetViews>
    <sheetView topLeftCell="B1" zoomScale="86" zoomScaleNormal="70" workbookViewId="0">
      <selection activeCell="M6" sqref="M6"/>
    </sheetView>
  </sheetViews>
  <sheetFormatPr defaultRowHeight="14.4" x14ac:dyDescent="0.3"/>
  <cols>
    <col min="1" max="1" width="9" style="35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35" customFormat="1" x14ac:dyDescent="0.3">
      <c r="A1" s="35">
        <v>34</v>
      </c>
      <c r="B1" s="55">
        <v>7</v>
      </c>
      <c r="P1" s="45"/>
      <c r="Q1" s="45"/>
      <c r="R1" s="45"/>
      <c r="S1" s="45"/>
      <c r="T1" s="45"/>
      <c r="U1" s="45"/>
      <c r="V1" s="45"/>
      <c r="W1" s="45"/>
      <c r="X1" s="45"/>
    </row>
    <row r="2" spans="1:81" s="35" customFormat="1" ht="31.2" x14ac:dyDescent="0.3">
      <c r="A2" s="35">
        <v>54</v>
      </c>
      <c r="B2" s="48" t="s">
        <v>123</v>
      </c>
      <c r="C2" s="106" t="s">
        <v>43</v>
      </c>
      <c r="D2" s="106"/>
      <c r="E2" s="106"/>
      <c r="F2" s="106"/>
      <c r="G2" s="106"/>
      <c r="H2" s="106"/>
      <c r="I2" s="106"/>
      <c r="J2" s="106"/>
      <c r="P2" s="45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</row>
    <row r="3" spans="1:81" s="35" customFormat="1" x14ac:dyDescent="0.3">
      <c r="B3" s="55" t="s">
        <v>176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P3" s="45"/>
      <c r="Q3" s="45"/>
      <c r="R3" s="34"/>
      <c r="S3" s="34"/>
      <c r="T3" s="34"/>
      <c r="U3" s="34"/>
      <c r="V3" s="40"/>
      <c r="W3" s="40"/>
      <c r="X3" s="40"/>
      <c r="Y3" s="40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</row>
    <row r="4" spans="1:81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P4" s="45"/>
      <c r="Q4" s="45"/>
      <c r="R4" s="34"/>
      <c r="S4" s="34"/>
      <c r="T4" s="34"/>
      <c r="U4" s="34"/>
      <c r="V4" s="34"/>
      <c r="W4" s="34"/>
      <c r="X4" s="34"/>
      <c r="Y4" s="34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</row>
    <row r="5" spans="1:81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</row>
    <row r="6" spans="1:81" s="35" customFormat="1" x14ac:dyDescent="0.3">
      <c r="B6" s="5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</row>
    <row r="7" spans="1:81" s="35" customFormat="1" x14ac:dyDescent="0.3">
      <c r="B7" s="5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</row>
    <row r="8" spans="1:81" s="38" customFormat="1" ht="18" x14ac:dyDescent="0.3">
      <c r="A8" s="35"/>
      <c r="B8" s="5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</row>
    <row r="9" spans="1:81" customFormat="1" x14ac:dyDescent="0.3">
      <c r="A9" s="35"/>
    </row>
    <row r="10" spans="1:81" customFormat="1" x14ac:dyDescent="0.3">
      <c r="A10" s="35"/>
    </row>
    <row r="11" spans="1:81" x14ac:dyDescent="0.3"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</row>
    <row r="12" spans="1:81" x14ac:dyDescent="0.3">
      <c r="R12" s="49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</row>
    <row r="13" spans="1:81" s="4" customFormat="1" ht="31.2" customHeight="1" x14ac:dyDescent="0.3">
      <c r="A13" s="35" t="s">
        <v>155</v>
      </c>
      <c r="B13" s="3"/>
      <c r="C13" s="14">
        <v>1</v>
      </c>
      <c r="D13" s="22" t="s">
        <v>59</v>
      </c>
      <c r="E13" s="101" t="s">
        <v>44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_xlfn.SHEET("وحدات علوية")</f>
        <v>6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</row>
    <row r="14" spans="1:81" ht="31.2" x14ac:dyDescent="0.3">
      <c r="A14" s="35">
        <v>1</v>
      </c>
      <c r="C14" s="7" t="s">
        <v>54</v>
      </c>
      <c r="D14" s="7" t="s">
        <v>55</v>
      </c>
      <c r="E14" s="18" t="s">
        <v>18</v>
      </c>
      <c r="F14" s="7" t="s">
        <v>16</v>
      </c>
      <c r="G14" s="7" t="s">
        <v>115</v>
      </c>
      <c r="H14" s="7" t="s">
        <v>22</v>
      </c>
      <c r="I14" s="7" t="s">
        <v>3</v>
      </c>
      <c r="J14" s="7" t="s">
        <v>113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</row>
    <row r="15" spans="1:81" ht="15.6" x14ac:dyDescent="0.3">
      <c r="A15" s="35">
        <v>1</v>
      </c>
      <c r="C15" s="8">
        <v>1</v>
      </c>
      <c r="D15" s="8">
        <v>0</v>
      </c>
      <c r="E15" s="8">
        <v>1</v>
      </c>
      <c r="F15" s="27" cm="1">
        <f t="array" aca="1" ref="F15" ca="1">defaultValue(F14,K13)</f>
        <v>3.5</v>
      </c>
      <c r="G15" s="27" cm="1">
        <f t="array" aca="1" ref="G15" ca="1">defaultValue(G14,K13)</f>
        <v>0</v>
      </c>
      <c r="H15" s="8"/>
      <c r="I15" s="27" cm="1">
        <f t="array" aca="1" ref="I15" ca="1">defaultValue(I14,K13)</f>
        <v>70</v>
      </c>
      <c r="J15" s="27" cm="1">
        <f t="array" aca="1" ref="J15" ca="1">defaultValue(J14,K13)</f>
        <v>30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ht="25.8" customHeight="1" x14ac:dyDescent="0.3">
      <c r="A16" s="35">
        <v>1</v>
      </c>
      <c r="C16" s="9" t="b">
        <f>C15=0</f>
        <v>0</v>
      </c>
      <c r="D16" s="9" t="b">
        <f>D15=0</f>
        <v>1</v>
      </c>
      <c r="E16" s="7" t="s">
        <v>106</v>
      </c>
      <c r="F16" s="108" t="b">
        <f ca="1">NOT(AND(F15&gt;0,G15&gt;0))</f>
        <v>1</v>
      </c>
      <c r="G16" s="108"/>
      <c r="H16" s="3" t="b">
        <f>_xlfn.XOR(H15&lt;=50,C17=2)</f>
        <v>1</v>
      </c>
      <c r="I16" s="46"/>
      <c r="J16" s="8"/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ht="15.6" x14ac:dyDescent="0.3">
      <c r="A17" s="35">
        <v>1</v>
      </c>
      <c r="C17" s="107">
        <f>C15+D15</f>
        <v>1</v>
      </c>
      <c r="D17" s="107"/>
      <c r="E17" s="26">
        <v>10</v>
      </c>
      <c r="F17" s="115" t="str">
        <f ca="1">IF(F16,"المقابض مظبوطة","مينفعش مقبض مخفي مع بيلت ان")</f>
        <v>المقابض مظبوطة</v>
      </c>
      <c r="G17" s="115"/>
      <c r="H17" s="108" t="str">
        <f>IF(H16,"عدد الدلف صحيح","عدد الدلف غير صحيح")</f>
        <v>عدد الدلف صحيح</v>
      </c>
      <c r="I17" s="108"/>
      <c r="J17" s="108"/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15.6" x14ac:dyDescent="0.3">
      <c r="A18" s="35">
        <v>1</v>
      </c>
      <c r="C18" s="108" t="b">
        <f>C17&lt;=2</f>
        <v>1</v>
      </c>
      <c r="D18" s="108"/>
      <c r="E18" s="8"/>
      <c r="F18" s="8"/>
      <c r="G18" s="8"/>
      <c r="H18" s="8"/>
      <c r="I18" s="8"/>
      <c r="J18" s="8"/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5">
        <v>1</v>
      </c>
      <c r="C19" s="8"/>
      <c r="D19" s="27" t="str" cm="1">
        <f t="array" aca="1" ref="D19" ca="1">defaultValue(E19,K13)</f>
        <v>ظهر</v>
      </c>
      <c r="E19" s="7" t="s">
        <v>58</v>
      </c>
      <c r="F19" s="27" t="str" cm="1">
        <f t="array" aca="1" ref="F19" ca="1">defaultValue(G19,K13)</f>
        <v>يوفيلاك</v>
      </c>
      <c r="G19" s="7" t="s">
        <v>32</v>
      </c>
      <c r="H19" s="27" t="str" cm="1">
        <f t="array" aca="1" ref="H19" ca="1">defaultValue(I19,K13)</f>
        <v>HPL</v>
      </c>
      <c r="I19" s="7" t="s">
        <v>31</v>
      </c>
      <c r="J19" s="25" t="s">
        <v>111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x14ac:dyDescent="0.3">
      <c r="A20" s="35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x14ac:dyDescent="0.3">
      <c r="A21" s="35">
        <v>2</v>
      </c>
      <c r="C21" s="6" t="s">
        <v>4</v>
      </c>
      <c r="D21" s="6" t="s">
        <v>9</v>
      </c>
      <c r="E21" s="6" t="s">
        <v>5</v>
      </c>
      <c r="F21" s="6" t="s">
        <v>7</v>
      </c>
      <c r="G21" s="6" t="s">
        <v>1</v>
      </c>
      <c r="H21" s="6" t="s">
        <v>6</v>
      </c>
      <c r="I21" s="6" t="s">
        <v>33</v>
      </c>
      <c r="J21" s="6" t="s">
        <v>8</v>
      </c>
      <c r="K21" s="6" t="s">
        <v>185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x14ac:dyDescent="0.3">
      <c r="A22" s="35">
        <v>0</v>
      </c>
      <c r="B22"/>
      <c r="C22"/>
      <c r="D22"/>
      <c r="E22"/>
      <c r="F22"/>
      <c r="G22"/>
      <c r="H22"/>
      <c r="I22"/>
      <c r="J22"/>
      <c r="K22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customHeight="1" x14ac:dyDescent="0.3">
      <c r="A23" s="35">
        <v>3</v>
      </c>
      <c r="B23" s="3" t="str">
        <f>E13</f>
        <v xml:space="preserve">وحدة علوية دلفة /دلفتين </v>
      </c>
      <c r="C23" s="6">
        <v>1</v>
      </c>
      <c r="D23" s="6" t="str">
        <f ca="1">H19</f>
        <v>HPL</v>
      </c>
      <c r="E23" s="6" t="s">
        <v>49</v>
      </c>
      <c r="F23" s="6">
        <f>H15-3.6</f>
        <v>-3.6</v>
      </c>
      <c r="G23" s="6">
        <f ca="1">J15-E17</f>
        <v>20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ht="15.6" customHeight="1" x14ac:dyDescent="0.3">
      <c r="A24" s="35">
        <v>3</v>
      </c>
      <c r="B24" s="3" t="str">
        <f>B23</f>
        <v xml:space="preserve">وحدة علوية دلفة /دلفتين </v>
      </c>
      <c r="C24" s="6">
        <f>C23+1</f>
        <v>2</v>
      </c>
      <c r="D24" s="6" t="str">
        <f ca="1">H19</f>
        <v>HPL</v>
      </c>
      <c r="E24" s="6" t="s">
        <v>10</v>
      </c>
      <c r="F24" s="6">
        <f>H15-3.6</f>
        <v>-3.6</v>
      </c>
      <c r="G24" s="6">
        <f ca="1">J15-G15-E17</f>
        <v>20</v>
      </c>
      <c r="H24" s="6">
        <f>1*C13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ht="15.6" customHeight="1" x14ac:dyDescent="0.3">
      <c r="A25" s="35">
        <v>3</v>
      </c>
      <c r="B25" s="3" t="str">
        <f>B23</f>
        <v xml:space="preserve">وحدة علوية دلفة /دلفتين </v>
      </c>
      <c r="C25" s="6">
        <f t="shared" ref="C25:C26" si="0">C24+1</f>
        <v>3</v>
      </c>
      <c r="D25" s="6" t="str">
        <f ca="1">H19</f>
        <v>HPL</v>
      </c>
      <c r="E25" s="6" t="s">
        <v>11</v>
      </c>
      <c r="F25" s="6">
        <f ca="1">I15</f>
        <v>70</v>
      </c>
      <c r="G25" s="6">
        <f ca="1">J15</f>
        <v>30</v>
      </c>
      <c r="H25" s="6">
        <f>2*C13</f>
        <v>2</v>
      </c>
      <c r="I25" s="6">
        <f ca="1">HLOOKUP(D25, materials[], 2,FALSE)</f>
        <v>2</v>
      </c>
      <c r="J25" s="6"/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5">
        <v>3</v>
      </c>
      <c r="B26" s="3" t="str">
        <f>B23</f>
        <v xml:space="preserve">وحدة علوية دلفة /دلفتين </v>
      </c>
      <c r="C26" s="6">
        <f t="shared" si="0"/>
        <v>4</v>
      </c>
      <c r="D26" s="6" t="str">
        <f ca="1">H19</f>
        <v>HPL</v>
      </c>
      <c r="E26" s="6" t="s">
        <v>17</v>
      </c>
      <c r="F26" s="6">
        <f>H15-3.8</f>
        <v>-3.8</v>
      </c>
      <c r="G26" s="6">
        <f ca="1">J15-5-E17</f>
        <v>15</v>
      </c>
      <c r="H26" s="6">
        <f>E15*C13</f>
        <v>1</v>
      </c>
      <c r="I26" s="6">
        <f ca="1">HLOOKUP(D26, materials[], 2,FALSE)</f>
        <v>2</v>
      </c>
      <c r="J26" s="6"/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x14ac:dyDescent="0.3">
      <c r="A27" s="35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x14ac:dyDescent="0.3">
      <c r="A28" s="35">
        <v>4</v>
      </c>
      <c r="B28" s="3" t="str">
        <f>B23</f>
        <v xml:space="preserve">وحدة علوية دلفة /دلفتين </v>
      </c>
      <c r="C28" s="9">
        <f>C26+1</f>
        <v>5</v>
      </c>
      <c r="D28" s="9" t="str">
        <f ca="1">F19</f>
        <v>يوفيلاك</v>
      </c>
      <c r="E28" s="9" t="s">
        <v>52</v>
      </c>
      <c r="F28" s="9">
        <f ca="1">IF(C16,"",I15-0.5-F15)</f>
        <v>66</v>
      </c>
      <c r="G28" s="9">
        <f>IF(C16,"",(H15/C17)-0.5)</f>
        <v>-0.5</v>
      </c>
      <c r="H28" s="9">
        <f>C15*C13</f>
        <v>1</v>
      </c>
      <c r="I28" s="9">
        <f ca="1">HLOOKUP(D28, materials[], 2,FALSE)</f>
        <v>6</v>
      </c>
      <c r="J28" s="9"/>
      <c r="K28" s="9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x14ac:dyDescent="0.3">
      <c r="A29" s="35">
        <v>4</v>
      </c>
      <c r="B29" s="3" t="str">
        <f>B23</f>
        <v xml:space="preserve">وحدة علوية دلفة /دلفتين </v>
      </c>
      <c r="C29" s="9">
        <f>C28+1</f>
        <v>6</v>
      </c>
      <c r="D29" s="9" t="s">
        <v>53</v>
      </c>
      <c r="E29" s="9" t="s">
        <v>71</v>
      </c>
      <c r="F29" s="9">
        <f ca="1">I15-0.5</f>
        <v>69.5</v>
      </c>
      <c r="G29" s="9">
        <f>(H15/C17)-0.7</f>
        <v>-0.7</v>
      </c>
      <c r="H29" s="9">
        <f>C13*D15</f>
        <v>0</v>
      </c>
      <c r="I29" s="9"/>
      <c r="J29" s="9"/>
      <c r="K29" s="9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5">
        <v>5</v>
      </c>
      <c r="B31" s="3" t="str">
        <f>B23</f>
        <v xml:space="preserve">وحدة علوية دلفة /دلفتين </v>
      </c>
      <c r="C31" s="19">
        <f>C29+1</f>
        <v>7</v>
      </c>
      <c r="D31" s="19" t="str">
        <f ca="1">D19</f>
        <v>ظهر</v>
      </c>
      <c r="E31" s="19" t="s">
        <v>58</v>
      </c>
      <c r="F31" s="19">
        <f ca="1">I15-2</f>
        <v>68</v>
      </c>
      <c r="G31" s="19">
        <f>H15-2</f>
        <v>-2</v>
      </c>
      <c r="H31" s="19">
        <f>1*C13</f>
        <v>1</v>
      </c>
      <c r="I31" s="19">
        <f ca="1">HLOOKUP(D31, materials[], 2,FALSE)</f>
        <v>2</v>
      </c>
      <c r="J31" s="19"/>
      <c r="K31" s="19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5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5">
        <v>255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ht="36" x14ac:dyDescent="0.3">
      <c r="A34" s="35" t="s">
        <v>160</v>
      </c>
      <c r="C34" s="14">
        <v>1</v>
      </c>
      <c r="D34" s="22" t="s">
        <v>59</v>
      </c>
      <c r="E34" s="101" t="s">
        <v>50</v>
      </c>
      <c r="F34" s="102"/>
      <c r="G34" s="102"/>
      <c r="H34" s="103"/>
      <c r="I34" s="2" t="s">
        <v>30</v>
      </c>
      <c r="J34" s="2">
        <f>letterToNumber(A34)</f>
        <v>2</v>
      </c>
      <c r="K34" s="7">
        <f ca="1">_xlfn.SHEET("وحدات علوية")</f>
        <v>6</v>
      </c>
      <c r="L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31.2" x14ac:dyDescent="0.3">
      <c r="A35" s="35">
        <v>1</v>
      </c>
      <c r="C35" s="7" t="s">
        <v>54</v>
      </c>
      <c r="D35" s="7" t="s">
        <v>55</v>
      </c>
      <c r="E35" s="7" t="s">
        <v>51</v>
      </c>
      <c r="F35" s="7" t="s">
        <v>16</v>
      </c>
      <c r="G35" s="7" t="s">
        <v>115</v>
      </c>
      <c r="H35" s="7" t="s">
        <v>22</v>
      </c>
      <c r="I35" s="7" t="s">
        <v>3</v>
      </c>
      <c r="J35" s="7" t="s">
        <v>113</v>
      </c>
      <c r="K35" s="7"/>
      <c r="L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5.6" x14ac:dyDescent="0.3">
      <c r="A36" s="35">
        <v>1</v>
      </c>
      <c r="C36" s="8">
        <v>2</v>
      </c>
      <c r="D36" s="8">
        <v>0</v>
      </c>
      <c r="E36" s="7">
        <v>1</v>
      </c>
      <c r="F36" s="27" cm="1">
        <f t="array" aca="1" ref="F36" ca="1">defaultValue(F35,K34)</f>
        <v>3.5</v>
      </c>
      <c r="G36" s="27" cm="1">
        <f t="array" aca="1" ref="G36" ca="1">defaultValue(G35,K34)</f>
        <v>0</v>
      </c>
      <c r="H36" s="8"/>
      <c r="I36" s="27" cm="1">
        <f t="array" aca="1" ref="I36" ca="1">defaultValue(I35,K34)</f>
        <v>70</v>
      </c>
      <c r="J36" s="27" cm="1">
        <f t="array" aca="1" ref="J36" ca="1">defaultValue(J35,K34)</f>
        <v>30</v>
      </c>
      <c r="K36" s="7"/>
      <c r="L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36" customHeight="1" x14ac:dyDescent="0.3">
      <c r="A37" s="35">
        <v>1</v>
      </c>
      <c r="C37" s="9" t="b">
        <f>C36=0</f>
        <v>0</v>
      </c>
      <c r="D37" s="9" t="b">
        <f>D36=0</f>
        <v>1</v>
      </c>
      <c r="E37" s="7" t="s">
        <v>106</v>
      </c>
      <c r="F37" s="116" t="b">
        <f ca="1">NOT(AND(F36&gt;0,G36&gt;0))</f>
        <v>1</v>
      </c>
      <c r="G37" s="116"/>
      <c r="H37" s="8"/>
      <c r="I37" s="3" t="b">
        <f ca="1">_xlfn.XOR(I36&lt;=50,C38=2)</f>
        <v>1</v>
      </c>
      <c r="J37" s="8"/>
      <c r="K37" s="7"/>
      <c r="L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24" x14ac:dyDescent="0.3">
      <c r="A38" s="35">
        <v>1</v>
      </c>
      <c r="C38" s="107">
        <f>C36+D36</f>
        <v>2</v>
      </c>
      <c r="D38" s="107"/>
      <c r="E38" s="7">
        <v>0</v>
      </c>
      <c r="F38" s="109" t="str">
        <f ca="1">IF(F37,"المقابض مظبوطة","مينفعش مقبض مخفي مع بيلت ان")</f>
        <v>المقابض مظبوطة</v>
      </c>
      <c r="G38" s="109"/>
      <c r="H38" s="30"/>
      <c r="I38" s="32" t="str">
        <f ca="1">IF(I37,"عدد الدلف صحيح","عدد الدلف غير صحيح")</f>
        <v>عدد الدلف صحيح</v>
      </c>
      <c r="J38" s="8"/>
      <c r="K38" s="7"/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15.6" x14ac:dyDescent="0.3">
      <c r="A39" s="35">
        <v>1</v>
      </c>
      <c r="C39" s="108" t="b">
        <f>C38&lt;=2</f>
        <v>1</v>
      </c>
      <c r="D39" s="108"/>
      <c r="E39" s="46"/>
      <c r="F39" s="8"/>
      <c r="G39" s="8"/>
      <c r="H39" s="8"/>
      <c r="I39" s="8"/>
      <c r="J39" s="8"/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5">
        <v>1</v>
      </c>
      <c r="C40" s="8"/>
      <c r="D40" s="27" t="str" cm="1">
        <f t="array" aca="1" ref="D40" ca="1">defaultValue(E40,K34)</f>
        <v>ظهر</v>
      </c>
      <c r="E40" s="7" t="s">
        <v>58</v>
      </c>
      <c r="F40" s="27" t="str" cm="1">
        <f t="array" aca="1" ref="F40" ca="1">defaultValue(G40,K34)</f>
        <v>يوفيلاك</v>
      </c>
      <c r="G40" s="7" t="s">
        <v>32</v>
      </c>
      <c r="H40" s="27" t="str" cm="1">
        <f t="array" aca="1" ref="H40" ca="1">defaultValue(I40,K34)</f>
        <v>HPL</v>
      </c>
      <c r="I40" s="7" t="s">
        <v>31</v>
      </c>
      <c r="J40" s="25" t="s">
        <v>111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x14ac:dyDescent="0.3">
      <c r="A41" s="35">
        <v>0</v>
      </c>
      <c r="B41"/>
      <c r="C41"/>
      <c r="D41"/>
      <c r="E41"/>
      <c r="F41"/>
      <c r="G41"/>
      <c r="H41"/>
      <c r="I41"/>
      <c r="J41"/>
      <c r="K41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x14ac:dyDescent="0.3">
      <c r="A42" s="35">
        <v>2</v>
      </c>
      <c r="C42" s="6" t="s">
        <v>4</v>
      </c>
      <c r="D42" s="6" t="s">
        <v>9</v>
      </c>
      <c r="E42" s="6" t="s">
        <v>5</v>
      </c>
      <c r="F42" s="6" t="s">
        <v>7</v>
      </c>
      <c r="G42" s="6" t="s">
        <v>1</v>
      </c>
      <c r="H42" s="6" t="s">
        <v>6</v>
      </c>
      <c r="I42" s="6" t="s">
        <v>33</v>
      </c>
      <c r="J42" s="6" t="s">
        <v>8</v>
      </c>
      <c r="K42" s="6" t="s">
        <v>185</v>
      </c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customHeight="1" x14ac:dyDescent="0.3">
      <c r="A44" s="35">
        <v>3</v>
      </c>
      <c r="B44" s="3" t="str">
        <f>E34</f>
        <v>وحدة علوية  قلاب / 2 قلاب</v>
      </c>
      <c r="C44" s="6">
        <v>1</v>
      </c>
      <c r="D44" s="6" t="str">
        <f ca="1">H40</f>
        <v>HPL</v>
      </c>
      <c r="E44" s="6" t="s">
        <v>49</v>
      </c>
      <c r="F44" s="6">
        <f>H36-3.6</f>
        <v>-3.6</v>
      </c>
      <c r="G44" s="6">
        <f ca="1">J36-E38</f>
        <v>30</v>
      </c>
      <c r="H44" s="6">
        <f>1*C34</f>
        <v>1</v>
      </c>
      <c r="I44" s="6">
        <f ca="1">HLOOKUP(D44, materials[], 2,FALSE)</f>
        <v>2</v>
      </c>
      <c r="J44" s="6"/>
      <c r="K44" s="6" t="b">
        <v>1</v>
      </c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ht="15.6" customHeight="1" x14ac:dyDescent="0.3">
      <c r="A45" s="35">
        <v>3</v>
      </c>
      <c r="B45" s="3" t="str">
        <f>B44</f>
        <v>وحدة علوية  قلاب / 2 قلاب</v>
      </c>
      <c r="C45" s="6">
        <f>C44+1</f>
        <v>2</v>
      </c>
      <c r="D45" s="6" t="str">
        <f ca="1">H40</f>
        <v>HPL</v>
      </c>
      <c r="E45" s="6" t="s">
        <v>10</v>
      </c>
      <c r="F45" s="6">
        <f>H36-3.6</f>
        <v>-3.6</v>
      </c>
      <c r="G45" s="6">
        <f ca="1">J36-G36-E38</f>
        <v>30</v>
      </c>
      <c r="H45" s="6">
        <f>1*C34</f>
        <v>1</v>
      </c>
      <c r="I45" s="6">
        <f ca="1">HLOOKUP(D45, materials[], 2,FALSE)</f>
        <v>2</v>
      </c>
      <c r="J45" s="6"/>
      <c r="K45" s="6" t="b">
        <v>1</v>
      </c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ht="15.6" customHeight="1" x14ac:dyDescent="0.3">
      <c r="A46" s="35">
        <v>3</v>
      </c>
      <c r="B46" s="3" t="str">
        <f>B44</f>
        <v>وحدة علوية  قلاب / 2 قلاب</v>
      </c>
      <c r="C46" s="6">
        <f t="shared" ref="C46:C47" si="1">C45+1</f>
        <v>3</v>
      </c>
      <c r="D46" s="6" t="str">
        <f ca="1">H40</f>
        <v>HPL</v>
      </c>
      <c r="E46" s="6" t="s">
        <v>11</v>
      </c>
      <c r="F46" s="6">
        <f ca="1">I36</f>
        <v>70</v>
      </c>
      <c r="G46" s="6">
        <f ca="1">J36</f>
        <v>30</v>
      </c>
      <c r="H46" s="6">
        <f>2*C34</f>
        <v>2</v>
      </c>
      <c r="I46" s="6">
        <f ca="1">HLOOKUP(D46, materials[], 2,FALSE)</f>
        <v>2</v>
      </c>
      <c r="J46" s="6"/>
      <c r="K46" s="6" t="b">
        <v>1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x14ac:dyDescent="0.3">
      <c r="A47" s="35">
        <v>3</v>
      </c>
      <c r="B47" s="3" t="str">
        <f>B44</f>
        <v>وحدة علوية  قلاب / 2 قلاب</v>
      </c>
      <c r="C47" s="6">
        <f t="shared" si="1"/>
        <v>4</v>
      </c>
      <c r="D47" s="6" t="str">
        <f ca="1">H40</f>
        <v>HPL</v>
      </c>
      <c r="E47" s="6" t="s">
        <v>51</v>
      </c>
      <c r="F47" s="6">
        <f>(H36-3.6)*E36</f>
        <v>-3.6</v>
      </c>
      <c r="G47" s="6">
        <f ca="1">(J36-2.5-E38)*E36</f>
        <v>27.5</v>
      </c>
      <c r="H47" s="6">
        <f>E36*C34</f>
        <v>1</v>
      </c>
      <c r="I47" s="6">
        <f ca="1">HLOOKUP(D47, materials[], 2,FALSE)</f>
        <v>2</v>
      </c>
      <c r="J47" s="6"/>
      <c r="K47" s="6" t="b">
        <v>1</v>
      </c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x14ac:dyDescent="0.3">
      <c r="A48" s="35">
        <v>0</v>
      </c>
      <c r="B48"/>
      <c r="C48"/>
      <c r="D48"/>
      <c r="E48"/>
      <c r="F48"/>
      <c r="G48"/>
      <c r="H48"/>
      <c r="I48"/>
      <c r="J48"/>
      <c r="K48"/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x14ac:dyDescent="0.3">
      <c r="A49" s="35">
        <v>4</v>
      </c>
      <c r="B49" s="3" t="str">
        <f>B44</f>
        <v>وحدة علوية  قلاب / 2 قلاب</v>
      </c>
      <c r="C49" s="9">
        <f>C47+1</f>
        <v>5</v>
      </c>
      <c r="D49" s="9" t="str">
        <f ca="1">F40</f>
        <v>يوفيلاك</v>
      </c>
      <c r="E49" s="9" t="s">
        <v>56</v>
      </c>
      <c r="F49" s="9">
        <f ca="1">(I36/C38)-0.5-F36</f>
        <v>31</v>
      </c>
      <c r="G49" s="9">
        <f>H36-0.5</f>
        <v>-0.5</v>
      </c>
      <c r="H49" s="9">
        <f>C36*C34</f>
        <v>2</v>
      </c>
      <c r="I49" s="9">
        <f ca="1">HLOOKUP(D49, materials[], 2,FALSE)</f>
        <v>6</v>
      </c>
      <c r="J49" s="9"/>
      <c r="K49" s="9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x14ac:dyDescent="0.3">
      <c r="A50" s="35">
        <v>4</v>
      </c>
      <c r="B50" s="3" t="str">
        <f>B44</f>
        <v>وحدة علوية  قلاب / 2 قلاب</v>
      </c>
      <c r="C50" s="9">
        <f>C49+1</f>
        <v>6</v>
      </c>
      <c r="D50" s="9" t="s">
        <v>53</v>
      </c>
      <c r="E50" s="9" t="s">
        <v>57</v>
      </c>
      <c r="F50" s="9">
        <f ca="1">(I36/C38)-0.5</f>
        <v>34.5</v>
      </c>
      <c r="G50" s="9">
        <f>H36-0.7</f>
        <v>-0.7</v>
      </c>
      <c r="H50" s="9">
        <f>C34*D36</f>
        <v>0</v>
      </c>
      <c r="I50" s="9"/>
      <c r="J50" s="9"/>
      <c r="K50" s="9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5">
        <v>0</v>
      </c>
      <c r="B51"/>
      <c r="C51"/>
      <c r="D51"/>
      <c r="E51"/>
      <c r="F51"/>
      <c r="G51"/>
      <c r="H51"/>
      <c r="I51"/>
      <c r="J51"/>
      <c r="K5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5">
        <v>5</v>
      </c>
      <c r="B52" s="3" t="str">
        <f>B44</f>
        <v>وحدة علوية  قلاب / 2 قلاب</v>
      </c>
      <c r="C52" s="19">
        <f>C50+1</f>
        <v>7</v>
      </c>
      <c r="D52" s="19" t="str">
        <f ca="1">D40</f>
        <v>ظهر</v>
      </c>
      <c r="E52" s="19" t="s">
        <v>58</v>
      </c>
      <c r="F52" s="19">
        <f ca="1">I36-2</f>
        <v>68</v>
      </c>
      <c r="G52" s="19">
        <f>H36-2</f>
        <v>-2</v>
      </c>
      <c r="H52" s="19">
        <f>1*C34</f>
        <v>1</v>
      </c>
      <c r="I52" s="19">
        <f ca="1">HLOOKUP(D52, materials[], 2,FALSE)</f>
        <v>2</v>
      </c>
      <c r="J52" s="19"/>
      <c r="K52" s="19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5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5">
        <v>255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ht="36" x14ac:dyDescent="0.3">
      <c r="A55" s="35" t="s">
        <v>156</v>
      </c>
      <c r="C55" s="14">
        <v>1</v>
      </c>
      <c r="D55" s="22" t="s">
        <v>59</v>
      </c>
      <c r="E55" s="101" t="s">
        <v>45</v>
      </c>
      <c r="F55" s="102"/>
      <c r="G55" s="102"/>
      <c r="H55" s="103"/>
      <c r="I55" s="2" t="s">
        <v>30</v>
      </c>
      <c r="J55" s="2">
        <f>letterToNumber(A55)</f>
        <v>3</v>
      </c>
      <c r="K55" s="7">
        <f ca="1">_xlfn.SHEET("وحدات علوية")</f>
        <v>6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ht="31.2" x14ac:dyDescent="0.3">
      <c r="A56" s="35">
        <v>1</v>
      </c>
      <c r="C56" s="7" t="s">
        <v>12</v>
      </c>
      <c r="D56" s="7" t="s">
        <v>55</v>
      </c>
      <c r="E56" s="7" t="s">
        <v>18</v>
      </c>
      <c r="F56" s="7" t="s">
        <v>16</v>
      </c>
      <c r="G56" s="7" t="s">
        <v>115</v>
      </c>
      <c r="H56" s="7" t="s">
        <v>22</v>
      </c>
      <c r="I56" s="7" t="s">
        <v>3</v>
      </c>
      <c r="J56" s="7" t="s">
        <v>113</v>
      </c>
      <c r="K56" s="7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ht="15.6" x14ac:dyDescent="0.3">
      <c r="A57" s="35">
        <v>1</v>
      </c>
      <c r="C57" s="8">
        <v>2</v>
      </c>
      <c r="D57" s="8"/>
      <c r="E57" s="8">
        <v>1</v>
      </c>
      <c r="F57" s="27" cm="1">
        <f t="array" aca="1" ref="F57" ca="1">defaultValue(F56,K55)</f>
        <v>3.5</v>
      </c>
      <c r="G57" s="27" cm="1">
        <f t="array" aca="1" ref="G57" ca="1">defaultValue(G56,K55)</f>
        <v>0</v>
      </c>
      <c r="H57" s="8"/>
      <c r="I57" s="27" cm="1">
        <f t="array" aca="1" ref="I57" ca="1">defaultValue(I56,K55)</f>
        <v>70</v>
      </c>
      <c r="J57" s="27" cm="1">
        <f t="array" aca="1" ref="J57" ca="1">defaultValue(J56,K55)</f>
        <v>30</v>
      </c>
      <c r="K57" s="7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ht="15.6" x14ac:dyDescent="0.3">
      <c r="A58" s="35">
        <v>1</v>
      </c>
      <c r="C58" s="9" t="b">
        <f>C57=0</f>
        <v>0</v>
      </c>
      <c r="D58" s="9" t="b">
        <f>E57=0</f>
        <v>0</v>
      </c>
      <c r="E58" s="3" t="b">
        <f ca="1">_xlfn.XOR(I57&lt;=50,E57=1)</f>
        <v>1</v>
      </c>
      <c r="F58" s="108" t="b">
        <f ca="1">NOT(AND(F57&gt;0,G57&gt;0))</f>
        <v>1</v>
      </c>
      <c r="G58" s="110"/>
      <c r="H58" s="3" t="b">
        <f>_xlfn.XOR(H57&lt;=50,C59=2)</f>
        <v>0</v>
      </c>
      <c r="I58" s="61" t="s">
        <v>166</v>
      </c>
      <c r="J58" s="62" t="s">
        <v>167</v>
      </c>
      <c r="K58" s="7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24" x14ac:dyDescent="0.3">
      <c r="A59" s="35">
        <v>1</v>
      </c>
      <c r="C59" s="107">
        <f>C57+D57</f>
        <v>2</v>
      </c>
      <c r="D59" s="107"/>
      <c r="E59" s="7" t="s">
        <v>106</v>
      </c>
      <c r="F59" s="111" t="str">
        <f ca="1">IF(F58,"المقابض مظبوطة","مينفعش مقبض مخفي مع بيلت ان")</f>
        <v>المقابض مظبوطة</v>
      </c>
      <c r="G59" s="111"/>
      <c r="H59" s="33" t="str">
        <f>IF(H58,"عدد الدلف صحيح","عدد الدلف غير صحيح")</f>
        <v>عدد الدلف غير صحيح</v>
      </c>
      <c r="I59" s="61">
        <v>30</v>
      </c>
      <c r="J59" s="62">
        <v>4</v>
      </c>
      <c r="K59" s="7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15.6" x14ac:dyDescent="0.3">
      <c r="A60" s="35">
        <v>1</v>
      </c>
      <c r="C60" s="108" t="b">
        <f>C59&lt;=2</f>
        <v>1</v>
      </c>
      <c r="D60" s="108"/>
      <c r="E60" s="7">
        <v>0</v>
      </c>
      <c r="F60" s="8"/>
      <c r="G60" s="8"/>
      <c r="H60" s="8"/>
      <c r="I60" s="8"/>
      <c r="J60" s="8"/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5">
        <v>1</v>
      </c>
      <c r="B61" s="1"/>
      <c r="C61" s="8"/>
      <c r="D61" s="27" t="str" cm="1">
        <f t="array" aca="1" ref="D61" ca="1">defaultValue(E61,K55)</f>
        <v>ظهر</v>
      </c>
      <c r="E61" s="7" t="s">
        <v>58</v>
      </c>
      <c r="F61" s="27" t="str" cm="1">
        <f t="array" aca="1" ref="F61" ca="1">defaultValue(G61,K55)</f>
        <v>يوفيلاك</v>
      </c>
      <c r="G61" s="7" t="s">
        <v>32</v>
      </c>
      <c r="H61" s="27" t="str" cm="1">
        <f t="array" aca="1" ref="H61" ca="1">defaultValue(I61,K55)</f>
        <v>HPL</v>
      </c>
      <c r="I61" s="7" t="s">
        <v>31</v>
      </c>
      <c r="J61" s="25" t="s">
        <v>111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x14ac:dyDescent="0.3">
      <c r="A62" s="35">
        <v>0</v>
      </c>
      <c r="B62"/>
      <c r="C62"/>
      <c r="D62"/>
      <c r="E62"/>
      <c r="F62"/>
      <c r="G62"/>
      <c r="H62"/>
      <c r="I62"/>
      <c r="J62"/>
      <c r="K6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x14ac:dyDescent="0.3">
      <c r="A63" s="35">
        <v>2</v>
      </c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33</v>
      </c>
      <c r="J63" s="6" t="s">
        <v>8</v>
      </c>
      <c r="K63" s="6" t="s">
        <v>185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customHeight="1" x14ac:dyDescent="0.3">
      <c r="A64" s="35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customHeight="1" x14ac:dyDescent="0.3">
      <c r="A65" s="35">
        <v>3</v>
      </c>
      <c r="B65" s="3" t="str">
        <f>E55</f>
        <v xml:space="preserve">وحدة علوية  تلبيسة دلفة /دلفتين </v>
      </c>
      <c r="C65" s="6">
        <v>1</v>
      </c>
      <c r="D65" s="6" t="str">
        <f ca="1">H61</f>
        <v>HPL</v>
      </c>
      <c r="E65" s="6" t="s">
        <v>49</v>
      </c>
      <c r="F65" s="6">
        <f>H57-3.6</f>
        <v>-3.6</v>
      </c>
      <c r="G65" s="6">
        <f ca="1">J57-E60</f>
        <v>30</v>
      </c>
      <c r="H65" s="6">
        <f>1*C55</f>
        <v>1</v>
      </c>
      <c r="I65" s="6">
        <f ca="1">HLOOKUP(D65, materials[], 2,FALSE)</f>
        <v>2</v>
      </c>
      <c r="J65" s="6"/>
      <c r="K65" s="6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ht="15.6" customHeight="1" x14ac:dyDescent="0.3">
      <c r="A66" s="35">
        <v>3</v>
      </c>
      <c r="B66" s="3" t="str">
        <f>B65</f>
        <v xml:space="preserve">وحدة علوية  تلبيسة دلفة /دلفتين </v>
      </c>
      <c r="C66" s="6">
        <f t="shared" ref="C66:C69" si="2">C65+1</f>
        <v>2</v>
      </c>
      <c r="D66" s="6" t="str">
        <f ca="1">H61</f>
        <v>HPL</v>
      </c>
      <c r="E66" s="6" t="s">
        <v>10</v>
      </c>
      <c r="F66" s="6">
        <f>H57-3.6</f>
        <v>-3.6</v>
      </c>
      <c r="G66" s="6">
        <f ca="1">J57-G57-E60</f>
        <v>30</v>
      </c>
      <c r="H66" s="6">
        <f>1*C55</f>
        <v>1</v>
      </c>
      <c r="I66" s="6">
        <f ca="1">HLOOKUP(D66, materials[], 2,FALSE)</f>
        <v>2</v>
      </c>
      <c r="J66" s="6"/>
      <c r="K66" s="6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15.6" customHeight="1" x14ac:dyDescent="0.3">
      <c r="A67" s="35">
        <v>3</v>
      </c>
      <c r="B67" s="3" t="str">
        <f>B65</f>
        <v xml:space="preserve">وحدة علوية  تلبيسة دلفة /دلفتين </v>
      </c>
      <c r="C67" s="6">
        <f t="shared" si="2"/>
        <v>3</v>
      </c>
      <c r="D67" s="6" t="str">
        <f ca="1">H61</f>
        <v>HPL</v>
      </c>
      <c r="E67" s="6" t="s">
        <v>11</v>
      </c>
      <c r="F67" s="6">
        <f ca="1">I57</f>
        <v>70</v>
      </c>
      <c r="G67" s="6">
        <f ca="1">J57</f>
        <v>30</v>
      </c>
      <c r="H67" s="6">
        <f>2*C55</f>
        <v>2</v>
      </c>
      <c r="I67" s="6">
        <f ca="1">HLOOKUP(D67, materials[], 2,FALSE)</f>
        <v>2</v>
      </c>
      <c r="J67" s="6"/>
      <c r="K67" s="6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5">
        <v>3</v>
      </c>
      <c r="B68" s="3" t="str">
        <f>B65</f>
        <v xml:space="preserve">وحدة علوية  تلبيسة دلفة /دلفتين </v>
      </c>
      <c r="C68" s="6">
        <f t="shared" si="2"/>
        <v>4</v>
      </c>
      <c r="D68" s="6" t="str">
        <f ca="1">H61</f>
        <v>HPL</v>
      </c>
      <c r="E68" s="6" t="s">
        <v>17</v>
      </c>
      <c r="F68" s="6">
        <f>H57-3.8</f>
        <v>-3.8</v>
      </c>
      <c r="G68" s="6">
        <f ca="1">J57-6-E60</f>
        <v>24</v>
      </c>
      <c r="H68" s="6">
        <f>E57*C55</f>
        <v>1</v>
      </c>
      <c r="I68" s="6">
        <f ca="1">HLOOKUP(D68, materials[], 2,FALSE)</f>
        <v>2</v>
      </c>
      <c r="J68" s="6"/>
      <c r="K68" s="6" t="b">
        <v>1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x14ac:dyDescent="0.3">
      <c r="A69" s="35">
        <v>3</v>
      </c>
      <c r="B69" s="3" t="str">
        <f>B65</f>
        <v xml:space="preserve">وحدة علوية  تلبيسة دلفة /دلفتين </v>
      </c>
      <c r="C69" s="6">
        <f t="shared" si="2"/>
        <v>5</v>
      </c>
      <c r="D69" s="6" t="str">
        <f ca="1">H61</f>
        <v>HPL</v>
      </c>
      <c r="E69" s="6" t="s">
        <v>24</v>
      </c>
      <c r="F69" s="6">
        <f ca="1">I57</f>
        <v>70</v>
      </c>
      <c r="G69" s="6">
        <f>I59</f>
        <v>30</v>
      </c>
      <c r="H69" s="6">
        <f>1*C55</f>
        <v>1</v>
      </c>
      <c r="I69" s="6">
        <f ca="1">HLOOKUP(D69, materials[], 2,FALSE)</f>
        <v>2</v>
      </c>
      <c r="J69" s="6"/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x14ac:dyDescent="0.3">
      <c r="A70" s="35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x14ac:dyDescent="0.3">
      <c r="A71" s="35">
        <v>4</v>
      </c>
      <c r="B71" s="3" t="str">
        <f>B65</f>
        <v xml:space="preserve">وحدة علوية  تلبيسة دلفة /دلفتين </v>
      </c>
      <c r="C71" s="9">
        <f>C69+1</f>
        <v>6</v>
      </c>
      <c r="D71" s="9" t="str">
        <f ca="1">F61</f>
        <v>يوفيلاك</v>
      </c>
      <c r="E71" s="9" t="s">
        <v>15</v>
      </c>
      <c r="F71" s="9">
        <f ca="1">I57-0.5-F57</f>
        <v>66</v>
      </c>
      <c r="G71" s="9">
        <f>(H57-I59-J59)/C57-0.5</f>
        <v>-17.5</v>
      </c>
      <c r="H71" s="9">
        <f>C57*C55</f>
        <v>2</v>
      </c>
      <c r="I71" s="9">
        <f ca="1">HLOOKUP(D71, materials[], 2,FALSE)</f>
        <v>6</v>
      </c>
      <c r="J71" s="9"/>
      <c r="K71" s="9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x14ac:dyDescent="0.3">
      <c r="A72" s="35">
        <v>4</v>
      </c>
      <c r="B72" s="3" t="str">
        <f>B65</f>
        <v xml:space="preserve">وحدة علوية  تلبيسة دلفة /دلفتين </v>
      </c>
      <c r="C72" s="9">
        <f t="shared" ref="C72" si="3">C71+1</f>
        <v>7</v>
      </c>
      <c r="D72" s="9" t="str">
        <f ca="1">F61</f>
        <v>يوفيلاك</v>
      </c>
      <c r="E72" s="9" t="s">
        <v>25</v>
      </c>
      <c r="F72" s="9">
        <f ca="1">I57</f>
        <v>70</v>
      </c>
      <c r="G72" s="9">
        <f>J59</f>
        <v>4</v>
      </c>
      <c r="H72" s="9">
        <f>1*C55</f>
        <v>1</v>
      </c>
      <c r="I72" s="9">
        <f ca="1">HLOOKUP(D72, materials[], 2,FALSE)</f>
        <v>6</v>
      </c>
      <c r="J72" s="9"/>
      <c r="K72" s="9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5">
        <v>4</v>
      </c>
      <c r="B74" s="3" t="str">
        <f>B68</f>
        <v xml:space="preserve">وحدة علوية  تلبيسة دلفة /دلفتين </v>
      </c>
      <c r="C74" s="9">
        <f>C72+1</f>
        <v>8</v>
      </c>
      <c r="D74" s="9" t="s">
        <v>53</v>
      </c>
      <c r="E74" s="9" t="s">
        <v>71</v>
      </c>
      <c r="F74" s="9">
        <f ca="1">I57-0.5</f>
        <v>69.5</v>
      </c>
      <c r="G74" s="9" t="e">
        <f>(H57-I59-J59)/D57-0.7</f>
        <v>#DIV/0!</v>
      </c>
      <c r="H74" s="9">
        <f>C55*D57</f>
        <v>0</v>
      </c>
      <c r="I74" s="9"/>
      <c r="J74" s="9"/>
      <c r="K74" s="9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5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5">
        <v>5</v>
      </c>
      <c r="B76" s="3" t="str">
        <f>B65</f>
        <v xml:space="preserve">وحدة علوية  تلبيسة دلفة /دلفتين </v>
      </c>
      <c r="C76" s="19">
        <f>C74+1</f>
        <v>9</v>
      </c>
      <c r="D76" s="19" t="str">
        <f ca="1">D61</f>
        <v>ظهر</v>
      </c>
      <c r="E76" s="19" t="s">
        <v>58</v>
      </c>
      <c r="F76" s="19">
        <f ca="1">I57-2</f>
        <v>68</v>
      </c>
      <c r="G76" s="19">
        <f>H57-2</f>
        <v>-2</v>
      </c>
      <c r="H76" s="19">
        <f>1*C55</f>
        <v>1</v>
      </c>
      <c r="I76" s="19">
        <f ca="1">HLOOKUP(D76, materials[], 2,FALSE)</f>
        <v>2</v>
      </c>
      <c r="J76" s="19"/>
      <c r="K76" s="1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5">
        <v>255</v>
      </c>
      <c r="C77" s="1"/>
      <c r="D77" s="1"/>
      <c r="E77" s="1"/>
      <c r="F77" s="1"/>
      <c r="G77" s="1"/>
      <c r="H77" s="1"/>
      <c r="I77" s="1"/>
      <c r="J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5">
        <v>255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ht="36" x14ac:dyDescent="0.3">
      <c r="A79" s="35" t="s">
        <v>161</v>
      </c>
      <c r="C79" s="14">
        <v>1</v>
      </c>
      <c r="D79" s="22" t="s">
        <v>59</v>
      </c>
      <c r="E79" s="101" t="s">
        <v>168</v>
      </c>
      <c r="F79" s="102"/>
      <c r="G79" s="102"/>
      <c r="H79" s="103"/>
      <c r="I79" s="2" t="s">
        <v>30</v>
      </c>
      <c r="J79" s="2">
        <f>letterToNumber(A79)</f>
        <v>4</v>
      </c>
      <c r="K79" s="7">
        <f ca="1">_xlfn.SHEET("وحدات علوية")</f>
        <v>6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ht="31.2" x14ac:dyDescent="0.3">
      <c r="A80" s="35">
        <v>1</v>
      </c>
      <c r="C80" s="7" t="s">
        <v>12</v>
      </c>
      <c r="D80" s="7" t="s">
        <v>55</v>
      </c>
      <c r="E80" s="7" t="s">
        <v>51</v>
      </c>
      <c r="F80" s="7" t="s">
        <v>16</v>
      </c>
      <c r="G80" s="7" t="s">
        <v>115</v>
      </c>
      <c r="H80" s="7" t="s">
        <v>22</v>
      </c>
      <c r="I80" s="7" t="s">
        <v>3</v>
      </c>
      <c r="J80" s="7" t="s">
        <v>113</v>
      </c>
      <c r="K80" s="7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ht="15.6" x14ac:dyDescent="0.3">
      <c r="A81" s="35">
        <v>1</v>
      </c>
      <c r="C81" s="8">
        <v>1</v>
      </c>
      <c r="D81" s="8">
        <v>0</v>
      </c>
      <c r="E81" s="8">
        <v>0</v>
      </c>
      <c r="F81" s="27" cm="1">
        <f t="array" aca="1" ref="F81" ca="1">defaultValue(F80,K79)</f>
        <v>3.5</v>
      </c>
      <c r="G81" s="27" cm="1">
        <f t="array" aca="1" ref="G81" ca="1">defaultValue(G80,K79)</f>
        <v>0</v>
      </c>
      <c r="H81" s="8"/>
      <c r="I81" s="27" cm="1">
        <f t="array" aca="1" ref="I81" ca="1">defaultValue(I80,K79)</f>
        <v>70</v>
      </c>
      <c r="J81" s="27" cm="1">
        <f t="array" aca="1" ref="J81" ca="1">defaultValue(J80,K79)</f>
        <v>30</v>
      </c>
      <c r="K81" s="7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ht="15.6" x14ac:dyDescent="0.3">
      <c r="A82" s="35">
        <v>1</v>
      </c>
      <c r="C82" s="9" t="b">
        <f>C81=0</f>
        <v>0</v>
      </c>
      <c r="D82" s="9" t="b">
        <f>E81=0</f>
        <v>1</v>
      </c>
      <c r="E82" s="3" t="b">
        <f ca="1">_xlfn.XOR(I81&lt;=50,E81=1)</f>
        <v>0</v>
      </c>
      <c r="F82" s="108" t="b">
        <f ca="1">NOT(AND(F81&gt;0,G81&gt;0))</f>
        <v>1</v>
      </c>
      <c r="G82" s="110"/>
      <c r="H82" s="3" t="b">
        <f ca="1">_xlfn.XOR(I81&lt;=50,C83=2)</f>
        <v>0</v>
      </c>
      <c r="I82" s="61" t="s">
        <v>166</v>
      </c>
      <c r="J82" s="62" t="s">
        <v>167</v>
      </c>
      <c r="K82" s="7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4" x14ac:dyDescent="0.3">
      <c r="A83" s="35">
        <v>1</v>
      </c>
      <c r="C83" s="107">
        <f>C81+D81</f>
        <v>1</v>
      </c>
      <c r="D83" s="107"/>
      <c r="E83" s="7" t="s">
        <v>106</v>
      </c>
      <c r="F83" s="111" t="str">
        <f ca="1">IF(F82,"المقابض مظبوطة","مينفعش مقبض مخفي مع بيلت ان")</f>
        <v>المقابض مظبوطة</v>
      </c>
      <c r="G83" s="111"/>
      <c r="H83" s="33" t="str">
        <f ca="1">IF(H82,"عدد الدلف صحيح","عدد الدلف غير صحيح")</f>
        <v>عدد الدلف غير صحيح</v>
      </c>
      <c r="I83" s="61">
        <v>0</v>
      </c>
      <c r="J83" s="62">
        <v>44</v>
      </c>
      <c r="K83" s="7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5.6" x14ac:dyDescent="0.3">
      <c r="A84" s="35">
        <v>1</v>
      </c>
      <c r="C84" s="108" t="b">
        <f>C83&lt;=2</f>
        <v>1</v>
      </c>
      <c r="D84" s="108"/>
      <c r="E84" s="7">
        <v>0</v>
      </c>
      <c r="F84" s="8"/>
      <c r="G84" s="8"/>
      <c r="H84" s="8"/>
      <c r="I84" s="8"/>
      <c r="J84" s="8"/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5">
        <v>1</v>
      </c>
      <c r="B85" s="1"/>
      <c r="C85" s="8"/>
      <c r="D85" s="27" t="str" cm="1">
        <f t="array" aca="1" ref="D85" ca="1">defaultValue(E85,K79)</f>
        <v>ظهر</v>
      </c>
      <c r="E85" s="7" t="s">
        <v>58</v>
      </c>
      <c r="F85" s="27" t="str" cm="1">
        <f t="array" aca="1" ref="F85" ca="1">defaultValue(G85,K79)</f>
        <v>يوفيلاك</v>
      </c>
      <c r="G85" s="7" t="s">
        <v>32</v>
      </c>
      <c r="H85" s="27" t="str" cm="1">
        <f t="array" aca="1" ref="H85" ca="1">defaultValue(I85,K79)</f>
        <v>HPL</v>
      </c>
      <c r="I85" s="7" t="s">
        <v>31</v>
      </c>
      <c r="J85" s="25" t="s">
        <v>111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x14ac:dyDescent="0.3">
      <c r="A86" s="35">
        <v>0</v>
      </c>
      <c r="B86"/>
      <c r="C86"/>
      <c r="D86"/>
      <c r="E86"/>
      <c r="F86"/>
      <c r="G86"/>
      <c r="H86"/>
      <c r="I86"/>
      <c r="J86"/>
      <c r="K86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x14ac:dyDescent="0.3">
      <c r="A87" s="35">
        <v>2</v>
      </c>
      <c r="C87" s="6" t="s">
        <v>4</v>
      </c>
      <c r="D87" s="6" t="s">
        <v>9</v>
      </c>
      <c r="E87" s="6" t="s">
        <v>5</v>
      </c>
      <c r="F87" s="6" t="s">
        <v>7</v>
      </c>
      <c r="G87" s="6" t="s">
        <v>1</v>
      </c>
      <c r="H87" s="6" t="s">
        <v>6</v>
      </c>
      <c r="I87" s="6" t="s">
        <v>33</v>
      </c>
      <c r="J87" s="6" t="s">
        <v>8</v>
      </c>
      <c r="K87" s="6" t="s">
        <v>185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customHeight="1" x14ac:dyDescent="0.3">
      <c r="A88" s="35">
        <v>0</v>
      </c>
      <c r="B88"/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customHeight="1" x14ac:dyDescent="0.3">
      <c r="A89" s="35">
        <v>3</v>
      </c>
      <c r="B89" s="3" t="str">
        <f>E79</f>
        <v>وحدة علوية  تلبيسة دلفة /دلفتين قلاب</v>
      </c>
      <c r="C89" s="6">
        <v>1</v>
      </c>
      <c r="D89" s="6" t="str">
        <f ca="1">H85</f>
        <v>HPL</v>
      </c>
      <c r="E89" s="6" t="s">
        <v>49</v>
      </c>
      <c r="F89" s="6">
        <f>H81-3.6</f>
        <v>-3.6</v>
      </c>
      <c r="G89" s="6">
        <f ca="1">J81-E84</f>
        <v>30</v>
      </c>
      <c r="H89" s="6">
        <f>1*C79</f>
        <v>1</v>
      </c>
      <c r="I89" s="6">
        <f ca="1">HLOOKUP(D89, materials[], 2,FALSE)</f>
        <v>2</v>
      </c>
      <c r="J89" s="6"/>
      <c r="K89" s="6" t="b">
        <v>1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ht="15.6" customHeight="1" x14ac:dyDescent="0.3">
      <c r="A90" s="35">
        <v>3</v>
      </c>
      <c r="B90" s="3" t="str">
        <f>B89</f>
        <v>وحدة علوية  تلبيسة دلفة /دلفتين قلاب</v>
      </c>
      <c r="C90" s="6">
        <f t="shared" ref="C90:C93" si="4">C89+1</f>
        <v>2</v>
      </c>
      <c r="D90" s="6" t="str">
        <f ca="1">H85</f>
        <v>HPL</v>
      </c>
      <c r="E90" s="6" t="s">
        <v>10</v>
      </c>
      <c r="F90" s="6">
        <f>H81-3.6</f>
        <v>-3.6</v>
      </c>
      <c r="G90" s="6">
        <f ca="1">J81-G81-E84</f>
        <v>30</v>
      </c>
      <c r="H90" s="6">
        <f>1*C79</f>
        <v>1</v>
      </c>
      <c r="I90" s="6">
        <f ca="1">HLOOKUP(D90, materials[], 2,FALSE)</f>
        <v>2</v>
      </c>
      <c r="J90" s="6"/>
      <c r="K90" s="6" t="b">
        <v>1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ht="15.6" customHeight="1" x14ac:dyDescent="0.3">
      <c r="A91" s="35">
        <v>3</v>
      </c>
      <c r="B91" s="3" t="str">
        <f>B89</f>
        <v>وحدة علوية  تلبيسة دلفة /دلفتين قلاب</v>
      </c>
      <c r="C91" s="6">
        <f t="shared" si="4"/>
        <v>3</v>
      </c>
      <c r="D91" s="6" t="str">
        <f ca="1">H85</f>
        <v>HPL</v>
      </c>
      <c r="E91" s="6" t="s">
        <v>11</v>
      </c>
      <c r="F91" s="6">
        <f ca="1">I81</f>
        <v>70</v>
      </c>
      <c r="G91" s="6">
        <f ca="1">J81</f>
        <v>30</v>
      </c>
      <c r="H91" s="6">
        <f>2*C79</f>
        <v>2</v>
      </c>
      <c r="I91" s="6">
        <f ca="1">HLOOKUP(D91, materials[], 2,FALSE)</f>
        <v>2</v>
      </c>
      <c r="J91" s="6"/>
      <c r="K91" s="6" t="b">
        <v>1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5">
        <v>3</v>
      </c>
      <c r="B92" s="3" t="str">
        <f>B89</f>
        <v>وحدة علوية  تلبيسة دلفة /دلفتين قلاب</v>
      </c>
      <c r="C92" s="6">
        <f t="shared" si="4"/>
        <v>4</v>
      </c>
      <c r="D92" s="6" t="str">
        <f ca="1">H85</f>
        <v>HPL</v>
      </c>
      <c r="E92" s="6" t="s">
        <v>51</v>
      </c>
      <c r="F92" s="6">
        <f>H81-3.6</f>
        <v>-3.6</v>
      </c>
      <c r="G92" s="6">
        <f ca="1">J81-6-E84</f>
        <v>24</v>
      </c>
      <c r="H92" s="6">
        <f>E81*C79</f>
        <v>0</v>
      </c>
      <c r="I92" s="6">
        <f ca="1">HLOOKUP(D92, materials[], 2,FALSE)</f>
        <v>2</v>
      </c>
      <c r="J92" s="6"/>
      <c r="K92" s="6" t="b">
        <v>1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x14ac:dyDescent="0.3">
      <c r="A93" s="35">
        <v>3</v>
      </c>
      <c r="B93" s="3" t="str">
        <f>B89</f>
        <v>وحدة علوية  تلبيسة دلفة /دلفتين قلاب</v>
      </c>
      <c r="C93" s="6">
        <f t="shared" si="4"/>
        <v>5</v>
      </c>
      <c r="D93" s="6" t="str">
        <f ca="1">H85</f>
        <v>HPL</v>
      </c>
      <c r="E93" s="6" t="s">
        <v>24</v>
      </c>
      <c r="F93" s="6">
        <f ca="1">I81</f>
        <v>70</v>
      </c>
      <c r="G93" s="6">
        <f>I83</f>
        <v>0</v>
      </c>
      <c r="H93" s="6">
        <f>1*C79</f>
        <v>1</v>
      </c>
      <c r="I93" s="6">
        <f ca="1">HLOOKUP(D93, materials[], 2,FALSE)</f>
        <v>2</v>
      </c>
      <c r="J93" s="6"/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x14ac:dyDescent="0.3">
      <c r="A94" s="35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x14ac:dyDescent="0.3">
      <c r="A95" s="35">
        <v>4</v>
      </c>
      <c r="B95" s="3" t="str">
        <f>B89</f>
        <v>وحدة علوية  تلبيسة دلفة /دلفتين قلاب</v>
      </c>
      <c r="C95" s="9">
        <f>C93+1</f>
        <v>6</v>
      </c>
      <c r="D95" s="9" t="str">
        <f ca="1">F85</f>
        <v>يوفيلاك</v>
      </c>
      <c r="E95" s="9" t="s">
        <v>169</v>
      </c>
      <c r="F95" s="9">
        <f ca="1">(I81/C83)-0.5-F81</f>
        <v>66</v>
      </c>
      <c r="G95" s="9">
        <f>H81-0.5-I83-J83</f>
        <v>-44.5</v>
      </c>
      <c r="H95" s="9">
        <f>C81*C79</f>
        <v>1</v>
      </c>
      <c r="I95" s="9">
        <f ca="1">HLOOKUP(D95, materials[], 2,FALSE)</f>
        <v>6</v>
      </c>
      <c r="J95" s="9"/>
      <c r="K95" s="9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x14ac:dyDescent="0.3">
      <c r="A96" s="35">
        <v>4</v>
      </c>
      <c r="B96" s="3" t="str">
        <f>B89</f>
        <v>وحدة علوية  تلبيسة دلفة /دلفتين قلاب</v>
      </c>
      <c r="C96" s="9">
        <f t="shared" ref="C96" si="5">C95+1</f>
        <v>7</v>
      </c>
      <c r="D96" s="9" t="str">
        <f ca="1">F85</f>
        <v>يوفيلاك</v>
      </c>
      <c r="E96" s="9" t="s">
        <v>25</v>
      </c>
      <c r="F96" s="9">
        <f ca="1">I81</f>
        <v>70</v>
      </c>
      <c r="G96" s="9">
        <f>J83</f>
        <v>44</v>
      </c>
      <c r="H96" s="9">
        <f>1*C79</f>
        <v>1</v>
      </c>
      <c r="I96" s="9">
        <f ca="1">HLOOKUP(D96, materials[], 2,FALSE)</f>
        <v>6</v>
      </c>
      <c r="J96" s="9"/>
      <c r="K96" s="9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5">
        <v>0</v>
      </c>
      <c r="B97"/>
      <c r="C97"/>
      <c r="D97"/>
      <c r="E97"/>
      <c r="F97"/>
      <c r="G97"/>
      <c r="H97"/>
      <c r="I97"/>
      <c r="J97"/>
      <c r="K97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5">
        <v>4</v>
      </c>
      <c r="B98" s="3" t="str">
        <f>B92</f>
        <v>وحدة علوية  تلبيسة دلفة /دلفتين قلاب</v>
      </c>
      <c r="C98" s="9">
        <f>C96+1</f>
        <v>8</v>
      </c>
      <c r="D98" s="9" t="s">
        <v>53</v>
      </c>
      <c r="E98" s="9" t="s">
        <v>71</v>
      </c>
      <c r="F98" s="9">
        <f ca="1">(I81/C83)-0.5</f>
        <v>69.5</v>
      </c>
      <c r="G98" s="9">
        <f>H81-0.7-I83-J83</f>
        <v>-44.7</v>
      </c>
      <c r="H98" s="9">
        <f>C79*D81</f>
        <v>0</v>
      </c>
      <c r="I98" s="9"/>
      <c r="J98" s="9"/>
      <c r="K98" s="9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5">
        <v>0</v>
      </c>
      <c r="B99"/>
      <c r="C99"/>
      <c r="D99"/>
      <c r="E99"/>
      <c r="F99"/>
      <c r="G99"/>
      <c r="H99"/>
      <c r="I99"/>
      <c r="J99"/>
      <c r="K99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5">
        <v>5</v>
      </c>
      <c r="B100" s="3" t="str">
        <f>B89</f>
        <v>وحدة علوية  تلبيسة دلفة /دلفتين قلاب</v>
      </c>
      <c r="C100" s="19">
        <f>C98+1</f>
        <v>9</v>
      </c>
      <c r="D100" s="19" t="str">
        <f ca="1">D85</f>
        <v>ظهر</v>
      </c>
      <c r="E100" s="19" t="s">
        <v>58</v>
      </c>
      <c r="F100" s="19">
        <f ca="1">I81-2</f>
        <v>68</v>
      </c>
      <c r="G100" s="19">
        <f>H81-2</f>
        <v>-2</v>
      </c>
      <c r="H100" s="19">
        <f>1*C79</f>
        <v>1</v>
      </c>
      <c r="I100" s="19">
        <f ca="1">HLOOKUP(D100, materials[], 2,FALSE)</f>
        <v>2</v>
      </c>
      <c r="J100" s="19"/>
      <c r="K100" s="1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5">
        <v>255</v>
      </c>
      <c r="C101" s="1"/>
      <c r="D101" s="1"/>
      <c r="E101" s="1"/>
      <c r="F101" s="1"/>
      <c r="G101" s="1"/>
      <c r="H101" s="1"/>
      <c r="I101" s="1"/>
      <c r="J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5">
        <v>255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ht="36" x14ac:dyDescent="0.3">
      <c r="A103" s="35" t="s">
        <v>157</v>
      </c>
      <c r="C103" s="14">
        <v>1</v>
      </c>
      <c r="D103" s="22" t="s">
        <v>59</v>
      </c>
      <c r="E103" s="101" t="s">
        <v>46</v>
      </c>
      <c r="F103" s="102"/>
      <c r="G103" s="102"/>
      <c r="H103" s="103"/>
      <c r="I103" s="2" t="s">
        <v>30</v>
      </c>
      <c r="J103" s="2">
        <f>letterToNumber(A103)</f>
        <v>5</v>
      </c>
      <c r="K103" s="7">
        <f ca="1">_xlfn.SHEET("وحدات علوية")</f>
        <v>6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ht="31.2" x14ac:dyDescent="0.3">
      <c r="A104" s="35">
        <v>1</v>
      </c>
      <c r="C104" s="7"/>
      <c r="D104" s="7" t="s">
        <v>18</v>
      </c>
      <c r="E104" s="7"/>
      <c r="F104" s="7" t="s">
        <v>16</v>
      </c>
      <c r="G104" s="7" t="s">
        <v>115</v>
      </c>
      <c r="H104" s="7" t="s">
        <v>22</v>
      </c>
      <c r="I104" s="7" t="s">
        <v>3</v>
      </c>
      <c r="J104" s="7" t="s">
        <v>113</v>
      </c>
      <c r="K104" s="7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ht="15.6" x14ac:dyDescent="0.3">
      <c r="A105" s="35">
        <v>1</v>
      </c>
      <c r="C105" s="8"/>
      <c r="D105" s="8">
        <v>2</v>
      </c>
      <c r="E105" s="8"/>
      <c r="F105" s="27" cm="1">
        <f t="array" aca="1" ref="F105" ca="1">defaultValue(F104,K103)</f>
        <v>3.5</v>
      </c>
      <c r="G105" s="27" cm="1">
        <f t="array" aca="1" ref="G105" ca="1">defaultValue(G104,K103)</f>
        <v>0</v>
      </c>
      <c r="H105" s="8"/>
      <c r="I105" s="27" cm="1">
        <f t="array" aca="1" ref="I105" ca="1">defaultValue(I104,K103)</f>
        <v>70</v>
      </c>
      <c r="J105" s="27" cm="1">
        <f t="array" aca="1" ref="J105" ca="1">defaultValue(J104,K103)</f>
        <v>30</v>
      </c>
      <c r="K105" s="7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ht="15.6" x14ac:dyDescent="0.3">
      <c r="A106" s="35">
        <v>1</v>
      </c>
      <c r="C106" s="8"/>
      <c r="D106" s="8"/>
      <c r="E106" s="8"/>
      <c r="F106" s="108" t="b">
        <f ca="1">NOT(AND(F105&gt;0,G105&gt;0))</f>
        <v>1</v>
      </c>
      <c r="G106" s="108"/>
      <c r="H106" s="8">
        <v>60</v>
      </c>
      <c r="I106" s="27" cm="1">
        <f t="array" aca="1" ref="I106" ca="1">defaultValue(I104,K103)</f>
        <v>70</v>
      </c>
      <c r="J106" s="27" cm="1">
        <f t="array" aca="1" ref="J106" ca="1">defaultValue(J104,K103)</f>
        <v>30</v>
      </c>
      <c r="K106" s="7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15.6" x14ac:dyDescent="0.3">
      <c r="A107" s="35">
        <v>1</v>
      </c>
      <c r="C107" s="8"/>
      <c r="D107" s="8"/>
      <c r="E107" s="8"/>
      <c r="F107" s="109" t="str">
        <f ca="1">IF(F106,"المقابض مظبوطة","مينفعش مقبض مخفي مع بيلت ان")</f>
        <v>المقابض مظبوطة</v>
      </c>
      <c r="G107" s="109"/>
      <c r="H107" s="8"/>
      <c r="I107" s="8"/>
      <c r="J107" s="8"/>
      <c r="K107" s="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5">
        <v>1</v>
      </c>
      <c r="C108" s="8"/>
      <c r="D108" s="27" t="str" cm="1">
        <f t="array" aca="1" ref="D108" ca="1">defaultValue(E108,K103)</f>
        <v>ظهر</v>
      </c>
      <c r="E108" s="7" t="s">
        <v>58</v>
      </c>
      <c r="F108" s="27" t="str" cm="1">
        <f t="array" aca="1" ref="F108" ca="1">defaultValue(G108,K103)</f>
        <v>يوفيلاك</v>
      </c>
      <c r="G108" s="7" t="s">
        <v>32</v>
      </c>
      <c r="H108" s="27" t="str" cm="1">
        <f t="array" aca="1" ref="H108" ca="1">defaultValue(I108,K103)</f>
        <v>HPL</v>
      </c>
      <c r="I108" s="7" t="s">
        <v>31</v>
      </c>
      <c r="J108" s="25" t="s">
        <v>111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x14ac:dyDescent="0.3">
      <c r="A109" s="35">
        <v>0</v>
      </c>
      <c r="B109"/>
      <c r="C109"/>
      <c r="D109"/>
      <c r="E109"/>
      <c r="F109"/>
      <c r="G109"/>
      <c r="H109"/>
      <c r="I109"/>
      <c r="J109"/>
      <c r="K109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x14ac:dyDescent="0.3">
      <c r="A110" s="35">
        <v>2</v>
      </c>
      <c r="C110" s="6" t="s">
        <v>4</v>
      </c>
      <c r="D110" s="6" t="s">
        <v>9</v>
      </c>
      <c r="E110" s="6" t="s">
        <v>5</v>
      </c>
      <c r="F110" s="6" t="s">
        <v>7</v>
      </c>
      <c r="G110" s="6" t="s">
        <v>1</v>
      </c>
      <c r="H110" s="6" t="s">
        <v>6</v>
      </c>
      <c r="I110" s="6" t="s">
        <v>33</v>
      </c>
      <c r="J110" s="6" t="s">
        <v>8</v>
      </c>
      <c r="K110" s="6" t="s">
        <v>185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customHeight="1" x14ac:dyDescent="0.3">
      <c r="A111" s="35">
        <v>0</v>
      </c>
      <c r="B111"/>
      <c r="C111"/>
      <c r="D111"/>
      <c r="E111"/>
      <c r="F111"/>
      <c r="G111"/>
      <c r="H111"/>
      <c r="I111"/>
      <c r="J111"/>
      <c r="K11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customHeight="1" x14ac:dyDescent="0.3">
      <c r="A112" s="35">
        <v>3</v>
      </c>
      <c r="B112" s="3" t="str">
        <f>E103</f>
        <v>وحدة علوية  زاوية 90</v>
      </c>
      <c r="C112" s="6">
        <v>1</v>
      </c>
      <c r="D112" s="6" t="str">
        <f ca="1">H108</f>
        <v>HPL</v>
      </c>
      <c r="E112" s="6" t="s">
        <v>49</v>
      </c>
      <c r="F112" s="6">
        <f>H105-1.8</f>
        <v>-1.8</v>
      </c>
      <c r="G112" s="6">
        <f>H106-1.8</f>
        <v>58.2</v>
      </c>
      <c r="H112" s="6">
        <f>1*C103</f>
        <v>1</v>
      </c>
      <c r="I112" s="6">
        <f ca="1">HLOOKUP(D112, materials[], 2,FALSE)</f>
        <v>2</v>
      </c>
      <c r="J112" s="6"/>
      <c r="K112" s="6" t="b">
        <v>1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ht="15.6" customHeight="1" x14ac:dyDescent="0.3">
      <c r="A113" s="35">
        <v>3</v>
      </c>
      <c r="B113" s="3" t="str">
        <f>B112</f>
        <v>وحدة علوية  زاوية 90</v>
      </c>
      <c r="C113" s="6">
        <f>C112+1</f>
        <v>2</v>
      </c>
      <c r="D113" s="6" t="str">
        <f ca="1">H108</f>
        <v>HPL</v>
      </c>
      <c r="E113" s="6" t="s">
        <v>10</v>
      </c>
      <c r="F113" s="6">
        <f>H105-1.8</f>
        <v>-1.8</v>
      </c>
      <c r="G113" s="6">
        <f>H106-1.8</f>
        <v>58.2</v>
      </c>
      <c r="H113" s="6">
        <f>1*C103</f>
        <v>1</v>
      </c>
      <c r="I113" s="6">
        <f ca="1">HLOOKUP(D113, materials[], 2,FALSE)</f>
        <v>2</v>
      </c>
      <c r="J113" s="6"/>
      <c r="K113" s="6" t="b">
        <v>1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ht="15.6" customHeight="1" x14ac:dyDescent="0.3">
      <c r="A114" s="35">
        <v>3</v>
      </c>
      <c r="B114" s="3" t="str">
        <f>B112</f>
        <v>وحدة علوية  زاوية 90</v>
      </c>
      <c r="C114" s="6">
        <f>C113+1</f>
        <v>3</v>
      </c>
      <c r="D114" s="6" t="str">
        <f ca="1">H108</f>
        <v>HPL</v>
      </c>
      <c r="E114" s="6" t="s">
        <v>62</v>
      </c>
      <c r="F114" s="6">
        <f ca="1">I105</f>
        <v>70</v>
      </c>
      <c r="G114" s="6">
        <f ca="1">J105</f>
        <v>30</v>
      </c>
      <c r="H114" s="6">
        <f>1*C103</f>
        <v>1</v>
      </c>
      <c r="I114" s="6">
        <f ca="1">HLOOKUP(D114, materials[], 2,FALSE)</f>
        <v>2</v>
      </c>
      <c r="J114" s="6"/>
      <c r="K114" s="6" t="b">
        <v>1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5">
        <v>3</v>
      </c>
      <c r="B115" s="3" t="str">
        <f>B112</f>
        <v>وحدة علوية  زاوية 90</v>
      </c>
      <c r="C115" s="6">
        <f>C114+1</f>
        <v>4</v>
      </c>
      <c r="D115" s="6" t="str">
        <f ca="1">H108</f>
        <v>HPL</v>
      </c>
      <c r="E115" s="6" t="s">
        <v>63</v>
      </c>
      <c r="F115" s="6">
        <f ca="1">I106</f>
        <v>70</v>
      </c>
      <c r="G115" s="6">
        <f ca="1">J106</f>
        <v>30</v>
      </c>
      <c r="H115" s="6">
        <f>1*C103</f>
        <v>1</v>
      </c>
      <c r="I115" s="6">
        <f ca="1">HLOOKUP(D115, materials[], 2,FALSE)</f>
        <v>2</v>
      </c>
      <c r="J115" s="6"/>
      <c r="K115" s="6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5">
        <v>3</v>
      </c>
      <c r="B116" s="3" t="str">
        <f>B112</f>
        <v>وحدة علوية  زاوية 90</v>
      </c>
      <c r="C116" s="6">
        <f>C115+1</f>
        <v>5</v>
      </c>
      <c r="D116" s="6" t="str">
        <f ca="1">H108</f>
        <v>HPL</v>
      </c>
      <c r="E116" s="6" t="s">
        <v>27</v>
      </c>
      <c r="F116" s="6">
        <f ca="1">I105</f>
        <v>70</v>
      </c>
      <c r="G116" s="6">
        <v>10</v>
      </c>
      <c r="H116" s="6">
        <f>1*C103</f>
        <v>1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x14ac:dyDescent="0.3">
      <c r="A117" s="35">
        <v>3</v>
      </c>
      <c r="B117" s="3" t="str">
        <f>B112</f>
        <v>وحدة علوية  زاوية 90</v>
      </c>
      <c r="C117" s="6">
        <f t="shared" ref="C117" si="6">C116+1</f>
        <v>6</v>
      </c>
      <c r="D117" s="6" t="str">
        <f ca="1">H108</f>
        <v>HPL</v>
      </c>
      <c r="E117" s="6" t="s">
        <v>17</v>
      </c>
      <c r="F117" s="6">
        <f>H105-3.8</f>
        <v>-3.8</v>
      </c>
      <c r="G117" s="6">
        <f>H106-3.8</f>
        <v>56.2</v>
      </c>
      <c r="H117" s="6">
        <f>D105*C103</f>
        <v>2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x14ac:dyDescent="0.3">
      <c r="A118" s="35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x14ac:dyDescent="0.3">
      <c r="A119" s="35">
        <v>4</v>
      </c>
      <c r="B119" s="3" t="str">
        <f>B112</f>
        <v>وحدة علوية  زاوية 90</v>
      </c>
      <c r="C119" s="9">
        <f>C117+1</f>
        <v>7</v>
      </c>
      <c r="D119" s="9" t="str">
        <f ca="1">F108</f>
        <v>يوفيلاك</v>
      </c>
      <c r="E119" s="9" t="s">
        <v>28</v>
      </c>
      <c r="F119" s="9">
        <f ca="1">I105-0.5-F105</f>
        <v>66</v>
      </c>
      <c r="G119" s="9">
        <f ca="1">H105-J105-3</f>
        <v>-33</v>
      </c>
      <c r="H119" s="9">
        <f>1*C103</f>
        <v>1</v>
      </c>
      <c r="I119" s="9">
        <f ca="1">HLOOKUP(D119, materials[], 2,FALSE)</f>
        <v>6</v>
      </c>
      <c r="J119" s="9"/>
      <c r="K119" s="9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x14ac:dyDescent="0.3">
      <c r="A120" s="35">
        <v>4</v>
      </c>
      <c r="B120" s="3" t="str">
        <f>B112</f>
        <v>وحدة علوية  زاوية 90</v>
      </c>
      <c r="C120" s="9">
        <f t="shared" ref="C120" si="7">C119+1</f>
        <v>8</v>
      </c>
      <c r="D120" s="9" t="str">
        <f ca="1">F108</f>
        <v>يوفيلاك</v>
      </c>
      <c r="E120" s="9" t="s">
        <v>41</v>
      </c>
      <c r="F120" s="9">
        <f ca="1">I106-0.5-F105</f>
        <v>66</v>
      </c>
      <c r="G120" s="9">
        <f ca="1">H106-J106-3</f>
        <v>27</v>
      </c>
      <c r="H120" s="9">
        <f>1*C103</f>
        <v>1</v>
      </c>
      <c r="I120" s="9">
        <f ca="1">HLOOKUP(D120, materials[], 2,FALSE)</f>
        <v>6</v>
      </c>
      <c r="J120" s="9"/>
      <c r="K120" s="9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5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5">
        <v>4</v>
      </c>
      <c r="B122" s="3" t="str">
        <f>B116</f>
        <v>وحدة علوية  زاوية 90</v>
      </c>
      <c r="C122" s="9">
        <f>C120+1</f>
        <v>9</v>
      </c>
      <c r="D122" s="9" t="s">
        <v>53</v>
      </c>
      <c r="E122" s="9" t="s">
        <v>71</v>
      </c>
      <c r="F122" s="9">
        <f ca="1">I105-0.5</f>
        <v>69.5</v>
      </c>
      <c r="G122" s="9">
        <f ca="1">H105-J105-3.3</f>
        <v>-33.299999999999997</v>
      </c>
      <c r="H122" s="9">
        <f>C103*1</f>
        <v>1</v>
      </c>
      <c r="I122" s="9"/>
      <c r="J122" s="9"/>
      <c r="K122" s="9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5">
        <v>4</v>
      </c>
      <c r="B123" s="3" t="str">
        <f>B117</f>
        <v>وحدة علوية  زاوية 90</v>
      </c>
      <c r="C123" s="9">
        <f>C122+1</f>
        <v>10</v>
      </c>
      <c r="D123" s="9" t="s">
        <v>53</v>
      </c>
      <c r="E123" s="9" t="s">
        <v>71</v>
      </c>
      <c r="F123" s="9">
        <f ca="1">I106-0.5</f>
        <v>69.5</v>
      </c>
      <c r="G123" s="9">
        <f ca="1">H105-J105-3.3</f>
        <v>-33.299999999999997</v>
      </c>
      <c r="H123" s="9">
        <f>C103*1</f>
        <v>1</v>
      </c>
      <c r="I123" s="9"/>
      <c r="J123" s="9"/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5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5">
        <v>5</v>
      </c>
      <c r="B125" s="3" t="str">
        <f>B112</f>
        <v>وحدة علوية  زاوية 90</v>
      </c>
      <c r="C125" s="19">
        <f>C123+1</f>
        <v>11</v>
      </c>
      <c r="D125" s="19" t="str">
        <f ca="1">D108</f>
        <v>ظهر</v>
      </c>
      <c r="E125" s="19" t="s">
        <v>107</v>
      </c>
      <c r="F125" s="19">
        <f ca="1">I105-2</f>
        <v>68</v>
      </c>
      <c r="G125" s="19">
        <f>H105-1</f>
        <v>-1</v>
      </c>
      <c r="H125" s="19">
        <f>1*C103</f>
        <v>1</v>
      </c>
      <c r="I125" s="19">
        <f ca="1">HLOOKUP(D125, materials[], 2,FALSE)</f>
        <v>2</v>
      </c>
      <c r="J125" s="19"/>
      <c r="K125" s="19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5">
        <v>5</v>
      </c>
      <c r="B126" s="3" t="str">
        <f>B112</f>
        <v>وحدة علوية  زاوية 90</v>
      </c>
      <c r="C126" s="19">
        <f>C125+1</f>
        <v>12</v>
      </c>
      <c r="D126" s="19" t="str">
        <f ca="1">D108</f>
        <v>ظهر</v>
      </c>
      <c r="E126" s="19" t="s">
        <v>108</v>
      </c>
      <c r="F126" s="19">
        <f ca="1">I106-2</f>
        <v>68</v>
      </c>
      <c r="G126" s="19">
        <f>H106-1</f>
        <v>59</v>
      </c>
      <c r="H126" s="19">
        <f>1*C103</f>
        <v>1</v>
      </c>
      <c r="I126" s="19">
        <f ca="1">HLOOKUP(D126, materials[], 2,FALSE)</f>
        <v>2</v>
      </c>
      <c r="J126" s="19"/>
      <c r="K126" s="1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5">
        <v>255</v>
      </c>
      <c r="C127" s="1"/>
      <c r="D127" s="1"/>
      <c r="E127" s="1"/>
      <c r="F127" s="1"/>
      <c r="G127" s="1"/>
      <c r="H127" s="1"/>
      <c r="I127" s="1"/>
      <c r="J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5">
        <v>255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ht="36" x14ac:dyDescent="0.3">
      <c r="A129" s="35" t="s">
        <v>158</v>
      </c>
      <c r="C129" s="14">
        <v>1</v>
      </c>
      <c r="D129" s="22" t="s">
        <v>59</v>
      </c>
      <c r="E129" s="101" t="s">
        <v>47</v>
      </c>
      <c r="F129" s="102"/>
      <c r="G129" s="102"/>
      <c r="H129" s="103"/>
      <c r="I129" s="2" t="s">
        <v>30</v>
      </c>
      <c r="J129" s="2">
        <f>letterToNumber(A129)</f>
        <v>6</v>
      </c>
      <c r="K129" s="7">
        <f ca="1">_xlfn.SHEET("وحدات علوية")</f>
        <v>6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ht="31.2" x14ac:dyDescent="0.3">
      <c r="A130" s="35">
        <v>1</v>
      </c>
      <c r="C130" s="7"/>
      <c r="D130" s="7" t="s">
        <v>18</v>
      </c>
      <c r="E130" s="7"/>
      <c r="F130" s="7" t="s">
        <v>16</v>
      </c>
      <c r="G130" s="7" t="s">
        <v>115</v>
      </c>
      <c r="H130" s="7" t="s">
        <v>22</v>
      </c>
      <c r="I130" s="7" t="s">
        <v>3</v>
      </c>
      <c r="J130" s="7" t="s">
        <v>113</v>
      </c>
      <c r="K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15.6" x14ac:dyDescent="0.3">
      <c r="A131" s="35">
        <v>1</v>
      </c>
      <c r="C131" s="8"/>
      <c r="D131" s="8">
        <v>1</v>
      </c>
      <c r="E131" s="8"/>
      <c r="F131" s="27" cm="1">
        <f t="array" aca="1" ref="F131" ca="1">defaultValue(F130,K129)</f>
        <v>3.5</v>
      </c>
      <c r="G131" s="27" cm="1">
        <f t="array" aca="1" ref="G131" ca="1">defaultValue(G130,K129)</f>
        <v>0</v>
      </c>
      <c r="H131" s="8"/>
      <c r="I131" s="27" cm="1">
        <f t="array" aca="1" ref="I131" ca="1">defaultValue(I130,K129)</f>
        <v>70</v>
      </c>
      <c r="J131" s="27" cm="1">
        <f t="array" aca="1" ref="J131" ca="1">defaultValue(J130,K129)</f>
        <v>30</v>
      </c>
      <c r="K131" s="7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5.6" x14ac:dyDescent="0.3">
      <c r="A132" s="35">
        <v>1</v>
      </c>
      <c r="C132" s="8"/>
      <c r="D132" s="8"/>
      <c r="E132" s="8"/>
      <c r="F132" s="108" t="b">
        <f ca="1">NOT(AND(F131&gt;0,G131&gt;0))</f>
        <v>1</v>
      </c>
      <c r="G132" s="108"/>
      <c r="H132" s="8"/>
      <c r="I132" s="27" cm="1">
        <f t="array" aca="1" ref="I132" ca="1">defaultValue(I130,K129)</f>
        <v>70</v>
      </c>
      <c r="J132" s="27" cm="1">
        <f t="array" aca="1" ref="J132" ca="1">defaultValue(J130,K129)</f>
        <v>30</v>
      </c>
      <c r="K132" s="7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15.6" x14ac:dyDescent="0.3">
      <c r="A133" s="35">
        <v>1</v>
      </c>
      <c r="C133" s="8"/>
      <c r="D133" s="8"/>
      <c r="E133" s="8"/>
      <c r="F133" s="109" t="str">
        <f ca="1">IF(F132,"المقابض مظبوطة","مينفعش مقبض مخفي مع بيلت ان")</f>
        <v>المقابض مظبوطة</v>
      </c>
      <c r="G133" s="109"/>
      <c r="H133" s="8"/>
      <c r="I133" s="8"/>
      <c r="J133" s="8"/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5">
        <v>1</v>
      </c>
      <c r="C134" s="8"/>
      <c r="D134" s="27" t="str" cm="1">
        <f t="array" aca="1" ref="D134" ca="1">defaultValue(E134,K129)</f>
        <v>ظهر</v>
      </c>
      <c r="E134" s="7" t="s">
        <v>58</v>
      </c>
      <c r="F134" s="27" t="str" cm="1">
        <f t="array" aca="1" ref="F134" ca="1">defaultValue(G134,K129)</f>
        <v>يوفيلاك</v>
      </c>
      <c r="G134" s="7" t="s">
        <v>32</v>
      </c>
      <c r="H134" s="27" t="str" cm="1">
        <f t="array" aca="1" ref="H134" ca="1">defaultValue(I134,K129)</f>
        <v>HPL</v>
      </c>
      <c r="I134" s="7" t="s">
        <v>31</v>
      </c>
      <c r="J134" s="25" t="s">
        <v>111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x14ac:dyDescent="0.3">
      <c r="A135" s="35">
        <v>0</v>
      </c>
      <c r="B135"/>
      <c r="C135"/>
      <c r="D135"/>
      <c r="E135"/>
      <c r="F135"/>
      <c r="G135"/>
      <c r="H135"/>
      <c r="I135"/>
      <c r="J135"/>
      <c r="K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x14ac:dyDescent="0.3">
      <c r="A136" s="35">
        <v>2</v>
      </c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33</v>
      </c>
      <c r="J136" s="6" t="s">
        <v>8</v>
      </c>
      <c r="K136" s="6" t="s">
        <v>185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customHeight="1" x14ac:dyDescent="0.3">
      <c r="A137" s="35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customHeight="1" x14ac:dyDescent="0.3">
      <c r="A138" s="35">
        <v>3</v>
      </c>
      <c r="B138" s="3" t="str">
        <f>E129</f>
        <v>وحدة علوية  ركنة 45</v>
      </c>
      <c r="C138" s="6">
        <v>1</v>
      </c>
      <c r="D138" s="6" t="str">
        <f ca="1">H134</f>
        <v>HPL</v>
      </c>
      <c r="E138" s="6" t="s">
        <v>49</v>
      </c>
      <c r="F138" s="6">
        <f>H131-1.8</f>
        <v>-1.8</v>
      </c>
      <c r="G138" s="6">
        <f>H132-1.8</f>
        <v>-1.8</v>
      </c>
      <c r="H138" s="6">
        <f>1*C129</f>
        <v>1</v>
      </c>
      <c r="I138" s="6">
        <f ca="1">HLOOKUP(D138, materials[], 2,FALSE)</f>
        <v>2</v>
      </c>
      <c r="J138" s="6"/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ht="15.6" customHeight="1" x14ac:dyDescent="0.3">
      <c r="A139" s="35">
        <v>3</v>
      </c>
      <c r="B139" s="3" t="str">
        <f>B138</f>
        <v>وحدة علوية  ركنة 45</v>
      </c>
      <c r="C139" s="6">
        <f>C138+1</f>
        <v>2</v>
      </c>
      <c r="D139" s="6" t="str">
        <f ca="1">H134</f>
        <v>HPL</v>
      </c>
      <c r="E139" s="6" t="s">
        <v>10</v>
      </c>
      <c r="F139" s="6">
        <f>H131-1.8</f>
        <v>-1.8</v>
      </c>
      <c r="G139" s="6">
        <f>H132-1.8</f>
        <v>-1.8</v>
      </c>
      <c r="H139" s="6">
        <f>1*C129</f>
        <v>1</v>
      </c>
      <c r="I139" s="6">
        <f ca="1">HLOOKUP(D139, materials[], 2,FALSE)</f>
        <v>2</v>
      </c>
      <c r="J139" s="6"/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ht="15.6" customHeight="1" x14ac:dyDescent="0.3">
      <c r="A140" s="35">
        <v>3</v>
      </c>
      <c r="B140" s="3" t="str">
        <f>B138</f>
        <v>وحدة علوية  ركنة 45</v>
      </c>
      <c r="C140" s="6">
        <f>C139+1</f>
        <v>3</v>
      </c>
      <c r="D140" s="6" t="str">
        <f ca="1">H134</f>
        <v>HPL</v>
      </c>
      <c r="E140" s="6" t="s">
        <v>62</v>
      </c>
      <c r="F140" s="6">
        <f ca="1">I131</f>
        <v>70</v>
      </c>
      <c r="G140" s="6">
        <f ca="1">J131</f>
        <v>30</v>
      </c>
      <c r="H140" s="6">
        <f>1*C129</f>
        <v>1</v>
      </c>
      <c r="I140" s="6">
        <f ca="1">HLOOKUP(D140, materials[], 2,FALSE)</f>
        <v>2</v>
      </c>
      <c r="J140" s="6"/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5">
        <v>3</v>
      </c>
      <c r="B141" s="3" t="str">
        <f>B138</f>
        <v>وحدة علوية  ركنة 45</v>
      </c>
      <c r="C141" s="6">
        <f>C140+1</f>
        <v>4</v>
      </c>
      <c r="D141" s="6" t="str">
        <f ca="1">H134</f>
        <v>HPL</v>
      </c>
      <c r="E141" s="6" t="s">
        <v>63</v>
      </c>
      <c r="F141" s="6">
        <f ca="1">I132</f>
        <v>70</v>
      </c>
      <c r="G141" s="6">
        <f ca="1">J132</f>
        <v>30</v>
      </c>
      <c r="H141" s="6">
        <f>1*C129</f>
        <v>1</v>
      </c>
      <c r="I141" s="6">
        <f ca="1">HLOOKUP(D141, materials[], 2,FALSE)</f>
        <v>2</v>
      </c>
      <c r="J141" s="6"/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5">
        <v>3</v>
      </c>
      <c r="B142" s="3" t="str">
        <f>B138</f>
        <v>وحدة علوية  ركنة 45</v>
      </c>
      <c r="C142" s="6">
        <f>C141+1</f>
        <v>5</v>
      </c>
      <c r="D142" s="6" t="str">
        <f ca="1">H134</f>
        <v>HPL</v>
      </c>
      <c r="E142" s="6" t="s">
        <v>27</v>
      </c>
      <c r="F142" s="6">
        <f ca="1">I131</f>
        <v>70</v>
      </c>
      <c r="G142" s="6">
        <v>10</v>
      </c>
      <c r="H142" s="6">
        <f>1*C129</f>
        <v>1</v>
      </c>
      <c r="I142" s="6">
        <f ca="1">HLOOKUP(D142, materials[], 2,FALSE)</f>
        <v>2</v>
      </c>
      <c r="J142" s="6"/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x14ac:dyDescent="0.3">
      <c r="A143" s="35">
        <v>3</v>
      </c>
      <c r="B143" s="3" t="str">
        <f>B138</f>
        <v>وحدة علوية  ركنة 45</v>
      </c>
      <c r="C143" s="6">
        <f t="shared" ref="C143" si="8">C142+1</f>
        <v>6</v>
      </c>
      <c r="D143" s="6" t="str">
        <f ca="1">H134</f>
        <v>HPL</v>
      </c>
      <c r="E143" s="6" t="s">
        <v>17</v>
      </c>
      <c r="F143" s="6">
        <f>H131-3.8</f>
        <v>-3.8</v>
      </c>
      <c r="G143" s="6">
        <f>H132-3.8</f>
        <v>-3.8</v>
      </c>
      <c r="H143" s="6">
        <f>D131*C129</f>
        <v>1</v>
      </c>
      <c r="I143" s="6">
        <f ca="1">HLOOKUP(D143, materials[], 2,FALSE)</f>
        <v>2</v>
      </c>
      <c r="J143" s="6"/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x14ac:dyDescent="0.3">
      <c r="A144" s="35">
        <v>0</v>
      </c>
      <c r="B144"/>
      <c r="C144"/>
      <c r="D144"/>
      <c r="E144"/>
      <c r="F144"/>
      <c r="G144"/>
      <c r="H144"/>
      <c r="I144"/>
      <c r="J144"/>
      <c r="K144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x14ac:dyDescent="0.3">
      <c r="A145" s="35">
        <v>4</v>
      </c>
      <c r="B145" s="3" t="str">
        <f>B138</f>
        <v>وحدة علوية  ركنة 45</v>
      </c>
      <c r="C145" s="9">
        <f>C143+1</f>
        <v>7</v>
      </c>
      <c r="D145" s="9" t="str">
        <f ca="1">F134</f>
        <v>يوفيلاك</v>
      </c>
      <c r="E145" s="9" t="s">
        <v>28</v>
      </c>
      <c r="F145" s="9">
        <f ca="1">I131-0.5-F131</f>
        <v>66</v>
      </c>
      <c r="G145" s="17">
        <f ca="1">(SQRT((H131-J131)^2+(H132-J132)^2))-2</f>
        <v>40.426406871192853</v>
      </c>
      <c r="H145" s="9">
        <f>1*C129</f>
        <v>1</v>
      </c>
      <c r="I145" s="9">
        <f ca="1">HLOOKUP(D145, materials[], 2,FALSE)</f>
        <v>6</v>
      </c>
      <c r="J145" s="9"/>
      <c r="K145" s="9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x14ac:dyDescent="0.3">
      <c r="A146" s="35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5">
        <v>5</v>
      </c>
      <c r="B147" s="3" t="str">
        <f>B138</f>
        <v>وحدة علوية  ركنة 45</v>
      </c>
      <c r="C147" s="19">
        <f>C145+1</f>
        <v>8</v>
      </c>
      <c r="D147" s="19" t="str">
        <f ca="1">D134</f>
        <v>ظهر</v>
      </c>
      <c r="E147" s="19" t="s">
        <v>58</v>
      </c>
      <c r="F147" s="19">
        <f ca="1">I131-2</f>
        <v>68</v>
      </c>
      <c r="G147" s="19">
        <f>H131-1</f>
        <v>-1</v>
      </c>
      <c r="H147" s="19">
        <f>1*C129</f>
        <v>1</v>
      </c>
      <c r="I147" s="19">
        <f ca="1">HLOOKUP(D147, materials[], 2,FALSE)</f>
        <v>2</v>
      </c>
      <c r="J147" s="19"/>
      <c r="K147" s="19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5">
        <v>255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5">
        <v>255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ht="36" x14ac:dyDescent="0.3">
      <c r="A150" s="35" t="s">
        <v>159</v>
      </c>
      <c r="C150" s="14">
        <v>1</v>
      </c>
      <c r="D150" s="22" t="s">
        <v>59</v>
      </c>
      <c r="E150" s="101" t="s">
        <v>109</v>
      </c>
      <c r="F150" s="102"/>
      <c r="G150" s="102"/>
      <c r="H150" s="103"/>
      <c r="I150" s="2" t="s">
        <v>30</v>
      </c>
      <c r="J150" s="2">
        <f>letterToNumber(A150)</f>
        <v>7</v>
      </c>
      <c r="K150" s="7">
        <f ca="1">_xlfn.SHEET("وحدات علوية")</f>
        <v>6</v>
      </c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ht="31.2" x14ac:dyDescent="0.3">
      <c r="A151" s="35">
        <v>1</v>
      </c>
      <c r="C151" s="7" t="s">
        <v>54</v>
      </c>
      <c r="D151" s="7" t="s">
        <v>55</v>
      </c>
      <c r="E151" s="18" t="s">
        <v>18</v>
      </c>
      <c r="F151" s="7" t="s">
        <v>16</v>
      </c>
      <c r="G151" s="7" t="s">
        <v>115</v>
      </c>
      <c r="H151" s="7" t="s">
        <v>22</v>
      </c>
      <c r="I151" s="7" t="s">
        <v>3</v>
      </c>
      <c r="J151" s="7" t="s">
        <v>113</v>
      </c>
      <c r="K151" s="7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ht="15.6" x14ac:dyDescent="0.3">
      <c r="A152" s="35">
        <v>1</v>
      </c>
      <c r="C152" s="8">
        <v>1</v>
      </c>
      <c r="D152" s="8">
        <v>0</v>
      </c>
      <c r="E152" s="8">
        <v>2</v>
      </c>
      <c r="F152" s="27" cm="1">
        <f t="array" aca="1" ref="F152" ca="1">defaultValue(F151,K150)</f>
        <v>3.5</v>
      </c>
      <c r="G152" s="27" cm="1">
        <f t="array" aca="1" ref="G152" ca="1">defaultValue(G151,K150)</f>
        <v>0</v>
      </c>
      <c r="H152" s="8"/>
      <c r="I152" s="27" cm="1">
        <f t="array" aca="1" ref="I152" ca="1">defaultValue(I151,K150)</f>
        <v>70</v>
      </c>
      <c r="J152" s="27" cm="1">
        <f t="array" aca="1" ref="J152" ca="1">defaultValue(J151,K150)</f>
        <v>30</v>
      </c>
      <c r="K152" s="7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ht="15.6" x14ac:dyDescent="0.3">
      <c r="A153" s="35">
        <v>1</v>
      </c>
      <c r="C153" s="9" t="b">
        <f>C152=0</f>
        <v>0</v>
      </c>
      <c r="D153" s="9" t="b">
        <f>D152=0</f>
        <v>1</v>
      </c>
      <c r="E153" s="7" t="s">
        <v>106</v>
      </c>
      <c r="F153" s="6" t="b">
        <f ca="1">NOT(AND(F152&gt;0,G152&gt;0))</f>
        <v>1</v>
      </c>
      <c r="G153" s="8"/>
      <c r="H153" s="6" t="b">
        <f>_xlfn.XOR(H152&lt;=50,C154=2)</f>
        <v>1</v>
      </c>
      <c r="I153" s="46"/>
      <c r="J153" s="7" t="s">
        <v>110</v>
      </c>
      <c r="K153" s="7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28.8" x14ac:dyDescent="0.3">
      <c r="A154" s="35">
        <v>1</v>
      </c>
      <c r="C154" s="112">
        <f>C152+D152</f>
        <v>1</v>
      </c>
      <c r="D154" s="113"/>
      <c r="E154" s="7">
        <v>0</v>
      </c>
      <c r="F154" s="6" t="str">
        <f ca="1">IF(F153,"المقابض مظبوطة","مينفعش مقبض مخفي مع بيلت ان")</f>
        <v>المقابض مظبوطة</v>
      </c>
      <c r="G154" s="8"/>
      <c r="H154" s="6" t="str">
        <f>IF(H153,"عدد الدلف صحيح","عدد الدلف غير صحيح")</f>
        <v>عدد الدلف صحيح</v>
      </c>
      <c r="I154" s="8"/>
      <c r="J154" s="8">
        <v>32</v>
      </c>
      <c r="K154" s="7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15.6" x14ac:dyDescent="0.3">
      <c r="A155" s="35">
        <v>1</v>
      </c>
      <c r="C155" s="110" t="b">
        <f>C154&lt;=2</f>
        <v>1</v>
      </c>
      <c r="D155" s="114"/>
      <c r="E155" s="8"/>
      <c r="F155" s="8"/>
      <c r="G155" s="8"/>
      <c r="H155" s="8"/>
      <c r="I155" s="8"/>
      <c r="J155" s="8"/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5">
        <v>1</v>
      </c>
      <c r="C156" s="8"/>
      <c r="D156" s="27" t="str" cm="1">
        <f t="array" aca="1" ref="D156" ca="1">defaultValue(E156,K150)</f>
        <v>ظهر</v>
      </c>
      <c r="E156" s="7" t="s">
        <v>58</v>
      </c>
      <c r="F156" s="27" t="str" cm="1">
        <f t="array" aca="1" ref="F156" ca="1">defaultValue(G156,K150)</f>
        <v>يوفيلاك</v>
      </c>
      <c r="G156" s="7" t="s">
        <v>32</v>
      </c>
      <c r="H156" s="27" t="str" cm="1">
        <f t="array" aca="1" ref="H156" ca="1">defaultValue(I156,K150)</f>
        <v>HPL</v>
      </c>
      <c r="I156" s="7" t="s">
        <v>31</v>
      </c>
      <c r="J156" s="25" t="s">
        <v>111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x14ac:dyDescent="0.3">
      <c r="A157" s="35">
        <v>0</v>
      </c>
      <c r="B157"/>
      <c r="C157"/>
      <c r="D157"/>
      <c r="E157"/>
      <c r="F157"/>
      <c r="G157"/>
      <c r="H157"/>
      <c r="I157"/>
      <c r="J157"/>
      <c r="K15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x14ac:dyDescent="0.3">
      <c r="A158" s="35">
        <v>2</v>
      </c>
      <c r="C158" s="6" t="s">
        <v>4</v>
      </c>
      <c r="D158" s="6" t="s">
        <v>9</v>
      </c>
      <c r="E158" s="6" t="s">
        <v>5</v>
      </c>
      <c r="F158" s="6" t="s">
        <v>7</v>
      </c>
      <c r="G158" s="6" t="s">
        <v>1</v>
      </c>
      <c r="H158" s="6" t="s">
        <v>6</v>
      </c>
      <c r="I158" s="6" t="s">
        <v>33</v>
      </c>
      <c r="J158" s="6" t="s">
        <v>8</v>
      </c>
      <c r="K158" s="6" t="s">
        <v>185</v>
      </c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x14ac:dyDescent="0.3">
      <c r="A159" s="35">
        <v>0</v>
      </c>
      <c r="B159"/>
      <c r="C159"/>
      <c r="D159"/>
      <c r="E159"/>
      <c r="F159"/>
      <c r="G159"/>
      <c r="H159"/>
      <c r="I159"/>
      <c r="J159"/>
      <c r="K159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x14ac:dyDescent="0.3">
      <c r="A160" s="35">
        <v>3</v>
      </c>
      <c r="B160" s="3" t="str">
        <f>E150</f>
        <v xml:space="preserve">وحدة علوية ميكروويف دلفة /دلفتين </v>
      </c>
      <c r="C160" s="6">
        <v>1</v>
      </c>
      <c r="D160" s="6" t="str">
        <f ca="1">H156</f>
        <v>HPL</v>
      </c>
      <c r="E160" s="6" t="s">
        <v>49</v>
      </c>
      <c r="F160" s="6">
        <f>H152-3.6</f>
        <v>-3.6</v>
      </c>
      <c r="G160" s="6">
        <f ca="1">J152-E154</f>
        <v>30</v>
      </c>
      <c r="H160" s="6">
        <f>1*C150</f>
        <v>1</v>
      </c>
      <c r="I160" s="6">
        <f ca="1">HLOOKUP(D160, materials[], 2,FALSE)</f>
        <v>2</v>
      </c>
      <c r="J160" s="6"/>
      <c r="K160" s="6" t="b">
        <v>1</v>
      </c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5">
        <v>3</v>
      </c>
      <c r="B161" s="3" t="str">
        <f>B160</f>
        <v xml:space="preserve">وحدة علوية ميكروويف دلفة /دلفتين </v>
      </c>
      <c r="C161" s="6">
        <f>C160+1</f>
        <v>2</v>
      </c>
      <c r="D161" s="6" t="str">
        <f ca="1">H156</f>
        <v>HPL</v>
      </c>
      <c r="E161" s="6" t="s">
        <v>10</v>
      </c>
      <c r="F161" s="6">
        <f>H152-3.6</f>
        <v>-3.6</v>
      </c>
      <c r="G161" s="6">
        <f ca="1">40-G152-E154</f>
        <v>40</v>
      </c>
      <c r="H161" s="6">
        <f>1*C150</f>
        <v>1</v>
      </c>
      <c r="I161" s="6">
        <f ca="1">HLOOKUP(D161, materials[], 2,FALSE)</f>
        <v>2</v>
      </c>
      <c r="J161" s="6"/>
      <c r="K161" s="6" t="b">
        <v>1</v>
      </c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5">
        <v>3</v>
      </c>
      <c r="B162" s="3" t="str">
        <f>B160</f>
        <v xml:space="preserve">وحدة علوية ميكروويف دلفة /دلفتين </v>
      </c>
      <c r="C162" s="6">
        <f t="shared" ref="C162:C164" si="9">C161+1</f>
        <v>3</v>
      </c>
      <c r="D162" s="6" t="str">
        <f ca="1">H156</f>
        <v>HPL</v>
      </c>
      <c r="E162" s="6" t="s">
        <v>11</v>
      </c>
      <c r="F162" s="6">
        <f ca="1">I152</f>
        <v>70</v>
      </c>
      <c r="G162" s="6">
        <f ca="1">J152</f>
        <v>30</v>
      </c>
      <c r="H162" s="6">
        <f>2*C150</f>
        <v>2</v>
      </c>
      <c r="I162" s="6">
        <f ca="1">HLOOKUP(D162, materials[], 2,FALSE)</f>
        <v>2</v>
      </c>
      <c r="J162" s="6"/>
      <c r="K162" s="6" t="b">
        <v>1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5">
        <v>3</v>
      </c>
      <c r="B163" s="3" t="str">
        <f>B160</f>
        <v xml:space="preserve">وحدة علوية ميكروويف دلفة /دلفتين </v>
      </c>
      <c r="C163" s="6">
        <f t="shared" si="9"/>
        <v>4</v>
      </c>
      <c r="D163" s="6" t="str">
        <f ca="1">H156</f>
        <v>HPL</v>
      </c>
      <c r="E163" s="6" t="s">
        <v>17</v>
      </c>
      <c r="F163" s="6">
        <f>H152-3.8</f>
        <v>-3.8</v>
      </c>
      <c r="G163" s="6">
        <f ca="1">J152-5-E154</f>
        <v>25</v>
      </c>
      <c r="H163" s="6">
        <f>E152*C150</f>
        <v>2</v>
      </c>
      <c r="I163" s="6">
        <f ca="1">HLOOKUP(D163, materials[], 2,FALSE)</f>
        <v>2</v>
      </c>
      <c r="J163" s="6"/>
      <c r="K163" s="6" t="b">
        <v>1</v>
      </c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5">
        <v>3</v>
      </c>
      <c r="B164" s="3" t="str">
        <f>B160</f>
        <v xml:space="preserve">وحدة علوية ميكروويف دلفة /دلفتين </v>
      </c>
      <c r="C164" s="6">
        <f t="shared" si="9"/>
        <v>5</v>
      </c>
      <c r="D164" s="6" t="str">
        <f ca="1">H156</f>
        <v>HPL</v>
      </c>
      <c r="E164" s="6" t="s">
        <v>51</v>
      </c>
      <c r="F164" s="6">
        <f>H152-3.6</f>
        <v>-3.6</v>
      </c>
      <c r="G164" s="6">
        <f ca="1">J152-G152-E154</f>
        <v>30</v>
      </c>
      <c r="H164" s="6">
        <f>1*C150</f>
        <v>1</v>
      </c>
      <c r="I164" s="6">
        <f ca="1">HLOOKUP(D164, materials[], 2,FALSE)</f>
        <v>2</v>
      </c>
      <c r="J164" s="6"/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5">
        <v>0</v>
      </c>
      <c r="B165"/>
      <c r="C165"/>
      <c r="D165"/>
      <c r="E165"/>
      <c r="F165"/>
      <c r="G165"/>
      <c r="H165"/>
      <c r="I165"/>
      <c r="J165"/>
      <c r="K165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5">
        <v>4</v>
      </c>
      <c r="B166" s="3" t="str">
        <f>B160</f>
        <v xml:space="preserve">وحدة علوية ميكروويف دلفة /دلفتين </v>
      </c>
      <c r="C166" s="9">
        <f>C164+1</f>
        <v>6</v>
      </c>
      <c r="D166" s="9" t="str">
        <f ca="1">F156</f>
        <v>يوفيلاك</v>
      </c>
      <c r="E166" s="9" t="s">
        <v>52</v>
      </c>
      <c r="F166" s="9">
        <f ca="1">IF(C153,"",I152-0.5-F152-J154)</f>
        <v>34</v>
      </c>
      <c r="G166" s="9">
        <f>IF(C153,"",(H152/C154)-0.5)</f>
        <v>-0.5</v>
      </c>
      <c r="H166" s="9">
        <f>C152*C150</f>
        <v>1</v>
      </c>
      <c r="I166" s="9">
        <f ca="1">HLOOKUP(D166, materials[], 2,FALSE)</f>
        <v>6</v>
      </c>
      <c r="J166" s="9"/>
      <c r="K166" s="9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5">
        <v>4</v>
      </c>
      <c r="B167" s="3" t="str">
        <f>B160</f>
        <v xml:space="preserve">وحدة علوية ميكروويف دلفة /دلفتين </v>
      </c>
      <c r="C167" s="9">
        <f>C166+1</f>
        <v>7</v>
      </c>
      <c r="D167" s="9" t="s">
        <v>53</v>
      </c>
      <c r="E167" s="9" t="s">
        <v>71</v>
      </c>
      <c r="F167" s="9">
        <f ca="1">I152-0.5-J154</f>
        <v>37.5</v>
      </c>
      <c r="G167" s="9">
        <f>(H152/C154)-0.7</f>
        <v>-0.7</v>
      </c>
      <c r="H167" s="9">
        <f>C150*D152</f>
        <v>0</v>
      </c>
      <c r="I167" s="9"/>
      <c r="J167" s="9"/>
      <c r="K167" s="9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5">
        <v>0</v>
      </c>
      <c r="B168"/>
      <c r="C168"/>
      <c r="D168"/>
      <c r="E168"/>
      <c r="F168"/>
      <c r="G168"/>
      <c r="H168"/>
      <c r="I168"/>
      <c r="J168"/>
      <c r="K168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5">
        <v>5</v>
      </c>
      <c r="B169" s="3" t="str">
        <f>B160</f>
        <v xml:space="preserve">وحدة علوية ميكروويف دلفة /دلفتين </v>
      </c>
      <c r="C169" s="19">
        <f>C167+1</f>
        <v>8</v>
      </c>
      <c r="D169" s="19" t="str">
        <f ca="1">D156</f>
        <v>ظهر</v>
      </c>
      <c r="E169" s="19" t="s">
        <v>58</v>
      </c>
      <c r="F169" s="19">
        <f ca="1">I152-2</f>
        <v>68</v>
      </c>
      <c r="G169" s="19">
        <f>H152-2</f>
        <v>-2</v>
      </c>
      <c r="H169" s="19">
        <f>1*C150</f>
        <v>1</v>
      </c>
      <c r="I169" s="19">
        <f ca="1">HLOOKUP(D169, materials[], 2,FALSE)</f>
        <v>2</v>
      </c>
      <c r="J169" s="19"/>
      <c r="K169" s="19" t="b">
        <v>1</v>
      </c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5">
        <v>255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5">
        <v>255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</sheetData>
  <mergeCells count="31">
    <mergeCell ref="C2:J2"/>
    <mergeCell ref="C154:D154"/>
    <mergeCell ref="C155:D155"/>
    <mergeCell ref="C17:D17"/>
    <mergeCell ref="F16:G16"/>
    <mergeCell ref="F17:G17"/>
    <mergeCell ref="H17:J17"/>
    <mergeCell ref="C18:D18"/>
    <mergeCell ref="E13:H13"/>
    <mergeCell ref="E34:H34"/>
    <mergeCell ref="E55:H55"/>
    <mergeCell ref="F37:G37"/>
    <mergeCell ref="F38:G38"/>
    <mergeCell ref="F58:G58"/>
    <mergeCell ref="C59:D59"/>
    <mergeCell ref="F59:G59"/>
    <mergeCell ref="E150:H150"/>
    <mergeCell ref="C38:D38"/>
    <mergeCell ref="C39:D39"/>
    <mergeCell ref="C60:D60"/>
    <mergeCell ref="E103:H103"/>
    <mergeCell ref="F106:G106"/>
    <mergeCell ref="F107:G107"/>
    <mergeCell ref="E129:H129"/>
    <mergeCell ref="F132:G132"/>
    <mergeCell ref="F133:G133"/>
    <mergeCell ref="E79:H79"/>
    <mergeCell ref="F82:G82"/>
    <mergeCell ref="C83:D83"/>
    <mergeCell ref="F83:G83"/>
    <mergeCell ref="C84:D84"/>
  </mergeCells>
  <conditionalFormatting sqref="C18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5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58:F58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16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06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2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3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16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3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58 C60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37 I37 C39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2:F82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2 C84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373380</xdr:colOff>
                    <xdr:row>4</xdr:row>
                    <xdr:rowOff>106680</xdr:rowOff>
                  </from>
                  <to>
                    <xdr:col>11</xdr:col>
                    <xdr:colOff>259080</xdr:colOff>
                    <xdr:row>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274320</xdr:colOff>
                    <xdr:row>4</xdr:row>
                    <xdr:rowOff>121920</xdr:rowOff>
                  </from>
                  <to>
                    <xdr:col>4</xdr:col>
                    <xdr:colOff>960120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1097280</xdr:colOff>
                    <xdr:row>4</xdr:row>
                    <xdr:rowOff>121920</xdr:rowOff>
                  </from>
                  <to>
                    <xdr:col>8</xdr:col>
                    <xdr:colOff>60960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modifyBlock">
                <anchor moveWithCells="1" sizeWithCells="1">
                  <from>
                    <xdr:col>12</xdr:col>
                    <xdr:colOff>53340</xdr:colOff>
                    <xdr:row>4</xdr:row>
                    <xdr:rowOff>129540</xdr:rowOff>
                  </from>
                  <to>
                    <xdr:col>14</xdr:col>
                    <xdr:colOff>640080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3"/>
  <sheetViews>
    <sheetView topLeftCell="B1" zoomScale="70" zoomScaleNormal="70" workbookViewId="0">
      <selection activeCell="N11" sqref="N11"/>
    </sheetView>
  </sheetViews>
  <sheetFormatPr defaultRowHeight="14.4" x14ac:dyDescent="0.3"/>
  <cols>
    <col min="1" max="1" width="7.77734375" style="35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35" customFormat="1" x14ac:dyDescent="0.3">
      <c r="A1" s="35">
        <v>40</v>
      </c>
      <c r="B1" s="55">
        <v>2</v>
      </c>
    </row>
    <row r="2" spans="1:23" s="35" customFormat="1" ht="31.2" x14ac:dyDescent="0.3">
      <c r="A2" s="35">
        <v>91</v>
      </c>
      <c r="B2" s="50" t="s">
        <v>124</v>
      </c>
      <c r="C2" s="106" t="s">
        <v>64</v>
      </c>
      <c r="D2" s="106"/>
      <c r="E2" s="106"/>
      <c r="F2" s="106"/>
      <c r="G2" s="106"/>
      <c r="H2" s="106"/>
      <c r="I2" s="106"/>
      <c r="J2" s="106"/>
    </row>
    <row r="3" spans="1:23" s="35" customFormat="1" x14ac:dyDescent="0.3">
      <c r="B3" s="55" t="s">
        <v>177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R3" s="34"/>
      <c r="S3" s="34"/>
      <c r="T3" s="34"/>
      <c r="U3" s="34"/>
      <c r="V3" s="40"/>
      <c r="W3" s="40"/>
    </row>
    <row r="4" spans="1:23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R4" s="34"/>
      <c r="S4" s="34"/>
      <c r="T4" s="34"/>
      <c r="U4" s="34"/>
      <c r="V4" s="34"/>
      <c r="W4" s="34"/>
    </row>
    <row r="5" spans="1:23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</row>
    <row r="6" spans="1:23" s="35" customFormat="1" x14ac:dyDescent="0.3">
      <c r="B6" s="55"/>
    </row>
    <row r="7" spans="1:23" s="35" customFormat="1" ht="18" x14ac:dyDescent="0.3">
      <c r="B7" s="55"/>
      <c r="C7" s="37"/>
      <c r="D7" s="37"/>
      <c r="E7" s="45"/>
      <c r="F7" s="45"/>
      <c r="G7" s="45"/>
      <c r="H7" s="45"/>
      <c r="I7" s="45"/>
      <c r="J7" s="45"/>
      <c r="K7" s="37"/>
      <c r="L7" s="37"/>
      <c r="M7" s="37"/>
      <c r="N7" s="37"/>
    </row>
    <row r="8" spans="1:23" s="38" customFormat="1" ht="18" x14ac:dyDescent="0.3">
      <c r="A8" s="35"/>
      <c r="B8" s="5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</row>
    <row r="9" spans="1:23" customFormat="1" x14ac:dyDescent="0.3">
      <c r="A9" s="35"/>
    </row>
    <row r="10" spans="1:23" customFormat="1" x14ac:dyDescent="0.3">
      <c r="A10" s="35"/>
    </row>
    <row r="13" spans="1:23" s="4" customFormat="1" ht="36" x14ac:dyDescent="0.3">
      <c r="A13" s="35" t="s">
        <v>155</v>
      </c>
      <c r="B13" s="3"/>
      <c r="C13" s="14">
        <v>1</v>
      </c>
      <c r="D13" s="22" t="s">
        <v>59</v>
      </c>
      <c r="E13" s="118" t="s">
        <v>65</v>
      </c>
      <c r="F13" s="118"/>
      <c r="G13" s="118"/>
      <c r="H13" s="118"/>
      <c r="I13" s="2" t="s">
        <v>30</v>
      </c>
      <c r="J13" s="2">
        <f>letterToNumber(A13)</f>
        <v>1</v>
      </c>
      <c r="K13" s="7">
        <f ca="1">_xlfn.SHEET("دواليب")</f>
        <v>7</v>
      </c>
    </row>
    <row r="14" spans="1:23" ht="31.2" x14ac:dyDescent="0.3">
      <c r="A14" s="35">
        <v>1</v>
      </c>
      <c r="C14" s="18"/>
      <c r="D14" s="18"/>
      <c r="E14" s="18" t="s">
        <v>18</v>
      </c>
      <c r="F14" s="7" t="s">
        <v>51</v>
      </c>
      <c r="G14" s="7" t="s">
        <v>16</v>
      </c>
      <c r="H14" s="7" t="s">
        <v>22</v>
      </c>
      <c r="I14" s="7" t="s">
        <v>3</v>
      </c>
      <c r="J14" s="7" t="s">
        <v>2</v>
      </c>
      <c r="K14" s="7"/>
    </row>
    <row r="15" spans="1:23" ht="15.6" x14ac:dyDescent="0.3">
      <c r="A15" s="35">
        <v>1</v>
      </c>
      <c r="C15" s="18"/>
      <c r="D15" s="18"/>
      <c r="E15" s="8">
        <v>2</v>
      </c>
      <c r="F15" s="8">
        <v>1</v>
      </c>
      <c r="G15" s="8">
        <v>3.5</v>
      </c>
      <c r="H15" s="8"/>
      <c r="I15" s="8">
        <v>210</v>
      </c>
      <c r="J15" s="8">
        <v>56</v>
      </c>
      <c r="K15" s="7"/>
    </row>
    <row r="16" spans="1:23" ht="15.6" x14ac:dyDescent="0.3">
      <c r="A16" s="35">
        <v>1</v>
      </c>
      <c r="C16" s="8"/>
      <c r="D16" s="8"/>
      <c r="E16" s="8"/>
      <c r="F16" s="8"/>
      <c r="G16" s="7" t="s">
        <v>54</v>
      </c>
      <c r="H16" s="7" t="s">
        <v>55</v>
      </c>
      <c r="I16" s="8"/>
      <c r="J16" s="8"/>
      <c r="K16" s="7"/>
    </row>
    <row r="17" spans="1:13" ht="15.6" x14ac:dyDescent="0.3">
      <c r="A17" s="35">
        <v>1</v>
      </c>
      <c r="C17" s="8"/>
      <c r="D17" s="8"/>
      <c r="E17" s="8"/>
      <c r="F17" s="8"/>
      <c r="G17" s="8">
        <v>1</v>
      </c>
      <c r="H17" s="8">
        <v>1</v>
      </c>
      <c r="I17" s="8">
        <v>140</v>
      </c>
      <c r="J17" s="8" t="s">
        <v>69</v>
      </c>
      <c r="K17" s="7"/>
    </row>
    <row r="18" spans="1:13" ht="25.8" customHeight="1" x14ac:dyDescent="0.3">
      <c r="A18" s="35">
        <v>1</v>
      </c>
      <c r="C18" s="9" t="b">
        <f>G17=0</f>
        <v>0</v>
      </c>
      <c r="D18" s="9" t="b">
        <f>H17=0</f>
        <v>0</v>
      </c>
      <c r="E18" s="8"/>
      <c r="F18" s="46"/>
      <c r="G18" s="8">
        <v>1</v>
      </c>
      <c r="H18" s="8">
        <v>1</v>
      </c>
      <c r="I18" s="8">
        <v>70</v>
      </c>
      <c r="J18" s="8" t="s">
        <v>70</v>
      </c>
      <c r="K18" s="7"/>
    </row>
    <row r="19" spans="1:13" ht="15.6" x14ac:dyDescent="0.3">
      <c r="A19" s="35">
        <v>1</v>
      </c>
      <c r="C19" s="107">
        <f>G17+H17</f>
        <v>2</v>
      </c>
      <c r="D19" s="107"/>
      <c r="E19" s="8"/>
      <c r="F19" s="46"/>
      <c r="G19" s="46"/>
      <c r="H19" s="46"/>
      <c r="I19" s="8">
        <f>SUM(I17:I18)</f>
        <v>210</v>
      </c>
      <c r="J19" s="109" t="str">
        <f>IF(I20,"مقاس الدلف صحيح","مقاس الدلف غير صحيح")</f>
        <v>مقاس الدلف صحيح</v>
      </c>
      <c r="K19" s="7"/>
    </row>
    <row r="20" spans="1:13" ht="15.6" x14ac:dyDescent="0.3">
      <c r="A20" s="35">
        <v>1</v>
      </c>
      <c r="C20" s="108" t="b">
        <f>C19&lt;=2</f>
        <v>1</v>
      </c>
      <c r="D20" s="108"/>
      <c r="E20" s="8"/>
      <c r="F20" s="8"/>
      <c r="G20" s="8"/>
      <c r="H20" s="8"/>
      <c r="I20" s="6" t="b">
        <f>I19=I15</f>
        <v>1</v>
      </c>
      <c r="J20" s="109"/>
      <c r="K20" s="7"/>
    </row>
    <row r="21" spans="1:13" ht="31.2" x14ac:dyDescent="0.3">
      <c r="A21" s="35">
        <v>1</v>
      </c>
      <c r="B21" s="1"/>
      <c r="C21" s="8"/>
      <c r="D21" s="27" t="str" cm="1">
        <f t="array" aca="1" ref="D21" ca="1">defaultValue(E21,K13)</f>
        <v>ظهر</v>
      </c>
      <c r="E21" s="7" t="s">
        <v>58</v>
      </c>
      <c r="F21" s="27" t="str" cm="1">
        <f t="array" aca="1" ref="F21" ca="1">defaultValue(G21,K13)</f>
        <v>يوفيلاك</v>
      </c>
      <c r="G21" s="7" t="s">
        <v>32</v>
      </c>
      <c r="H21" s="27" t="str" cm="1">
        <f t="array" aca="1" ref="H21" ca="1">defaultValue(I21,K13)</f>
        <v>HPL</v>
      </c>
      <c r="I21" s="7" t="s">
        <v>31</v>
      </c>
      <c r="J21" s="25" t="s">
        <v>111</v>
      </c>
      <c r="K21" s="7"/>
    </row>
    <row r="22" spans="1:13" x14ac:dyDescent="0.3">
      <c r="A22" s="35">
        <v>0</v>
      </c>
      <c r="B22"/>
      <c r="C22"/>
      <c r="D22"/>
      <c r="E22"/>
      <c r="F22"/>
      <c r="G22"/>
      <c r="H22"/>
      <c r="I22"/>
      <c r="J22"/>
      <c r="K22"/>
    </row>
    <row r="23" spans="1:13" x14ac:dyDescent="0.3">
      <c r="A23" s="35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33</v>
      </c>
      <c r="J23" s="6" t="s">
        <v>8</v>
      </c>
      <c r="K23" s="6" t="s">
        <v>185</v>
      </c>
    </row>
    <row r="24" spans="1:13" x14ac:dyDescent="0.3">
      <c r="A24" s="35">
        <v>0</v>
      </c>
      <c r="B24"/>
      <c r="C24"/>
      <c r="D24"/>
      <c r="E24"/>
      <c r="F24"/>
      <c r="G24"/>
      <c r="H24"/>
      <c r="I24"/>
      <c r="J24"/>
      <c r="K24"/>
    </row>
    <row r="25" spans="1:13" ht="15.6" customHeight="1" x14ac:dyDescent="0.3">
      <c r="A25" s="35">
        <v>3</v>
      </c>
      <c r="B25" s="3" t="str">
        <f>E13</f>
        <v xml:space="preserve">دواليب دلفة /دلفتين </v>
      </c>
      <c r="C25" s="6">
        <v>1</v>
      </c>
      <c r="D25" s="6" t="str">
        <f ca="1">H21</f>
        <v>HPL</v>
      </c>
      <c r="E25" s="6" t="s">
        <v>49</v>
      </c>
      <c r="F25" s="6">
        <f>H15-3.6</f>
        <v>-3.6</v>
      </c>
      <c r="G25" s="6">
        <f>J15</f>
        <v>56</v>
      </c>
      <c r="H25" s="6">
        <f>1*C13</f>
        <v>1</v>
      </c>
      <c r="I25" s="6">
        <f ca="1">HLOOKUP(D25, materials[], 2,FALSE)</f>
        <v>2</v>
      </c>
      <c r="J25" s="6"/>
      <c r="K25" s="6" t="b">
        <v>1</v>
      </c>
    </row>
    <row r="26" spans="1:13" ht="15.6" customHeight="1" x14ac:dyDescent="0.3">
      <c r="A26" s="35">
        <v>3</v>
      </c>
      <c r="B26" s="3" t="str">
        <f>B25</f>
        <v xml:space="preserve">دواليب دلفة /دلفتين </v>
      </c>
      <c r="C26" s="6">
        <f>C25+1</f>
        <v>2</v>
      </c>
      <c r="D26" s="6" t="str">
        <f ca="1">H21</f>
        <v>HPL</v>
      </c>
      <c r="E26" s="6" t="s">
        <v>10</v>
      </c>
      <c r="F26" s="6">
        <f>H15-3.6</f>
        <v>-3.6</v>
      </c>
      <c r="G26" s="6">
        <f>J15</f>
        <v>56</v>
      </c>
      <c r="H26" s="6">
        <f>1*C13</f>
        <v>1</v>
      </c>
      <c r="I26" s="6">
        <f ca="1">HLOOKUP(D26, materials[], 2,FALSE)</f>
        <v>2</v>
      </c>
      <c r="J26" s="6"/>
      <c r="K26" s="6" t="b">
        <v>1</v>
      </c>
    </row>
    <row r="27" spans="1:13" ht="15.6" customHeight="1" x14ac:dyDescent="0.3">
      <c r="A27" s="35">
        <v>3</v>
      </c>
      <c r="B27" s="3" t="str">
        <f>B25</f>
        <v xml:space="preserve">دواليب دلفة /دلفتين </v>
      </c>
      <c r="C27" s="6">
        <f>C26+1</f>
        <v>3</v>
      </c>
      <c r="D27" s="6" t="str">
        <f ca="1">H21</f>
        <v>HPL</v>
      </c>
      <c r="E27" s="6" t="s">
        <v>51</v>
      </c>
      <c r="F27" s="6">
        <f>H15-3.6</f>
        <v>-3.6</v>
      </c>
      <c r="G27" s="6">
        <f>J15-2.5</f>
        <v>53.5</v>
      </c>
      <c r="H27" s="6">
        <f>1*C13*F15</f>
        <v>1</v>
      </c>
      <c r="I27" s="6">
        <f ca="1">HLOOKUP(D27, materials[], 2,FALSE)</f>
        <v>2</v>
      </c>
      <c r="J27" s="6"/>
      <c r="K27" s="6" t="b">
        <v>1</v>
      </c>
    </row>
    <row r="28" spans="1:13" ht="15.6" customHeight="1" x14ac:dyDescent="0.3">
      <c r="A28" s="35">
        <v>3</v>
      </c>
      <c r="B28" s="3" t="str">
        <f>B25</f>
        <v xml:space="preserve">دواليب دلفة /دلفتين </v>
      </c>
      <c r="C28" s="6">
        <f>C27+1</f>
        <v>4</v>
      </c>
      <c r="D28" s="6" t="str">
        <f ca="1">H21</f>
        <v>HPL</v>
      </c>
      <c r="E28" s="6" t="s">
        <v>11</v>
      </c>
      <c r="F28" s="6">
        <f>I15</f>
        <v>210</v>
      </c>
      <c r="G28" s="6">
        <f>J15</f>
        <v>56</v>
      </c>
      <c r="H28" s="6">
        <f>2*C13</f>
        <v>2</v>
      </c>
      <c r="I28" s="6">
        <f ca="1">HLOOKUP(D28, materials[], 2,FALSE)</f>
        <v>2</v>
      </c>
      <c r="J28" s="6"/>
      <c r="K28" s="6" t="b">
        <v>1</v>
      </c>
    </row>
    <row r="29" spans="1:13" x14ac:dyDescent="0.3">
      <c r="A29" s="35">
        <v>3</v>
      </c>
      <c r="B29" s="3" t="str">
        <f>B25</f>
        <v xml:space="preserve">دواليب دلفة /دلفتين </v>
      </c>
      <c r="C29" s="6">
        <f t="shared" ref="C29" si="0">C28+1</f>
        <v>5</v>
      </c>
      <c r="D29" s="6" t="str">
        <f ca="1">H21</f>
        <v>HPL</v>
      </c>
      <c r="E29" s="6" t="s">
        <v>17</v>
      </c>
      <c r="F29" s="6">
        <f>H15-3.8</f>
        <v>-3.8</v>
      </c>
      <c r="G29" s="6">
        <f>J15-5</f>
        <v>51</v>
      </c>
      <c r="H29" s="6">
        <f>E15*C13</f>
        <v>2</v>
      </c>
      <c r="I29" s="6">
        <f ca="1">HLOOKUP(D29, materials[], 2,FALSE)</f>
        <v>2</v>
      </c>
      <c r="J29" s="6"/>
      <c r="K29" s="6" t="b">
        <v>1</v>
      </c>
    </row>
    <row r="30" spans="1:13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M30" s="3" t="str">
        <f>IF(K170=0, "",F56)</f>
        <v/>
      </c>
    </row>
    <row r="31" spans="1:13" x14ac:dyDescent="0.3">
      <c r="A31" s="35">
        <v>4</v>
      </c>
      <c r="B31" s="3" t="str">
        <f>B25</f>
        <v xml:space="preserve">دواليب دلفة /دلفتين </v>
      </c>
      <c r="C31" s="9">
        <f>C29+1</f>
        <v>6</v>
      </c>
      <c r="D31" s="9" t="str">
        <f ca="1">F21</f>
        <v>يوفيلاك</v>
      </c>
      <c r="E31" s="9" t="s">
        <v>72</v>
      </c>
      <c r="F31" s="9">
        <f>I17-0.5-G15</f>
        <v>136</v>
      </c>
      <c r="G31" s="9">
        <f>(H15/C19)-0.5</f>
        <v>-0.5</v>
      </c>
      <c r="H31" s="9">
        <f>G17*C13</f>
        <v>1</v>
      </c>
      <c r="I31" s="9">
        <f ca="1">HLOOKUP(D31, materials[], 2,FALSE)</f>
        <v>6</v>
      </c>
      <c r="J31" s="9"/>
      <c r="K31" s="9" t="b">
        <v>1</v>
      </c>
    </row>
    <row r="32" spans="1:13" x14ac:dyDescent="0.3">
      <c r="A32" s="35">
        <v>4</v>
      </c>
      <c r="B32" s="3" t="str">
        <f>B25</f>
        <v xml:space="preserve">دواليب دلفة /دلفتين </v>
      </c>
      <c r="C32" s="9">
        <f>C31+1</f>
        <v>7</v>
      </c>
      <c r="D32" s="9" t="str">
        <f ca="1">F21</f>
        <v>يوفيلاك</v>
      </c>
      <c r="E32" s="9" t="s">
        <v>73</v>
      </c>
      <c r="F32" s="9">
        <f>I18-0.5-G15</f>
        <v>66</v>
      </c>
      <c r="G32" s="9">
        <f>(H15/C19)-0.5</f>
        <v>-0.5</v>
      </c>
      <c r="H32" s="9">
        <f>G18*C13</f>
        <v>1</v>
      </c>
      <c r="I32" s="9">
        <f ca="1">HLOOKUP(D32, materials[], 2,FALSE)</f>
        <v>6</v>
      </c>
      <c r="J32" s="9"/>
      <c r="K32" s="9" t="b">
        <v>1</v>
      </c>
    </row>
    <row r="33" spans="1:13" x14ac:dyDescent="0.3">
      <c r="A33" s="35">
        <v>0</v>
      </c>
      <c r="B33"/>
      <c r="C33"/>
      <c r="D33"/>
      <c r="E33"/>
      <c r="F33"/>
      <c r="G33"/>
      <c r="H33"/>
      <c r="I33"/>
      <c r="J33"/>
      <c r="K33"/>
    </row>
    <row r="34" spans="1:13" x14ac:dyDescent="0.3">
      <c r="A34" s="35">
        <v>4</v>
      </c>
      <c r="B34" s="3" t="str">
        <f>B25</f>
        <v xml:space="preserve">دواليب دلفة /دلفتين </v>
      </c>
      <c r="C34" s="9">
        <f>C32+1</f>
        <v>8</v>
      </c>
      <c r="D34" s="9" t="s">
        <v>53</v>
      </c>
      <c r="E34" s="9" t="s">
        <v>74</v>
      </c>
      <c r="F34" s="9">
        <f>I17-0.5</f>
        <v>139.5</v>
      </c>
      <c r="G34" s="9">
        <f>(H15/C19)-0.5</f>
        <v>-0.5</v>
      </c>
      <c r="H34" s="9">
        <f>H17*C13</f>
        <v>1</v>
      </c>
      <c r="I34" s="9"/>
      <c r="J34" s="9"/>
      <c r="K34" s="9" t="b">
        <v>1</v>
      </c>
    </row>
    <row r="35" spans="1:13" x14ac:dyDescent="0.3">
      <c r="A35" s="35">
        <v>4</v>
      </c>
      <c r="B35" s="3" t="str">
        <f>B25</f>
        <v xml:space="preserve">دواليب دلفة /دلفتين </v>
      </c>
      <c r="C35" s="9">
        <f>C34+1</f>
        <v>9</v>
      </c>
      <c r="D35" s="9" t="s">
        <v>53</v>
      </c>
      <c r="E35" s="9" t="s">
        <v>75</v>
      </c>
      <c r="F35" s="9">
        <f>I18-0.5</f>
        <v>69.5</v>
      </c>
      <c r="G35" s="9">
        <f>(H15/C19)-0.5</f>
        <v>-0.5</v>
      </c>
      <c r="H35" s="9">
        <f>H18*C13</f>
        <v>1</v>
      </c>
      <c r="I35" s="9"/>
      <c r="J35" s="9"/>
      <c r="K35" s="9" t="b">
        <v>1</v>
      </c>
    </row>
    <row r="36" spans="1:13" x14ac:dyDescent="0.3">
      <c r="A36" s="35">
        <v>0</v>
      </c>
      <c r="B36"/>
      <c r="C36"/>
      <c r="D36"/>
      <c r="E36"/>
      <c r="F36"/>
      <c r="G36"/>
      <c r="H36"/>
      <c r="I36"/>
      <c r="J36"/>
      <c r="K36"/>
    </row>
    <row r="37" spans="1:13" x14ac:dyDescent="0.3">
      <c r="A37" s="35">
        <v>5</v>
      </c>
      <c r="B37" s="3" t="str">
        <f>B25</f>
        <v xml:space="preserve">دواليب دلفة /دلفتين </v>
      </c>
      <c r="C37" s="19">
        <f>C35+1</f>
        <v>10</v>
      </c>
      <c r="D37" s="19" t="str">
        <f ca="1">D21</f>
        <v>ظهر</v>
      </c>
      <c r="E37" s="19" t="s">
        <v>58</v>
      </c>
      <c r="F37" s="19">
        <f>I15-2</f>
        <v>208</v>
      </c>
      <c r="G37" s="19">
        <f>H15-2</f>
        <v>-2</v>
      </c>
      <c r="H37" s="19">
        <f>1*C13</f>
        <v>1</v>
      </c>
      <c r="I37" s="19">
        <f ca="1">HLOOKUP(D37, materials[], 2,FALSE)</f>
        <v>2</v>
      </c>
      <c r="J37" s="19"/>
      <c r="K37" s="19" t="b">
        <v>1</v>
      </c>
    </row>
    <row r="38" spans="1:13" x14ac:dyDescent="0.3">
      <c r="A38" s="35">
        <v>255</v>
      </c>
    </row>
    <row r="39" spans="1:13" x14ac:dyDescent="0.3">
      <c r="A39" s="35">
        <v>255</v>
      </c>
      <c r="K39" s="1"/>
      <c r="L39" s="1"/>
      <c r="M39" s="1"/>
    </row>
    <row r="40" spans="1:13" ht="36" x14ac:dyDescent="0.3">
      <c r="A40" s="35" t="s">
        <v>160</v>
      </c>
      <c r="C40" s="14">
        <v>1</v>
      </c>
      <c r="D40" s="22" t="s">
        <v>59</v>
      </c>
      <c r="E40" s="118" t="s">
        <v>76</v>
      </c>
      <c r="F40" s="118"/>
      <c r="G40" s="118"/>
      <c r="H40" s="118"/>
      <c r="I40" s="2" t="s">
        <v>30</v>
      </c>
      <c r="J40" s="2">
        <f>letterToNumber(A40)</f>
        <v>2</v>
      </c>
      <c r="K40" s="7">
        <f ca="1">_xlfn.SHEET("دواليب")</f>
        <v>7</v>
      </c>
      <c r="L40" s="1"/>
      <c r="M40" s="1"/>
    </row>
    <row r="41" spans="1:13" ht="31.2" x14ac:dyDescent="0.3">
      <c r="A41" s="35">
        <v>1</v>
      </c>
      <c r="C41" s="18"/>
      <c r="D41" s="16" t="s">
        <v>19</v>
      </c>
      <c r="E41" s="18" t="s">
        <v>18</v>
      </c>
      <c r="F41" s="7" t="s">
        <v>51</v>
      </c>
      <c r="G41" s="7" t="s">
        <v>16</v>
      </c>
      <c r="H41" s="7" t="s">
        <v>22</v>
      </c>
      <c r="I41" s="7" t="s">
        <v>3</v>
      </c>
      <c r="J41" s="7" t="s">
        <v>2</v>
      </c>
      <c r="K41" s="7"/>
      <c r="L41" s="1"/>
      <c r="M41" s="1"/>
    </row>
    <row r="42" spans="1:13" ht="15.6" x14ac:dyDescent="0.3">
      <c r="A42" s="35">
        <v>1</v>
      </c>
      <c r="C42" s="18"/>
      <c r="D42" s="9">
        <v>45</v>
      </c>
      <c r="E42" s="8">
        <v>2</v>
      </c>
      <c r="F42" s="8">
        <v>1</v>
      </c>
      <c r="G42" s="8">
        <v>3.5</v>
      </c>
      <c r="H42" s="8">
        <v>60</v>
      </c>
      <c r="I42" s="8">
        <v>220</v>
      </c>
      <c r="J42" s="8">
        <v>56</v>
      </c>
      <c r="K42" s="7"/>
      <c r="L42" s="1"/>
      <c r="M42" s="1"/>
    </row>
    <row r="43" spans="1:13" ht="15.6" x14ac:dyDescent="0.3">
      <c r="A43" s="35">
        <v>1</v>
      </c>
      <c r="C43" s="8"/>
      <c r="D43" s="8"/>
      <c r="E43" s="8"/>
      <c r="F43" s="8"/>
      <c r="G43" s="7" t="s">
        <v>54</v>
      </c>
      <c r="H43" s="7" t="s">
        <v>55</v>
      </c>
      <c r="I43" s="8"/>
      <c r="J43" s="8"/>
      <c r="K43" s="7"/>
      <c r="L43" s="1"/>
      <c r="M43" s="1"/>
    </row>
    <row r="44" spans="1:13" ht="15.6" x14ac:dyDescent="0.3">
      <c r="A44" s="35">
        <v>1</v>
      </c>
      <c r="C44" s="8"/>
      <c r="D44" s="8"/>
      <c r="E44" s="8"/>
      <c r="F44" s="8"/>
      <c r="G44" s="7">
        <v>1</v>
      </c>
      <c r="H44" s="7"/>
      <c r="I44" s="8">
        <v>20</v>
      </c>
      <c r="J44" s="8" t="s">
        <v>77</v>
      </c>
      <c r="K44" s="7"/>
    </row>
    <row r="45" spans="1:13" ht="15.6" x14ac:dyDescent="0.3">
      <c r="A45" s="35">
        <v>1</v>
      </c>
      <c r="C45" s="8"/>
      <c r="D45" s="8"/>
      <c r="E45" s="8"/>
      <c r="F45" s="8"/>
      <c r="G45" s="7">
        <v>1</v>
      </c>
      <c r="H45" s="7"/>
      <c r="I45" s="8">
        <v>20</v>
      </c>
      <c r="J45" s="8" t="s">
        <v>78</v>
      </c>
      <c r="K45" s="7"/>
      <c r="L45" s="1"/>
      <c r="M45" s="1"/>
    </row>
    <row r="46" spans="1:13" ht="15.6" x14ac:dyDescent="0.3">
      <c r="A46" s="35">
        <v>1</v>
      </c>
      <c r="C46" s="8"/>
      <c r="D46" s="8"/>
      <c r="E46" s="8"/>
      <c r="F46" s="8"/>
      <c r="G46" s="7"/>
      <c r="H46" s="7"/>
      <c r="I46" s="8"/>
      <c r="J46" s="8" t="s">
        <v>79</v>
      </c>
      <c r="K46" s="7"/>
      <c r="L46" s="1"/>
      <c r="M46" s="1"/>
    </row>
    <row r="47" spans="1:13" ht="15.6" x14ac:dyDescent="0.3">
      <c r="A47" s="35">
        <v>1</v>
      </c>
      <c r="C47" s="8"/>
      <c r="D47" s="8"/>
      <c r="E47" s="8"/>
      <c r="F47" s="8"/>
      <c r="G47" s="8"/>
      <c r="H47" s="8"/>
      <c r="I47" s="8"/>
      <c r="J47" s="8" t="s">
        <v>69</v>
      </c>
      <c r="K47" s="7"/>
      <c r="L47" s="1"/>
      <c r="M47" s="1"/>
    </row>
    <row r="48" spans="1:13" ht="15.6" x14ac:dyDescent="0.3">
      <c r="A48" s="35">
        <v>1</v>
      </c>
      <c r="C48" s="8"/>
      <c r="D48" s="8"/>
      <c r="E48" s="8"/>
      <c r="F48" s="8"/>
      <c r="G48" s="8">
        <v>1</v>
      </c>
      <c r="H48" s="8"/>
      <c r="I48" s="8">
        <v>67</v>
      </c>
      <c r="J48" s="8" t="s">
        <v>80</v>
      </c>
      <c r="K48" s="7"/>
      <c r="L48" s="1"/>
      <c r="M48" s="1"/>
    </row>
    <row r="49" spans="1:13" ht="15.6" x14ac:dyDescent="0.3">
      <c r="A49" s="35">
        <v>1</v>
      </c>
      <c r="C49" s="8"/>
      <c r="D49" s="8"/>
      <c r="E49" s="8"/>
      <c r="F49" s="8"/>
      <c r="G49" s="8">
        <v>1</v>
      </c>
      <c r="H49" s="8"/>
      <c r="I49" s="8">
        <v>35</v>
      </c>
      <c r="J49" s="8" t="s">
        <v>81</v>
      </c>
      <c r="K49" s="7"/>
      <c r="L49" s="1"/>
      <c r="M49" s="1"/>
    </row>
    <row r="50" spans="1:13" ht="15.6" x14ac:dyDescent="0.3">
      <c r="A50" s="35">
        <v>1</v>
      </c>
      <c r="C50" s="8"/>
      <c r="D50" s="8"/>
      <c r="E50" s="8"/>
      <c r="F50" s="8"/>
      <c r="G50" s="8">
        <v>2</v>
      </c>
      <c r="H50" s="8"/>
      <c r="I50" s="8">
        <v>78</v>
      </c>
      <c r="J50" s="8" t="s">
        <v>82</v>
      </c>
      <c r="K50" s="7"/>
      <c r="L50" s="1"/>
      <c r="M50" s="1"/>
    </row>
    <row r="51" spans="1:13" ht="15.6" x14ac:dyDescent="0.3">
      <c r="A51" s="35">
        <v>1</v>
      </c>
      <c r="C51" s="9" t="b">
        <f>G47=0</f>
        <v>1</v>
      </c>
      <c r="D51" s="9" t="b">
        <f>H47=0</f>
        <v>1</v>
      </c>
      <c r="E51" s="8"/>
      <c r="F51" s="46"/>
      <c r="G51" s="8"/>
      <c r="H51" s="8"/>
      <c r="I51" s="8"/>
      <c r="J51" s="8" t="s">
        <v>83</v>
      </c>
      <c r="K51" s="7"/>
      <c r="L51" s="1"/>
      <c r="M51" s="1"/>
    </row>
    <row r="52" spans="1:13" ht="15.6" x14ac:dyDescent="0.3">
      <c r="A52" s="35">
        <v>1</v>
      </c>
      <c r="C52" s="107">
        <f>G47+H47</f>
        <v>0</v>
      </c>
      <c r="D52" s="107"/>
      <c r="E52" s="8"/>
      <c r="F52" s="46"/>
      <c r="G52" s="46"/>
      <c r="H52" s="46"/>
      <c r="I52" s="8">
        <f>SUM(I44:I51)</f>
        <v>220</v>
      </c>
      <c r="J52" s="109" t="str">
        <f>IF(I53,"مقاس الدلف صحيح","مقاس الدلف غير صحيح")</f>
        <v>مقاس الدلف صحيح</v>
      </c>
      <c r="K52" s="7"/>
      <c r="L52" s="1"/>
      <c r="M52" s="1"/>
    </row>
    <row r="53" spans="1:13" ht="15.6" x14ac:dyDescent="0.3">
      <c r="A53" s="35">
        <v>1</v>
      </c>
      <c r="C53" s="108" t="b">
        <f>C52&lt;=2</f>
        <v>1</v>
      </c>
      <c r="D53" s="108"/>
      <c r="E53" s="8"/>
      <c r="F53" s="8"/>
      <c r="G53" s="8"/>
      <c r="H53" s="8"/>
      <c r="I53" s="6" t="b">
        <f>I52=I42</f>
        <v>1</v>
      </c>
      <c r="J53" s="109"/>
      <c r="K53" s="7"/>
      <c r="L53" s="1"/>
      <c r="M53" s="1"/>
    </row>
    <row r="54" spans="1:13" ht="31.2" x14ac:dyDescent="0.3">
      <c r="A54" s="35">
        <v>1</v>
      </c>
      <c r="B54" s="1"/>
      <c r="C54" s="8"/>
      <c r="D54" s="27" t="str" cm="1">
        <f t="array" aca="1" ref="D54" ca="1">defaultValue(E54,K40)</f>
        <v>ظهر</v>
      </c>
      <c r="E54" s="7" t="s">
        <v>58</v>
      </c>
      <c r="F54" s="27" t="str" cm="1">
        <f t="array" aca="1" ref="F54" ca="1">defaultValue(G54,K40)</f>
        <v>يوفيلاك</v>
      </c>
      <c r="G54" s="7" t="s">
        <v>32</v>
      </c>
      <c r="H54" s="27" t="str" cm="1">
        <f t="array" aca="1" ref="H54" ca="1">defaultValue(I54,K40)</f>
        <v>HPL</v>
      </c>
      <c r="I54" s="7" t="s">
        <v>31</v>
      </c>
      <c r="J54" s="25" t="s">
        <v>111</v>
      </c>
      <c r="K54" s="7"/>
      <c r="L54" s="1"/>
      <c r="M54" s="1"/>
    </row>
    <row r="55" spans="1:13" ht="15.6" customHeight="1" x14ac:dyDescent="0.3">
      <c r="A55" s="35">
        <v>0</v>
      </c>
      <c r="B55"/>
      <c r="C55"/>
      <c r="D55"/>
      <c r="E55"/>
      <c r="F55"/>
      <c r="G55"/>
      <c r="H55"/>
      <c r="I55"/>
      <c r="J55"/>
      <c r="K55"/>
      <c r="L55" s="1"/>
      <c r="M55" s="1"/>
    </row>
    <row r="56" spans="1:13" ht="15.6" customHeight="1" x14ac:dyDescent="0.3">
      <c r="A56" s="35">
        <v>2</v>
      </c>
      <c r="C56" s="6" t="s">
        <v>4</v>
      </c>
      <c r="D56" s="6" t="s">
        <v>9</v>
      </c>
      <c r="E56" s="6" t="s">
        <v>5</v>
      </c>
      <c r="F56" s="6" t="s">
        <v>7</v>
      </c>
      <c r="G56" s="6" t="s">
        <v>1</v>
      </c>
      <c r="H56" s="6" t="s">
        <v>6</v>
      </c>
      <c r="I56" s="6" t="s">
        <v>33</v>
      </c>
      <c r="J56" s="6" t="s">
        <v>8</v>
      </c>
      <c r="K56" s="6" t="s">
        <v>185</v>
      </c>
      <c r="L56" s="1"/>
      <c r="M56" s="1"/>
    </row>
    <row r="57" spans="1:13" ht="15.6" customHeight="1" x14ac:dyDescent="0.3">
      <c r="A57" s="35">
        <v>0</v>
      </c>
      <c r="B57"/>
      <c r="C57"/>
      <c r="D57"/>
      <c r="E57"/>
      <c r="F57"/>
      <c r="G57"/>
      <c r="H57"/>
      <c r="I57"/>
      <c r="J57"/>
      <c r="K57"/>
      <c r="L57" s="1"/>
      <c r="M57" s="1"/>
    </row>
    <row r="58" spans="1:13" ht="15.6" customHeight="1" x14ac:dyDescent="0.3">
      <c r="A58" s="35">
        <v>3</v>
      </c>
      <c r="B58" s="3" t="str">
        <f>E40</f>
        <v>دواليب منوع /فرن /أدراج</v>
      </c>
      <c r="C58" s="6">
        <v>1</v>
      </c>
      <c r="D58" s="6" t="str">
        <f ca="1">H54</f>
        <v>HPL</v>
      </c>
      <c r="E58" s="6" t="s">
        <v>49</v>
      </c>
      <c r="F58" s="6">
        <f>H42-3.6</f>
        <v>56.4</v>
      </c>
      <c r="G58" s="6">
        <f>J42</f>
        <v>56</v>
      </c>
      <c r="H58" s="6">
        <f>1*C40</f>
        <v>1</v>
      </c>
      <c r="I58" s="6">
        <f ca="1">HLOOKUP(D58, materials[], 2,FALSE)</f>
        <v>2</v>
      </c>
      <c r="J58" s="6"/>
      <c r="K58" s="6" t="b">
        <v>1</v>
      </c>
      <c r="L58" s="1"/>
      <c r="M58" s="1"/>
    </row>
    <row r="59" spans="1:13" x14ac:dyDescent="0.3">
      <c r="A59" s="35">
        <v>3</v>
      </c>
      <c r="B59" s="3" t="str">
        <f>B58</f>
        <v>دواليب منوع /فرن /أدراج</v>
      </c>
      <c r="C59" s="6">
        <f>C58+1</f>
        <v>2</v>
      </c>
      <c r="D59" s="6" t="str">
        <f ca="1">H54</f>
        <v>HPL</v>
      </c>
      <c r="E59" s="6" t="s">
        <v>10</v>
      </c>
      <c r="F59" s="6">
        <f>H42-3.6</f>
        <v>56.4</v>
      </c>
      <c r="G59" s="6">
        <f>J42</f>
        <v>56</v>
      </c>
      <c r="H59" s="6">
        <f>1*C40</f>
        <v>1</v>
      </c>
      <c r="I59" s="6">
        <f ca="1">HLOOKUP(D59, materials[], 2,FALSE)</f>
        <v>2</v>
      </c>
      <c r="J59" s="6"/>
      <c r="K59" s="6" t="b">
        <v>1</v>
      </c>
      <c r="L59" s="1"/>
      <c r="M59" s="1"/>
    </row>
    <row r="60" spans="1:13" x14ac:dyDescent="0.3">
      <c r="A60" s="35">
        <v>3</v>
      </c>
      <c r="B60" s="3" t="str">
        <f>B58</f>
        <v>دواليب منوع /فرن /أدراج</v>
      </c>
      <c r="C60" s="6">
        <f>C59+1</f>
        <v>3</v>
      </c>
      <c r="D60" s="6" t="str">
        <f ca="1">H54</f>
        <v>HPL</v>
      </c>
      <c r="E60" s="6" t="s">
        <v>51</v>
      </c>
      <c r="F60" s="6">
        <f>H42-3.6</f>
        <v>56.4</v>
      </c>
      <c r="G60" s="6">
        <f>J42-2.5</f>
        <v>53.5</v>
      </c>
      <c r="H60" s="6">
        <f>1*C40*F42</f>
        <v>1</v>
      </c>
      <c r="I60" s="6">
        <f ca="1">HLOOKUP(D60, materials[], 2,FALSE)</f>
        <v>2</v>
      </c>
      <c r="J60" s="6"/>
      <c r="K60" s="6" t="b">
        <v>1</v>
      </c>
      <c r="L60" s="1"/>
      <c r="M60" s="1"/>
    </row>
    <row r="61" spans="1:13" ht="15.6" customHeight="1" x14ac:dyDescent="0.3">
      <c r="A61" s="35">
        <v>3</v>
      </c>
      <c r="B61" s="3" t="str">
        <f>B58</f>
        <v>دواليب منوع /فرن /أدراج</v>
      </c>
      <c r="C61" s="6">
        <f>C60+1</f>
        <v>4</v>
      </c>
      <c r="D61" s="6" t="str">
        <f ca="1">H54</f>
        <v>HPL</v>
      </c>
      <c r="E61" s="6" t="s">
        <v>11</v>
      </c>
      <c r="F61" s="6">
        <f>I42</f>
        <v>220</v>
      </c>
      <c r="G61" s="6">
        <f>J42</f>
        <v>56</v>
      </c>
      <c r="H61" s="6">
        <f>2*C40</f>
        <v>2</v>
      </c>
      <c r="I61" s="6">
        <f ca="1">HLOOKUP(D61, materials[], 2,FALSE)</f>
        <v>2</v>
      </c>
      <c r="J61" s="6"/>
      <c r="K61" s="6" t="b">
        <v>1</v>
      </c>
      <c r="L61" s="1"/>
      <c r="M61" s="1"/>
    </row>
    <row r="62" spans="1:13" x14ac:dyDescent="0.3">
      <c r="A62" s="35">
        <v>3</v>
      </c>
      <c r="B62" s="3" t="str">
        <f>B58</f>
        <v>دواليب منوع /فرن /أدراج</v>
      </c>
      <c r="C62" s="6">
        <f t="shared" ref="C62" si="1">C61+1</f>
        <v>5</v>
      </c>
      <c r="D62" s="6" t="str">
        <f ca="1">H54</f>
        <v>HPL</v>
      </c>
      <c r="E62" s="6" t="s">
        <v>17</v>
      </c>
      <c r="F62" s="6">
        <f>H42-3.8</f>
        <v>56.2</v>
      </c>
      <c r="G62" s="6">
        <f>J42-5</f>
        <v>51</v>
      </c>
      <c r="H62" s="6">
        <f>E42*C40</f>
        <v>2</v>
      </c>
      <c r="I62" s="6">
        <f ca="1">HLOOKUP(D62, materials[], 2,FALSE)</f>
        <v>2</v>
      </c>
      <c r="J62" s="6"/>
      <c r="K62" s="6" t="b">
        <v>1</v>
      </c>
      <c r="L62" s="1"/>
      <c r="M62" s="1"/>
    </row>
    <row r="63" spans="1:13" x14ac:dyDescent="0.3">
      <c r="A63" s="35">
        <v>0</v>
      </c>
      <c r="B63"/>
      <c r="C63"/>
      <c r="D63"/>
      <c r="E63"/>
      <c r="F63"/>
      <c r="G63"/>
      <c r="H63"/>
      <c r="I63"/>
      <c r="J63"/>
      <c r="K63"/>
      <c r="L63" s="1"/>
      <c r="M63" s="1"/>
    </row>
    <row r="64" spans="1:13" x14ac:dyDescent="0.3">
      <c r="A64" s="35">
        <v>3</v>
      </c>
      <c r="B64" s="3" t="str">
        <f>B58</f>
        <v>دواليب منوع /فرن /أدراج</v>
      </c>
      <c r="C64" s="20">
        <f>C62+1</f>
        <v>6</v>
      </c>
      <c r="D64" s="20" t="str">
        <f ca="1">H54</f>
        <v>HPL</v>
      </c>
      <c r="E64" s="20" t="s">
        <v>84</v>
      </c>
      <c r="F64" s="20">
        <f>IF(H64=0, "",(H42-3.6-3.6-2.5))</f>
        <v>50.3</v>
      </c>
      <c r="G64" s="20">
        <f>IF(H64=0, "",(I44-6))</f>
        <v>14</v>
      </c>
      <c r="H64" s="20">
        <f>G44*C40</f>
        <v>1</v>
      </c>
      <c r="I64" s="20">
        <f ca="1">HLOOKUP(D64, materials[], 2,FALSE)</f>
        <v>2</v>
      </c>
      <c r="J64" s="20"/>
      <c r="K64" s="20" t="b">
        <v>1</v>
      </c>
    </row>
    <row r="65" spans="1:12" x14ac:dyDescent="0.3">
      <c r="A65" s="35">
        <v>3</v>
      </c>
      <c r="B65" s="3" t="str">
        <f>B58</f>
        <v>دواليب منوع /فرن /أدراج</v>
      </c>
      <c r="C65" s="20">
        <f>C64+1</f>
        <v>7</v>
      </c>
      <c r="D65" s="20" t="str">
        <f ca="1">H54</f>
        <v>HPL</v>
      </c>
      <c r="E65" s="20" t="s">
        <v>85</v>
      </c>
      <c r="F65" s="20">
        <f>IF(H65=0, "",D42)</f>
        <v>45</v>
      </c>
      <c r="G65" s="20">
        <f>IF(H65=0, "",(I44-6))</f>
        <v>14</v>
      </c>
      <c r="H65" s="20">
        <f>2*G44*C40</f>
        <v>2</v>
      </c>
      <c r="I65" s="20">
        <f ca="1">HLOOKUP(D65, materials[], 2,FALSE)</f>
        <v>2</v>
      </c>
      <c r="J65" s="20"/>
      <c r="K65" s="20" t="b">
        <v>1</v>
      </c>
    </row>
    <row r="66" spans="1:12" x14ac:dyDescent="0.3">
      <c r="A66" s="35">
        <v>3</v>
      </c>
      <c r="B66" s="3" t="str">
        <f>B58</f>
        <v>دواليب منوع /فرن /أدراج</v>
      </c>
      <c r="C66" s="20">
        <f t="shared" ref="C66:C72" si="2">C65+1</f>
        <v>8</v>
      </c>
      <c r="D66" s="20" t="str">
        <f ca="1">H54</f>
        <v>HPL</v>
      </c>
      <c r="E66" s="20" t="s">
        <v>86</v>
      </c>
      <c r="F66" s="20">
        <f>IF(H66=0, "",(H42-3.6-3.6-2.5))</f>
        <v>50.3</v>
      </c>
      <c r="G66" s="20">
        <f>IF(H66=0, "",(I44-6-3))</f>
        <v>11</v>
      </c>
      <c r="H66" s="20">
        <f>G44*C40</f>
        <v>1</v>
      </c>
      <c r="I66" s="20">
        <f ca="1">HLOOKUP(D66, materials[], 2,FALSE)</f>
        <v>2</v>
      </c>
      <c r="J66" s="20"/>
      <c r="K66" s="20" t="b">
        <v>1</v>
      </c>
    </row>
    <row r="67" spans="1:12" x14ac:dyDescent="0.3">
      <c r="A67" s="35">
        <v>3</v>
      </c>
      <c r="B67" s="3" t="str">
        <f>B58</f>
        <v>دواليب منوع /فرن /أدراج</v>
      </c>
      <c r="C67" s="10">
        <f t="shared" si="2"/>
        <v>9</v>
      </c>
      <c r="D67" s="10" t="str">
        <f ca="1">H54</f>
        <v>HPL</v>
      </c>
      <c r="E67" s="10" t="s">
        <v>87</v>
      </c>
      <c r="F67" s="10">
        <f>IF(H67=0, "",(H42-3.6-3.6-2.5))</f>
        <v>50.3</v>
      </c>
      <c r="G67" s="10">
        <f>IF(H67=0, "",(I45-6))</f>
        <v>14</v>
      </c>
      <c r="H67" s="10">
        <f>G45*C40</f>
        <v>1</v>
      </c>
      <c r="I67" s="10">
        <f ca="1">HLOOKUP(D67, materials[], 2,FALSE)</f>
        <v>2</v>
      </c>
      <c r="J67" s="10"/>
      <c r="K67" s="10" t="b">
        <v>1</v>
      </c>
    </row>
    <row r="68" spans="1:12" x14ac:dyDescent="0.3">
      <c r="A68" s="35">
        <v>3</v>
      </c>
      <c r="B68" s="3" t="str">
        <f>B58</f>
        <v>دواليب منوع /فرن /أدراج</v>
      </c>
      <c r="C68" s="10">
        <f t="shared" si="2"/>
        <v>10</v>
      </c>
      <c r="D68" s="10" t="str">
        <f ca="1">H54</f>
        <v>HPL</v>
      </c>
      <c r="E68" s="10" t="s">
        <v>88</v>
      </c>
      <c r="F68" s="10">
        <f>IF(H68=0, "",D42)</f>
        <v>45</v>
      </c>
      <c r="G68" s="10">
        <f>IF(H68=0, "",(I45-6))</f>
        <v>14</v>
      </c>
      <c r="H68" s="10">
        <f>2*G45*C40</f>
        <v>2</v>
      </c>
      <c r="I68" s="10">
        <f ca="1">HLOOKUP(D68, materials[], 2,FALSE)</f>
        <v>2</v>
      </c>
      <c r="J68" s="10"/>
      <c r="K68" s="10" t="b">
        <v>1</v>
      </c>
    </row>
    <row r="69" spans="1:12" x14ac:dyDescent="0.3">
      <c r="A69" s="35">
        <v>3</v>
      </c>
      <c r="B69" s="3" t="str">
        <f>B58</f>
        <v>دواليب منوع /فرن /أدراج</v>
      </c>
      <c r="C69" s="10">
        <f t="shared" si="2"/>
        <v>11</v>
      </c>
      <c r="D69" s="10" t="str">
        <f ca="1">H54</f>
        <v>HPL</v>
      </c>
      <c r="E69" s="10" t="s">
        <v>89</v>
      </c>
      <c r="F69" s="10">
        <f>IF(H69=0, "",(H42-3.6-3.6-2.5))</f>
        <v>50.3</v>
      </c>
      <c r="G69" s="10">
        <f>IF(H69=0, "",(I45-6-3))</f>
        <v>11</v>
      </c>
      <c r="H69" s="10">
        <f>G45*C40</f>
        <v>1</v>
      </c>
      <c r="I69" s="10">
        <f ca="1">HLOOKUP(D69, materials[], 2,FALSE)</f>
        <v>2</v>
      </c>
      <c r="J69" s="10"/>
      <c r="K69" s="10" t="b">
        <v>1</v>
      </c>
    </row>
    <row r="70" spans="1:12" x14ac:dyDescent="0.3">
      <c r="A70" s="35">
        <v>3</v>
      </c>
      <c r="B70" s="3" t="str">
        <f>B58</f>
        <v>دواليب منوع /فرن /أدراج</v>
      </c>
      <c r="C70" s="20">
        <f t="shared" si="2"/>
        <v>12</v>
      </c>
      <c r="D70" s="20" t="str">
        <f ca="1">H54</f>
        <v>HPL</v>
      </c>
      <c r="E70" s="20" t="s">
        <v>90</v>
      </c>
      <c r="F70" s="20" t="str">
        <f>IF(H70=0, "",(H42-3.6-3.6-2.5))</f>
        <v/>
      </c>
      <c r="G70" s="20" t="str">
        <f>IF(H70=0, "",(I46-6))</f>
        <v/>
      </c>
      <c r="H70" s="20">
        <f>G46*C40</f>
        <v>0</v>
      </c>
      <c r="I70" s="20">
        <f ca="1">HLOOKUP(D70, materials[], 2,FALSE)</f>
        <v>2</v>
      </c>
      <c r="J70" s="20"/>
      <c r="K70" s="20" t="b">
        <v>1</v>
      </c>
    </row>
    <row r="71" spans="1:12" x14ac:dyDescent="0.3">
      <c r="A71" s="35">
        <v>3</v>
      </c>
      <c r="B71" s="3" t="str">
        <f>B58</f>
        <v>دواليب منوع /فرن /أدراج</v>
      </c>
      <c r="C71" s="20">
        <f t="shared" si="2"/>
        <v>13</v>
      </c>
      <c r="D71" s="20" t="str">
        <f ca="1">H54</f>
        <v>HPL</v>
      </c>
      <c r="E71" s="20" t="s">
        <v>91</v>
      </c>
      <c r="F71" s="20" t="str">
        <f>IF(H71=0, "",D42)</f>
        <v/>
      </c>
      <c r="G71" s="20" t="str">
        <f>IF(H71=0, "",(I46-6))</f>
        <v/>
      </c>
      <c r="H71" s="20">
        <f>2*G46*C40</f>
        <v>0</v>
      </c>
      <c r="I71" s="20">
        <f ca="1">HLOOKUP(D71, materials[], 2,FALSE)</f>
        <v>2</v>
      </c>
      <c r="J71" s="20"/>
      <c r="K71" s="20" t="b">
        <v>1</v>
      </c>
    </row>
    <row r="72" spans="1:12" x14ac:dyDescent="0.3">
      <c r="A72" s="35">
        <v>3</v>
      </c>
      <c r="B72" s="3" t="str">
        <f>B58</f>
        <v>دواليب منوع /فرن /أدراج</v>
      </c>
      <c r="C72" s="20">
        <f t="shared" si="2"/>
        <v>14</v>
      </c>
      <c r="D72" s="20" t="str">
        <f ca="1">H54</f>
        <v>HPL</v>
      </c>
      <c r="E72" s="20" t="s">
        <v>92</v>
      </c>
      <c r="F72" s="20" t="str">
        <f>IF(H72=0, "",(H42-3.6-3.6-2.5))</f>
        <v/>
      </c>
      <c r="G72" s="20" t="str">
        <f>IF(H72=0, "",(I46-6-3))</f>
        <v/>
      </c>
      <c r="H72" s="20">
        <f>G46*C40</f>
        <v>0</v>
      </c>
      <c r="I72" s="20">
        <f ca="1">HLOOKUP(D72, materials[], 2,FALSE)</f>
        <v>2</v>
      </c>
      <c r="J72" s="20"/>
      <c r="K72" s="20" t="b">
        <v>1</v>
      </c>
    </row>
    <row r="73" spans="1:12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L73" s="3">
        <f>IF(H74=0, "",(I44-0.5-G42))</f>
        <v>16</v>
      </c>
    </row>
    <row r="74" spans="1:12" x14ac:dyDescent="0.3">
      <c r="A74" s="35">
        <v>4</v>
      </c>
      <c r="B74" s="3" t="str">
        <f>B58</f>
        <v>دواليب منوع /فرن /أدراج</v>
      </c>
      <c r="C74" s="9">
        <f>C72+1</f>
        <v>15</v>
      </c>
      <c r="D74" s="9" t="str">
        <f ca="1">F54</f>
        <v>يوفيلاك</v>
      </c>
      <c r="E74" s="9" t="s">
        <v>95</v>
      </c>
      <c r="F74" s="9">
        <f>IF(H74=0, "",(I44-0.5-G42))</f>
        <v>16</v>
      </c>
      <c r="G74" s="9">
        <f>IF(H74=0, "",(H42-0.5))</f>
        <v>59.5</v>
      </c>
      <c r="H74" s="9">
        <f>G44*C40</f>
        <v>1</v>
      </c>
      <c r="I74" s="9">
        <f ca="1">HLOOKUP(D74, materials[], 2,FALSE)</f>
        <v>6</v>
      </c>
      <c r="J74" s="9"/>
      <c r="K74" s="9" t="b">
        <v>1</v>
      </c>
      <c r="L74" s="3" t="e">
        <f>IF(H75=0, "",(I45-0.5-G43))</f>
        <v>#VALUE!</v>
      </c>
    </row>
    <row r="75" spans="1:12" x14ac:dyDescent="0.3">
      <c r="A75" s="35">
        <v>4</v>
      </c>
      <c r="B75" s="3" t="str">
        <f>B58</f>
        <v>دواليب منوع /فرن /أدراج</v>
      </c>
      <c r="C75" s="9">
        <f t="shared" ref="C75:C82" si="3">C74+1</f>
        <v>16</v>
      </c>
      <c r="D75" s="9" t="str">
        <f ca="1">F54</f>
        <v>يوفيلاك</v>
      </c>
      <c r="E75" s="9" t="s">
        <v>96</v>
      </c>
      <c r="F75" s="9">
        <f>IF(H75=0, "",(I45-0.5-G42))</f>
        <v>16</v>
      </c>
      <c r="G75" s="9">
        <f>IF(H75=0, "",(H42-0.5))</f>
        <v>59.5</v>
      </c>
      <c r="H75" s="9">
        <f>G45*C40</f>
        <v>1</v>
      </c>
      <c r="I75" s="9">
        <f ca="1">HLOOKUP(D75, materials[], 2,FALSE)</f>
        <v>6</v>
      </c>
      <c r="J75" s="9"/>
      <c r="K75" s="9" t="b">
        <v>1</v>
      </c>
      <c r="L75" s="3" t="str">
        <f>IF(H76=0, "",(I46-0.5-G44))</f>
        <v/>
      </c>
    </row>
    <row r="76" spans="1:12" x14ac:dyDescent="0.3">
      <c r="A76" s="35">
        <v>4</v>
      </c>
      <c r="B76" s="3" t="str">
        <f>B58</f>
        <v>دواليب منوع /فرن /أدراج</v>
      </c>
      <c r="C76" s="9">
        <f t="shared" si="3"/>
        <v>17</v>
      </c>
      <c r="D76" s="9" t="str">
        <f ca="1">F54</f>
        <v>يوفيلاك</v>
      </c>
      <c r="E76" s="9" t="s">
        <v>97</v>
      </c>
      <c r="F76" s="9" t="str">
        <f>IF(H76=0, "",(I46-0.5-G42))</f>
        <v/>
      </c>
      <c r="G76" s="9" t="str">
        <f>IF(H76=0, "",(H42-0.5))</f>
        <v/>
      </c>
      <c r="H76" s="9">
        <f>G46*C40</f>
        <v>0</v>
      </c>
      <c r="I76" s="9">
        <f ca="1">HLOOKUP(D76, materials[], 2,FALSE)</f>
        <v>6</v>
      </c>
      <c r="J76" s="9"/>
      <c r="K76" s="9" t="b">
        <v>1</v>
      </c>
    </row>
    <row r="77" spans="1:12" x14ac:dyDescent="0.3">
      <c r="A77" s="35">
        <v>4</v>
      </c>
      <c r="B77" s="3" t="str">
        <f>B58</f>
        <v>دواليب منوع /فرن /أدراج</v>
      </c>
      <c r="C77" s="9">
        <f t="shared" si="3"/>
        <v>18</v>
      </c>
      <c r="D77" s="9" t="str">
        <f ca="1">F54</f>
        <v>يوفيلاك</v>
      </c>
      <c r="E77" s="9" t="s">
        <v>72</v>
      </c>
      <c r="F77" s="9" t="str">
        <f>IF(H77=0, "",(I47-0.5-G42))</f>
        <v/>
      </c>
      <c r="G77" s="9" t="str">
        <f>IF(H77=0, "",((H42/G47)-0.5))</f>
        <v/>
      </c>
      <c r="H77" s="9">
        <f>(G47+H47)*C40</f>
        <v>0</v>
      </c>
      <c r="I77" s="9">
        <f ca="1">HLOOKUP(D77, materials[], 2,FALSE)</f>
        <v>6</v>
      </c>
      <c r="J77" s="9"/>
      <c r="K77" s="9" t="b">
        <v>1</v>
      </c>
      <c r="L77" s="3">
        <f>IF(H78=0, "",(I48-0.5-G46))</f>
        <v>66.5</v>
      </c>
    </row>
    <row r="78" spans="1:12" x14ac:dyDescent="0.3">
      <c r="A78" s="35">
        <v>4</v>
      </c>
      <c r="B78" s="3" t="str">
        <f>B58</f>
        <v>دواليب منوع /فرن /أدراج</v>
      </c>
      <c r="C78" s="9">
        <f t="shared" si="3"/>
        <v>19</v>
      </c>
      <c r="D78" s="9" t="str">
        <f ca="1">F54</f>
        <v>يوفيلاك</v>
      </c>
      <c r="E78" s="9" t="s">
        <v>98</v>
      </c>
      <c r="F78" s="9">
        <f>IF(H78=0, "",(H42-0.5))</f>
        <v>59.5</v>
      </c>
      <c r="G78" s="24">
        <f>IF(H78=0, "",(I48-60.5))</f>
        <v>6.5</v>
      </c>
      <c r="H78" s="9">
        <f>G48*C40</f>
        <v>1</v>
      </c>
      <c r="I78" s="9">
        <f ca="1">HLOOKUP(D78, materials[], 2,FALSE)</f>
        <v>6</v>
      </c>
      <c r="J78" s="9"/>
      <c r="K78" s="9" t="b">
        <v>1</v>
      </c>
      <c r="L78" s="3" t="str">
        <f>IF(H79=0, "",(I49-0.5-G47))</f>
        <v/>
      </c>
    </row>
    <row r="79" spans="1:12" x14ac:dyDescent="0.3">
      <c r="A79" s="35">
        <v>4</v>
      </c>
      <c r="B79" s="3" t="str">
        <f>B58</f>
        <v>دواليب منوع /فرن /أدراج</v>
      </c>
      <c r="C79" s="9">
        <f t="shared" si="3"/>
        <v>20</v>
      </c>
      <c r="D79" s="9" t="str">
        <f ca="1">F54</f>
        <v>يوفيلاك</v>
      </c>
      <c r="E79" s="9" t="s">
        <v>99</v>
      </c>
      <c r="F79" s="9"/>
      <c r="G79" s="9"/>
      <c r="H79" s="9"/>
      <c r="I79" s="9">
        <f ca="1">HLOOKUP(D79, materials[], 2,FALSE)</f>
        <v>6</v>
      </c>
      <c r="J79" s="9"/>
      <c r="K79" s="9" t="b">
        <v>1</v>
      </c>
      <c r="L79" s="3" t="str">
        <f>IF(H80=0, "",(I50-0.5-G48))</f>
        <v/>
      </c>
    </row>
    <row r="80" spans="1:12" x14ac:dyDescent="0.3">
      <c r="A80" s="35">
        <v>4</v>
      </c>
      <c r="B80" s="3" t="str">
        <f>B58</f>
        <v>دواليب منوع /فرن /أدراج</v>
      </c>
      <c r="C80" s="9">
        <f t="shared" si="3"/>
        <v>21</v>
      </c>
      <c r="D80" s="9" t="str">
        <f ca="1">F54</f>
        <v>يوفيلاك</v>
      </c>
      <c r="E80" s="9" t="s">
        <v>100</v>
      </c>
      <c r="F80" s="9"/>
      <c r="G80" s="9"/>
      <c r="H80" s="9"/>
      <c r="I80" s="9">
        <f ca="1">HLOOKUP(D80, materials[], 2,FALSE)</f>
        <v>6</v>
      </c>
      <c r="J80" s="9"/>
      <c r="K80" s="9" t="b">
        <v>1</v>
      </c>
    </row>
    <row r="81" spans="1:11" x14ac:dyDescent="0.3">
      <c r="A81" s="35">
        <v>4</v>
      </c>
      <c r="B81" s="3" t="str">
        <f>B58</f>
        <v>دواليب منوع /فرن /أدراج</v>
      </c>
      <c r="C81" s="9">
        <f t="shared" si="3"/>
        <v>22</v>
      </c>
      <c r="D81" s="9" t="str">
        <f ca="1">F54</f>
        <v>يوفيلاك</v>
      </c>
      <c r="E81" s="9" t="s">
        <v>93</v>
      </c>
      <c r="F81" s="9">
        <f>IF(H81=0, "",(I50-0.5-G42))</f>
        <v>74</v>
      </c>
      <c r="G81" s="9">
        <f>IF(H81=0, "",((H42/G50)-0.5))</f>
        <v>29.5</v>
      </c>
      <c r="H81" s="9">
        <f>G50*C40</f>
        <v>2</v>
      </c>
      <c r="I81" s="9">
        <f ca="1">HLOOKUP(D81, materials[], 2,FALSE)</f>
        <v>6</v>
      </c>
      <c r="J81" s="9"/>
      <c r="K81" s="9" t="b">
        <v>1</v>
      </c>
    </row>
    <row r="82" spans="1:11" x14ac:dyDescent="0.3">
      <c r="A82" s="35">
        <v>4</v>
      </c>
      <c r="B82" s="3" t="str">
        <f>B58</f>
        <v>دواليب منوع /فرن /أدراج</v>
      </c>
      <c r="C82" s="9">
        <f t="shared" si="3"/>
        <v>23</v>
      </c>
      <c r="D82" s="9" t="str">
        <f ca="1">F54</f>
        <v>يوفيلاك</v>
      </c>
      <c r="E82" s="9" t="s">
        <v>94</v>
      </c>
      <c r="F82" s="9" t="str">
        <f>IF(H82=0, "",(I51-0.5-G42))</f>
        <v/>
      </c>
      <c r="G82" s="9" t="str">
        <f>IF(H82=0, "",((H42/G51)-0.5))</f>
        <v/>
      </c>
      <c r="H82" s="9">
        <f>G51*C40</f>
        <v>0</v>
      </c>
      <c r="I82" s="9">
        <f ca="1">HLOOKUP(D82, materials[], 2,FALSE)</f>
        <v>6</v>
      </c>
      <c r="J82" s="9"/>
      <c r="K82" s="9" t="b">
        <v>1</v>
      </c>
    </row>
    <row r="83" spans="1:11" x14ac:dyDescent="0.3">
      <c r="A83" s="35">
        <v>0</v>
      </c>
      <c r="B83"/>
      <c r="C83"/>
      <c r="D83"/>
      <c r="E83"/>
      <c r="F83"/>
      <c r="G83"/>
      <c r="H83"/>
      <c r="I83"/>
      <c r="J83"/>
      <c r="K83"/>
    </row>
    <row r="84" spans="1:11" x14ac:dyDescent="0.3">
      <c r="A84" s="35">
        <v>0</v>
      </c>
      <c r="B84"/>
      <c r="C84"/>
      <c r="D84"/>
      <c r="E84"/>
      <c r="F84"/>
      <c r="G84"/>
      <c r="H84"/>
      <c r="I84"/>
      <c r="J84"/>
      <c r="K84"/>
    </row>
    <row r="85" spans="1:11" x14ac:dyDescent="0.3">
      <c r="A85" s="35">
        <v>4</v>
      </c>
      <c r="B85" s="3" t="str">
        <f>B58</f>
        <v>دواليب منوع /فرن /أدراج</v>
      </c>
      <c r="C85" s="9">
        <f>C81+1</f>
        <v>23</v>
      </c>
      <c r="D85" s="9" t="s">
        <v>53</v>
      </c>
      <c r="E85" s="9" t="s">
        <v>74</v>
      </c>
      <c r="F85" s="9" t="str">
        <f>IF(H85=0, "",(I47-0.5-G42))</f>
        <v/>
      </c>
      <c r="G85" s="9" t="str">
        <f>IF(H85=0, "",((H42/G47)-0.5))</f>
        <v/>
      </c>
      <c r="H85" s="9">
        <f>H47*C40</f>
        <v>0</v>
      </c>
      <c r="I85" s="9"/>
      <c r="J85" s="9"/>
      <c r="K85" s="9" t="b">
        <v>1</v>
      </c>
    </row>
    <row r="86" spans="1:11" x14ac:dyDescent="0.3">
      <c r="A86" s="35">
        <v>4</v>
      </c>
      <c r="B86" s="3" t="str">
        <f>B58</f>
        <v>دواليب منوع /فرن /أدراج</v>
      </c>
      <c r="C86" s="9">
        <f>C85+1</f>
        <v>24</v>
      </c>
      <c r="D86" s="9" t="s">
        <v>53</v>
      </c>
      <c r="E86" s="9" t="s">
        <v>101</v>
      </c>
      <c r="F86" s="9" t="str">
        <f>IF(H86=0, "",(I50-0.5))</f>
        <v/>
      </c>
      <c r="G86" s="9" t="str">
        <f>IF(H86=0, "",((H42/H50)-0.5))</f>
        <v/>
      </c>
      <c r="H86" s="9">
        <f>H50*C40</f>
        <v>0</v>
      </c>
      <c r="I86" s="9"/>
      <c r="J86" s="9"/>
      <c r="K86" s="9" t="b">
        <v>1</v>
      </c>
    </row>
    <row r="87" spans="1:11" x14ac:dyDescent="0.3">
      <c r="A87" s="35">
        <v>4</v>
      </c>
      <c r="B87" s="3" t="str">
        <f>B58</f>
        <v>دواليب منوع /فرن /أدراج</v>
      </c>
      <c r="C87" s="9">
        <f>C86+1</f>
        <v>25</v>
      </c>
      <c r="D87" s="9" t="s">
        <v>53</v>
      </c>
      <c r="E87" s="9" t="s">
        <v>102</v>
      </c>
      <c r="F87" s="9" t="str">
        <f>IF(H87=0, "",(I51-0.5))</f>
        <v/>
      </c>
      <c r="G87" s="9" t="str">
        <f>IF(H87=0, "",((H42/H51)-0.5))</f>
        <v/>
      </c>
      <c r="H87" s="9">
        <f>H51*C40</f>
        <v>0</v>
      </c>
      <c r="I87" s="9"/>
      <c r="J87" s="9"/>
      <c r="K87" s="9" t="b">
        <v>1</v>
      </c>
    </row>
    <row r="88" spans="1:11" x14ac:dyDescent="0.3">
      <c r="A88" s="35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5">
        <v>5</v>
      </c>
      <c r="B89" s="3" t="str">
        <f>B58</f>
        <v>دواليب منوع /فرن /أدراج</v>
      </c>
      <c r="C89" s="19">
        <f>C86+1</f>
        <v>25</v>
      </c>
      <c r="D89" s="19" t="str">
        <f ca="1">D54</f>
        <v>ظهر</v>
      </c>
      <c r="E89" s="19" t="s">
        <v>58</v>
      </c>
      <c r="F89" s="19">
        <f>I42-2</f>
        <v>218</v>
      </c>
      <c r="G89" s="19">
        <f>H42-2</f>
        <v>58</v>
      </c>
      <c r="H89" s="19">
        <f>1*C40</f>
        <v>1</v>
      </c>
      <c r="I89" s="19">
        <f ca="1">HLOOKUP(D89, materials[], 2,FALSE)</f>
        <v>2</v>
      </c>
      <c r="J89" s="19"/>
      <c r="K89" s="19" t="b">
        <v>1</v>
      </c>
    </row>
    <row r="90" spans="1:11" x14ac:dyDescent="0.3">
      <c r="A90" s="35">
        <v>255</v>
      </c>
    </row>
    <row r="91" spans="1:11" x14ac:dyDescent="0.3">
      <c r="A91" s="35">
        <v>255</v>
      </c>
    </row>
    <row r="98" spans="2:10" ht="36" hidden="1" customHeight="1" x14ac:dyDescent="0.3">
      <c r="B98" s="3" t="str">
        <f>E98</f>
        <v xml:space="preserve">دواليب  تلبيسة دلفة /دلفتين </v>
      </c>
      <c r="C98" s="14">
        <v>2</v>
      </c>
      <c r="D98" s="22" t="s">
        <v>59</v>
      </c>
      <c r="E98" s="101" t="s">
        <v>66</v>
      </c>
      <c r="F98" s="102"/>
      <c r="G98" s="102"/>
      <c r="H98" s="103"/>
      <c r="I98" s="2" t="s">
        <v>30</v>
      </c>
      <c r="J98" s="2">
        <f>J40+1</f>
        <v>3</v>
      </c>
    </row>
    <row r="99" spans="2:10" ht="31.2" hidden="1" customHeight="1" x14ac:dyDescent="0.3">
      <c r="C99" s="7" t="s">
        <v>12</v>
      </c>
      <c r="D99" s="7"/>
      <c r="E99" s="7" t="s">
        <v>18</v>
      </c>
      <c r="F99" s="7" t="s">
        <v>16</v>
      </c>
      <c r="G99" s="7" t="s">
        <v>48</v>
      </c>
      <c r="H99" s="7" t="s">
        <v>22</v>
      </c>
      <c r="I99" s="7" t="s">
        <v>3</v>
      </c>
      <c r="J99" s="7" t="s">
        <v>2</v>
      </c>
    </row>
    <row r="100" spans="2:10" ht="15.6" hidden="1" customHeight="1" x14ac:dyDescent="0.3">
      <c r="C100" s="8">
        <v>2</v>
      </c>
      <c r="D100" s="8"/>
      <c r="E100" s="8">
        <v>1</v>
      </c>
      <c r="F100" s="8">
        <v>3.5</v>
      </c>
      <c r="G100" s="8"/>
      <c r="H100" s="8">
        <v>120</v>
      </c>
      <c r="I100" s="8">
        <v>80</v>
      </c>
      <c r="J100" s="8">
        <v>30</v>
      </c>
    </row>
    <row r="101" spans="2:10" ht="15.6" hidden="1" customHeight="1" x14ac:dyDescent="0.3">
      <c r="C101" s="9" t="b">
        <f>C100=0</f>
        <v>0</v>
      </c>
      <c r="D101" s="9" t="b">
        <f>E100=0</f>
        <v>0</v>
      </c>
      <c r="E101" s="3" t="b">
        <f>_xlfn.XOR(I100&lt;=50,E100=1)</f>
        <v>1</v>
      </c>
      <c r="F101" s="108" t="b">
        <f>NOT(AND(F100&gt;0,G100&gt;0))</f>
        <v>1</v>
      </c>
      <c r="G101" s="108"/>
      <c r="I101" s="3" t="b">
        <f>_xlfn.XOR(I100&lt;=50,C102=2)</f>
        <v>0</v>
      </c>
    </row>
    <row r="102" spans="2:10" ht="24" hidden="1" customHeight="1" x14ac:dyDescent="0.3">
      <c r="C102" s="108">
        <f>C100+E100</f>
        <v>3</v>
      </c>
      <c r="D102" s="108"/>
      <c r="E102" s="33"/>
      <c r="F102" s="111" t="str">
        <f>IF(F101,"المقابض مظبوطة","مينفعش مقبض مخفي مع بيلت ان")</f>
        <v>المقابض مظبوطة</v>
      </c>
      <c r="G102" s="111"/>
      <c r="H102" s="23"/>
      <c r="I102" s="33" t="str">
        <f>IF(I101,"عدد الدلف صحيح","عدد الدلف غير صحيح")</f>
        <v>عدد الدلف غير صحيح</v>
      </c>
      <c r="J102" s="31"/>
    </row>
    <row r="103" spans="2:10" ht="15.6" hidden="1" customHeight="1" x14ac:dyDescent="0.3">
      <c r="C103" s="108" t="b">
        <f>C102&lt;=2</f>
        <v>0</v>
      </c>
      <c r="D103" s="108"/>
      <c r="E103" s="1"/>
    </row>
    <row r="104" spans="2:10" ht="15.6" hidden="1" customHeight="1" x14ac:dyDescent="0.3">
      <c r="C104" s="6" t="s">
        <v>4</v>
      </c>
      <c r="D104" s="6" t="s">
        <v>9</v>
      </c>
      <c r="E104" s="6" t="s">
        <v>5</v>
      </c>
      <c r="F104" s="6" t="s">
        <v>7</v>
      </c>
      <c r="G104" s="6" t="s">
        <v>1</v>
      </c>
      <c r="H104" s="6" t="s">
        <v>6</v>
      </c>
      <c r="I104" s="6" t="s">
        <v>33</v>
      </c>
      <c r="J104" s="6" t="s">
        <v>8</v>
      </c>
    </row>
    <row r="105" spans="2:10" ht="15.6" hidden="1" customHeight="1" x14ac:dyDescent="0.3">
      <c r="C105" s="6"/>
      <c r="D105" s="6"/>
      <c r="E105" s="6"/>
      <c r="F105" s="6"/>
      <c r="G105" s="6"/>
      <c r="H105" s="6"/>
      <c r="I105" s="6"/>
      <c r="J105" s="6"/>
    </row>
    <row r="106" spans="2:10" ht="15.6" hidden="1" customHeight="1" x14ac:dyDescent="0.3">
      <c r="C106" s="6">
        <v>1</v>
      </c>
      <c r="D106" s="6">
        <f>H7</f>
        <v>0</v>
      </c>
      <c r="E106" s="6" t="s">
        <v>49</v>
      </c>
      <c r="F106" s="6">
        <f>H100-3.6</f>
        <v>116.4</v>
      </c>
      <c r="G106" s="6">
        <f>J100</f>
        <v>30</v>
      </c>
      <c r="H106" s="6">
        <f>1*C98</f>
        <v>2</v>
      </c>
      <c r="I106" s="6">
        <f>F7</f>
        <v>0</v>
      </c>
      <c r="J106" s="6"/>
    </row>
    <row r="107" spans="2:10" ht="15.6" hidden="1" customHeight="1" x14ac:dyDescent="0.3">
      <c r="C107" s="6">
        <f t="shared" ref="C107:C110" si="4">C106+1</f>
        <v>2</v>
      </c>
      <c r="D107" s="6">
        <f>D106</f>
        <v>0</v>
      </c>
      <c r="E107" s="6" t="s">
        <v>10</v>
      </c>
      <c r="F107" s="6">
        <f>H100-3.6</f>
        <v>116.4</v>
      </c>
      <c r="G107" s="6">
        <f>J100-G100</f>
        <v>30</v>
      </c>
      <c r="H107" s="6">
        <f>1*C98</f>
        <v>2</v>
      </c>
      <c r="I107" s="6">
        <f>I106</f>
        <v>0</v>
      </c>
      <c r="J107" s="6"/>
    </row>
    <row r="108" spans="2:10" ht="15.6" hidden="1" customHeight="1" x14ac:dyDescent="0.3">
      <c r="C108" s="6">
        <f t="shared" si="4"/>
        <v>3</v>
      </c>
      <c r="D108" s="6">
        <f>D106</f>
        <v>0</v>
      </c>
      <c r="E108" s="6" t="s">
        <v>11</v>
      </c>
      <c r="F108" s="6">
        <f>I100</f>
        <v>80</v>
      </c>
      <c r="G108" s="6">
        <f>J100</f>
        <v>30</v>
      </c>
      <c r="H108" s="6">
        <f>2*C98</f>
        <v>4</v>
      </c>
      <c r="I108" s="6">
        <f>I106</f>
        <v>0</v>
      </c>
      <c r="J108" s="6"/>
    </row>
    <row r="109" spans="2:10" ht="15.6" hidden="1" customHeight="1" x14ac:dyDescent="0.3">
      <c r="C109" s="6">
        <f t="shared" si="4"/>
        <v>4</v>
      </c>
      <c r="D109" s="6">
        <f>D106</f>
        <v>0</v>
      </c>
      <c r="E109" s="6" t="s">
        <v>17</v>
      </c>
      <c r="F109" s="6">
        <f>H100-3.8</f>
        <v>116.2</v>
      </c>
      <c r="G109" s="6">
        <f>J100-6</f>
        <v>24</v>
      </c>
      <c r="H109" s="6">
        <f>E100*C98</f>
        <v>2</v>
      </c>
      <c r="I109" s="6">
        <f>I106</f>
        <v>0</v>
      </c>
      <c r="J109" s="6"/>
    </row>
    <row r="110" spans="2:10" ht="15.6" hidden="1" customHeight="1" x14ac:dyDescent="0.3">
      <c r="C110" s="6">
        <f t="shared" si="4"/>
        <v>5</v>
      </c>
      <c r="D110" s="6">
        <f>D106</f>
        <v>0</v>
      </c>
      <c r="E110" s="6" t="s">
        <v>24</v>
      </c>
      <c r="F110" s="6">
        <f>I100</f>
        <v>80</v>
      </c>
      <c r="G110" s="6">
        <f>J100</f>
        <v>30</v>
      </c>
      <c r="H110" s="6">
        <f>1*C98</f>
        <v>2</v>
      </c>
      <c r="I110" s="6">
        <f>I106</f>
        <v>0</v>
      </c>
      <c r="J110" s="6"/>
    </row>
    <row r="111" spans="2:10" ht="15.6" hidden="1" customHeight="1" x14ac:dyDescent="0.3">
      <c r="C111" s="6"/>
      <c r="D111" s="6"/>
      <c r="E111" s="6"/>
      <c r="F111" s="6"/>
      <c r="G111" s="6"/>
      <c r="H111" s="6"/>
      <c r="I111" s="6"/>
      <c r="J111" s="6"/>
    </row>
    <row r="112" spans="2:10" ht="15.6" hidden="1" customHeight="1" x14ac:dyDescent="0.3">
      <c r="C112" s="9">
        <f>C110+1</f>
        <v>6</v>
      </c>
      <c r="D112" s="9">
        <f>H8</f>
        <v>0</v>
      </c>
      <c r="E112" s="9" t="s">
        <v>15</v>
      </c>
      <c r="F112" s="9">
        <f>I100-0.5-F100</f>
        <v>76</v>
      </c>
      <c r="G112" s="9">
        <f>(H100-J100-G113)/C100-0.5</f>
        <v>42.5</v>
      </c>
      <c r="H112" s="9">
        <f>C100*C98</f>
        <v>4</v>
      </c>
      <c r="I112" s="9">
        <f>F8</f>
        <v>0</v>
      </c>
      <c r="J112" s="9"/>
    </row>
    <row r="113" spans="2:10" ht="15.6" hidden="1" customHeight="1" x14ac:dyDescent="0.3">
      <c r="C113" s="9">
        <f t="shared" ref="C113:C114" si="5">C112+1</f>
        <v>7</v>
      </c>
      <c r="D113" s="9">
        <f>D112</f>
        <v>0</v>
      </c>
      <c r="E113" s="9" t="s">
        <v>25</v>
      </c>
      <c r="F113" s="9">
        <f>I100</f>
        <v>80</v>
      </c>
      <c r="G113" s="9">
        <v>4</v>
      </c>
      <c r="H113" s="9">
        <f>1*C98</f>
        <v>2</v>
      </c>
      <c r="I113" s="9">
        <f>I112</f>
        <v>0</v>
      </c>
      <c r="J113" s="9"/>
    </row>
    <row r="114" spans="2:10" ht="15.6" hidden="1" customHeight="1" x14ac:dyDescent="0.3">
      <c r="C114" s="9">
        <f t="shared" si="5"/>
        <v>8</v>
      </c>
      <c r="D114" s="9">
        <f>D113</f>
        <v>0</v>
      </c>
      <c r="E114" s="9"/>
      <c r="F114" s="9"/>
      <c r="G114" s="9"/>
      <c r="H114" s="9"/>
      <c r="I114" s="9"/>
      <c r="J114" s="9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19">
        <f>C114+1</f>
        <v>9</v>
      </c>
      <c r="D116" s="19" t="s">
        <v>58</v>
      </c>
      <c r="E116" s="19" t="s">
        <v>58</v>
      </c>
      <c r="F116" s="19">
        <f>I100-2</f>
        <v>78</v>
      </c>
      <c r="G116" s="19">
        <f>H100-2</f>
        <v>118</v>
      </c>
      <c r="H116" s="19">
        <f>1*C98</f>
        <v>2</v>
      </c>
      <c r="I116" s="19">
        <f>F9</f>
        <v>0</v>
      </c>
      <c r="J116" s="19"/>
    </row>
    <row r="117" spans="2:10" ht="15.6" hidden="1" customHeight="1" x14ac:dyDescent="0.3"/>
    <row r="118" spans="2:10" ht="36" hidden="1" customHeight="1" x14ac:dyDescent="0.3">
      <c r="B118" s="3" t="str">
        <f>E118</f>
        <v>دواليب  زاوية 90</v>
      </c>
      <c r="C118" s="14">
        <v>1</v>
      </c>
      <c r="D118" s="22" t="s">
        <v>59</v>
      </c>
      <c r="E118" s="101" t="s">
        <v>67</v>
      </c>
      <c r="F118" s="102"/>
      <c r="G118" s="102"/>
      <c r="H118" s="103"/>
      <c r="I118" s="2" t="s">
        <v>30</v>
      </c>
      <c r="J118" s="2">
        <f>J98+1</f>
        <v>4</v>
      </c>
    </row>
    <row r="119" spans="2:10" ht="31.2" hidden="1" customHeight="1" x14ac:dyDescent="0.3">
      <c r="C119" s="7"/>
      <c r="D119" s="7" t="s">
        <v>18</v>
      </c>
      <c r="E119" s="7"/>
      <c r="F119" s="7" t="s">
        <v>16</v>
      </c>
      <c r="G119" s="7" t="s">
        <v>48</v>
      </c>
      <c r="H119" s="7" t="s">
        <v>22</v>
      </c>
      <c r="I119" s="7" t="s">
        <v>3</v>
      </c>
      <c r="J119" s="7" t="s">
        <v>2</v>
      </c>
    </row>
    <row r="120" spans="2:10" ht="15.6" hidden="1" customHeight="1" x14ac:dyDescent="0.3">
      <c r="C120" s="8"/>
      <c r="D120" s="8">
        <v>2</v>
      </c>
      <c r="E120" s="8"/>
      <c r="F120" s="8">
        <v>3.5</v>
      </c>
      <c r="G120" s="8"/>
      <c r="H120" s="8">
        <v>70</v>
      </c>
      <c r="I120" s="8">
        <v>80</v>
      </c>
      <c r="J120" s="8">
        <v>30</v>
      </c>
    </row>
    <row r="121" spans="2:10" ht="15.6" hidden="1" customHeight="1" x14ac:dyDescent="0.3">
      <c r="C121" s="12"/>
      <c r="D121" s="12"/>
      <c r="E121" s="12"/>
      <c r="F121" s="108" t="b">
        <f>NOT(AND(F120&gt;0,G120&gt;0))</f>
        <v>1</v>
      </c>
      <c r="G121" s="108"/>
      <c r="H121" s="8">
        <v>70</v>
      </c>
      <c r="I121" s="8">
        <v>80</v>
      </c>
      <c r="J121" s="8">
        <v>30</v>
      </c>
    </row>
    <row r="122" spans="2:10" ht="15.6" hidden="1" customHeight="1" x14ac:dyDescent="0.3">
      <c r="F122" s="111" t="str">
        <f>IF(F121,"المقابض مظبوطة","مينفعش مقبض مخفي مع بيلت ان")</f>
        <v>المقابض مظبوطة</v>
      </c>
      <c r="G122" s="111"/>
    </row>
    <row r="123" spans="2:10" ht="15.6" hidden="1" customHeight="1" x14ac:dyDescent="0.3"/>
    <row r="124" spans="2:10" ht="15.6" hidden="1" customHeight="1" x14ac:dyDescent="0.3">
      <c r="C124" s="6" t="s">
        <v>4</v>
      </c>
      <c r="D124" s="6" t="s">
        <v>9</v>
      </c>
      <c r="E124" s="6" t="s">
        <v>5</v>
      </c>
      <c r="F124" s="6" t="s">
        <v>7</v>
      </c>
      <c r="G124" s="6" t="s">
        <v>1</v>
      </c>
      <c r="H124" s="6" t="s">
        <v>6</v>
      </c>
      <c r="I124" s="6" t="s">
        <v>33</v>
      </c>
      <c r="J124" s="6" t="s">
        <v>8</v>
      </c>
    </row>
    <row r="125" spans="2:10" ht="15.6" hidden="1" customHeight="1" x14ac:dyDescent="0.3">
      <c r="C125" s="6"/>
      <c r="D125" s="6"/>
      <c r="E125" s="6"/>
      <c r="F125" s="6"/>
      <c r="G125" s="6"/>
      <c r="H125" s="6"/>
      <c r="I125" s="6"/>
      <c r="J125" s="6"/>
    </row>
    <row r="126" spans="2:10" ht="15.6" hidden="1" customHeight="1" x14ac:dyDescent="0.3">
      <c r="C126" s="6">
        <v>1</v>
      </c>
      <c r="D126" s="6">
        <f>H7</f>
        <v>0</v>
      </c>
      <c r="E126" s="6" t="s">
        <v>49</v>
      </c>
      <c r="F126" s="6">
        <f>H120-1.8</f>
        <v>68.2</v>
      </c>
      <c r="G126" s="6">
        <f>H121-1.8</f>
        <v>68.2</v>
      </c>
      <c r="H126" s="6">
        <f>1*C118</f>
        <v>1</v>
      </c>
      <c r="I126" s="6">
        <f>F7</f>
        <v>0</v>
      </c>
      <c r="J126" s="6"/>
    </row>
    <row r="127" spans="2:10" ht="15.6" hidden="1" customHeight="1" x14ac:dyDescent="0.3">
      <c r="C127" s="6">
        <f>C126+1</f>
        <v>2</v>
      </c>
      <c r="D127" s="6">
        <f>D126</f>
        <v>0</v>
      </c>
      <c r="E127" s="6" t="s">
        <v>10</v>
      </c>
      <c r="F127" s="6">
        <f>H120-1.8</f>
        <v>68.2</v>
      </c>
      <c r="G127" s="6">
        <f>H121-1.8</f>
        <v>68.2</v>
      </c>
      <c r="H127" s="6">
        <f>1*C118</f>
        <v>1</v>
      </c>
      <c r="I127" s="6">
        <f>I126</f>
        <v>0</v>
      </c>
      <c r="J127" s="6"/>
    </row>
    <row r="128" spans="2:10" ht="15.6" hidden="1" customHeight="1" x14ac:dyDescent="0.3">
      <c r="C128" s="6">
        <f>C127+1</f>
        <v>3</v>
      </c>
      <c r="D128" s="6">
        <f>D126</f>
        <v>0</v>
      </c>
      <c r="E128" s="6" t="s">
        <v>62</v>
      </c>
      <c r="F128" s="6">
        <f>I120</f>
        <v>80</v>
      </c>
      <c r="G128" s="6">
        <f>J120</f>
        <v>30</v>
      </c>
      <c r="H128" s="6">
        <f>1*C118</f>
        <v>1</v>
      </c>
      <c r="I128" s="6">
        <f>I126</f>
        <v>0</v>
      </c>
      <c r="J128" s="6"/>
    </row>
    <row r="129" spans="2:10" ht="15.6" hidden="1" customHeight="1" x14ac:dyDescent="0.3">
      <c r="C129" s="6">
        <f>C128+1</f>
        <v>4</v>
      </c>
      <c r="D129" s="6">
        <f>D126</f>
        <v>0</v>
      </c>
      <c r="E129" s="6" t="s">
        <v>63</v>
      </c>
      <c r="F129" s="6">
        <f>I121</f>
        <v>80</v>
      </c>
      <c r="G129" s="6">
        <f>J121</f>
        <v>30</v>
      </c>
      <c r="H129" s="6">
        <f>1*C118</f>
        <v>1</v>
      </c>
      <c r="I129" s="6">
        <f>I126</f>
        <v>0</v>
      </c>
      <c r="J129" s="6"/>
    </row>
    <row r="130" spans="2:10" ht="15.6" hidden="1" customHeight="1" x14ac:dyDescent="0.3">
      <c r="C130" s="6">
        <f>C129+1</f>
        <v>5</v>
      </c>
      <c r="D130" s="6">
        <f>D126</f>
        <v>0</v>
      </c>
      <c r="E130" s="6" t="s">
        <v>27</v>
      </c>
      <c r="F130" s="6">
        <f>I120</f>
        <v>80</v>
      </c>
      <c r="G130" s="6">
        <v>10</v>
      </c>
      <c r="H130" s="6">
        <f>1*C118</f>
        <v>1</v>
      </c>
      <c r="I130" s="6">
        <f>I126</f>
        <v>0</v>
      </c>
      <c r="J130" s="6"/>
    </row>
    <row r="131" spans="2:10" ht="15.6" hidden="1" customHeight="1" x14ac:dyDescent="0.3">
      <c r="C131" s="6">
        <f t="shared" ref="C131" si="6">C130+1</f>
        <v>6</v>
      </c>
      <c r="D131" s="6">
        <f>D126</f>
        <v>0</v>
      </c>
      <c r="E131" s="6" t="s">
        <v>17</v>
      </c>
      <c r="F131" s="6">
        <f>H120-3.8</f>
        <v>66.2</v>
      </c>
      <c r="G131" s="6">
        <f>H121-3.8</f>
        <v>66.2</v>
      </c>
      <c r="H131" s="6">
        <f>D120*C118</f>
        <v>2</v>
      </c>
      <c r="I131" s="6">
        <f>I126</f>
        <v>0</v>
      </c>
      <c r="J131" s="6"/>
    </row>
    <row r="132" spans="2:10" ht="15.6" hidden="1" customHeight="1" x14ac:dyDescent="0.3">
      <c r="C132" s="6"/>
      <c r="D132" s="6"/>
      <c r="E132" s="6"/>
      <c r="F132" s="6"/>
      <c r="G132" s="6"/>
      <c r="H132" s="6"/>
      <c r="I132" s="6"/>
      <c r="J132" s="6"/>
    </row>
    <row r="133" spans="2:10" ht="15.6" hidden="1" customHeight="1" x14ac:dyDescent="0.3">
      <c r="C133" s="9">
        <f>C131+1</f>
        <v>7</v>
      </c>
      <c r="D133" s="9">
        <f>H8</f>
        <v>0</v>
      </c>
      <c r="E133" s="9" t="s">
        <v>28</v>
      </c>
      <c r="F133" s="9">
        <f>I120-0.5-F120</f>
        <v>76</v>
      </c>
      <c r="G133" s="9">
        <f>H120-J120-3</f>
        <v>37</v>
      </c>
      <c r="H133" s="9">
        <f>1*C118</f>
        <v>1</v>
      </c>
      <c r="I133" s="9">
        <f>F8</f>
        <v>0</v>
      </c>
      <c r="J133" s="9"/>
    </row>
    <row r="134" spans="2:10" ht="15.6" hidden="1" customHeight="1" x14ac:dyDescent="0.3">
      <c r="C134" s="9">
        <f t="shared" ref="C134" si="7">C133+1</f>
        <v>8</v>
      </c>
      <c r="D134" s="9">
        <f>D133</f>
        <v>0</v>
      </c>
      <c r="E134" s="9" t="s">
        <v>41</v>
      </c>
      <c r="F134" s="9">
        <f>I121-0.5-F120</f>
        <v>76</v>
      </c>
      <c r="G134" s="9">
        <f>H121-J121-3</f>
        <v>37</v>
      </c>
      <c r="H134" s="9">
        <f>1*C118</f>
        <v>1</v>
      </c>
      <c r="I134" s="9">
        <f>I133</f>
        <v>0</v>
      </c>
      <c r="J134" s="9"/>
    </row>
    <row r="135" spans="2:10" ht="15.6" hidden="1" customHeight="1" x14ac:dyDescent="0.3">
      <c r="C135" s="6"/>
      <c r="D135" s="6"/>
      <c r="E135" s="6"/>
      <c r="F135" s="6"/>
      <c r="G135" s="6"/>
      <c r="H135" s="6"/>
      <c r="I135" s="6"/>
      <c r="J135" s="6"/>
    </row>
    <row r="136" spans="2:10" ht="15.6" hidden="1" customHeight="1" x14ac:dyDescent="0.3">
      <c r="C136" s="19">
        <f>C134+1</f>
        <v>9</v>
      </c>
      <c r="D136" s="19" t="s">
        <v>58</v>
      </c>
      <c r="E136" s="19" t="s">
        <v>58</v>
      </c>
      <c r="F136" s="19">
        <f>I120-2</f>
        <v>78</v>
      </c>
      <c r="G136" s="19">
        <f>H120-2</f>
        <v>68</v>
      </c>
      <c r="H136" s="19">
        <f>2*C118</f>
        <v>2</v>
      </c>
      <c r="I136" s="19">
        <f>F9</f>
        <v>0</v>
      </c>
      <c r="J136" s="19"/>
    </row>
    <row r="137" spans="2:10" ht="15.6" hidden="1" customHeight="1" x14ac:dyDescent="0.3"/>
    <row r="138" spans="2:10" ht="36" hidden="1" customHeight="1" x14ac:dyDescent="0.3">
      <c r="B138" s="3" t="str">
        <f>E138</f>
        <v>دواليب  ركنة 45</v>
      </c>
      <c r="C138" s="14">
        <v>2</v>
      </c>
      <c r="D138" s="22" t="s">
        <v>59</v>
      </c>
      <c r="E138" s="101" t="s">
        <v>68</v>
      </c>
      <c r="F138" s="102"/>
      <c r="G138" s="102"/>
      <c r="H138" s="103"/>
      <c r="I138" s="2" t="s">
        <v>30</v>
      </c>
      <c r="J138" s="2">
        <f>J118+1</f>
        <v>5</v>
      </c>
    </row>
    <row r="139" spans="2:10" ht="31.2" hidden="1" customHeight="1" x14ac:dyDescent="0.3">
      <c r="C139" s="7"/>
      <c r="D139" s="7" t="s">
        <v>18</v>
      </c>
      <c r="E139" s="7"/>
      <c r="F139" s="7" t="s">
        <v>16</v>
      </c>
      <c r="G139" s="7" t="s">
        <v>48</v>
      </c>
      <c r="H139" s="7" t="s">
        <v>22</v>
      </c>
      <c r="I139" s="7" t="s">
        <v>3</v>
      </c>
      <c r="J139" s="7" t="s">
        <v>2</v>
      </c>
    </row>
    <row r="140" spans="2:10" ht="15.6" hidden="1" customHeight="1" x14ac:dyDescent="0.3">
      <c r="C140" s="8"/>
      <c r="D140" s="8">
        <v>1</v>
      </c>
      <c r="E140" s="8"/>
      <c r="F140" s="8">
        <v>3.5</v>
      </c>
      <c r="G140" s="8"/>
      <c r="H140" s="8">
        <v>60</v>
      </c>
      <c r="I140" s="8">
        <v>80</v>
      </c>
      <c r="J140" s="8">
        <v>30</v>
      </c>
    </row>
    <row r="141" spans="2:10" ht="15.6" hidden="1" customHeight="1" x14ac:dyDescent="0.3">
      <c r="C141" s="12"/>
      <c r="D141" s="12"/>
      <c r="E141" s="12"/>
      <c r="F141" s="108" t="b">
        <f>NOT(AND(F140&gt;0,G140&gt;0))</f>
        <v>1</v>
      </c>
      <c r="G141" s="108"/>
      <c r="H141" s="8">
        <v>60</v>
      </c>
      <c r="I141" s="8">
        <v>80</v>
      </c>
      <c r="J141" s="8">
        <v>30</v>
      </c>
    </row>
    <row r="142" spans="2:10" ht="15.6" hidden="1" customHeight="1" x14ac:dyDescent="0.3">
      <c r="F142" s="111" t="str">
        <f>IF(F141,"المقابض مظبوطة","مينفعش مقبض مخفي مع بيلت ان")</f>
        <v>المقابض مظبوطة</v>
      </c>
      <c r="G142" s="111"/>
    </row>
    <row r="143" spans="2:10" ht="15.6" hidden="1" customHeight="1" x14ac:dyDescent="0.3"/>
    <row r="144" spans="2:10" ht="15.6" hidden="1" customHeight="1" x14ac:dyDescent="0.3"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33</v>
      </c>
      <c r="J144" s="6" t="s">
        <v>8</v>
      </c>
    </row>
    <row r="145" spans="1:54" ht="15.6" hidden="1" customHeight="1" x14ac:dyDescent="0.3">
      <c r="C145" s="6"/>
      <c r="D145" s="6"/>
      <c r="E145" s="6"/>
      <c r="F145" s="6"/>
      <c r="G145" s="6"/>
      <c r="H145" s="6"/>
      <c r="I145" s="6"/>
      <c r="J145" s="6"/>
    </row>
    <row r="146" spans="1:54" ht="15.6" hidden="1" customHeight="1" x14ac:dyDescent="0.3">
      <c r="C146" s="6">
        <v>1</v>
      </c>
      <c r="D146" s="6">
        <f>H7</f>
        <v>0</v>
      </c>
      <c r="E146" s="6" t="s">
        <v>49</v>
      </c>
      <c r="F146" s="6">
        <f>H140-1.8</f>
        <v>58.2</v>
      </c>
      <c r="G146" s="6">
        <f>H141-1.8</f>
        <v>58.2</v>
      </c>
      <c r="H146" s="6">
        <f>1*C138</f>
        <v>2</v>
      </c>
      <c r="I146" s="6">
        <f>F7</f>
        <v>0</v>
      </c>
      <c r="J146" s="6"/>
    </row>
    <row r="147" spans="1:54" ht="15.6" hidden="1" customHeight="1" x14ac:dyDescent="0.3">
      <c r="C147" s="6">
        <f>C146+1</f>
        <v>2</v>
      </c>
      <c r="D147" s="6">
        <f>D146</f>
        <v>0</v>
      </c>
      <c r="E147" s="6" t="s">
        <v>10</v>
      </c>
      <c r="F147" s="6">
        <f>H140-1.8</f>
        <v>58.2</v>
      </c>
      <c r="G147" s="6">
        <f>H141-1.8</f>
        <v>58.2</v>
      </c>
      <c r="H147" s="6">
        <f>1*C138</f>
        <v>2</v>
      </c>
      <c r="I147" s="6">
        <f>I146</f>
        <v>0</v>
      </c>
      <c r="J147" s="6"/>
    </row>
    <row r="148" spans="1:54" ht="15.6" hidden="1" customHeight="1" x14ac:dyDescent="0.3">
      <c r="C148" s="6">
        <f>C147+1</f>
        <v>3</v>
      </c>
      <c r="D148" s="6">
        <f>D146</f>
        <v>0</v>
      </c>
      <c r="E148" s="6" t="s">
        <v>62</v>
      </c>
      <c r="F148" s="6">
        <f>I140</f>
        <v>80</v>
      </c>
      <c r="G148" s="6">
        <f>J140</f>
        <v>30</v>
      </c>
      <c r="H148" s="6">
        <f>1*C138</f>
        <v>2</v>
      </c>
      <c r="I148" s="6">
        <f>I146</f>
        <v>0</v>
      </c>
      <c r="J148" s="6"/>
    </row>
    <row r="149" spans="1:54" ht="15.6" hidden="1" customHeight="1" x14ac:dyDescent="0.3">
      <c r="C149" s="6">
        <f>C148+1</f>
        <v>4</v>
      </c>
      <c r="D149" s="6">
        <f>D146</f>
        <v>0</v>
      </c>
      <c r="E149" s="6" t="s">
        <v>63</v>
      </c>
      <c r="F149" s="6">
        <f>I141</f>
        <v>80</v>
      </c>
      <c r="G149" s="6">
        <f>J141</f>
        <v>30</v>
      </c>
      <c r="H149" s="6">
        <f>1*C138</f>
        <v>2</v>
      </c>
      <c r="I149" s="6">
        <f>I146</f>
        <v>0</v>
      </c>
      <c r="J149" s="6"/>
    </row>
    <row r="150" spans="1:54" ht="15.6" hidden="1" customHeight="1" x14ac:dyDescent="0.3">
      <c r="C150" s="6">
        <f>C149+1</f>
        <v>5</v>
      </c>
      <c r="D150" s="6">
        <f>D146</f>
        <v>0</v>
      </c>
      <c r="E150" s="6" t="s">
        <v>27</v>
      </c>
      <c r="F150" s="6">
        <f>I140</f>
        <v>80</v>
      </c>
      <c r="G150" s="6">
        <v>10</v>
      </c>
      <c r="H150" s="6">
        <f>1*C138</f>
        <v>2</v>
      </c>
      <c r="I150" s="6">
        <f>I146</f>
        <v>0</v>
      </c>
      <c r="J150" s="6"/>
    </row>
    <row r="151" spans="1:54" ht="15.6" hidden="1" customHeight="1" x14ac:dyDescent="0.3">
      <c r="C151" s="6">
        <f t="shared" ref="C151" si="8">C150+1</f>
        <v>6</v>
      </c>
      <c r="D151" s="6">
        <f>D146</f>
        <v>0</v>
      </c>
      <c r="E151" s="6" t="s">
        <v>17</v>
      </c>
      <c r="F151" s="6">
        <f>H140-3.8</f>
        <v>56.2</v>
      </c>
      <c r="G151" s="6">
        <f>H141-3.8</f>
        <v>56.2</v>
      </c>
      <c r="H151" s="6">
        <f>D140*C138</f>
        <v>2</v>
      </c>
      <c r="I151" s="6">
        <f>I146</f>
        <v>0</v>
      </c>
      <c r="J151" s="6"/>
    </row>
    <row r="152" spans="1:54" ht="15.6" hidden="1" customHeight="1" x14ac:dyDescent="0.3">
      <c r="C152" s="6"/>
      <c r="D152" s="6"/>
      <c r="E152" s="6"/>
      <c r="F152" s="6"/>
      <c r="G152" s="6"/>
      <c r="H152" s="6"/>
      <c r="I152" s="6"/>
      <c r="J152" s="6"/>
    </row>
    <row r="153" spans="1:54" ht="15.6" hidden="1" customHeight="1" x14ac:dyDescent="0.3">
      <c r="C153" s="9">
        <f>C151+1</f>
        <v>7</v>
      </c>
      <c r="D153" s="9">
        <f>H8</f>
        <v>0</v>
      </c>
      <c r="E153" s="9" t="s">
        <v>28</v>
      </c>
      <c r="F153" s="9">
        <f>I140-0.5-F140</f>
        <v>76</v>
      </c>
      <c r="G153" s="17">
        <f>(SQRT((H140-J140)^2+(H141-J141)^2))-2</f>
        <v>40.426406871192853</v>
      </c>
      <c r="H153" s="9">
        <f>1*C138</f>
        <v>2</v>
      </c>
      <c r="I153" s="9">
        <f>F8</f>
        <v>0</v>
      </c>
      <c r="J153" s="9"/>
    </row>
    <row r="154" spans="1:54" ht="15.6" hidden="1" customHeight="1" x14ac:dyDescent="0.3">
      <c r="C154" s="9">
        <f t="shared" ref="C154" si="9">C153+1</f>
        <v>8</v>
      </c>
      <c r="D154" s="9">
        <f>D153</f>
        <v>0</v>
      </c>
      <c r="E154" s="9"/>
      <c r="F154" s="9"/>
      <c r="G154" s="9"/>
      <c r="H154" s="9"/>
      <c r="I154" s="9"/>
      <c r="J154" s="9"/>
    </row>
    <row r="155" spans="1:54" ht="15.6" hidden="1" customHeight="1" x14ac:dyDescent="0.3">
      <c r="C155" s="6"/>
      <c r="D155" s="6"/>
      <c r="E155" s="6"/>
      <c r="F155" s="6"/>
      <c r="G155" s="6"/>
      <c r="H155" s="6"/>
      <c r="I155" s="6"/>
      <c r="J155" s="6"/>
    </row>
    <row r="156" spans="1:54" ht="15.6" hidden="1" customHeight="1" x14ac:dyDescent="0.3">
      <c r="C156" s="19">
        <f>C154+1</f>
        <v>9</v>
      </c>
      <c r="D156" s="19" t="s">
        <v>58</v>
      </c>
      <c r="E156" s="19" t="s">
        <v>58</v>
      </c>
      <c r="F156" s="19">
        <f>I140-2</f>
        <v>78</v>
      </c>
      <c r="G156" s="19">
        <f>H140-2</f>
        <v>58</v>
      </c>
      <c r="H156" s="19">
        <f>1*C138</f>
        <v>2</v>
      </c>
      <c r="I156" s="19">
        <f>F9</f>
        <v>0</v>
      </c>
      <c r="J156" s="19"/>
      <c r="L156" s="3">
        <v>30</v>
      </c>
    </row>
    <row r="157" spans="1:5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</row>
    <row r="158" spans="1:5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</row>
    <row r="159" spans="1:5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</row>
    <row r="160" spans="1:54" ht="21" customHeight="1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s="5" customFormat="1" ht="1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15.6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ht="15.6" customHeight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ht="15.6" customHeight="1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ht="15.6" customHeight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ht="15.6" customHeight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hidden="1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hidden="1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hidden="1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ht="15.6" hidden="1" customHeight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2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ht="15.6" hidden="1" customHeigh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ht="15.6" hidden="1" customHeigh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ht="15.6" hidden="1" customHeigh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ht="15.6" hidden="1" customHeigh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73" spans="3:14" ht="21" x14ac:dyDescent="0.3">
      <c r="C273" s="117" t="s">
        <v>42</v>
      </c>
      <c r="D273" s="117"/>
      <c r="E273" s="117"/>
      <c r="F273" s="117"/>
      <c r="G273" s="117"/>
      <c r="H273" s="117"/>
      <c r="I273" s="117"/>
      <c r="J273" s="117"/>
      <c r="K273" s="117"/>
      <c r="L273" s="117"/>
      <c r="M273" s="117"/>
      <c r="N273" s="117"/>
    </row>
  </sheetData>
  <mergeCells count="21">
    <mergeCell ref="C2:J2"/>
    <mergeCell ref="E118:H118"/>
    <mergeCell ref="F121:G121"/>
    <mergeCell ref="F122:G122"/>
    <mergeCell ref="E138:H138"/>
    <mergeCell ref="E13:H13"/>
    <mergeCell ref="C273:N273"/>
    <mergeCell ref="J19:J20"/>
    <mergeCell ref="C52:D52"/>
    <mergeCell ref="J52:J53"/>
    <mergeCell ref="C53:D53"/>
    <mergeCell ref="F142:G142"/>
    <mergeCell ref="E98:H98"/>
    <mergeCell ref="F101:G101"/>
    <mergeCell ref="C102:D102"/>
    <mergeCell ref="F102:G102"/>
    <mergeCell ref="C103:D103"/>
    <mergeCell ref="E40:H40"/>
    <mergeCell ref="C19:D19"/>
    <mergeCell ref="C20:D20"/>
    <mergeCell ref="F141:G141"/>
  </mergeCells>
  <conditionalFormatting sqref="C20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3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1:F10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1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0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3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1 C103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426720</xdr:colOff>
                    <xdr:row>5</xdr:row>
                    <xdr:rowOff>7620</xdr:rowOff>
                  </from>
                  <to>
                    <xdr:col>11</xdr:col>
                    <xdr:colOff>396240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403860</xdr:colOff>
                    <xdr:row>5</xdr:row>
                    <xdr:rowOff>7620</xdr:rowOff>
                  </from>
                  <to>
                    <xdr:col>4</xdr:col>
                    <xdr:colOff>1104900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121920</xdr:colOff>
                    <xdr:row>5</xdr:row>
                    <xdr:rowOff>7620</xdr:rowOff>
                  </from>
                  <to>
                    <xdr:col>8</xdr:col>
                    <xdr:colOff>220980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modifyBlock">
                <anchor moveWithCells="1" sizeWithCells="1">
                  <from>
                    <xdr:col>12</xdr:col>
                    <xdr:colOff>53340</xdr:colOff>
                    <xdr:row>5</xdr:row>
                    <xdr:rowOff>7620</xdr:rowOff>
                  </from>
                  <to>
                    <xdr:col>14</xdr:col>
                    <xdr:colOff>640080</xdr:colOff>
                    <xdr:row>6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49"/>
  <sheetViews>
    <sheetView zoomScale="70" zoomScaleNormal="70" workbookViewId="0">
      <selection activeCell="M21" sqref="M21"/>
    </sheetView>
  </sheetViews>
  <sheetFormatPr defaultRowHeight="15.6" x14ac:dyDescent="0.3"/>
  <cols>
    <col min="1" max="1" width="9" style="36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62" s="35" customFormat="1" x14ac:dyDescent="0.3">
      <c r="A1" s="36">
        <v>13</v>
      </c>
      <c r="B1" s="55">
        <v>3</v>
      </c>
    </row>
    <row r="2" spans="1:62" s="35" customFormat="1" ht="31.2" x14ac:dyDescent="0.3">
      <c r="A2" s="36">
        <v>20</v>
      </c>
      <c r="B2" s="50" t="s">
        <v>125</v>
      </c>
      <c r="C2" s="119" t="s">
        <v>103</v>
      </c>
      <c r="D2" s="120"/>
      <c r="E2" s="120"/>
      <c r="F2" s="120"/>
      <c r="G2" s="120"/>
      <c r="H2" s="120"/>
      <c r="I2" s="120"/>
      <c r="J2" s="121"/>
    </row>
    <row r="3" spans="1:62" s="35" customFormat="1" x14ac:dyDescent="0.3">
      <c r="A3" s="36"/>
      <c r="B3" s="55" t="s">
        <v>178</v>
      </c>
      <c r="R3" s="34"/>
      <c r="S3" s="34"/>
      <c r="T3" s="34"/>
      <c r="U3" s="34"/>
      <c r="V3" s="40"/>
      <c r="W3" s="40"/>
    </row>
    <row r="4" spans="1:62" s="35" customFormat="1" x14ac:dyDescent="0.3">
      <c r="A4" s="36"/>
      <c r="B4" s="55"/>
      <c r="R4" s="34"/>
      <c r="S4" s="34"/>
      <c r="T4" s="34"/>
      <c r="U4" s="34"/>
      <c r="V4" s="34"/>
      <c r="W4" s="34"/>
    </row>
    <row r="5" spans="1:62" s="35" customFormat="1" x14ac:dyDescent="0.3">
      <c r="A5" s="36"/>
      <c r="B5" s="55"/>
    </row>
    <row r="6" spans="1:62" s="35" customFormat="1" x14ac:dyDescent="0.3">
      <c r="A6" s="36"/>
      <c r="B6" s="55"/>
    </row>
    <row r="7" spans="1:62" s="35" customFormat="1" ht="18" x14ac:dyDescent="0.3">
      <c r="A7" s="37"/>
      <c r="B7" s="56"/>
      <c r="C7" s="37"/>
      <c r="D7" s="37"/>
      <c r="E7" s="38"/>
      <c r="F7" s="38"/>
      <c r="G7" s="38"/>
      <c r="H7" s="38"/>
      <c r="I7" s="37"/>
      <c r="J7" s="37"/>
      <c r="K7" s="37"/>
      <c r="L7" s="37"/>
      <c r="M7" s="37"/>
    </row>
    <row r="8" spans="1:62" s="38" customFormat="1" ht="18" x14ac:dyDescent="0.3">
      <c r="A8" s="39"/>
      <c r="B8" s="57"/>
    </row>
    <row r="9" spans="1:62" customFormat="1" x14ac:dyDescent="0.3">
      <c r="A9" s="39"/>
    </row>
    <row r="10" spans="1:62" customFormat="1" x14ac:dyDescent="0.3">
      <c r="A10" s="39"/>
    </row>
    <row r="13" spans="1:62" ht="18" x14ac:dyDescent="0.3">
      <c r="A13" s="36" t="s">
        <v>155</v>
      </c>
      <c r="B13" s="15"/>
      <c r="C13" s="14">
        <v>1</v>
      </c>
      <c r="D13" s="22" t="s">
        <v>59</v>
      </c>
      <c r="E13" s="101" t="s">
        <v>170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_xlfn.SHEET("تجاليد")</f>
        <v>8</v>
      </c>
      <c r="BB13"/>
      <c r="BC13"/>
      <c r="BD13"/>
      <c r="BE13"/>
      <c r="BF13"/>
      <c r="BG13"/>
      <c r="BH13"/>
      <c r="BI13"/>
      <c r="BJ13"/>
    </row>
    <row r="14" spans="1:62" x14ac:dyDescent="0.3">
      <c r="A14" s="36">
        <v>1</v>
      </c>
      <c r="B14" s="15"/>
      <c r="C14" s="7"/>
      <c r="D14" s="18"/>
      <c r="E14" s="27" t="str" cm="1">
        <f t="array" aca="1" ref="E14" ca="1">defaultValue(F14,K13)</f>
        <v>يوفيلاك</v>
      </c>
      <c r="F14" s="7" t="s">
        <v>9</v>
      </c>
      <c r="G14" s="7">
        <v>62</v>
      </c>
      <c r="H14" s="7" t="s">
        <v>1</v>
      </c>
      <c r="I14" s="8"/>
      <c r="J14" s="7" t="s">
        <v>22</v>
      </c>
      <c r="K14" s="7"/>
      <c r="BB14"/>
      <c r="BC14"/>
      <c r="BD14"/>
      <c r="BE14"/>
      <c r="BF14"/>
      <c r="BG14"/>
      <c r="BH14"/>
      <c r="BI14"/>
      <c r="BJ14"/>
    </row>
    <row r="15" spans="1:62" ht="15.6" customHeight="1" x14ac:dyDescent="0.3">
      <c r="A15" s="36">
        <v>0</v>
      </c>
      <c r="B15"/>
      <c r="C15"/>
      <c r="D15"/>
      <c r="E15"/>
      <c r="F15"/>
      <c r="G15"/>
      <c r="H15"/>
      <c r="I15"/>
      <c r="J15"/>
      <c r="K15"/>
      <c r="BB15"/>
      <c r="BC15"/>
      <c r="BD15"/>
      <c r="BE15"/>
      <c r="BF15"/>
      <c r="BG15"/>
      <c r="BH15"/>
      <c r="BI15"/>
      <c r="BJ15"/>
    </row>
    <row r="16" spans="1:62" ht="15.6" customHeight="1" x14ac:dyDescent="0.3">
      <c r="A16" s="36">
        <v>2</v>
      </c>
      <c r="B16" s="15"/>
      <c r="C16" s="6" t="s">
        <v>4</v>
      </c>
      <c r="D16" s="6" t="s">
        <v>9</v>
      </c>
      <c r="E16" s="6" t="s">
        <v>5</v>
      </c>
      <c r="F16" s="6" t="s">
        <v>7</v>
      </c>
      <c r="G16" s="6" t="s">
        <v>1</v>
      </c>
      <c r="H16" s="6" t="s">
        <v>6</v>
      </c>
      <c r="I16" s="6" t="s">
        <v>33</v>
      </c>
      <c r="J16" s="6" t="s">
        <v>8</v>
      </c>
      <c r="K16" s="6" t="s">
        <v>185</v>
      </c>
      <c r="BB16"/>
      <c r="BC16"/>
      <c r="BD16"/>
      <c r="BE16"/>
      <c r="BF16"/>
      <c r="BG16"/>
      <c r="BH16"/>
      <c r="BI16"/>
      <c r="BJ16"/>
    </row>
    <row r="17" spans="1:62" x14ac:dyDescent="0.3">
      <c r="A17" s="36">
        <v>0</v>
      </c>
      <c r="B17"/>
      <c r="C17"/>
      <c r="D17"/>
      <c r="E17"/>
      <c r="F17"/>
      <c r="G17"/>
      <c r="H17"/>
      <c r="I17"/>
      <c r="J17"/>
      <c r="K17"/>
      <c r="BB17"/>
      <c r="BC17"/>
      <c r="BD17"/>
      <c r="BE17"/>
      <c r="BF17"/>
      <c r="BG17"/>
      <c r="BH17"/>
      <c r="BI17"/>
      <c r="BJ17"/>
    </row>
    <row r="18" spans="1:62" x14ac:dyDescent="0.3">
      <c r="A18" s="35">
        <v>4</v>
      </c>
      <c r="B18" s="15" t="str">
        <f>E13</f>
        <v>تجليدة سفلية</v>
      </c>
      <c r="C18" s="9">
        <f>visible(1,K18)</f>
        <v>1</v>
      </c>
      <c r="D18" s="9" t="str">
        <f ca="1">E14</f>
        <v>يوفيلاك</v>
      </c>
      <c r="E18" s="9" t="s">
        <v>120</v>
      </c>
      <c r="F18" s="9"/>
      <c r="G18" s="9">
        <f>G14</f>
        <v>62</v>
      </c>
      <c r="H18" s="9"/>
      <c r="I18" s="9">
        <f ca="1">HLOOKUP(D18, materials[], 2,FALSE)</f>
        <v>6</v>
      </c>
      <c r="J18" s="9"/>
      <c r="K18" s="9" t="b">
        <v>1</v>
      </c>
      <c r="BB18"/>
      <c r="BC18"/>
      <c r="BD18"/>
      <c r="BE18"/>
      <c r="BF18"/>
      <c r="BG18"/>
      <c r="BH18"/>
      <c r="BI18"/>
      <c r="BJ18"/>
    </row>
    <row r="19" spans="1:62" x14ac:dyDescent="0.3">
      <c r="A19" s="35">
        <v>4</v>
      </c>
      <c r="B19" s="15" t="str">
        <f>E13</f>
        <v>تجليدة سفلية</v>
      </c>
      <c r="C19" s="9">
        <f>visible(2,K19)</f>
        <v>2</v>
      </c>
      <c r="D19" s="9" t="str">
        <f ca="1">E14</f>
        <v>يوفيلاك</v>
      </c>
      <c r="E19" s="9" t="s">
        <v>120</v>
      </c>
      <c r="F19" s="9"/>
      <c r="G19" s="9">
        <f>G14</f>
        <v>62</v>
      </c>
      <c r="H19" s="9"/>
      <c r="I19" s="9">
        <f ca="1">HLOOKUP(D19, materials[], 2,FALSE)</f>
        <v>6</v>
      </c>
      <c r="J19" s="9"/>
      <c r="K19" s="9" t="b">
        <v>1</v>
      </c>
      <c r="BB19"/>
      <c r="BC19"/>
      <c r="BD19"/>
      <c r="BE19"/>
      <c r="BF19"/>
      <c r="BG19"/>
      <c r="BH19"/>
      <c r="BI19"/>
      <c r="BJ19"/>
    </row>
    <row r="20" spans="1:62" x14ac:dyDescent="0.3">
      <c r="A20" s="35">
        <v>4</v>
      </c>
      <c r="B20" s="15" t="str">
        <f>E13</f>
        <v>تجليدة سفلية</v>
      </c>
      <c r="C20" s="9">
        <f>visible(3,K20)</f>
        <v>3</v>
      </c>
      <c r="D20" s="9" t="str">
        <f ca="1">E14</f>
        <v>يوفيلاك</v>
      </c>
      <c r="E20" s="9" t="s">
        <v>120</v>
      </c>
      <c r="F20" s="9"/>
      <c r="G20" s="9">
        <f>G14</f>
        <v>62</v>
      </c>
      <c r="H20" s="9"/>
      <c r="I20" s="9">
        <f ca="1">HLOOKUP(D20, materials[], 2,FALSE)</f>
        <v>6</v>
      </c>
      <c r="J20" s="9"/>
      <c r="K20" s="9" t="b">
        <v>1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5">
        <v>4</v>
      </c>
      <c r="B21" s="15" t="str">
        <f>E13</f>
        <v>تجليدة سفلية</v>
      </c>
      <c r="C21" s="9">
        <f>visible(4,K21)</f>
        <v>4</v>
      </c>
      <c r="D21" s="9" t="str">
        <f ca="1">E14</f>
        <v>يوفيلاك</v>
      </c>
      <c r="E21" s="9" t="s">
        <v>120</v>
      </c>
      <c r="F21" s="9"/>
      <c r="G21" s="9">
        <f>G14</f>
        <v>62</v>
      </c>
      <c r="H21" s="9"/>
      <c r="I21" s="9">
        <f ca="1">HLOOKUP(D21, materials[], 2,FALSE)</f>
        <v>6</v>
      </c>
      <c r="J21" s="9"/>
      <c r="K21" s="9" t="b">
        <v>1</v>
      </c>
      <c r="BB21"/>
      <c r="BC21"/>
      <c r="BD21"/>
      <c r="BE21"/>
      <c r="BF21"/>
      <c r="BG21"/>
      <c r="BH21"/>
      <c r="BI21"/>
      <c r="BJ21"/>
    </row>
    <row r="22" spans="1:62" x14ac:dyDescent="0.3">
      <c r="A22" s="35">
        <v>4</v>
      </c>
      <c r="B22" s="15" t="str">
        <f>E13</f>
        <v>تجليدة سفلية</v>
      </c>
      <c r="C22" s="9">
        <f>visible(5,K22)</f>
        <v>5</v>
      </c>
      <c r="D22" s="9" t="str">
        <f ca="1">E14</f>
        <v>يوفيلاك</v>
      </c>
      <c r="E22" s="9" t="s">
        <v>120</v>
      </c>
      <c r="F22" s="9"/>
      <c r="G22" s="9">
        <f>G14</f>
        <v>62</v>
      </c>
      <c r="H22" s="9"/>
      <c r="I22" s="9">
        <f ca="1">HLOOKUP(D22, materials[], 2,FALSE)</f>
        <v>6</v>
      </c>
      <c r="J22" s="9"/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ht="14.4" x14ac:dyDescent="0.3">
      <c r="A23" s="35">
        <v>255</v>
      </c>
      <c r="B23"/>
      <c r="C23"/>
      <c r="D23"/>
      <c r="E23"/>
      <c r="F23"/>
      <c r="G23"/>
      <c r="H23"/>
      <c r="I23"/>
      <c r="J23"/>
      <c r="K23"/>
      <c r="L23"/>
      <c r="BB23"/>
      <c r="BC23"/>
      <c r="BD23"/>
      <c r="BE23"/>
      <c r="BF23"/>
      <c r="BG23"/>
      <c r="BH23"/>
      <c r="BI23"/>
      <c r="BJ23"/>
    </row>
    <row r="24" spans="1:62" customFormat="1" ht="14.4" x14ac:dyDescent="0.3">
      <c r="A24" s="45">
        <v>255</v>
      </c>
    </row>
    <row r="25" spans="1:62" ht="18" x14ac:dyDescent="0.3">
      <c r="A25" s="36" t="s">
        <v>160</v>
      </c>
      <c r="B25" s="15"/>
      <c r="C25" s="14">
        <v>1</v>
      </c>
      <c r="D25" s="22" t="s">
        <v>59</v>
      </c>
      <c r="E25" s="101" t="s">
        <v>171</v>
      </c>
      <c r="F25" s="102"/>
      <c r="G25" s="102"/>
      <c r="H25" s="103"/>
      <c r="I25" s="2" t="s">
        <v>30</v>
      </c>
      <c r="J25" s="2">
        <f>letterToNumber(A25)</f>
        <v>2</v>
      </c>
      <c r="K25" s="7">
        <f ca="1">_xlfn.SHEET("تجاليد")</f>
        <v>8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6">
        <v>1</v>
      </c>
      <c r="B26" s="15"/>
      <c r="C26" s="7"/>
      <c r="D26" s="18"/>
      <c r="E26" s="27" t="str" cm="1">
        <f t="array" aca="1" ref="E26" ca="1">defaultValue(F26,K25)</f>
        <v>يوفيلاك</v>
      </c>
      <c r="F26" s="7" t="s">
        <v>9</v>
      </c>
      <c r="G26" s="7">
        <v>32</v>
      </c>
      <c r="H26" s="7" t="s">
        <v>1</v>
      </c>
      <c r="I26" s="8"/>
      <c r="J26" s="7" t="s">
        <v>22</v>
      </c>
      <c r="K26" s="7"/>
      <c r="BB26"/>
      <c r="BC26"/>
      <c r="BD26"/>
      <c r="BE26"/>
      <c r="BF26"/>
      <c r="BG26"/>
      <c r="BH26"/>
      <c r="BI26"/>
      <c r="BJ26"/>
    </row>
    <row r="27" spans="1:62" ht="15.6" customHeight="1" x14ac:dyDescent="0.3">
      <c r="A27" s="36">
        <v>0</v>
      </c>
      <c r="B27"/>
      <c r="C27"/>
      <c r="D27"/>
      <c r="E27"/>
      <c r="F27"/>
      <c r="G27"/>
      <c r="H27"/>
      <c r="I27"/>
      <c r="J27"/>
      <c r="K27"/>
      <c r="BB27"/>
      <c r="BC27"/>
      <c r="BD27"/>
      <c r="BE27"/>
      <c r="BF27"/>
      <c r="BG27"/>
      <c r="BH27"/>
      <c r="BI27"/>
      <c r="BJ27"/>
    </row>
    <row r="28" spans="1:62" ht="15.6" customHeight="1" x14ac:dyDescent="0.3">
      <c r="A28" s="36">
        <v>2</v>
      </c>
      <c r="B28" s="15"/>
      <c r="C28" s="6" t="s">
        <v>4</v>
      </c>
      <c r="D28" s="6" t="s">
        <v>9</v>
      </c>
      <c r="E28" s="6" t="s">
        <v>5</v>
      </c>
      <c r="F28" s="6" t="s">
        <v>7</v>
      </c>
      <c r="G28" s="6" t="s">
        <v>1</v>
      </c>
      <c r="H28" s="6" t="s">
        <v>6</v>
      </c>
      <c r="I28" s="6" t="s">
        <v>33</v>
      </c>
      <c r="J28" s="6" t="s">
        <v>8</v>
      </c>
      <c r="K28" s="6" t="s">
        <v>185</v>
      </c>
      <c r="BB28"/>
      <c r="BC28"/>
      <c r="BD28"/>
      <c r="BE28"/>
      <c r="BF28"/>
      <c r="BG28"/>
      <c r="BH28"/>
      <c r="BI28"/>
      <c r="BJ28"/>
    </row>
    <row r="29" spans="1:62" x14ac:dyDescent="0.3">
      <c r="A29" s="36">
        <v>0</v>
      </c>
      <c r="B29"/>
      <c r="C29"/>
      <c r="D29"/>
      <c r="E29"/>
      <c r="F29"/>
      <c r="G29"/>
      <c r="H29"/>
      <c r="I29"/>
      <c r="J29"/>
      <c r="K29"/>
      <c r="BB29"/>
      <c r="BC29"/>
      <c r="BD29"/>
      <c r="BE29"/>
      <c r="BF29"/>
      <c r="BG29"/>
      <c r="BH29"/>
      <c r="BI29"/>
      <c r="BJ29"/>
    </row>
    <row r="30" spans="1:62" x14ac:dyDescent="0.3">
      <c r="A30" s="35">
        <v>4</v>
      </c>
      <c r="B30" s="15" t="str">
        <f>E25</f>
        <v>تجليدة علوية</v>
      </c>
      <c r="C30" s="9">
        <f>visible(1,K30)</f>
        <v>1</v>
      </c>
      <c r="D30" s="9" t="str">
        <f ca="1">E26</f>
        <v>يوفيلاك</v>
      </c>
      <c r="E30" s="9" t="s">
        <v>120</v>
      </c>
      <c r="F30" s="9"/>
      <c r="G30" s="9">
        <f>G26</f>
        <v>32</v>
      </c>
      <c r="H30" s="9"/>
      <c r="I30" s="9">
        <f ca="1">HLOOKUP(D30, materials[], 2,FALSE)</f>
        <v>6</v>
      </c>
      <c r="J30" s="9"/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x14ac:dyDescent="0.3">
      <c r="A31" s="35">
        <v>4</v>
      </c>
      <c r="B31" s="15" t="str">
        <f>E25</f>
        <v>تجليدة علوية</v>
      </c>
      <c r="C31" s="9">
        <f>visible(2,K31)</f>
        <v>2</v>
      </c>
      <c r="D31" s="9" t="str">
        <f ca="1">E26</f>
        <v>يوفيلاك</v>
      </c>
      <c r="E31" s="9" t="s">
        <v>120</v>
      </c>
      <c r="F31" s="9"/>
      <c r="G31" s="9">
        <f>G26</f>
        <v>32</v>
      </c>
      <c r="H31" s="9"/>
      <c r="I31" s="9">
        <f ca="1">HLOOKUP(D31, materials[], 2,FALSE)</f>
        <v>6</v>
      </c>
      <c r="J31" s="9"/>
      <c r="K31" s="9" t="b">
        <v>1</v>
      </c>
      <c r="BB31"/>
      <c r="BC31"/>
      <c r="BD31"/>
      <c r="BE31"/>
      <c r="BF31"/>
      <c r="BG31"/>
      <c r="BH31"/>
      <c r="BI31"/>
      <c r="BJ31"/>
    </row>
    <row r="32" spans="1:62" x14ac:dyDescent="0.3">
      <c r="A32" s="35">
        <v>4</v>
      </c>
      <c r="B32" s="15" t="str">
        <f>E25</f>
        <v>تجليدة علوية</v>
      </c>
      <c r="C32" s="9">
        <f>visible(3,K32)</f>
        <v>3</v>
      </c>
      <c r="D32" s="9" t="str">
        <f ca="1">E26</f>
        <v>يوفيلاك</v>
      </c>
      <c r="E32" s="9" t="s">
        <v>120</v>
      </c>
      <c r="F32" s="9"/>
      <c r="G32" s="9">
        <f>G26</f>
        <v>32</v>
      </c>
      <c r="H32" s="9"/>
      <c r="I32" s="9">
        <f ca="1">HLOOKUP(D32, materials[], 2,FALSE)</f>
        <v>6</v>
      </c>
      <c r="J32" s="9"/>
      <c r="K32" s="9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5">
        <v>4</v>
      </c>
      <c r="B33" s="15" t="str">
        <f>E25</f>
        <v>تجليدة علوية</v>
      </c>
      <c r="C33" s="9">
        <f>visible(4,K33)</f>
        <v>4</v>
      </c>
      <c r="D33" s="9" t="str">
        <f ca="1">E26</f>
        <v>يوفيلاك</v>
      </c>
      <c r="E33" s="9" t="s">
        <v>120</v>
      </c>
      <c r="F33" s="9"/>
      <c r="G33" s="9">
        <f>G26</f>
        <v>32</v>
      </c>
      <c r="H33" s="9"/>
      <c r="I33" s="9">
        <f ca="1">HLOOKUP(D33, materials[], 2,FALSE)</f>
        <v>6</v>
      </c>
      <c r="J33" s="9"/>
      <c r="K33" s="9" t="b">
        <v>1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5">
        <v>4</v>
      </c>
      <c r="B34" s="15" t="str">
        <f>E25</f>
        <v>تجليدة علوية</v>
      </c>
      <c r="C34" s="9">
        <f>visible(5,K34)</f>
        <v>5</v>
      </c>
      <c r="D34" s="9" t="str">
        <f ca="1">E26</f>
        <v>يوفيلاك</v>
      </c>
      <c r="E34" s="9" t="s">
        <v>120</v>
      </c>
      <c r="F34" s="9"/>
      <c r="G34" s="9">
        <f>G26</f>
        <v>32</v>
      </c>
      <c r="H34" s="9"/>
      <c r="I34" s="9">
        <f ca="1">HLOOKUP(D34, materials[], 2,FALSE)</f>
        <v>6</v>
      </c>
      <c r="J34" s="9"/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customFormat="1" ht="14.4" x14ac:dyDescent="0.3">
      <c r="A35" s="45">
        <v>255</v>
      </c>
    </row>
    <row r="36" spans="1:62" customFormat="1" ht="14.4" x14ac:dyDescent="0.3">
      <c r="A36" s="45">
        <v>255</v>
      </c>
    </row>
    <row r="37" spans="1:62" ht="18" x14ac:dyDescent="0.3">
      <c r="A37" s="36" t="s">
        <v>156</v>
      </c>
      <c r="B37" s="15"/>
      <c r="C37" s="14">
        <v>1</v>
      </c>
      <c r="D37" s="22" t="s">
        <v>59</v>
      </c>
      <c r="E37" s="101" t="s">
        <v>172</v>
      </c>
      <c r="F37" s="102"/>
      <c r="G37" s="102"/>
      <c r="H37" s="103"/>
      <c r="I37" s="2" t="s">
        <v>30</v>
      </c>
      <c r="J37" s="2">
        <f>letterToNumber(A37)</f>
        <v>3</v>
      </c>
      <c r="K37" s="7">
        <f ca="1">_xlfn.SHEET("تجاليد")</f>
        <v>8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6">
        <v>1</v>
      </c>
      <c r="B38" s="15"/>
      <c r="C38" s="7"/>
      <c r="D38" s="18"/>
      <c r="E38" s="27" t="str" cm="1">
        <f t="array" aca="1" ref="E38" ca="1">defaultValue(F38,K37)</f>
        <v>يوفيلاك</v>
      </c>
      <c r="F38" s="7" t="s">
        <v>9</v>
      </c>
      <c r="G38" s="7">
        <v>20</v>
      </c>
      <c r="H38" s="7" t="s">
        <v>1</v>
      </c>
      <c r="I38" s="8"/>
      <c r="J38" s="7" t="s">
        <v>22</v>
      </c>
      <c r="K38" s="7"/>
      <c r="BB38"/>
      <c r="BC38"/>
      <c r="BD38"/>
      <c r="BE38"/>
      <c r="BF38"/>
      <c r="BG38"/>
      <c r="BH38"/>
      <c r="BI38"/>
      <c r="BJ38"/>
    </row>
    <row r="39" spans="1:62" ht="15.6" customHeight="1" x14ac:dyDescent="0.3">
      <c r="A39" s="36">
        <v>0</v>
      </c>
      <c r="B39"/>
      <c r="C39"/>
      <c r="D39"/>
      <c r="E39"/>
      <c r="F39"/>
      <c r="G39"/>
      <c r="H39"/>
      <c r="I39"/>
      <c r="J39"/>
      <c r="K39"/>
      <c r="BB39"/>
      <c r="BC39"/>
      <c r="BD39"/>
      <c r="BE39"/>
      <c r="BF39"/>
      <c r="BG39"/>
      <c r="BH39"/>
      <c r="BI39"/>
      <c r="BJ39"/>
    </row>
    <row r="40" spans="1:62" ht="15.6" customHeight="1" x14ac:dyDescent="0.3">
      <c r="A40" s="36">
        <v>2</v>
      </c>
      <c r="B40" s="15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33</v>
      </c>
      <c r="J40" s="6" t="s">
        <v>8</v>
      </c>
      <c r="K40" s="6" t="s">
        <v>185</v>
      </c>
      <c r="BB40"/>
      <c r="BC40"/>
      <c r="BD40"/>
      <c r="BE40"/>
      <c r="BF40"/>
      <c r="BG40"/>
      <c r="BH40"/>
      <c r="BI40"/>
      <c r="BJ40"/>
    </row>
    <row r="41" spans="1:62" x14ac:dyDescent="0.3">
      <c r="A41" s="36">
        <v>0</v>
      </c>
      <c r="B41"/>
      <c r="C41"/>
      <c r="D41"/>
      <c r="E41"/>
      <c r="F41"/>
      <c r="G41"/>
      <c r="H41"/>
      <c r="I41"/>
      <c r="J41"/>
      <c r="K41"/>
      <c r="BB41"/>
      <c r="BC41"/>
      <c r="BD41"/>
      <c r="BE41"/>
      <c r="BF41"/>
      <c r="BG41"/>
      <c r="BH41"/>
      <c r="BI41"/>
      <c r="BJ41"/>
    </row>
    <row r="42" spans="1:62" x14ac:dyDescent="0.3">
      <c r="A42" s="35">
        <v>4</v>
      </c>
      <c r="B42" s="15" t="str">
        <f>E37</f>
        <v>تجليدة مختلفة</v>
      </c>
      <c r="C42" s="9">
        <f>visible(1,K42)</f>
        <v>1</v>
      </c>
      <c r="D42" s="9" t="str">
        <f ca="1">E38</f>
        <v>يوفيلاك</v>
      </c>
      <c r="E42" s="9" t="s">
        <v>120</v>
      </c>
      <c r="F42" s="9"/>
      <c r="G42" s="9">
        <f>G38</f>
        <v>20</v>
      </c>
      <c r="H42" s="9"/>
      <c r="I42" s="9">
        <f ca="1">HLOOKUP(D42, materials[], 2,FALSE)</f>
        <v>6</v>
      </c>
      <c r="J42" s="9"/>
      <c r="K42" s="9" t="b">
        <v>1</v>
      </c>
      <c r="BB42"/>
      <c r="BC42"/>
      <c r="BD42"/>
      <c r="BE42"/>
      <c r="BF42"/>
      <c r="BG42"/>
      <c r="BH42"/>
      <c r="BI42"/>
      <c r="BJ42"/>
    </row>
    <row r="43" spans="1:62" x14ac:dyDescent="0.3">
      <c r="A43" s="35">
        <v>4</v>
      </c>
      <c r="B43" s="15" t="str">
        <f>E37</f>
        <v>تجليدة مختلفة</v>
      </c>
      <c r="C43" s="9">
        <f>visible(2,K43)</f>
        <v>2</v>
      </c>
      <c r="D43" s="9" t="str">
        <f ca="1">E38</f>
        <v>يوفيلاك</v>
      </c>
      <c r="E43" s="9" t="s">
        <v>120</v>
      </c>
      <c r="F43" s="9"/>
      <c r="G43" s="9">
        <f>G38</f>
        <v>20</v>
      </c>
      <c r="H43" s="9"/>
      <c r="I43" s="9">
        <f ca="1">HLOOKUP(D43, materials[], 2,FALSE)</f>
        <v>6</v>
      </c>
      <c r="J43" s="9"/>
      <c r="K43" s="9" t="b">
        <v>1</v>
      </c>
      <c r="BB43"/>
      <c r="BC43"/>
      <c r="BD43"/>
      <c r="BE43"/>
      <c r="BF43"/>
      <c r="BG43"/>
      <c r="BH43"/>
      <c r="BI43"/>
      <c r="BJ43"/>
    </row>
    <row r="44" spans="1:62" x14ac:dyDescent="0.3">
      <c r="A44" s="35">
        <v>4</v>
      </c>
      <c r="B44" s="15" t="str">
        <f>E37</f>
        <v>تجليدة مختلفة</v>
      </c>
      <c r="C44" s="9">
        <f>visible(3,K44)</f>
        <v>3</v>
      </c>
      <c r="D44" s="9" t="str">
        <f ca="1">E38</f>
        <v>يوفيلاك</v>
      </c>
      <c r="E44" s="9" t="s">
        <v>120</v>
      </c>
      <c r="F44" s="9"/>
      <c r="G44" s="9">
        <f>G38</f>
        <v>20</v>
      </c>
      <c r="H44" s="9"/>
      <c r="I44" s="9">
        <f ca="1">HLOOKUP(D44, materials[], 2,FALSE)</f>
        <v>6</v>
      </c>
      <c r="J44" s="9"/>
      <c r="K44" s="9" t="b">
        <v>1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5">
        <v>4</v>
      </c>
      <c r="B45" s="15" t="str">
        <f>E37</f>
        <v>تجليدة مختلفة</v>
      </c>
      <c r="C45" s="9">
        <f>visible(4,K45)</f>
        <v>4</v>
      </c>
      <c r="D45" s="9" t="str">
        <f ca="1">E38</f>
        <v>يوفيلاك</v>
      </c>
      <c r="E45" s="9" t="s">
        <v>120</v>
      </c>
      <c r="F45" s="9"/>
      <c r="G45" s="9">
        <f>G38</f>
        <v>20</v>
      </c>
      <c r="H45" s="9"/>
      <c r="I45" s="9">
        <f ca="1">HLOOKUP(D45, materials[], 2,FALSE)</f>
        <v>6</v>
      </c>
      <c r="J45" s="9"/>
      <c r="K45" s="9" t="b">
        <v>1</v>
      </c>
      <c r="BB45"/>
      <c r="BC45"/>
      <c r="BD45"/>
      <c r="BE45"/>
      <c r="BF45"/>
      <c r="BG45"/>
      <c r="BH45"/>
      <c r="BI45"/>
      <c r="BJ45"/>
    </row>
    <row r="46" spans="1:62" x14ac:dyDescent="0.3">
      <c r="A46" s="35">
        <v>4</v>
      </c>
      <c r="B46" s="15" t="str">
        <f>E37</f>
        <v>تجليدة مختلفة</v>
      </c>
      <c r="C46" s="9">
        <f>visible(5,K46)</f>
        <v>5</v>
      </c>
      <c r="D46" s="9" t="str">
        <f ca="1">E38</f>
        <v>يوفيلاك</v>
      </c>
      <c r="E46" s="9" t="s">
        <v>120</v>
      </c>
      <c r="F46" s="9"/>
      <c r="G46" s="9">
        <f>G38</f>
        <v>20</v>
      </c>
      <c r="H46" s="9"/>
      <c r="I46" s="9">
        <f ca="1">HLOOKUP(D46, materials[], 2,FALSE)</f>
        <v>6</v>
      </c>
      <c r="J46" s="9"/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customFormat="1" ht="14.4" x14ac:dyDescent="0.3">
      <c r="A47" s="45">
        <v>255</v>
      </c>
    </row>
    <row r="48" spans="1:62" customFormat="1" ht="14.4" x14ac:dyDescent="0.3">
      <c r="A48" s="45">
        <v>255</v>
      </c>
    </row>
    <row r="49" spans="54:62" x14ac:dyDescent="0.3">
      <c r="BB49"/>
      <c r="BC49"/>
      <c r="BD49"/>
      <c r="BE49"/>
      <c r="BF49"/>
      <c r="BG49"/>
      <c r="BH49"/>
      <c r="BI49"/>
      <c r="BJ49"/>
    </row>
  </sheetData>
  <mergeCells count="4">
    <mergeCell ref="E13:H13"/>
    <mergeCell ref="C2:J2"/>
    <mergeCell ref="E25:H25"/>
    <mergeCell ref="E37:H3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266700</xdr:colOff>
                    <xdr:row>4</xdr:row>
                    <xdr:rowOff>182880</xdr:rowOff>
                  </from>
                  <to>
                    <xdr:col>11</xdr:col>
                    <xdr:colOff>22860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228600</xdr:colOff>
                    <xdr:row>4</xdr:row>
                    <xdr:rowOff>182880</xdr:rowOff>
                  </from>
                  <to>
                    <xdr:col>4</xdr:col>
                    <xdr:colOff>373380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510540</xdr:colOff>
                    <xdr:row>4</xdr:row>
                    <xdr:rowOff>182880</xdr:rowOff>
                  </from>
                  <to>
                    <xdr:col>8</xdr:col>
                    <xdr:colOff>60960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289560</xdr:colOff>
                    <xdr:row>4</xdr:row>
                    <xdr:rowOff>160020</xdr:rowOff>
                  </from>
                  <to>
                    <xdr:col>14</xdr:col>
                    <xdr:colOff>457200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إعدادات</vt:lpstr>
      <vt:lpstr>نماذج</vt:lpstr>
      <vt:lpstr>وحدات</vt:lpstr>
      <vt:lpstr>وحدات سفلية</vt:lpstr>
      <vt:lpstr>بورديوم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2024-09-21T17:09:18Z</dcterms:modified>
</cp:coreProperties>
</file>