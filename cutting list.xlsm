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96439596-559D-4DB0-887E-E33C99194B62}" xr6:coauthVersionLast="47" xr6:coauthVersionMax="47" xr10:uidLastSave="{00000000-0000-0000-0000-000000000000}"/>
  <bookViews>
    <workbookView xWindow="-108" yWindow="-108" windowWidth="23256" windowHeight="12456" tabRatio="627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9" i="7" l="1"/>
  <c r="F139" i="7"/>
  <c r="C140" i="7"/>
  <c r="C141" i="7" s="1"/>
  <c r="F141" i="7"/>
  <c r="G141" i="7"/>
  <c r="C139" i="3"/>
  <c r="C140" i="3"/>
  <c r="C141" i="3"/>
  <c r="C162" i="3"/>
  <c r="C163" i="3" s="1"/>
  <c r="C164" i="3" s="1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K13" i="8"/>
  <c r="C21" i="8" a="1"/>
  <c r="B22" i="8" a="1"/>
  <c r="H21" i="8" a="1"/>
  <c r="B28" i="8" a="1"/>
  <c r="B21" i="8" a="1"/>
  <c r="B26" i="8" a="1"/>
  <c r="G22" i="8" a="1"/>
  <c r="J28" i="8" a="1"/>
  <c r="G21" i="8" a="1"/>
  <c r="E22" i="8" a="1"/>
  <c r="J26" i="8" a="1"/>
  <c r="C20" i="8" a="1"/>
  <c r="C22" i="8" a="1"/>
  <c r="J25" i="8" a="1"/>
  <c r="H26" i="8" a="1"/>
  <c r="F21" i="8" a="1"/>
  <c r="H20" i="8" a="1"/>
  <c r="F28" i="8" a="1"/>
  <c r="H23" i="8" a="1"/>
  <c r="G20" i="8" a="1"/>
  <c r="E21" i="8" a="1"/>
  <c r="E20" i="8" a="1"/>
  <c r="F23" i="8" a="1"/>
  <c r="C28" i="8" a="1"/>
  <c r="H22" i="8" a="1"/>
  <c r="F26" i="8" a="1"/>
  <c r="E23" i="8" a="1"/>
  <c r="F22" i="8" a="1"/>
  <c r="J23" i="8" a="1"/>
  <c r="C26" i="8" a="1"/>
  <c r="E28" i="8" a="1"/>
  <c r="J21" i="8" a="1"/>
  <c r="G28" i="8" a="1"/>
  <c r="G23" i="8" a="1"/>
  <c r="F20" i="8" a="1"/>
  <c r="H28" i="8" a="1"/>
  <c r="E26" i="8" a="1"/>
  <c r="B20" i="8" a="1"/>
  <c r="G26" i="8" a="1"/>
  <c r="J13" i="8"/>
  <c r="J22" i="8" a="1"/>
  <c r="C23" i="8" a="1"/>
  <c r="J20" i="8" a="1"/>
  <c r="B23" i="8" a="1"/>
  <c r="F25" i="8" a="1"/>
  <c r="E25" i="8" a="1"/>
  <c r="G25" i="8" a="1"/>
  <c r="B25" i="8" a="1"/>
  <c r="H25" i="8" a="1"/>
  <c r="C25" i="8" a="1"/>
  <c r="G16" i="8" a="1"/>
  <c r="J28" i="8" l="1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6" i="3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33" i="8" a="1"/>
  <c r="U24" i="8" a="1"/>
  <c r="U29" i="8" a="1"/>
  <c r="J127" i="7"/>
  <c r="X33" i="8" a="1"/>
  <c r="AD23" i="8" a="1"/>
  <c r="R26" i="8" a="1"/>
  <c r="AA25" i="8" a="1"/>
  <c r="R28" i="8" a="1"/>
  <c r="J31" i="7"/>
  <c r="AA28" i="8" a="1"/>
  <c r="AD28" i="8" a="1"/>
  <c r="R32" i="8" a="1"/>
  <c r="U33" i="8" a="1"/>
  <c r="AA32" i="8" a="1"/>
  <c r="J150" i="3"/>
  <c r="AD29" i="8" a="1"/>
  <c r="R29" i="8" a="1"/>
  <c r="AA29" i="8" a="1"/>
  <c r="X31" i="8" a="1"/>
  <c r="X27" i="8" a="1"/>
  <c r="X32" i="8" a="1"/>
  <c r="AD31" i="8" a="1"/>
  <c r="AA27" i="8" a="1"/>
  <c r="AA33" i="8" a="1"/>
  <c r="U32" i="8" a="1"/>
  <c r="AA26" i="8" a="1"/>
  <c r="U30" i="8" a="1"/>
  <c r="AD32" i="8" a="1"/>
  <c r="AD27" i="8" a="1"/>
  <c r="AD22" i="8" a="1"/>
  <c r="AA24" i="8" a="1"/>
  <c r="U31" i="8" a="1"/>
  <c r="AA31" i="8" a="1"/>
  <c r="X26" i="8" a="1"/>
  <c r="R27" i="8" a="1"/>
  <c r="J79" i="4"/>
  <c r="AD30" i="8" a="1"/>
  <c r="X29" i="8" a="1"/>
  <c r="R31" i="8" a="1"/>
  <c r="R33" i="8" a="1"/>
  <c r="AA30" i="8" a="1"/>
  <c r="X30" i="8" a="1"/>
  <c r="AD24" i="8" a="1"/>
  <c r="U25" i="8" a="1"/>
  <c r="R30" i="8" a="1"/>
  <c r="J25" i="6"/>
  <c r="AD25" i="8" a="1"/>
  <c r="J37" i="6"/>
  <c r="AD26" i="8" a="1"/>
  <c r="G15" i="4" a="1"/>
  <c r="J106" i="4" a="1"/>
  <c r="I152" i="4" a="1"/>
  <c r="I57" i="4" a="1"/>
  <c r="G152" i="4" a="1"/>
  <c r="G36" i="4" a="1"/>
  <c r="G131" i="4" a="1"/>
  <c r="J15" i="4" a="1"/>
  <c r="J132" i="4" a="1"/>
  <c r="I81" i="4" a="1"/>
  <c r="I36" i="4" a="1"/>
  <c r="G81" i="4" a="1"/>
  <c r="J81" i="4" a="1"/>
  <c r="J36" i="4" a="1"/>
  <c r="G105" i="4" a="1"/>
  <c r="I105" i="4" a="1"/>
  <c r="G57" i="4" a="1"/>
  <c r="I131" i="4" a="1"/>
  <c r="I15" i="4" a="1"/>
  <c r="J57" i="4" a="1"/>
  <c r="J105" i="4" a="1"/>
  <c r="J131" i="4" a="1"/>
  <c r="J152" i="4" a="1"/>
  <c r="I106" i="4" a="1"/>
  <c r="I132" i="4" a="1"/>
  <c r="AD33" i="8" l="1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40" i="5"/>
  <c r="J127" i="3"/>
  <c r="J13" i="5"/>
  <c r="J107" i="3"/>
  <c r="J86" i="3"/>
  <c r="J13" i="3"/>
  <c r="J86" i="7"/>
  <c r="J150" i="4"/>
  <c r="J129" i="4"/>
  <c r="J66" i="3"/>
  <c r="J103" i="4"/>
  <c r="J31" i="3"/>
  <c r="J55" i="4"/>
  <c r="J13" i="4"/>
  <c r="U28" i="8" a="1"/>
  <c r="J13" i="6"/>
  <c r="J34" i="4"/>
  <c r="J107" i="7"/>
  <c r="J66" i="7"/>
  <c r="U26" i="8" a="1"/>
  <c r="U27" i="8" a="1"/>
  <c r="J13" i="7"/>
  <c r="I109" i="7" a="1"/>
  <c r="E68" i="3" a="1"/>
  <c r="I32" i="3" a="1"/>
  <c r="J152" i="3" a="1"/>
  <c r="J88" i="7" a="1"/>
  <c r="I68" i="7" a="1"/>
  <c r="I34" i="7" a="1"/>
  <c r="J129" i="3" a="1"/>
  <c r="E129" i="3" a="1"/>
  <c r="F57" i="4" a="1"/>
  <c r="F152" i="4" a="1"/>
  <c r="E15" i="3" a="1"/>
  <c r="J110" i="7" a="1"/>
  <c r="I109" i="3" a="1"/>
  <c r="F105" i="4" a="1"/>
  <c r="J68" i="3" a="1"/>
  <c r="F36" i="4" a="1"/>
  <c r="I68" i="3" a="1"/>
  <c r="I129" i="7" a="1"/>
  <c r="J89" i="3" a="1"/>
  <c r="E152" i="3" a="1"/>
  <c r="I89" i="7" a="1"/>
  <c r="J88" i="3" a="1"/>
  <c r="E109" i="3" a="1"/>
  <c r="G152" i="3" a="1"/>
  <c r="G129" i="3" a="1"/>
  <c r="I110" i="3" a="1"/>
  <c r="I129" i="3" a="1"/>
  <c r="J129" i="7" a="1"/>
  <c r="F81" i="4" a="1"/>
  <c r="F131" i="4" a="1"/>
  <c r="I152" i="3" a="1"/>
  <c r="E88" i="3" a="1"/>
  <c r="I88" i="3" a="1"/>
  <c r="J110" i="3" a="1"/>
  <c r="J109" i="7" a="1"/>
  <c r="J15" i="3" a="1"/>
  <c r="F15" i="4" a="1"/>
  <c r="I15" i="3" a="1"/>
  <c r="I110" i="7" a="1"/>
  <c r="G34" i="3" a="1"/>
  <c r="I89" i="3" a="1"/>
  <c r="J34" i="3" a="1"/>
  <c r="J109" i="3" a="1"/>
  <c r="I88" i="7" a="1"/>
  <c r="J68" i="7" a="1"/>
  <c r="J89" i="7" a="1"/>
  <c r="J34" i="7" a="1"/>
  <c r="I34" i="3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29" i="3"/>
  <c r="G147" i="3" s="1"/>
  <c r="I32" i="3"/>
  <c r="I152" i="3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E3" i="10" s="1"/>
  <c r="G23" i="3"/>
  <c r="G22" i="3"/>
  <c r="AA22" i="8" a="1"/>
  <c r="X22" i="8" a="1"/>
  <c r="AD21" i="8" a="1"/>
  <c r="R22" i="8" a="1"/>
  <c r="I32" i="7" a="1"/>
  <c r="E129" i="7" a="1"/>
  <c r="F88" i="7" a="1"/>
  <c r="E88" i="7" a="1"/>
  <c r="E68" i="7" a="1"/>
  <c r="G34" i="7" a="1"/>
  <c r="G14" i="8" a="1"/>
  <c r="G129" i="7" a="1"/>
  <c r="E15" i="7" a="1"/>
  <c r="F109" i="7" a="1"/>
  <c r="F68" i="7" a="1"/>
  <c r="B34" i="7" a="1"/>
  <c r="F15" i="7" a="1"/>
  <c r="I15" i="7" a="1"/>
  <c r="J15" i="7" a="1"/>
  <c r="E109" i="7" a="1"/>
  <c r="F129" i="7" a="1"/>
  <c r="F158" i="3" l="1"/>
  <c r="G170" i="3"/>
  <c r="G14" i="8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AA23" i="8" a="1"/>
  <c r="U22" i="8" a="1"/>
  <c r="X23" i="8" a="1"/>
  <c r="R21" i="8" a="1"/>
  <c r="AA21" i="8" a="1"/>
  <c r="R23" i="8" a="1"/>
  <c r="X21" i="8" a="1"/>
  <c r="F85" i="4" a="1"/>
  <c r="F54" i="5" a="1"/>
  <c r="F156" i="4" a="1"/>
  <c r="F111" i="3" a="1"/>
  <c r="F134" i="4" a="1"/>
  <c r="F69" i="3" a="1"/>
  <c r="F108" i="4" a="1"/>
  <c r="D26" i="8" a="1"/>
  <c r="F40" i="4" a="1"/>
  <c r="F61" i="4" a="1"/>
  <c r="F21" i="5" a="1"/>
  <c r="I14" i="8" a="1"/>
  <c r="F153" i="3" a="1"/>
  <c r="E14" i="8" a="1"/>
  <c r="F90" i="3" a="1"/>
  <c r="F130" i="3" a="1"/>
  <c r="F16" i="3" a="1"/>
  <c r="E14" i="6" a="1"/>
  <c r="F19" i="4" a="1"/>
  <c r="D25" i="8" a="1"/>
  <c r="E26" i="6" a="1"/>
  <c r="E38" i="6" a="1"/>
  <c r="F35" i="3" a="1"/>
  <c r="H141" i="7" l="1"/>
  <c r="H140" i="7"/>
  <c r="G144" i="7"/>
  <c r="F143" i="7" s="1"/>
  <c r="D26" i="8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I25" i="8" a="1"/>
  <c r="U21" i="8" a="1"/>
  <c r="U23" i="8" a="1"/>
  <c r="D130" i="3" a="1"/>
  <c r="H19" i="4" a="1"/>
  <c r="H130" i="3" a="1"/>
  <c r="D153" i="3" a="1"/>
  <c r="D156" i="4" a="1"/>
  <c r="D21" i="5" a="1"/>
  <c r="F35" i="7" a="1"/>
  <c r="D85" i="4" a="1"/>
  <c r="F69" i="7" a="1"/>
  <c r="H108" i="4" a="1"/>
  <c r="D20" i="8" a="1"/>
  <c r="H40" i="4" a="1"/>
  <c r="D40" i="4" a="1"/>
  <c r="D28" i="8" a="1"/>
  <c r="F90" i="7" a="1"/>
  <c r="D111" i="3" a="1"/>
  <c r="H85" i="4" a="1"/>
  <c r="D16" i="3" a="1"/>
  <c r="F111" i="7" a="1"/>
  <c r="D90" i="3" a="1"/>
  <c r="I26" i="8" a="1"/>
  <c r="D61" i="4" a="1"/>
  <c r="D23" i="8" a="1"/>
  <c r="H153" i="3" a="1"/>
  <c r="D108" i="4" a="1"/>
  <c r="H156" i="4" a="1"/>
  <c r="H54" i="5" a="1"/>
  <c r="H16" i="3" a="1"/>
  <c r="H69" i="3" a="1"/>
  <c r="D21" i="8" a="1"/>
  <c r="D22" i="8" a="1"/>
  <c r="H90" i="3" a="1"/>
  <c r="F130" i="7" a="1"/>
  <c r="H111" i="3" a="1"/>
  <c r="H61" i="4" a="1"/>
  <c r="F16" i="7" a="1"/>
  <c r="H134" i="4" a="1"/>
  <c r="D54" i="5" a="1"/>
  <c r="H35" i="3" a="1"/>
  <c r="D69" i="3" a="1"/>
  <c r="H21" i="5" a="1"/>
  <c r="D19" i="4" a="1"/>
  <c r="D134" i="4" a="1"/>
  <c r="I25" i="8" l="1"/>
  <c r="D80" i="5"/>
  <c r="I80" i="5" s="1"/>
  <c r="D79" i="5"/>
  <c r="I79" i="5" s="1"/>
  <c r="D78" i="5"/>
  <c r="I78" i="5" s="1"/>
  <c r="D81" i="5"/>
  <c r="I81" i="5" s="1"/>
  <c r="D28" i="8"/>
  <c r="I26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H130" i="3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H16" i="7" a="1"/>
  <c r="H111" i="7" a="1"/>
  <c r="D90" i="7" a="1"/>
  <c r="H35" i="7" a="1"/>
  <c r="H90" i="7" a="1"/>
  <c r="H69" i="7" a="1"/>
  <c r="D69" i="7" a="1"/>
  <c r="I20" i="8" a="1"/>
  <c r="H130" i="7" a="1"/>
  <c r="I28" i="8" a="1"/>
  <c r="D16" i="7" a="1"/>
  <c r="D111" i="7" a="1"/>
  <c r="I23" i="8" a="1"/>
  <c r="D130" i="7" a="1"/>
  <c r="I22" i="8" a="1"/>
  <c r="I21" i="8" a="1"/>
  <c r="D139" i="3" l="1"/>
  <c r="D140" i="3"/>
  <c r="D141" i="3"/>
  <c r="I141" i="3" s="1"/>
  <c r="D162" i="3"/>
  <c r="I162" i="3" s="1"/>
  <c r="D163" i="3"/>
  <c r="I163" i="3" s="1"/>
  <c r="D164" i="3"/>
  <c r="I164" i="3" s="1"/>
  <c r="D113" i="4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I139" i="3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I140" i="3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59" i="3"/>
  <c r="I159" i="3" s="1"/>
  <c r="D160" i="3"/>
  <c r="I160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<sst xmlns="http://schemas.openxmlformats.org/spreadsheetml/2006/main" count="1028" uniqueCount="184">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</sst>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abSelected="1" topLeftCell="B1" zoomScale="55" zoomScaleNormal="55" workbookViewId="0">
      <selection activeCell="J11" sqref="J11"/>
    </sheetView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 activeCell="G24" sqref="G24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85" zoomScaleNormal="85" workbookViewId="0">
      <selection activeCell="E11" sqref="E11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7"/>
      <c r="G14" s="109"/>
      <c r="H14" s="7" t="s">
        <v>23</v>
      </c>
      <c r="I14" s="7" t="s">
        <v>3</v>
      </c>
      <c r="J14" s="7" t="s">
        <v>114</v>
      </c>
      <c r="K14" s="7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7"/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9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1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7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7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9"/>
      <c r="G67" s="7" t="s">
        <v>25</v>
      </c>
      <c r="H67" s="7" t="s">
        <v>23</v>
      </c>
      <c r="I67" s="7" t="s">
        <v>3</v>
      </c>
      <c r="J67" s="7" t="s">
        <v>114</v>
      </c>
      <c r="K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9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1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7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9"/>
      <c r="G87" s="7"/>
      <c r="H87" s="7" t="s">
        <v>23</v>
      </c>
      <c r="I87" s="7" t="s">
        <v>3</v>
      </c>
      <c r="J87" s="7" t="s">
        <v>114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9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1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7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9"/>
      <c r="G108" s="7"/>
      <c r="H108" s="7" t="s">
        <v>23</v>
      </c>
      <c r="I108" s="7" t="s">
        <v>3</v>
      </c>
      <c r="J108" s="7" t="s">
        <v>114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9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1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7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9"/>
      <c r="G128" s="16" t="s">
        <v>20</v>
      </c>
      <c r="H128" s="7" t="s">
        <v>23</v>
      </c>
      <c r="I128" s="7" t="s">
        <v>3</v>
      </c>
      <c r="J128" s="7" t="s">
        <v>114</v>
      </c>
      <c r="K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9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6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6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6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10">
        <f ca="1">HLOOKUP(D139, materials[], 2,FALSE)</f>
        <v>2</v>
      </c>
      <c r="J139" s="10"/>
      <c r="K139" s="10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10">
        <f ca="1">HLOOKUP(D140, materials[], 2,FALSE)</f>
        <v>2</v>
      </c>
      <c r="J140" s="10"/>
      <c r="K140" s="10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10">
        <f ca="1">HLOOKUP(D141, materials[], 2,FALSE)</f>
        <v>2</v>
      </c>
      <c r="J141" s="10"/>
      <c r="K141" s="10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9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9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7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K151" s="7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K152" s="7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  <c r="K153" s="7"/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  <c r="K155" s="6"/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6" t="b">
        <v>1</v>
      </c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6" t="b">
        <v>1</v>
      </c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6" t="b">
        <v>1</v>
      </c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</row>
    <row r="161" spans="1:11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6" t="b">
        <v>1</v>
      </c>
    </row>
    <row r="162" spans="1:11" x14ac:dyDescent="0.3">
      <c r="A162" s="51">
        <v>3</v>
      </c>
      <c r="B162" s="15" t="str">
        <f>B158</f>
        <v>وحدة سفلية دلفة /دلفتين + درج</v>
      </c>
      <c r="C162" s="10">
        <f t="shared" si="8"/>
        <v>6</v>
      </c>
      <c r="D162" s="10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10">
        <f ca="1">HLOOKUP(D162, materials[], 2,FALSE)</f>
        <v>2</v>
      </c>
      <c r="J162" s="10"/>
      <c r="K162" s="10" t="b">
        <v>1</v>
      </c>
    </row>
    <row r="163" spans="1:11" x14ac:dyDescent="0.3">
      <c r="A163" s="51">
        <v>3</v>
      </c>
      <c r="B163" s="15" t="str">
        <f>B159</f>
        <v>وحدة سفلية دلفة /دلفتين + درج</v>
      </c>
      <c r="C163" s="10">
        <f t="shared" si="8"/>
        <v>7</v>
      </c>
      <c r="D163" s="10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10">
        <f ca="1">HLOOKUP(D163, materials[], 2,FALSE)</f>
        <v>2</v>
      </c>
      <c r="J163" s="10"/>
      <c r="K163" s="10" t="b">
        <v>1</v>
      </c>
    </row>
    <row r="164" spans="1:11" x14ac:dyDescent="0.3">
      <c r="A164" s="51">
        <v>3</v>
      </c>
      <c r="B164" s="15" t="str">
        <f>B160</f>
        <v>وحدة سفلية دلفة /دلفتين + درج</v>
      </c>
      <c r="C164" s="10">
        <f t="shared" si="8"/>
        <v>8</v>
      </c>
      <c r="D164" s="10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10">
        <f ca="1">HLOOKUP(D164, materials[], 2,FALSE)</f>
        <v>2</v>
      </c>
      <c r="J164" s="10"/>
      <c r="K164" s="10" t="b">
        <v>1</v>
      </c>
    </row>
    <row r="165" spans="1:11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9" t="b">
        <v>1</v>
      </c>
    </row>
    <row r="167" spans="1:11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9" t="b">
        <v>1</v>
      </c>
    </row>
    <row r="168" spans="1:11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</row>
    <row r="170" spans="1:11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19" t="b">
        <v>1</v>
      </c>
    </row>
    <row r="171" spans="1:11" x14ac:dyDescent="0.3">
      <c r="A171" s="51">
        <v>255</v>
      </c>
    </row>
    <row r="172" spans="1:11" x14ac:dyDescent="0.3">
      <c r="A172" s="51">
        <v>255</v>
      </c>
    </row>
  </sheetData>
  <mergeCells count="13">
    <mergeCell ref="E150:H150"/>
    <mergeCell ref="E127:H127"/>
    <mergeCell ref="F128:F129"/>
    <mergeCell ref="E107:H107"/>
    <mergeCell ref="E66:H66"/>
    <mergeCell ref="F108:F109"/>
    <mergeCell ref="F87:F88"/>
    <mergeCell ref="E86:H86"/>
    <mergeCell ref="C2:J2"/>
    <mergeCell ref="G14:G15"/>
    <mergeCell ref="F67:F68"/>
    <mergeCell ref="E13:H13"/>
    <mergeCell ref="E31:H31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N48" sqref="N48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8" t="s">
        <v>105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9"/>
      <c r="H14" s="7" t="s">
        <v>23</v>
      </c>
      <c r="I14" s="7" t="s">
        <v>3</v>
      </c>
      <c r="J14" s="7" t="s">
        <v>114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7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7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9"/>
      <c r="H67" s="7" t="s">
        <v>23</v>
      </c>
      <c r="I67" s="7" t="s">
        <v>3</v>
      </c>
      <c r="J67" s="7" t="s">
        <v>114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9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7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7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7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56" zoomScale="86" zoomScaleNormal="70" workbookViewId="0">
      <selection activeCell="K169" sqref="K169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8" t="s">
        <v>44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1" t="b">
        <f ca="1">NOT(AND(F15&gt;0,G15&gt;0))</f>
        <v>1</v>
      </c>
      <c r="G16" s="111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0">
        <f>C15+D15</f>
        <v>1</v>
      </c>
      <c r="D17" s="110"/>
      <c r="E17" s="26">
        <v>10</v>
      </c>
      <c r="F17" s="118" t="str">
        <f ca="1">IF(F16,"المقابض مظبوطة","مينفعش مقبض مخفي مع بيلت ان")</f>
        <v>المقابض مظبوطة</v>
      </c>
      <c r="G17" s="118"/>
      <c r="H17" s="111" t="str">
        <f>IF(H16,"عدد الدلف صحيح","عدد الدلف غير صحيح")</f>
        <v>عدد الدلف صحيح</v>
      </c>
      <c r="I17" s="111"/>
      <c r="J17" s="111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1" t="b">
        <f>C17&lt;=2</f>
        <v>1</v>
      </c>
      <c r="D18" s="111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7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9" t="b">
        <f ca="1">NOT(AND(F36&gt;0,G36&gt;0))</f>
        <v>1</v>
      </c>
      <c r="G37" s="119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0">
        <f>C36+D36</f>
        <v>2</v>
      </c>
      <c r="D38" s="110"/>
      <c r="E38" s="7">
        <v>0</v>
      </c>
      <c r="F38" s="112" t="str">
        <f ca="1">IF(F37,"المقابض مظبوطة","مينفعش مقبض مخفي مع بيلت ان")</f>
        <v>المقابض مظبوطة</v>
      </c>
      <c r="G38" s="112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1" t="b">
        <f>C38&lt;=2</f>
        <v>1</v>
      </c>
      <c r="D39" s="111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7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1" t="b">
        <f ca="1">NOT(AND(F57&gt;0,G57&gt;0))</f>
        <v>1</v>
      </c>
      <c r="G58" s="113"/>
      <c r="H58" s="3" t="b">
        <f>_xlfn.XOR(H57&lt;=50,C59=2)</f>
        <v>0</v>
      </c>
      <c r="I58" s="61" t="s">
        <v>167</v>
      </c>
      <c r="J58" s="62" t="s">
        <v>168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0">
        <f>C57+D57</f>
        <v>2</v>
      </c>
      <c r="D59" s="110"/>
      <c r="E59" s="7" t="s">
        <v>107</v>
      </c>
      <c r="F59" s="114" t="str">
        <f ca="1">IF(F58,"المقابض مظبوطة","مينفعش مقبض مخفي مع بيلت ان")</f>
        <v>المقابض مظبوطة</v>
      </c>
      <c r="G59" s="114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1" t="b">
        <f>C59&lt;=2</f>
        <v>1</v>
      </c>
      <c r="D60" s="111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7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1" t="b">
        <f ca="1">NOT(AND(F81&gt;0,G81&gt;0))</f>
        <v>1</v>
      </c>
      <c r="G82" s="113"/>
      <c r="H82" s="3" t="b">
        <f ca="1">_xlfn.XOR(I81&lt;=50,C83=2)</f>
        <v>0</v>
      </c>
      <c r="I82" s="61" t="s">
        <v>167</v>
      </c>
      <c r="J82" s="62" t="s">
        <v>168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0">
        <f>C81+D81</f>
        <v>1</v>
      </c>
      <c r="D83" s="110"/>
      <c r="E83" s="7" t="s">
        <v>107</v>
      </c>
      <c r="F83" s="114" t="str">
        <f ca="1">IF(F82,"المقابض مظبوطة","مينفعش مقبض مخفي مع بيلت ان")</f>
        <v>المقابض مظبوطة</v>
      </c>
      <c r="G83" s="114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1" t="b">
        <f>C83&lt;=2</f>
        <v>1</v>
      </c>
      <c r="D84" s="111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7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1" t="b">
        <f ca="1">NOT(AND(F105&gt;0,G105&gt;0))</f>
        <v>1</v>
      </c>
      <c r="G106" s="111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2" t="str">
        <f ca="1">IF(F106,"المقابض مظبوطة","مينفعش مقبض مخفي مع بيلت ان")</f>
        <v>المقابض مظبوطة</v>
      </c>
      <c r="G107" s="112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7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1" t="b">
        <f ca="1">NOT(AND(F131&gt;0,G131&gt;0))</f>
        <v>1</v>
      </c>
      <c r="G132" s="111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2" t="str">
        <f ca="1">IF(F132,"المقابض مظبوطة","مينفعش مقبض مخفي مع بيلت ان")</f>
        <v>المقابض مظبوطة</v>
      </c>
      <c r="G133" s="112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7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5">
        <f>C152+D152</f>
        <v>1</v>
      </c>
      <c r="D154" s="116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3" t="b">
        <f>C154&lt;=2</f>
        <v>1</v>
      </c>
      <c r="D155" s="117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67" zoomScale="70" zoomScaleNormal="70" workbookViewId="0">
      <selection activeCell="J74" sqref="J74:J82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8" t="s">
        <v>65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1" t="s">
        <v>66</v>
      </c>
      <c r="F13" s="121"/>
      <c r="G13" s="121"/>
      <c r="H13" s="121"/>
      <c r="I13" s="2" t="s">
        <v>31</v>
      </c>
      <c r="J13" s="2">
        <f>letterToNumber(A13)</f>
        <v>1</v>
      </c>
      <c r="K13" s="7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  <c r="K18" s="7"/>
    </row>
    <row r="19" spans="1:13" ht="15.6" x14ac:dyDescent="0.3">
      <c r="A19" s="35">
        <v>1</v>
      </c>
      <c r="C19" s="110">
        <f>G17+H17</f>
        <v>2</v>
      </c>
      <c r="D19" s="110"/>
      <c r="E19" s="8"/>
      <c r="F19" s="46"/>
      <c r="G19" s="46"/>
      <c r="H19" s="46"/>
      <c r="I19" s="8">
        <f>SUM(I17:I18)</f>
        <v>210</v>
      </c>
      <c r="J19" s="112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1" t="b">
        <f>C19&lt;=2</f>
        <v>1</v>
      </c>
      <c r="D20" s="111"/>
      <c r="E20" s="8"/>
      <c r="F20" s="8"/>
      <c r="G20" s="8"/>
      <c r="H20" s="8"/>
      <c r="I20" s="6" t="b">
        <f>I19=I15</f>
        <v>1</v>
      </c>
      <c r="J20" s="112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1" t="s">
        <v>77</v>
      </c>
      <c r="F40" s="121"/>
      <c r="G40" s="121"/>
      <c r="H40" s="121"/>
      <c r="I40" s="2" t="s">
        <v>31</v>
      </c>
      <c r="J40" s="2">
        <f>letterToNumber(A40)</f>
        <v>2</v>
      </c>
      <c r="K40" s="7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7"/>
      <c r="L51" s="1"/>
      <c r="M51" s="1"/>
    </row>
    <row r="52" spans="1:13" ht="15.6" x14ac:dyDescent="0.3">
      <c r="A52" s="35">
        <v>1</v>
      </c>
      <c r="C52" s="110">
        <f>G47+H47</f>
        <v>0</v>
      </c>
      <c r="D52" s="110"/>
      <c r="E52" s="8"/>
      <c r="F52" s="46"/>
      <c r="G52" s="46"/>
      <c r="H52" s="46"/>
      <c r="I52" s="8">
        <f>SUM(I44:I51)</f>
        <v>220</v>
      </c>
      <c r="J52" s="112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1" t="b">
        <f>C52&lt;=2</f>
        <v>1</v>
      </c>
      <c r="D53" s="111"/>
      <c r="E53" s="8"/>
      <c r="F53" s="8"/>
      <c r="G53" s="8"/>
      <c r="H53" s="8"/>
      <c r="I53" s="6" t="b">
        <f>I52=I42</f>
        <v>1</v>
      </c>
      <c r="J53" s="112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1" t="b">
        <f>NOT(AND(F100&gt;0,G100&gt;0))</f>
        <v>1</v>
      </c>
      <c r="G101" s="111"/>
      <c r="I101" s="3" t="b">
        <f>_xlfn.XOR(I100&lt;=50,C102=2)</f>
        <v>0</v>
      </c>
    </row>
    <row r="102" spans="2:10" ht="24" hidden="1" customHeight="1" x14ac:dyDescent="0.3">
      <c r="C102" s="111">
        <f>C100+E100</f>
        <v>3</v>
      </c>
      <c r="D102" s="111"/>
      <c r="E102" s="33"/>
      <c r="F102" s="114" t="str">
        <f>IF(F101,"المقابض مظبوطة","مينفعش مقبض مخفي مع بيلت ان")</f>
        <v>المقابض مظبوطة</v>
      </c>
      <c r="G102" s="114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1" t="b">
        <f>C102&lt;=2</f>
        <v>0</v>
      </c>
      <c r="D103" s="111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1" t="b">
        <f>NOT(AND(F120&gt;0,G120&gt;0))</f>
        <v>1</v>
      </c>
      <c r="G121" s="111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4" t="str">
        <f>IF(F121,"المقابض مظبوطة","مينفعش مقبض مخفي مع بيلت ان")</f>
        <v>المقابض مظبوطة</v>
      </c>
      <c r="G122" s="114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1" t="b">
        <f>NOT(AND(F140&gt;0,G140&gt;0))</f>
        <v>1</v>
      </c>
      <c r="G141" s="111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4" t="str">
        <f>IF(F141,"المقابض مظبوطة","مينفعش مقبض مخفي مع بيلت ان")</f>
        <v>المقابض مظبوطة</v>
      </c>
      <c r="G142" s="114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43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" zoomScale="70" zoomScaleNormal="70" workbookViewId="0">
      <selection activeCell="H47" sqref="H47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7"/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6"/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7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  <c r="K26" s="7"/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  <c r="K28" s="6"/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7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  <c r="K38" s="7"/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  <c r="K40" s="6"/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2024-09-19T12:03:31Z</dcterms:modified>
</cp:coreProperties>
</file>