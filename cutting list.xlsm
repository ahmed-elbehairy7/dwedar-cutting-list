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026624D8-1067-4028-826D-D91B2DA4F4D1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0" l="1" a="1"/>
  <c r="E3" i="10" s="1"/>
  <c r="C25" i="8"/>
  <c r="C27" i="8"/>
  <c r="C26" i="8"/>
  <c r="K84" i="11"/>
  <c r="I35" i="5"/>
  <c r="J35" i="5" s="1"/>
  <c r="I34" i="5"/>
  <c r="J34" i="5" s="1"/>
  <c r="I98" i="4"/>
  <c r="J98" i="4" s="1"/>
  <c r="I50" i="4"/>
  <c r="J50" i="4" s="1"/>
  <c r="I87" i="5"/>
  <c r="J87" i="5" s="1"/>
  <c r="I123" i="4"/>
  <c r="J123" i="4" s="1"/>
  <c r="I29" i="4"/>
  <c r="J29" i="4" s="1"/>
  <c r="I86" i="5"/>
  <c r="J86" i="5" s="1"/>
  <c r="I167" i="4"/>
  <c r="J167" i="4" s="1"/>
  <c r="I122" i="4"/>
  <c r="J122" i="4" s="1"/>
  <c r="I85" i="5"/>
  <c r="J85" i="5" s="1"/>
  <c r="I74" i="4"/>
  <c r="J74" i="4" s="1"/>
  <c r="J52" i="8" a="1"/>
  <c r="F42" i="11" a="1"/>
  <c r="C91" i="11"/>
  <c r="E93" i="11" a="1"/>
  <c r="F93" i="11" a="1"/>
  <c r="F95" i="11" a="1"/>
  <c r="H96" i="11"/>
  <c r="H92" i="11" a="1"/>
  <c r="G94" i="11" a="1"/>
  <c r="E92" i="11" a="1"/>
  <c r="F91" i="11" a="1"/>
  <c r="G93" i="11" a="1"/>
  <c r="G99" i="11" a="1"/>
  <c r="B96" i="11"/>
  <c r="B92" i="11" a="1"/>
  <c r="E98" i="11" a="1"/>
  <c r="H99" i="11"/>
  <c r="E94" i="11" a="1"/>
  <c r="C94" i="11"/>
  <c r="H94" i="11" a="1"/>
  <c r="E99" i="11" a="1"/>
  <c r="E91" i="11" a="1"/>
  <c r="H95" i="11" a="1"/>
  <c r="B95" i="11" a="1"/>
  <c r="C98" i="11"/>
  <c r="H91" i="11" a="1"/>
  <c r="J84" i="11"/>
  <c r="E96" i="11" a="1"/>
  <c r="F94" i="11" a="1"/>
  <c r="B94" i="11" a="1"/>
  <c r="C99" i="11"/>
  <c r="B99" i="11"/>
  <c r="H93" i="11" a="1"/>
  <c r="C93" i="11"/>
  <c r="C92" i="11"/>
  <c r="C96" i="11"/>
  <c r="H98" i="11" a="1"/>
  <c r="B93" i="11" a="1"/>
  <c r="C95" i="11"/>
  <c r="B98" i="11" a="1"/>
  <c r="E95" i="11" a="1"/>
  <c r="B91" i="11" a="1"/>
  <c r="J87" i="11" a="1"/>
  <c r="I87" i="11" a="1"/>
  <c r="J52" i="8" l="1"/>
  <c r="J87" i="11"/>
  <c r="E87" i="11" s="1"/>
  <c r="F42" i="11"/>
  <c r="F95" i="11"/>
  <c r="G99" i="11"/>
  <c r="E99" i="11"/>
  <c r="E96" i="11"/>
  <c r="F93" i="11"/>
  <c r="G93" i="11"/>
  <c r="H91" i="11"/>
  <c r="E92" i="11"/>
  <c r="B93" i="11"/>
  <c r="H93" i="11"/>
  <c r="E94" i="11"/>
  <c r="B95" i="11"/>
  <c r="H95" i="11"/>
  <c r="E98" i="11"/>
  <c r="B91" i="11"/>
  <c r="F91" i="11"/>
  <c r="F94" i="11"/>
  <c r="I87" i="11"/>
  <c r="G94" i="11"/>
  <c r="E91" i="11"/>
  <c r="B92" i="11"/>
  <c r="H92" i="11"/>
  <c r="E93" i="11"/>
  <c r="B94" i="11"/>
  <c r="H94" i="11"/>
  <c r="E95" i="11"/>
  <c r="B98" i="11"/>
  <c r="H98" i="11"/>
  <c r="G98" i="11" a="1"/>
  <c r="G96" i="11" a="1"/>
  <c r="F99" i="11" a="1"/>
  <c r="F96" i="11" a="1"/>
  <c r="G91" i="11" a="1"/>
  <c r="G92" i="11" a="1"/>
  <c r="F92" i="11" a="1"/>
  <c r="G98" i="11" l="1"/>
  <c r="G96" i="11"/>
  <c r="F99" i="11"/>
  <c r="F96" i="11"/>
  <c r="F92" i="11"/>
  <c r="G92" i="11"/>
  <c r="G91" i="11"/>
  <c r="G95" i="11" a="1"/>
  <c r="G95" i="11" l="1"/>
  <c r="K138" i="3" l="1"/>
  <c r="K170" i="3"/>
  <c r="K169" i="3"/>
  <c r="K168" i="3"/>
  <c r="K165" i="3"/>
  <c r="K164" i="3"/>
  <c r="K163" i="3"/>
  <c r="K162" i="3"/>
  <c r="K160" i="3"/>
  <c r="K159" i="3"/>
  <c r="K158" i="3"/>
  <c r="K157" i="3"/>
  <c r="K156" i="3"/>
  <c r="K155" i="3"/>
  <c r="K154" i="3"/>
  <c r="K153" i="3"/>
  <c r="K152" i="3"/>
  <c r="K151" i="3"/>
  <c r="K150" i="3"/>
  <c r="K79" i="11"/>
  <c r="K81" i="11"/>
  <c r="K80" i="11"/>
  <c r="E162" i="3" a="1"/>
  <c r="F152" i="3" a="1"/>
  <c r="B156" i="3"/>
  <c r="E165" i="3" a="1"/>
  <c r="E150" i="3" a="1"/>
  <c r="C158" i="3"/>
  <c r="E154" i="3" a="1"/>
  <c r="C164" i="3"/>
  <c r="C160" i="3"/>
  <c r="C151" i="3"/>
  <c r="C146" i="3"/>
  <c r="C59" i="11"/>
  <c r="H151" i="3" a="1"/>
  <c r="B153" i="3"/>
  <c r="H163" i="3"/>
  <c r="H168" i="3"/>
  <c r="H156" i="3" a="1"/>
  <c r="B169" i="3"/>
  <c r="F148" i="3" a="1"/>
  <c r="E170" i="3" a="1"/>
  <c r="F159" i="3" a="1"/>
  <c r="E159" i="3" a="1"/>
  <c r="E148" i="3" a="1"/>
  <c r="C58" i="11"/>
  <c r="B165" i="3"/>
  <c r="F81" i="11" a="1"/>
  <c r="H160" i="3" a="1"/>
  <c r="F150" i="3" a="1"/>
  <c r="B148" i="3" a="1"/>
  <c r="H162" i="3" a="1"/>
  <c r="H80" i="11"/>
  <c r="C150" i="3"/>
  <c r="F168" i="3" a="1"/>
  <c r="E168" i="3" a="1"/>
  <c r="B146" i="3" a="1"/>
  <c r="H158" i="3" a="1"/>
  <c r="B149" i="3" a="1"/>
  <c r="E156" i="3" a="1"/>
  <c r="C80" i="11"/>
  <c r="C159" i="3"/>
  <c r="H146" i="3" a="1"/>
  <c r="F149" i="3" a="1"/>
  <c r="G160" i="3" a="1"/>
  <c r="C162" i="3"/>
  <c r="H164" i="3"/>
  <c r="E158" i="3" a="1"/>
  <c r="H153" i="3" a="1"/>
  <c r="C157" i="3"/>
  <c r="C148" i="3"/>
  <c r="E164" i="3" a="1"/>
  <c r="G165" i="3" a="1"/>
  <c r="C155" i="3"/>
  <c r="F158" i="3" a="1"/>
  <c r="H157" i="3" a="1"/>
  <c r="E151" i="3" a="1"/>
  <c r="C149" i="3"/>
  <c r="G157" i="3" a="1"/>
  <c r="E149" i="3" a="1"/>
  <c r="G158" i="3" a="1"/>
  <c r="B147" i="3" a="1"/>
  <c r="E153" i="3" a="1"/>
  <c r="E155" i="3" a="1"/>
  <c r="C152" i="3"/>
  <c r="B162" i="3" a="1"/>
  <c r="G159" i="3" a="1"/>
  <c r="H165" i="3"/>
  <c r="H155" i="3" a="1"/>
  <c r="F170" i="3" a="1"/>
  <c r="C163" i="3"/>
  <c r="C57" i="11"/>
  <c r="H154" i="3" a="1"/>
  <c r="C147" i="3"/>
  <c r="F153" i="3" a="1"/>
  <c r="G164" i="3" a="1"/>
  <c r="H148" i="3" a="1"/>
  <c r="F146" i="3" a="1"/>
  <c r="G162" i="3" a="1"/>
  <c r="H152" i="3" a="1"/>
  <c r="C60" i="11"/>
  <c r="B168" i="3"/>
  <c r="C156" i="3"/>
  <c r="H147" i="3" a="1"/>
  <c r="B163" i="3"/>
  <c r="G154" i="3" a="1"/>
  <c r="C169" i="3"/>
  <c r="H150" i="3" a="1"/>
  <c r="B158" i="3"/>
  <c r="E157" i="3" a="1"/>
  <c r="B160" i="3"/>
  <c r="G155" i="3" a="1"/>
  <c r="H81" i="11"/>
  <c r="G151" i="3" a="1"/>
  <c r="G163" i="3" a="1"/>
  <c r="B152" i="3"/>
  <c r="G153" i="3" a="1"/>
  <c r="B154" i="3"/>
  <c r="E80" i="11" a="1"/>
  <c r="F155" i="3" a="1"/>
  <c r="G152" i="3" a="1"/>
  <c r="G149" i="3" a="1"/>
  <c r="E152" i="3" a="1"/>
  <c r="C165" i="3"/>
  <c r="G148" i="3" a="1"/>
  <c r="B155" i="3"/>
  <c r="G156" i="3" a="1"/>
  <c r="B164" i="3"/>
  <c r="C154" i="3"/>
  <c r="B157" i="3"/>
  <c r="E81" i="11" a="1"/>
  <c r="C79" i="11"/>
  <c r="C170" i="3"/>
  <c r="E163" i="3" a="1"/>
  <c r="F79" i="11" a="1"/>
  <c r="H159" i="3" a="1"/>
  <c r="B151" i="3"/>
  <c r="F80" i="11" a="1"/>
  <c r="G150" i="3" a="1"/>
  <c r="B170" i="3"/>
  <c r="F169" i="3" a="1"/>
  <c r="C153" i="3"/>
  <c r="B159" i="3"/>
  <c r="E169" i="3" a="1"/>
  <c r="E146" i="3" a="1"/>
  <c r="H170" i="3"/>
  <c r="J138" i="3"/>
  <c r="C168" i="3"/>
  <c r="H149" i="3" a="1"/>
  <c r="E79" i="11" a="1"/>
  <c r="C81" i="11"/>
  <c r="H79" i="11"/>
  <c r="H169" i="3"/>
  <c r="E147" i="3" a="1"/>
  <c r="B150" i="3" a="1"/>
  <c r="E160" i="3" a="1"/>
  <c r="F156" i="3" a="1"/>
  <c r="J141" i="3" a="1"/>
  <c r="I141" i="3" a="1"/>
  <c r="G155" i="3" l="1"/>
  <c r="G165" i="3"/>
  <c r="E156" i="3"/>
  <c r="E159" i="3"/>
  <c r="H149" i="3"/>
  <c r="F170" i="3"/>
  <c r="G158" i="3"/>
  <c r="E148" i="3"/>
  <c r="B149" i="3"/>
  <c r="F150" i="3"/>
  <c r="H152" i="3"/>
  <c r="F153" i="3"/>
  <c r="H155" i="3"/>
  <c r="F156" i="3"/>
  <c r="H158" i="3"/>
  <c r="F159" i="3"/>
  <c r="G162" i="3"/>
  <c r="E163" i="3"/>
  <c r="B146" i="3"/>
  <c r="E170" i="3"/>
  <c r="G150" i="3"/>
  <c r="G153" i="3"/>
  <c r="G156" i="3"/>
  <c r="E157" i="3"/>
  <c r="G159" i="3"/>
  <c r="E160" i="3"/>
  <c r="H162" i="3"/>
  <c r="F148" i="3"/>
  <c r="E154" i="3"/>
  <c r="I141" i="3"/>
  <c r="B162" i="3"/>
  <c r="E164" i="3"/>
  <c r="E168" i="3"/>
  <c r="F146" i="3"/>
  <c r="G148" i="3"/>
  <c r="H150" i="3"/>
  <c r="H153" i="3"/>
  <c r="H156" i="3"/>
  <c r="H159" i="3"/>
  <c r="G163" i="3"/>
  <c r="J141" i="3"/>
  <c r="E149" i="3"/>
  <c r="B150" i="3"/>
  <c r="F168" i="3"/>
  <c r="E150" i="3"/>
  <c r="E146" i="3"/>
  <c r="H148" i="3"/>
  <c r="G151" i="3"/>
  <c r="E152" i="3"/>
  <c r="G154" i="3"/>
  <c r="E155" i="3"/>
  <c r="G157" i="3"/>
  <c r="E158" i="3"/>
  <c r="G160" i="3"/>
  <c r="E165" i="3"/>
  <c r="E169" i="3"/>
  <c r="G149" i="3"/>
  <c r="E153" i="3"/>
  <c r="E147" i="3"/>
  <c r="F149" i="3"/>
  <c r="G164" i="3"/>
  <c r="G152" i="3"/>
  <c r="H147" i="3"/>
  <c r="B147" i="3"/>
  <c r="E151" i="3"/>
  <c r="B148" i="3"/>
  <c r="H146" i="3"/>
  <c r="H151" i="3"/>
  <c r="F152" i="3"/>
  <c r="H154" i="3"/>
  <c r="F155" i="3"/>
  <c r="H157" i="3"/>
  <c r="F158" i="3"/>
  <c r="H160" i="3"/>
  <c r="E162" i="3"/>
  <c r="F169" i="3"/>
  <c r="F81" i="11"/>
  <c r="F80" i="11"/>
  <c r="F79" i="11"/>
  <c r="E81" i="11"/>
  <c r="E80" i="11"/>
  <c r="E79" i="11"/>
  <c r="G147" i="3" a="1"/>
  <c r="G146" i="3" a="1"/>
  <c r="F147" i="3" a="1"/>
  <c r="F147" i="3" l="1"/>
  <c r="G146" i="3"/>
  <c r="G147" i="3"/>
  <c r="K76" i="11"/>
  <c r="K75" i="11"/>
  <c r="K74" i="11"/>
  <c r="K73" i="11"/>
  <c r="H75" i="11"/>
  <c r="B80" i="11"/>
  <c r="H74" i="11"/>
  <c r="B79" i="11"/>
  <c r="E74" i="11" a="1"/>
  <c r="C76" i="11"/>
  <c r="E75" i="11" a="1"/>
  <c r="G73" i="11" a="1"/>
  <c r="C74" i="11"/>
  <c r="E73" i="11" a="1"/>
  <c r="E76" i="11" a="1"/>
  <c r="B81" i="11"/>
  <c r="C73" i="11"/>
  <c r="C75" i="11"/>
  <c r="G76" i="11" a="1"/>
  <c r="G74" i="11" a="1"/>
  <c r="G75" i="11" a="1"/>
  <c r="H73" i="11" a="1"/>
  <c r="H76" i="11"/>
  <c r="H73" i="11" l="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F70" i="11" a="1"/>
  <c r="B68" i="11"/>
  <c r="B64" i="11"/>
  <c r="C67" i="11"/>
  <c r="E62" i="11" a="1"/>
  <c r="H64" i="11" a="1"/>
  <c r="C69" i="11"/>
  <c r="H70" i="11" a="1"/>
  <c r="B69" i="11"/>
  <c r="B65" i="11"/>
  <c r="C62" i="11"/>
  <c r="G63" i="11" a="1"/>
  <c r="H69" i="11" a="1"/>
  <c r="G69" i="11" a="1"/>
  <c r="H63" i="11" a="1"/>
  <c r="H67" i="11" a="1"/>
  <c r="E63" i="11" a="1"/>
  <c r="H71" i="11" a="1"/>
  <c r="F67" i="11" a="1"/>
  <c r="G66" i="11" a="1"/>
  <c r="C66" i="11"/>
  <c r="F69" i="11" a="1"/>
  <c r="B74" i="11"/>
  <c r="H66" i="11" a="1"/>
  <c r="B67" i="11"/>
  <c r="F64" i="11" a="1"/>
  <c r="E65" i="11" a="1"/>
  <c r="F66" i="11" a="1"/>
  <c r="E70" i="11" a="1"/>
  <c r="H61" i="11" a="1"/>
  <c r="C61" i="11"/>
  <c r="C65" i="11"/>
  <c r="G70" i="11" a="1"/>
  <c r="E67" i="11" a="1"/>
  <c r="G65" i="11" a="1"/>
  <c r="F61" i="11" a="1"/>
  <c r="G61" i="11" a="1"/>
  <c r="G64" i="11" a="1"/>
  <c r="E69" i="11" a="1"/>
  <c r="C64" i="11"/>
  <c r="G67" i="11" a="1"/>
  <c r="B70" i="11"/>
  <c r="E61" i="11" a="1"/>
  <c r="F63" i="11" a="1"/>
  <c r="H68" i="11" a="1"/>
  <c r="E66" i="11" a="1"/>
  <c r="C63" i="11"/>
  <c r="E68" i="11" a="1"/>
  <c r="E71" i="11" a="1"/>
  <c r="G62" i="11" a="1"/>
  <c r="B66" i="11"/>
  <c r="G71" i="11" a="1"/>
  <c r="B75" i="11"/>
  <c r="C71" i="11"/>
  <c r="B76" i="11"/>
  <c r="E64" i="11" a="1"/>
  <c r="H62" i="11" a="1"/>
  <c r="B62" i="11"/>
  <c r="B63" i="11"/>
  <c r="C70" i="11"/>
  <c r="B71" i="11"/>
  <c r="H65" i="11" a="1"/>
  <c r="G68" i="11" a="1"/>
  <c r="C68" i="11"/>
  <c r="H71" i="11" l="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E69" i="11"/>
  <c r="E68" i="11"/>
  <c r="E67" i="11"/>
  <c r="E66" i="11"/>
  <c r="E65" i="11"/>
  <c r="E64" i="11"/>
  <c r="E63" i="11"/>
  <c r="E62" i="11"/>
  <c r="E61" i="11"/>
  <c r="K120" i="3" l="1"/>
  <c r="K49" i="11"/>
  <c r="C45" i="6"/>
  <c r="E127" i="3" a="1"/>
  <c r="C133" i="3" a="1"/>
  <c r="H128" i="3" a="1"/>
  <c r="B60" i="11" a="1"/>
  <c r="B73" i="11" a="1"/>
  <c r="C30" i="6"/>
  <c r="H129" i="3" a="1"/>
  <c r="C131" i="3" a="1"/>
  <c r="F131" i="3" a="1"/>
  <c r="B59" i="11" a="1"/>
  <c r="E130" i="3" a="1"/>
  <c r="E129" i="3" a="1"/>
  <c r="C19" i="6"/>
  <c r="C42" i="6"/>
  <c r="G129" i="3" a="1"/>
  <c r="C44" i="6"/>
  <c r="C130" i="3" a="1"/>
  <c r="B58" i="11" a="1"/>
  <c r="C21" i="6"/>
  <c r="C18" i="6"/>
  <c r="J120" i="3"/>
  <c r="B131" i="3" a="1"/>
  <c r="B128" i="3" a="1"/>
  <c r="J49" i="11"/>
  <c r="C46" i="6"/>
  <c r="B133" i="3" a="1"/>
  <c r="E128" i="3" a="1"/>
  <c r="G133" i="3" a="1"/>
  <c r="E57" i="11" a="1"/>
  <c r="C31" i="6"/>
  <c r="H131" i="3" a="1"/>
  <c r="C128" i="3" a="1"/>
  <c r="C127" i="3" a="1"/>
  <c r="E131" i="3" a="1"/>
  <c r="F127" i="3" a="1"/>
  <c r="H133" i="3" a="1"/>
  <c r="C22" i="6"/>
  <c r="H130" i="3" a="1"/>
  <c r="B61" i="11" a="1"/>
  <c r="C20" i="6"/>
  <c r="B129" i="3" a="1"/>
  <c r="H127" i="3" a="1"/>
  <c r="E60" i="11" a="1"/>
  <c r="B57" i="11" a="1"/>
  <c r="F59" i="11" a="1"/>
  <c r="C43" i="6"/>
  <c r="G130" i="3" a="1"/>
  <c r="F129" i="3" a="1"/>
  <c r="F60" i="11" a="1"/>
  <c r="H58" i="11" a="1"/>
  <c r="H57" i="11" a="1"/>
  <c r="C33" i="6"/>
  <c r="E133" i="3" a="1"/>
  <c r="B127" i="3" a="1"/>
  <c r="H59" i="11" a="1"/>
  <c r="E58" i="11" a="1"/>
  <c r="G59" i="11" a="1"/>
  <c r="H60" i="11" a="1"/>
  <c r="G60" i="11" a="1"/>
  <c r="C129" i="3" a="1"/>
  <c r="C34" i="6"/>
  <c r="F130" i="3" a="1"/>
  <c r="B130" i="3" a="1"/>
  <c r="E59" i="11" a="1"/>
  <c r="F57" i="11" a="1"/>
  <c r="C32" i="6"/>
  <c r="I123" i="3" a="1"/>
  <c r="J52" i="11" a="1"/>
  <c r="I52" i="11" a="1"/>
  <c r="J123" i="3" a="1"/>
  <c r="I123" i="3" l="1"/>
  <c r="F127" i="3"/>
  <c r="C128" i="3"/>
  <c r="F129" i="3"/>
  <c r="C130" i="3"/>
  <c r="F131" i="3"/>
  <c r="C133" i="3"/>
  <c r="J123" i="3"/>
  <c r="G129" i="3"/>
  <c r="B127" i="3"/>
  <c r="B129" i="3"/>
  <c r="H131" i="3"/>
  <c r="E133" i="3"/>
  <c r="H129" i="3"/>
  <c r="E128" i="3"/>
  <c r="B131" i="3"/>
  <c r="C127" i="3"/>
  <c r="C129" i="3"/>
  <c r="F130" i="3"/>
  <c r="C131" i="3"/>
  <c r="E130" i="3"/>
  <c r="G130" i="3"/>
  <c r="G133" i="3"/>
  <c r="H127" i="3"/>
  <c r="E127" i="3"/>
  <c r="B128" i="3"/>
  <c r="H128" i="3"/>
  <c r="E129" i="3"/>
  <c r="B130" i="3"/>
  <c r="H130" i="3"/>
  <c r="E131" i="3"/>
  <c r="B133" i="3"/>
  <c r="H133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G14" i="11" a="1"/>
  <c r="B25" i="11" a="1"/>
  <c r="H21" i="11" a="1"/>
  <c r="F26" i="11" a="1"/>
  <c r="H39" i="11" a="1"/>
  <c r="F41" i="11" a="1"/>
  <c r="G127" i="3" a="1"/>
  <c r="B40" i="11" a="1"/>
  <c r="C39" i="11" a="1"/>
  <c r="B26" i="11" a="1"/>
  <c r="E41" i="11" a="1"/>
  <c r="F21" i="11" a="1"/>
  <c r="G22" i="11" a="1"/>
  <c r="F128" i="3" a="1"/>
  <c r="H42" i="11" a="1"/>
  <c r="H40" i="11" a="1"/>
  <c r="B39" i="11" a="1"/>
  <c r="C22" i="11" a="1"/>
  <c r="G128" i="3" a="1"/>
  <c r="H22" i="11" a="1"/>
  <c r="C25" i="11" a="1"/>
  <c r="G20" i="11" a="1"/>
  <c r="G26" i="11" a="1"/>
  <c r="B41" i="11" a="1"/>
  <c r="C21" i="11" a="1"/>
  <c r="E39" i="11" a="1"/>
  <c r="C28" i="11" a="1"/>
  <c r="C20" i="11" a="1"/>
  <c r="E23" i="11" a="1"/>
  <c r="G28" i="11" a="1"/>
  <c r="B28" i="11" a="1"/>
  <c r="H41" i="11" a="1"/>
  <c r="H25" i="11" a="1"/>
  <c r="C38" i="11" a="1"/>
  <c r="G40" i="11" a="1"/>
  <c r="B38" i="11" a="1"/>
  <c r="C23" i="11" a="1"/>
  <c r="H44" i="11" a="1"/>
  <c r="F23" i="11" a="1"/>
  <c r="G41" i="11" a="1"/>
  <c r="F25" i="11" a="1"/>
  <c r="B44" i="11" a="1"/>
  <c r="H23" i="11" a="1"/>
  <c r="E28" i="11" a="1"/>
  <c r="B21" i="11" a="1"/>
  <c r="J13" i="11"/>
  <c r="B22" i="11" a="1"/>
  <c r="B42" i="11" a="1"/>
  <c r="C40" i="11" a="1"/>
  <c r="E40" i="11" a="1"/>
  <c r="H38" i="11" a="1"/>
  <c r="F38" i="11" a="1"/>
  <c r="F22" i="11" a="1"/>
  <c r="F20" i="11" a="1"/>
  <c r="G25" i="11" a="1"/>
  <c r="H28" i="11" a="1"/>
  <c r="E38" i="11" a="1"/>
  <c r="C26" i="11" a="1"/>
  <c r="G23" i="11" a="1"/>
  <c r="J31" i="11"/>
  <c r="E42" i="11" a="1"/>
  <c r="B23" i="11" a="1"/>
  <c r="G44" i="11" a="1"/>
  <c r="C42" i="11" a="1"/>
  <c r="B20" i="11" a="1"/>
  <c r="F40" i="11" a="1"/>
  <c r="C44" i="11" a="1"/>
  <c r="H26" i="11" a="1"/>
  <c r="G21" i="11" a="1"/>
  <c r="E20" i="11" a="1"/>
  <c r="E44" i="11" a="1"/>
  <c r="H20" i="11" a="1"/>
  <c r="C41" i="11" a="1"/>
  <c r="F28" i="11" a="1"/>
  <c r="E26" i="11" a="1"/>
  <c r="E25" i="11" a="1"/>
  <c r="E22" i="11" a="1"/>
  <c r="E21" i="11" a="1"/>
  <c r="G57" i="11" a="1"/>
  <c r="J34" i="11" a="1"/>
  <c r="G58" i="11" a="1"/>
  <c r="I34" i="11" a="1"/>
  <c r="F58" i="11" a="1"/>
  <c r="G14" i="11" l="1"/>
  <c r="G128" i="3"/>
  <c r="G58" i="11"/>
  <c r="G127" i="3"/>
  <c r="F128" i="3"/>
  <c r="F58" i="11"/>
  <c r="G57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G131" i="3" a="1"/>
  <c r="G39" i="11" a="1"/>
  <c r="G38" i="11" a="1"/>
  <c r="F39" i="11" a="1"/>
  <c r="G131" i="3" l="1"/>
  <c r="F39" i="11"/>
  <c r="G39" i="11"/>
  <c r="G38" i="11"/>
  <c r="G42" i="11" a="1"/>
  <c r="G42" i="11" l="1"/>
  <c r="G16" i="11" a="1"/>
  <c r="I14" i="11" a="1"/>
  <c r="I14" i="11" l="1"/>
  <c r="G16" i="11"/>
  <c r="L29" i="8" a="1"/>
  <c r="D23" i="11" a="1"/>
  <c r="D21" i="11" a="1"/>
  <c r="D20" i="11" a="1"/>
  <c r="D22" i="11" a="1"/>
  <c r="D23" i="11" l="1"/>
  <c r="D22" i="11"/>
  <c r="D21" i="11"/>
  <c r="D20" i="11"/>
  <c r="L29" i="8"/>
  <c r="I23" i="11"/>
  <c r="J23" i="11" s="1"/>
  <c r="I21" i="11"/>
  <c r="J21" i="11" s="1"/>
  <c r="I20" i="11"/>
  <c r="J20" i="11" s="1"/>
  <c r="I22" i="11"/>
  <c r="J22" i="11" s="1"/>
  <c r="L30" i="8" a="1"/>
  <c r="L30" i="8" l="1"/>
  <c r="O24" i="8"/>
  <c r="L24" i="8"/>
  <c r="I24" i="8"/>
  <c r="F24" i="8"/>
  <c r="C24" i="8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97" i="3"/>
  <c r="K74" i="3"/>
  <c r="K54" i="3"/>
  <c r="K33" i="3"/>
  <c r="K13" i="3"/>
  <c r="L31" i="8" a="1"/>
  <c r="L33" i="8" a="1"/>
  <c r="L36" i="8" a="1"/>
  <c r="L34" i="8" a="1"/>
  <c r="L35" i="8" a="1"/>
  <c r="L37" i="8" a="1"/>
  <c r="L32" i="8" a="1"/>
  <c r="F25" i="8" a="1"/>
  <c r="I25" i="8" a="1"/>
  <c r="F31" i="8" a="1"/>
  <c r="F32" i="8" a="1"/>
  <c r="F30" i="8" a="1"/>
  <c r="L25" i="8" a="1"/>
  <c r="F32" i="8" l="1"/>
  <c r="L32" i="8"/>
  <c r="L37" i="8"/>
  <c r="L31" i="8"/>
  <c r="L36" i="8"/>
  <c r="L35" i="8"/>
  <c r="L34" i="8"/>
  <c r="L33" i="8"/>
  <c r="I25" i="8"/>
  <c r="L25" i="8"/>
  <c r="F31" i="8"/>
  <c r="F30" i="8"/>
  <c r="F25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123" i="4"/>
  <c r="H122" i="4"/>
  <c r="G72" i="4"/>
  <c r="C59" i="4"/>
  <c r="H58" i="4" s="1"/>
  <c r="H114" i="3"/>
  <c r="H117" i="3"/>
  <c r="F117" i="3"/>
  <c r="F114" i="3"/>
  <c r="H111" i="3"/>
  <c r="H110" i="3"/>
  <c r="H109" i="3"/>
  <c r="G111" i="3"/>
  <c r="F111" i="3"/>
  <c r="F109" i="3"/>
  <c r="H116" i="3"/>
  <c r="G116" i="3"/>
  <c r="H113" i="3"/>
  <c r="G113" i="3"/>
  <c r="H108" i="3"/>
  <c r="F108" i="3"/>
  <c r="H107" i="3"/>
  <c r="G107" i="3"/>
  <c r="F107" i="3"/>
  <c r="H106" i="3"/>
  <c r="G106" i="3"/>
  <c r="F106" i="3"/>
  <c r="H105" i="3"/>
  <c r="C105" i="3"/>
  <c r="C106" i="3" s="1"/>
  <c r="C107" i="3" s="1"/>
  <c r="C108" i="3" s="1"/>
  <c r="C109" i="3" s="1"/>
  <c r="C110" i="3" s="1"/>
  <c r="C111" i="3" s="1"/>
  <c r="C113" i="3" s="1"/>
  <c r="C114" i="3" s="1"/>
  <c r="H104" i="3"/>
  <c r="F104" i="3"/>
  <c r="B104" i="3"/>
  <c r="B108" i="3" s="1"/>
  <c r="F33" i="8" a="1"/>
  <c r="J25" i="6"/>
  <c r="J79" i="4"/>
  <c r="J37" i="6"/>
  <c r="F36" i="8" a="1"/>
  <c r="F35" i="8" a="1"/>
  <c r="J97" i="3"/>
  <c r="F34" i="8" a="1"/>
  <c r="F37" i="8" a="1"/>
  <c r="O37" i="8" a="1"/>
  <c r="O36" i="8" a="1"/>
  <c r="O26" i="8" a="1"/>
  <c r="I36" i="8" a="1"/>
  <c r="O31" i="8" a="1"/>
  <c r="O30" i="8" a="1"/>
  <c r="I33" i="8" a="1"/>
  <c r="O33" i="8" a="1"/>
  <c r="O32" i="8" a="1"/>
  <c r="O28" i="8" a="1"/>
  <c r="I34" i="8" a="1"/>
  <c r="I31" i="8" a="1"/>
  <c r="I30" i="8" a="1"/>
  <c r="O27" i="8" a="1"/>
  <c r="O34" i="8" a="1"/>
  <c r="I37" i="8" a="1"/>
  <c r="I35" i="8" a="1"/>
  <c r="O35" i="8" a="1"/>
  <c r="O29" i="8" a="1"/>
  <c r="G87" i="11" a="1"/>
  <c r="G81" i="4" a="1"/>
  <c r="G152" i="4" a="1"/>
  <c r="G105" i="4" a="1"/>
  <c r="I121" i="3" a="1"/>
  <c r="G36" i="4" a="1"/>
  <c r="F87" i="11" a="1"/>
  <c r="I32" i="11" a="1"/>
  <c r="G52" i="11" a="1"/>
  <c r="I81" i="4" a="1"/>
  <c r="I105" i="4" a="1"/>
  <c r="G34" i="11" a="1"/>
  <c r="J57" i="4" a="1"/>
  <c r="C139" i="3" a="1"/>
  <c r="G57" i="4" a="1"/>
  <c r="G131" i="4" a="1"/>
  <c r="I139" i="3" a="1"/>
  <c r="K141" i="3" a="1"/>
  <c r="J132" i="4" a="1"/>
  <c r="J106" i="4" a="1"/>
  <c r="I36" i="4" a="1"/>
  <c r="G15" i="4" a="1"/>
  <c r="I131" i="4" a="1"/>
  <c r="I132" i="4" a="1"/>
  <c r="G123" i="3" a="1"/>
  <c r="I152" i="4" a="1"/>
  <c r="J105" i="4" a="1"/>
  <c r="I85" i="11" a="1"/>
  <c r="C50" i="11" a="1"/>
  <c r="I57" i="4" a="1"/>
  <c r="J36" i="4" a="1"/>
  <c r="G141" i="3" a="1"/>
  <c r="J81" i="4" a="1"/>
  <c r="K52" i="11" a="1"/>
  <c r="F34" i="11" a="1"/>
  <c r="J131" i="4" a="1"/>
  <c r="I106" i="4" a="1"/>
  <c r="I50" i="11" a="1"/>
  <c r="F123" i="3" a="1"/>
  <c r="J152" i="4" a="1"/>
  <c r="I15" i="4" a="1"/>
  <c r="J15" i="4" a="1"/>
  <c r="G87" i="11" l="1"/>
  <c r="I85" i="11"/>
  <c r="F87" i="11"/>
  <c r="K101" i="11" s="1"/>
  <c r="I139" i="3"/>
  <c r="C139" i="3"/>
  <c r="G141" i="3"/>
  <c r="K141" i="3"/>
  <c r="K167" i="3" s="1"/>
  <c r="K52" i="11"/>
  <c r="K78" i="11" s="1"/>
  <c r="C50" i="11"/>
  <c r="I121" i="3"/>
  <c r="G123" i="3"/>
  <c r="F123" i="3"/>
  <c r="K135" i="3" s="1"/>
  <c r="F34" i="11"/>
  <c r="K46" i="11" s="1"/>
  <c r="I50" i="11"/>
  <c r="G52" i="11"/>
  <c r="G34" i="11"/>
  <c r="I32" i="11"/>
  <c r="O37" i="8"/>
  <c r="O30" i="8"/>
  <c r="O36" i="8"/>
  <c r="O29" i="8"/>
  <c r="O28" i="8"/>
  <c r="O34" i="8"/>
  <c r="O26" i="8"/>
  <c r="O31" i="8"/>
  <c r="O35" i="8"/>
  <c r="O33" i="8"/>
  <c r="O32" i="8"/>
  <c r="O27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I31" i="8"/>
  <c r="I33" i="8"/>
  <c r="I34" i="8"/>
  <c r="I35" i="8"/>
  <c r="I30" i="8"/>
  <c r="I36" i="8"/>
  <c r="I37" i="8"/>
  <c r="F33" i="8"/>
  <c r="F34" i="8"/>
  <c r="F35" i="8"/>
  <c r="F36" i="8"/>
  <c r="F37" i="8"/>
  <c r="B114" i="3"/>
  <c r="B117" i="3"/>
  <c r="B95" i="4"/>
  <c r="B91" i="4"/>
  <c r="B93" i="4"/>
  <c r="B100" i="4"/>
  <c r="B96" i="4"/>
  <c r="B90" i="4"/>
  <c r="C116" i="3"/>
  <c r="C117" i="3" s="1"/>
  <c r="B116" i="3"/>
  <c r="B107" i="3"/>
  <c r="B111" i="3" s="1"/>
  <c r="B105" i="3"/>
  <c r="B109" i="3" s="1"/>
  <c r="B113" i="3"/>
  <c r="B106" i="3"/>
  <c r="B110" i="3" s="1"/>
  <c r="H88" i="3"/>
  <c r="G88" i="3"/>
  <c r="F88" i="3"/>
  <c r="H87" i="3"/>
  <c r="H86" i="3"/>
  <c r="F86" i="3"/>
  <c r="H94" i="3"/>
  <c r="F94" i="3"/>
  <c r="H84" i="3"/>
  <c r="H83" i="3"/>
  <c r="H81" i="3"/>
  <c r="G25" i="3"/>
  <c r="G27" i="3"/>
  <c r="G50" i="4"/>
  <c r="G147" i="4"/>
  <c r="G126" i="4"/>
  <c r="G125" i="4"/>
  <c r="G71" i="3"/>
  <c r="G51" i="3"/>
  <c r="J129" i="4"/>
  <c r="J13" i="3"/>
  <c r="D127" i="3" a="1"/>
  <c r="J33" i="3"/>
  <c r="J150" i="4"/>
  <c r="D160" i="3"/>
  <c r="I160" i="3" s="1"/>
  <c r="J160" i="3" s="1"/>
  <c r="D155" i="3"/>
  <c r="I155" i="3" s="1"/>
  <c r="J155" i="3" s="1"/>
  <c r="D148" i="3" a="1"/>
  <c r="J13" i="6"/>
  <c r="D149" i="3" a="1"/>
  <c r="F160" i="3" a="1"/>
  <c r="D150" i="3" a="1"/>
  <c r="J103" i="4"/>
  <c r="D131" i="3" a="1"/>
  <c r="D130" i="3" a="1"/>
  <c r="D128" i="3" a="1"/>
  <c r="J13" i="5"/>
  <c r="D146" i="3" a="1"/>
  <c r="J13" i="4"/>
  <c r="D156" i="3"/>
  <c r="I156" i="3" s="1"/>
  <c r="J156" i="3" s="1"/>
  <c r="D129" i="3" a="1"/>
  <c r="J74" i="3"/>
  <c r="D147" i="3" a="1"/>
  <c r="J55" i="4"/>
  <c r="F151" i="3" a="1"/>
  <c r="D158" i="3"/>
  <c r="I158" i="3" s="1"/>
  <c r="J158" i="3" s="1"/>
  <c r="D151" i="3"/>
  <c r="I151" i="3" s="1"/>
  <c r="J151" i="3" s="1"/>
  <c r="D154" i="3"/>
  <c r="I154" i="3" s="1"/>
  <c r="J154" i="3" s="1"/>
  <c r="J34" i="4"/>
  <c r="D153" i="3"/>
  <c r="I153" i="3" s="1"/>
  <c r="J153" i="3" s="1"/>
  <c r="D157" i="3"/>
  <c r="I157" i="3" s="1"/>
  <c r="J157" i="3" s="1"/>
  <c r="F154" i="3" a="1"/>
  <c r="J40" i="5"/>
  <c r="D159" i="3"/>
  <c r="I159" i="3" s="1"/>
  <c r="J159" i="3" s="1"/>
  <c r="J54" i="3"/>
  <c r="F157" i="3" a="1"/>
  <c r="D152" i="3"/>
  <c r="I152" i="3" s="1"/>
  <c r="J152" i="3" s="1"/>
  <c r="C101" i="11"/>
  <c r="H101" i="11" a="1"/>
  <c r="F15" i="4" a="1"/>
  <c r="D58" i="11" a="1"/>
  <c r="E35" i="3" a="1"/>
  <c r="G167" i="3" a="1"/>
  <c r="D67" i="11"/>
  <c r="I67" i="11" s="1"/>
  <c r="J67" i="11" s="1"/>
  <c r="E56" i="3" a="1"/>
  <c r="J99" i="3" a="1"/>
  <c r="I76" i="3" a="1"/>
  <c r="E76" i="3" a="1"/>
  <c r="F101" i="11" a="1"/>
  <c r="F44" i="11" a="1"/>
  <c r="E135" i="3" a="1"/>
  <c r="F74" i="11" a="1"/>
  <c r="D96" i="11"/>
  <c r="I96" i="11" s="1"/>
  <c r="J96" i="11" s="1"/>
  <c r="F135" i="3" a="1"/>
  <c r="D71" i="11"/>
  <c r="I71" i="11" s="1"/>
  <c r="J71" i="11" s="1"/>
  <c r="F36" i="4" a="1"/>
  <c r="G46" i="11" a="1"/>
  <c r="E46" i="11" a="1"/>
  <c r="B167" i="3" a="1"/>
  <c r="F68" i="11" a="1"/>
  <c r="G99" i="3" a="1"/>
  <c r="F57" i="4" a="1"/>
  <c r="F131" i="4" a="1"/>
  <c r="D62" i="11"/>
  <c r="I62" i="11" s="1"/>
  <c r="J62" i="11" s="1"/>
  <c r="F152" i="4" a="1"/>
  <c r="D41" i="11" a="1"/>
  <c r="E101" i="11" a="1"/>
  <c r="D40" i="11" a="1"/>
  <c r="D39" i="11" a="1"/>
  <c r="H135" i="3" a="1"/>
  <c r="J36" i="3" a="1"/>
  <c r="I57" i="3" a="1"/>
  <c r="G81" i="11" a="1"/>
  <c r="C78" i="11"/>
  <c r="G80" i="11" a="1"/>
  <c r="F105" i="4" a="1"/>
  <c r="D64" i="11"/>
  <c r="I64" i="11" s="1"/>
  <c r="J64" i="11" s="1"/>
  <c r="G101" i="11" a="1"/>
  <c r="F71" i="11" a="1"/>
  <c r="B101" i="11" a="1"/>
  <c r="D65" i="11"/>
  <c r="I65" i="11" s="1"/>
  <c r="J65" i="11" s="1"/>
  <c r="B135" i="3" a="1"/>
  <c r="F98" i="11" a="1"/>
  <c r="D69" i="11"/>
  <c r="I69" i="11" s="1"/>
  <c r="J69" i="11" s="1"/>
  <c r="J76" i="3" a="1"/>
  <c r="E15" i="3" a="1"/>
  <c r="F81" i="4" a="1"/>
  <c r="D63" i="11"/>
  <c r="I63" i="11" s="1"/>
  <c r="J63" i="11" s="1"/>
  <c r="I36" i="3" a="1"/>
  <c r="D94" i="11" a="1"/>
  <c r="G135" i="3" a="1"/>
  <c r="D92" i="11" a="1"/>
  <c r="G76" i="3" a="1"/>
  <c r="D42" i="11" a="1"/>
  <c r="I35" i="3" a="1"/>
  <c r="J57" i="3" a="1"/>
  <c r="E167" i="3" a="1"/>
  <c r="H46" i="11" a="1"/>
  <c r="C46" i="11" a="1"/>
  <c r="H167" i="3" a="1"/>
  <c r="C135" i="3" a="1"/>
  <c r="F133" i="3" a="1"/>
  <c r="F65" i="11" a="1"/>
  <c r="D57" i="11" a="1"/>
  <c r="D70" i="11"/>
  <c r="I70" i="11" s="1"/>
  <c r="J70" i="11" s="1"/>
  <c r="D38" i="11" a="1"/>
  <c r="J56" i="3" a="1"/>
  <c r="J15" i="3" a="1"/>
  <c r="F46" i="11" a="1"/>
  <c r="B46" i="11" a="1"/>
  <c r="D91" i="11" a="1"/>
  <c r="C167" i="3"/>
  <c r="E99" i="3" a="1"/>
  <c r="D61" i="11" a="1"/>
  <c r="D59" i="11" a="1"/>
  <c r="F167" i="3" a="1"/>
  <c r="F73" i="11" a="1"/>
  <c r="I15" i="3" a="1"/>
  <c r="I56" i="3" a="1"/>
  <c r="D93" i="11" a="1"/>
  <c r="D68" i="11"/>
  <c r="I68" i="11" s="1"/>
  <c r="J68" i="11" s="1"/>
  <c r="D66" i="11"/>
  <c r="I66" i="11" s="1"/>
  <c r="J66" i="11" s="1"/>
  <c r="D95" i="11" a="1"/>
  <c r="F62" i="11" a="1"/>
  <c r="D60" i="11" a="1"/>
  <c r="J35" i="3" a="1"/>
  <c r="I99" i="3" a="1"/>
  <c r="E101" i="11" l="1"/>
  <c r="H101" i="11"/>
  <c r="B101" i="11"/>
  <c r="G101" i="11"/>
  <c r="F101" i="11"/>
  <c r="D95" i="11"/>
  <c r="D93" i="11"/>
  <c r="D91" i="11"/>
  <c r="D92" i="11"/>
  <c r="D94" i="11"/>
  <c r="F98" i="11"/>
  <c r="B167" i="3"/>
  <c r="H167" i="3"/>
  <c r="G167" i="3"/>
  <c r="E167" i="3"/>
  <c r="F167" i="3"/>
  <c r="F160" i="3"/>
  <c r="F157" i="3"/>
  <c r="F154" i="3"/>
  <c r="F151" i="3"/>
  <c r="D150" i="3"/>
  <c r="D147" i="3"/>
  <c r="D149" i="3"/>
  <c r="D146" i="3"/>
  <c r="D148" i="3"/>
  <c r="G81" i="11"/>
  <c r="G80" i="11"/>
  <c r="F74" i="11"/>
  <c r="F73" i="11"/>
  <c r="F71" i="11"/>
  <c r="F68" i="11"/>
  <c r="F65" i="11"/>
  <c r="F62" i="11"/>
  <c r="F133" i="3"/>
  <c r="D129" i="3"/>
  <c r="D131" i="3"/>
  <c r="D127" i="3"/>
  <c r="D128" i="3"/>
  <c r="D130" i="3"/>
  <c r="E135" i="3"/>
  <c r="C135" i="3"/>
  <c r="H135" i="3"/>
  <c r="B135" i="3"/>
  <c r="G135" i="3"/>
  <c r="F135" i="3"/>
  <c r="C46" i="11"/>
  <c r="E46" i="11"/>
  <c r="G46" i="11"/>
  <c r="B46" i="11"/>
  <c r="H46" i="11"/>
  <c r="F46" i="11"/>
  <c r="D61" i="11"/>
  <c r="D59" i="11"/>
  <c r="D57" i="11"/>
  <c r="D58" i="11"/>
  <c r="D60" i="11"/>
  <c r="D42" i="11"/>
  <c r="D40" i="11"/>
  <c r="D38" i="11"/>
  <c r="D41" i="11"/>
  <c r="D39" i="11"/>
  <c r="F44" i="11"/>
  <c r="F105" i="4"/>
  <c r="F36" i="4"/>
  <c r="F57" i="4"/>
  <c r="F152" i="4"/>
  <c r="F81" i="4"/>
  <c r="F95" i="4" s="1"/>
  <c r="F131" i="4"/>
  <c r="F15" i="4"/>
  <c r="F98" i="4"/>
  <c r="E82" i="4"/>
  <c r="H82" i="4"/>
  <c r="H83" i="4" s="1"/>
  <c r="F93" i="4"/>
  <c r="G90" i="4"/>
  <c r="G92" i="4"/>
  <c r="G89" i="4"/>
  <c r="F96" i="4"/>
  <c r="F100" i="4"/>
  <c r="E99" i="3"/>
  <c r="E76" i="3"/>
  <c r="E56" i="3"/>
  <c r="E35" i="3"/>
  <c r="E15" i="3"/>
  <c r="G99" i="3"/>
  <c r="G76" i="3"/>
  <c r="G94" i="3" s="1"/>
  <c r="I99" i="3"/>
  <c r="I76" i="3"/>
  <c r="I57" i="3"/>
  <c r="I56" i="3"/>
  <c r="I36" i="3"/>
  <c r="I35" i="3"/>
  <c r="I15" i="3"/>
  <c r="J99" i="3"/>
  <c r="G108" i="3" s="1"/>
  <c r="J76" i="3"/>
  <c r="J56" i="3"/>
  <c r="J57" i="3"/>
  <c r="J36" i="3"/>
  <c r="J35" i="3"/>
  <c r="J15" i="3"/>
  <c r="G18" i="6"/>
  <c r="B18" i="6"/>
  <c r="F123" i="4"/>
  <c r="F122" i="4"/>
  <c r="F74" i="4"/>
  <c r="I148" i="3"/>
  <c r="J148" i="3" s="1"/>
  <c r="I127" i="3"/>
  <c r="J127" i="3" s="1"/>
  <c r="I39" i="11"/>
  <c r="J39" i="11" s="1"/>
  <c r="I128" i="3"/>
  <c r="J128" i="3" s="1"/>
  <c r="I57" i="11"/>
  <c r="J57" i="11" s="1"/>
  <c r="I129" i="3"/>
  <c r="J129" i="3" s="1"/>
  <c r="I131" i="3"/>
  <c r="J131" i="3" s="1"/>
  <c r="I130" i="3"/>
  <c r="J130" i="3" s="1"/>
  <c r="I60" i="11"/>
  <c r="J60" i="11" s="1"/>
  <c r="I41" i="11"/>
  <c r="J41" i="11" s="1"/>
  <c r="I61" i="11"/>
  <c r="J61" i="11" s="1"/>
  <c r="I59" i="11"/>
  <c r="J59" i="11" s="1"/>
  <c r="I58" i="11"/>
  <c r="J58" i="11" s="1"/>
  <c r="I42" i="11"/>
  <c r="J42" i="11" s="1"/>
  <c r="I38" i="11"/>
  <c r="J38" i="11" s="1"/>
  <c r="I95" i="11"/>
  <c r="J95" i="11" s="1"/>
  <c r="I93" i="11"/>
  <c r="J93" i="11" s="1"/>
  <c r="I91" i="11"/>
  <c r="J91" i="11" s="1"/>
  <c r="I92" i="11"/>
  <c r="J92" i="11" s="1"/>
  <c r="I150" i="3"/>
  <c r="J150" i="3" s="1"/>
  <c r="I146" i="3"/>
  <c r="J146" i="3" s="1"/>
  <c r="I94" i="11"/>
  <c r="J94" i="11" s="1"/>
  <c r="I147" i="3"/>
  <c r="J147" i="3" s="1"/>
  <c r="I40" i="11"/>
  <c r="J40" i="11" s="1"/>
  <c r="I149" i="3"/>
  <c r="J149" i="3" s="1"/>
  <c r="L26" i="8" a="1"/>
  <c r="I26" i="8" a="1"/>
  <c r="F26" i="8" a="1"/>
  <c r="O25" i="8" a="1"/>
  <c r="G79" i="11" a="1"/>
  <c r="F76" i="11" a="1"/>
  <c r="G169" i="3" a="1"/>
  <c r="G170" i="3" a="1"/>
  <c r="F163" i="3" a="1"/>
  <c r="G168" i="3" a="1"/>
  <c r="E78" i="11" a="1"/>
  <c r="G78" i="11" a="1"/>
  <c r="F75" i="11" a="1"/>
  <c r="B78" i="11" a="1"/>
  <c r="F78" i="11" a="1"/>
  <c r="H78" i="11" a="1"/>
  <c r="F164" i="3" a="1"/>
  <c r="F162" i="3" a="1"/>
  <c r="F165" i="3" a="1"/>
  <c r="O25" i="8" l="1"/>
  <c r="F26" i="8"/>
  <c r="I26" i="8"/>
  <c r="L26" i="8"/>
  <c r="G79" i="11"/>
  <c r="F75" i="11"/>
  <c r="F163" i="3"/>
  <c r="F164" i="3"/>
  <c r="F165" i="3"/>
  <c r="G169" i="3"/>
  <c r="G170" i="3"/>
  <c r="G168" i="3"/>
  <c r="F162" i="3"/>
  <c r="F76" i="11"/>
  <c r="F78" i="11"/>
  <c r="E78" i="11"/>
  <c r="H78" i="11"/>
  <c r="B78" i="11"/>
  <c r="G78" i="11"/>
  <c r="F105" i="3"/>
  <c r="G117" i="3"/>
  <c r="F82" i="4"/>
  <c r="F83" i="4" s="1"/>
  <c r="F110" i="3"/>
  <c r="G105" i="3"/>
  <c r="G104" i="3"/>
  <c r="G114" i="3"/>
  <c r="F113" i="3" s="1"/>
  <c r="F116" i="3"/>
  <c r="F87" i="3"/>
  <c r="G44" i="4"/>
  <c r="G47" i="4"/>
  <c r="G45" i="4"/>
  <c r="G122" i="4"/>
  <c r="G123" i="4"/>
  <c r="G68" i="4"/>
  <c r="G66" i="4"/>
  <c r="G65" i="4"/>
  <c r="G91" i="3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93" i="3"/>
  <c r="G93" i="3"/>
  <c r="F93" i="3"/>
  <c r="H91" i="3"/>
  <c r="F91" i="3"/>
  <c r="H90" i="3"/>
  <c r="F90" i="3" s="1"/>
  <c r="H85" i="3"/>
  <c r="G85" i="3"/>
  <c r="F85" i="3"/>
  <c r="F84" i="3"/>
  <c r="F83" i="3"/>
  <c r="H82" i="3"/>
  <c r="G82" i="3"/>
  <c r="F82" i="3"/>
  <c r="C82" i="3"/>
  <c r="C83" i="3" s="1"/>
  <c r="C84" i="3" s="1"/>
  <c r="C85" i="3" s="1"/>
  <c r="G81" i="3"/>
  <c r="F81" i="3"/>
  <c r="B81" i="3"/>
  <c r="B138" i="4"/>
  <c r="B112" i="4"/>
  <c r="B120" i="4" s="1"/>
  <c r="B65" i="4"/>
  <c r="B44" i="4"/>
  <c r="B49" i="4" s="1"/>
  <c r="B62" i="3"/>
  <c r="B69" i="3" s="1"/>
  <c r="B45" i="3"/>
  <c r="B20" i="3"/>
  <c r="B22" i="3" s="1"/>
  <c r="D26" i="11" a="1"/>
  <c r="D25" i="11" a="1"/>
  <c r="L27" i="8" a="1"/>
  <c r="I27" i="8" a="1"/>
  <c r="F27" i="8" a="1"/>
  <c r="E14" i="11" a="1"/>
  <c r="L28" i="8" a="1"/>
  <c r="G32" i="11" a="1"/>
  <c r="G139" i="3" a="1"/>
  <c r="G121" i="3" a="1"/>
  <c r="G85" i="11" a="1"/>
  <c r="G50" i="11" a="1"/>
  <c r="F16" i="3" a="1"/>
  <c r="F40" i="4" a="1"/>
  <c r="E38" i="6" a="1"/>
  <c r="F156" i="4" a="1"/>
  <c r="F108" i="4" a="1"/>
  <c r="F58" i="3" a="1"/>
  <c r="E26" i="6" a="1"/>
  <c r="F134" i="4" a="1"/>
  <c r="E14" i="6" a="1"/>
  <c r="F77" i="3" a="1"/>
  <c r="F100" i="3" a="1"/>
  <c r="F19" i="4" a="1"/>
  <c r="F37" i="3" a="1"/>
  <c r="F21" i="5" a="1"/>
  <c r="F85" i="4" a="1"/>
  <c r="F54" i="5" a="1"/>
  <c r="F61" i="4" a="1"/>
  <c r="G50" i="11" l="1"/>
  <c r="G85" i="11"/>
  <c r="G121" i="3"/>
  <c r="G139" i="3"/>
  <c r="G32" i="11"/>
  <c r="L28" i="8"/>
  <c r="E14" i="11"/>
  <c r="F27" i="8"/>
  <c r="I27" i="8"/>
  <c r="L27" i="8"/>
  <c r="D25" i="11"/>
  <c r="D26" i="11"/>
  <c r="C86" i="3"/>
  <c r="C87" i="3" s="1"/>
  <c r="C88" i="3" s="1"/>
  <c r="C90" i="3" s="1"/>
  <c r="C91" i="3" s="1"/>
  <c r="C93" i="3" s="1"/>
  <c r="C94" i="3" s="1"/>
  <c r="F156" i="4"/>
  <c r="D166" i="4" s="1"/>
  <c r="F108" i="4"/>
  <c r="D120" i="4" s="1"/>
  <c r="F85" i="4"/>
  <c r="D96" i="4" s="1"/>
  <c r="F19" i="4"/>
  <c r="D28" i="4" s="1"/>
  <c r="F134" i="4"/>
  <c r="D145" i="4" s="1"/>
  <c r="F61" i="4"/>
  <c r="D72" i="4" s="1"/>
  <c r="F40" i="4"/>
  <c r="D49" i="4" s="1"/>
  <c r="F54" i="5"/>
  <c r="D75" i="5" s="1"/>
  <c r="F21" i="5"/>
  <c r="D31" i="5" s="1"/>
  <c r="E38" i="6"/>
  <c r="E26" i="6"/>
  <c r="E14" i="6"/>
  <c r="F100" i="3"/>
  <c r="D114" i="3" s="1"/>
  <c r="F77" i="3"/>
  <c r="D90" i="3" s="1"/>
  <c r="F58" i="3"/>
  <c r="D69" i="3" s="1"/>
  <c r="F37" i="3"/>
  <c r="F16" i="3"/>
  <c r="C155" i="4"/>
  <c r="G167" i="4"/>
  <c r="B93" i="3"/>
  <c r="B94" i="3"/>
  <c r="H153" i="4"/>
  <c r="H154" i="4" s="1"/>
  <c r="B166" i="4"/>
  <c r="B161" i="4"/>
  <c r="B169" i="4"/>
  <c r="B50" i="4"/>
  <c r="B52" i="4"/>
  <c r="B162" i="4"/>
  <c r="B163" i="4"/>
  <c r="B164" i="4"/>
  <c r="B167" i="4"/>
  <c r="G166" i="4"/>
  <c r="B84" i="3"/>
  <c r="B88" i="3" s="1"/>
  <c r="G90" i="3"/>
  <c r="B83" i="3"/>
  <c r="B87" i="3" s="1"/>
  <c r="B85" i="3"/>
  <c r="B91" i="3"/>
  <c r="B82" i="3"/>
  <c r="B86" i="3" s="1"/>
  <c r="B90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64" i="3"/>
  <c r="B65" i="3"/>
  <c r="B66" i="3"/>
  <c r="B71" i="3"/>
  <c r="B24" i="3"/>
  <c r="B30" i="3"/>
  <c r="B25" i="3"/>
  <c r="B27" i="3"/>
  <c r="B28" i="3"/>
  <c r="B63" i="3"/>
  <c r="B23" i="3"/>
  <c r="B48" i="3"/>
  <c r="B49" i="3"/>
  <c r="B46" i="3"/>
  <c r="B51" i="3"/>
  <c r="B41" i="3"/>
  <c r="B42" i="3"/>
  <c r="B43" i="3"/>
  <c r="B67" i="3"/>
  <c r="B21" i="3"/>
  <c r="B44" i="3"/>
  <c r="I90" i="3"/>
  <c r="J90" i="3" s="1"/>
  <c r="I49" i="4"/>
  <c r="J49" i="4" s="1"/>
  <c r="I166" i="4"/>
  <c r="J166" i="4" s="1"/>
  <c r="I114" i="3"/>
  <c r="J114" i="3" s="1"/>
  <c r="I72" i="4"/>
  <c r="J72" i="4" s="1"/>
  <c r="I120" i="4"/>
  <c r="J120" i="4" s="1"/>
  <c r="I96" i="4"/>
  <c r="J96" i="4" s="1"/>
  <c r="I69" i="3"/>
  <c r="J69" i="3" s="1"/>
  <c r="I25" i="11"/>
  <c r="J25" i="11" s="1"/>
  <c r="I28" i="4"/>
  <c r="J28" i="4" s="1"/>
  <c r="I75" i="5"/>
  <c r="J75" i="5" s="1"/>
  <c r="I145" i="4"/>
  <c r="J145" i="4" s="1"/>
  <c r="I31" i="5"/>
  <c r="J31" i="5" s="1"/>
  <c r="I26" i="11"/>
  <c r="J26" i="11" s="1"/>
  <c r="D75" i="11"/>
  <c r="I75" i="11" s="1"/>
  <c r="J75" i="11" s="1"/>
  <c r="D76" i="11"/>
  <c r="I76" i="11" s="1"/>
  <c r="J76" i="11" s="1"/>
  <c r="D73" i="11" a="1"/>
  <c r="D74" i="11"/>
  <c r="I74" i="11" s="1"/>
  <c r="J74" i="11" s="1"/>
  <c r="D98" i="11" a="1"/>
  <c r="D99" i="11"/>
  <c r="I99" i="11" s="1"/>
  <c r="J99" i="11" s="1"/>
  <c r="D133" i="3" a="1"/>
  <c r="E32" i="11" a="1"/>
  <c r="E85" i="11" a="1"/>
  <c r="E121" i="3" a="1"/>
  <c r="E139" i="3" a="1"/>
  <c r="E50" i="11" a="1"/>
  <c r="D163" i="3"/>
  <c r="I163" i="3" s="1"/>
  <c r="J163" i="3" s="1"/>
  <c r="D162" i="3" a="1"/>
  <c r="D164" i="3"/>
  <c r="I164" i="3" s="1"/>
  <c r="J164" i="3" s="1"/>
  <c r="D165" i="3"/>
  <c r="I165" i="3" s="1"/>
  <c r="J165" i="3" s="1"/>
  <c r="D44" i="11" a="1"/>
  <c r="D28" i="11" a="1"/>
  <c r="D21" i="5" a="1"/>
  <c r="D108" i="4" a="1"/>
  <c r="D156" i="4" a="1"/>
  <c r="D37" i="3" a="1"/>
  <c r="H16" i="3" a="1"/>
  <c r="D134" i="4" a="1"/>
  <c r="D16" i="3" a="1"/>
  <c r="H100" i="3" a="1"/>
  <c r="H134" i="4" a="1"/>
  <c r="D54" i="5" a="1"/>
  <c r="D100" i="3" a="1"/>
  <c r="H156" i="4" a="1"/>
  <c r="H61" i="4" a="1"/>
  <c r="D58" i="3" a="1"/>
  <c r="H58" i="3" a="1"/>
  <c r="D61" i="4" a="1"/>
  <c r="H37" i="3" a="1"/>
  <c r="H19" i="4" a="1"/>
  <c r="D19" i="4" a="1"/>
  <c r="H85" i="4" a="1"/>
  <c r="H77" i="3" a="1"/>
  <c r="H21" i="5" a="1"/>
  <c r="D77" i="3" a="1"/>
  <c r="H54" i="5" a="1"/>
  <c r="H108" i="4" a="1"/>
  <c r="H40" i="4" a="1"/>
  <c r="D40" i="4" a="1"/>
  <c r="D85" i="4" a="1"/>
  <c r="D28" i="11" l="1"/>
  <c r="D44" i="11"/>
  <c r="D162" i="3"/>
  <c r="E50" i="11"/>
  <c r="E139" i="3"/>
  <c r="E121" i="3"/>
  <c r="E85" i="11"/>
  <c r="E32" i="11"/>
  <c r="D133" i="3"/>
  <c r="D98" i="11"/>
  <c r="D73" i="11"/>
  <c r="D80" i="5"/>
  <c r="D79" i="5"/>
  <c r="D78" i="5"/>
  <c r="D81" i="5"/>
  <c r="D82" i="5"/>
  <c r="D95" i="4"/>
  <c r="D119" i="4"/>
  <c r="D71" i="4"/>
  <c r="D76" i="5"/>
  <c r="D77" i="5"/>
  <c r="D74" i="5"/>
  <c r="D134" i="4"/>
  <c r="D147" i="4" s="1"/>
  <c r="D61" i="4"/>
  <c r="D76" i="4" s="1"/>
  <c r="D85" i="4"/>
  <c r="D100" i="4" s="1"/>
  <c r="D19" i="4"/>
  <c r="D31" i="4" s="1"/>
  <c r="D156" i="4"/>
  <c r="D169" i="4" s="1"/>
  <c r="D108" i="4"/>
  <c r="D126" i="4" s="1"/>
  <c r="D40" i="4"/>
  <c r="D52" i="4" s="1"/>
  <c r="H85" i="4"/>
  <c r="D90" i="4" s="1"/>
  <c r="H156" i="4"/>
  <c r="D164" i="4" s="1"/>
  <c r="H134" i="4"/>
  <c r="D139" i="4" s="1"/>
  <c r="H19" i="4"/>
  <c r="D23" i="4" s="1"/>
  <c r="H61" i="4"/>
  <c r="D67" i="4" s="1"/>
  <c r="H108" i="4"/>
  <c r="D115" i="4" s="1"/>
  <c r="H40" i="4"/>
  <c r="D45" i="4" s="1"/>
  <c r="D54" i="5"/>
  <c r="D89" i="5" s="1"/>
  <c r="D21" i="5"/>
  <c r="D37" i="5" s="1"/>
  <c r="H21" i="5"/>
  <c r="D26" i="5" s="1"/>
  <c r="H54" i="5"/>
  <c r="D59" i="5" s="1"/>
  <c r="D32" i="5"/>
  <c r="D113" i="3"/>
  <c r="H100" i="3"/>
  <c r="H77" i="3"/>
  <c r="H58" i="3"/>
  <c r="D65" i="3" s="1"/>
  <c r="H37" i="3"/>
  <c r="D42" i="3" s="1"/>
  <c r="H16" i="3"/>
  <c r="D23" i="3" s="1"/>
  <c r="D100" i="3"/>
  <c r="D116" i="3" s="1"/>
  <c r="D77" i="3"/>
  <c r="D93" i="3" s="1"/>
  <c r="D58" i="3"/>
  <c r="D71" i="3" s="1"/>
  <c r="D37" i="3"/>
  <c r="D51" i="3" s="1"/>
  <c r="D16" i="3"/>
  <c r="D30" i="3" s="1"/>
  <c r="D44" i="6"/>
  <c r="D45" i="6"/>
  <c r="D42" i="6"/>
  <c r="D43" i="6"/>
  <c r="D46" i="6"/>
  <c r="D34" i="6"/>
  <c r="D33" i="6"/>
  <c r="D31" i="6"/>
  <c r="D30" i="6"/>
  <c r="D32" i="6"/>
  <c r="D18" i="6"/>
  <c r="D22" i="6"/>
  <c r="D21" i="6"/>
  <c r="D20" i="6"/>
  <c r="D19" i="6"/>
  <c r="D91" i="3"/>
  <c r="D27" i="3"/>
  <c r="D28" i="3"/>
  <c r="D48" i="3"/>
  <c r="D49" i="3"/>
  <c r="I28" i="11"/>
  <c r="J28" i="11" s="1"/>
  <c r="I79" i="5"/>
  <c r="J79" i="5" s="1"/>
  <c r="I100" i="4"/>
  <c r="J100" i="4" s="1"/>
  <c r="I89" i="5"/>
  <c r="J89" i="5" s="1"/>
  <c r="I93" i="3"/>
  <c r="J93" i="3" s="1"/>
  <c r="I30" i="6"/>
  <c r="J30" i="6" s="1"/>
  <c r="I42" i="6"/>
  <c r="J42" i="6" s="1"/>
  <c r="I19" i="6"/>
  <c r="J19" i="6" s="1"/>
  <c r="I91" i="3"/>
  <c r="J91" i="3" s="1"/>
  <c r="I46" i="6"/>
  <c r="J46" i="6" s="1"/>
  <c r="I147" i="4"/>
  <c r="J147" i="4" s="1"/>
  <c r="I48" i="3"/>
  <c r="J48" i="3" s="1"/>
  <c r="I45" i="4"/>
  <c r="J45" i="4" s="1"/>
  <c r="I44" i="11"/>
  <c r="J44" i="11" s="1"/>
  <c r="I78" i="5"/>
  <c r="J78" i="5" s="1"/>
  <c r="I31" i="4"/>
  <c r="J31" i="4" s="1"/>
  <c r="I37" i="5"/>
  <c r="J37" i="5" s="1"/>
  <c r="I71" i="3"/>
  <c r="J71" i="3" s="1"/>
  <c r="I32" i="6"/>
  <c r="J32" i="6" s="1"/>
  <c r="I22" i="6"/>
  <c r="J22" i="6" s="1"/>
  <c r="I20" i="6"/>
  <c r="J20" i="6" s="1"/>
  <c r="I43" i="6"/>
  <c r="J43" i="6" s="1"/>
  <c r="I162" i="3"/>
  <c r="J162" i="3" s="1"/>
  <c r="I81" i="5"/>
  <c r="J81" i="5" s="1"/>
  <c r="I169" i="4"/>
  <c r="J169" i="4" s="1"/>
  <c r="I26" i="5"/>
  <c r="J26" i="5" s="1"/>
  <c r="I51" i="3"/>
  <c r="J51" i="3" s="1"/>
  <c r="I18" i="6"/>
  <c r="J18" i="6" s="1"/>
  <c r="I74" i="5"/>
  <c r="J74" i="5" s="1"/>
  <c r="I23" i="3"/>
  <c r="J23" i="3" s="1"/>
  <c r="I116" i="3"/>
  <c r="J116" i="3" s="1"/>
  <c r="I82" i="5"/>
  <c r="J82" i="5" s="1"/>
  <c r="I126" i="4"/>
  <c r="J126" i="4" s="1"/>
  <c r="I59" i="5"/>
  <c r="J59" i="5" s="1"/>
  <c r="I30" i="3"/>
  <c r="J30" i="3" s="1"/>
  <c r="I23" i="4"/>
  <c r="J23" i="4" s="1"/>
  <c r="I95" i="4"/>
  <c r="J95" i="4" s="1"/>
  <c r="I52" i="4"/>
  <c r="J52" i="4" s="1"/>
  <c r="I32" i="5"/>
  <c r="J32" i="5" s="1"/>
  <c r="I44" i="6"/>
  <c r="J44" i="6" s="1"/>
  <c r="I21" i="6"/>
  <c r="J21" i="6" s="1"/>
  <c r="I164" i="4"/>
  <c r="J164" i="4" s="1"/>
  <c r="I42" i="3"/>
  <c r="J42" i="3" s="1"/>
  <c r="I76" i="4"/>
  <c r="J76" i="4" s="1"/>
  <c r="I119" i="4"/>
  <c r="J119" i="4" s="1"/>
  <c r="I90" i="4"/>
  <c r="J90" i="4" s="1"/>
  <c r="I113" i="3"/>
  <c r="J113" i="3" s="1"/>
  <c r="I45" i="6"/>
  <c r="J45" i="6" s="1"/>
  <c r="I139" i="4"/>
  <c r="J139" i="4" s="1"/>
  <c r="I27" i="3"/>
  <c r="J27" i="3" s="1"/>
  <c r="I115" i="4"/>
  <c r="J115" i="4" s="1"/>
  <c r="I80" i="5"/>
  <c r="J80" i="5" s="1"/>
  <c r="I31" i="6"/>
  <c r="J31" i="6" s="1"/>
  <c r="I71" i="4"/>
  <c r="J71" i="4" s="1"/>
  <c r="I67" i="4"/>
  <c r="J67" i="4" s="1"/>
  <c r="I34" i="6"/>
  <c r="J34" i="6" s="1"/>
  <c r="I76" i="5"/>
  <c r="J76" i="5" s="1"/>
  <c r="I65" i="3"/>
  <c r="J65" i="3" s="1"/>
  <c r="I49" i="3"/>
  <c r="J49" i="3" s="1"/>
  <c r="I133" i="3"/>
  <c r="J133" i="3" s="1"/>
  <c r="I77" i="5"/>
  <c r="J77" i="5" s="1"/>
  <c r="I28" i="3"/>
  <c r="J28" i="3" s="1"/>
  <c r="I98" i="11"/>
  <c r="J98" i="11" s="1"/>
  <c r="I33" i="6"/>
  <c r="J33" i="6" s="1"/>
  <c r="I73" i="11"/>
  <c r="J73" i="11" s="1"/>
  <c r="D46" i="11" a="1"/>
  <c r="D78" i="11" a="1"/>
  <c r="D79" i="11"/>
  <c r="I79" i="11" s="1"/>
  <c r="J79" i="11" s="1"/>
  <c r="D81" i="11"/>
  <c r="I81" i="11" s="1"/>
  <c r="J81" i="11" s="1"/>
  <c r="D80" i="11"/>
  <c r="I80" i="11" s="1"/>
  <c r="J80" i="11" s="1"/>
  <c r="D167" i="3" a="1"/>
  <c r="D169" i="3"/>
  <c r="I169" i="3" s="1"/>
  <c r="J169" i="3" s="1"/>
  <c r="D168" i="3"/>
  <c r="I168" i="3" s="1"/>
  <c r="J168" i="3" s="1"/>
  <c r="D170" i="3"/>
  <c r="I170" i="3" s="1"/>
  <c r="J170" i="3" s="1"/>
  <c r="D135" i="3" a="1"/>
  <c r="D101" i="11" a="1"/>
  <c r="D101" i="11" l="1"/>
  <c r="D135" i="3"/>
  <c r="D167" i="3"/>
  <c r="D78" i="11"/>
  <c r="D46" i="11"/>
  <c r="D86" i="3"/>
  <c r="D87" i="3"/>
  <c r="D88" i="3"/>
  <c r="D109" i="3"/>
  <c r="D110" i="3"/>
  <c r="D111" i="3"/>
  <c r="D113" i="4"/>
  <c r="D112" i="4"/>
  <c r="D116" i="4"/>
  <c r="D114" i="4"/>
  <c r="D85" i="3"/>
  <c r="D117" i="4"/>
  <c r="D83" i="3"/>
  <c r="D67" i="3"/>
  <c r="D46" i="4"/>
  <c r="D47" i="4"/>
  <c r="D27" i="5"/>
  <c r="D28" i="5"/>
  <c r="D29" i="5"/>
  <c r="D71" i="5"/>
  <c r="D64" i="3"/>
  <c r="D44" i="4"/>
  <c r="D138" i="4"/>
  <c r="D140" i="4"/>
  <c r="D162" i="4"/>
  <c r="D141" i="4"/>
  <c r="D161" i="4"/>
  <c r="D142" i="4"/>
  <c r="D160" i="4"/>
  <c r="D24" i="4"/>
  <c r="D125" i="4"/>
  <c r="D25" i="4"/>
  <c r="D26" i="4"/>
  <c r="D60" i="5"/>
  <c r="D20" i="3"/>
  <c r="D25" i="5"/>
  <c r="D65" i="4"/>
  <c r="D66" i="4"/>
  <c r="D72" i="5"/>
  <c r="D43" i="3"/>
  <c r="D41" i="3"/>
  <c r="D68" i="4"/>
  <c r="D62" i="5"/>
  <c r="D69" i="5"/>
  <c r="D66" i="5"/>
  <c r="D69" i="4"/>
  <c r="D65" i="5"/>
  <c r="D67" i="5"/>
  <c r="D45" i="3"/>
  <c r="D143" i="4"/>
  <c r="D61" i="5"/>
  <c r="D163" i="4"/>
  <c r="D64" i="5"/>
  <c r="D70" i="5"/>
  <c r="D68" i="5"/>
  <c r="D44" i="3"/>
  <c r="D58" i="5"/>
  <c r="D91" i="4"/>
  <c r="D92" i="4"/>
  <c r="D93" i="4"/>
  <c r="D89" i="4"/>
  <c r="D46" i="3"/>
  <c r="D62" i="3"/>
  <c r="D66" i="3"/>
  <c r="D63" i="3"/>
  <c r="D108" i="3"/>
  <c r="D104" i="3"/>
  <c r="D106" i="3"/>
  <c r="D107" i="3"/>
  <c r="D105" i="3"/>
  <c r="D21" i="3"/>
  <c r="D25" i="3"/>
  <c r="D24" i="3"/>
  <c r="D22" i="3"/>
  <c r="D94" i="3"/>
  <c r="D84" i="3"/>
  <c r="D81" i="3"/>
  <c r="D117" i="3"/>
  <c r="D82" i="3"/>
  <c r="H126" i="4"/>
  <c r="H125" i="4"/>
  <c r="F126" i="4"/>
  <c r="G26" i="4"/>
  <c r="G24" i="4"/>
  <c r="G23" i="4"/>
  <c r="I101" i="11"/>
  <c r="J101" i="11" s="1"/>
  <c r="I112" i="4"/>
  <c r="J112" i="4" s="1"/>
  <c r="I71" i="5"/>
  <c r="J71" i="5" s="1"/>
  <c r="I25" i="4"/>
  <c r="J25" i="4" s="1"/>
  <c r="I69" i="5"/>
  <c r="J69" i="5" s="1"/>
  <c r="I44" i="3"/>
  <c r="J44" i="3" s="1"/>
  <c r="I106" i="3"/>
  <c r="J106" i="3" s="1"/>
  <c r="I92" i="4"/>
  <c r="J92" i="4" s="1"/>
  <c r="I135" i="3"/>
  <c r="J135" i="3" s="1"/>
  <c r="I116" i="4"/>
  <c r="J116" i="4" s="1"/>
  <c r="I64" i="3"/>
  <c r="J64" i="3" s="1"/>
  <c r="I26" i="4"/>
  <c r="J26" i="4" s="1"/>
  <c r="I66" i="5"/>
  <c r="J66" i="5" s="1"/>
  <c r="I58" i="5"/>
  <c r="J58" i="5" s="1"/>
  <c r="I107" i="3"/>
  <c r="J107" i="3" s="1"/>
  <c r="I21" i="3"/>
  <c r="J21" i="3" s="1"/>
  <c r="I142" i="4"/>
  <c r="J142" i="4" s="1"/>
  <c r="I84" i="3"/>
  <c r="J84" i="3" s="1"/>
  <c r="I108" i="3"/>
  <c r="J108" i="3" s="1"/>
  <c r="I68" i="5"/>
  <c r="J68" i="5" s="1"/>
  <c r="I167" i="3"/>
  <c r="J167" i="3" s="1"/>
  <c r="I114" i="4"/>
  <c r="J114" i="4" s="1"/>
  <c r="I44" i="4"/>
  <c r="J44" i="4" s="1"/>
  <c r="I60" i="5"/>
  <c r="J60" i="5" s="1"/>
  <c r="I69" i="4"/>
  <c r="J69" i="4" s="1"/>
  <c r="I91" i="4"/>
  <c r="J91" i="4" s="1"/>
  <c r="I105" i="3"/>
  <c r="J105" i="3" s="1"/>
  <c r="I24" i="3"/>
  <c r="J24" i="3" s="1"/>
  <c r="I62" i="3"/>
  <c r="J62" i="3" s="1"/>
  <c r="I94" i="3"/>
  <c r="J94" i="3" s="1"/>
  <c r="I163" i="4"/>
  <c r="J163" i="4" s="1"/>
  <c r="I68" i="4"/>
  <c r="J68" i="4" s="1"/>
  <c r="I117" i="3"/>
  <c r="J117" i="3" s="1"/>
  <c r="I82" i="3"/>
  <c r="J82" i="3" s="1"/>
  <c r="I78" i="11"/>
  <c r="J78" i="11" s="1"/>
  <c r="I85" i="3"/>
  <c r="J85" i="3" s="1"/>
  <c r="I138" i="4"/>
  <c r="J138" i="4" s="1"/>
  <c r="I20" i="3"/>
  <c r="J20" i="3" s="1"/>
  <c r="I65" i="5"/>
  <c r="J65" i="5" s="1"/>
  <c r="I161" i="4"/>
  <c r="J161" i="4" s="1"/>
  <c r="I61" i="5"/>
  <c r="J61" i="5" s="1"/>
  <c r="I43" i="3"/>
  <c r="J43" i="3" s="1"/>
  <c r="I64" i="5"/>
  <c r="J64" i="5" s="1"/>
  <c r="I46" i="11"/>
  <c r="J46" i="11" s="1"/>
  <c r="I117" i="4"/>
  <c r="J117" i="4" s="1"/>
  <c r="I140" i="4"/>
  <c r="J140" i="4" s="1"/>
  <c r="I25" i="5"/>
  <c r="J25" i="5" s="1"/>
  <c r="I67" i="5"/>
  <c r="J67" i="5" s="1"/>
  <c r="I93" i="4"/>
  <c r="J93" i="4" s="1"/>
  <c r="I25" i="3"/>
  <c r="J25" i="3" s="1"/>
  <c r="I89" i="4"/>
  <c r="J89" i="4" s="1"/>
  <c r="I66" i="3"/>
  <c r="J66" i="3" s="1"/>
  <c r="I125" i="4"/>
  <c r="J125" i="4" s="1"/>
  <c r="I86" i="3"/>
  <c r="J86" i="3" s="1"/>
  <c r="I83" i="3"/>
  <c r="J83" i="3" s="1"/>
  <c r="I162" i="4"/>
  <c r="J162" i="4" s="1"/>
  <c r="I65" i="4"/>
  <c r="J65" i="4" s="1"/>
  <c r="I45" i="3"/>
  <c r="J45" i="3" s="1"/>
  <c r="I24" i="4"/>
  <c r="J24" i="4" s="1"/>
  <c r="I87" i="3"/>
  <c r="J87" i="3" s="1"/>
  <c r="I67" i="3"/>
  <c r="J67" i="3" s="1"/>
  <c r="I141" i="4"/>
  <c r="J141" i="4" s="1"/>
  <c r="I66" i="4"/>
  <c r="J66" i="4" s="1"/>
  <c r="I143" i="4"/>
  <c r="J143" i="4" s="1"/>
  <c r="I46" i="3"/>
  <c r="J46" i="3" s="1"/>
  <c r="I22" i="3"/>
  <c r="J22" i="3" s="1"/>
  <c r="I72" i="5"/>
  <c r="J72" i="5" s="1"/>
  <c r="I27" i="5"/>
  <c r="J27" i="5" s="1"/>
  <c r="I63" i="3"/>
  <c r="J63" i="3" s="1"/>
  <c r="I62" i="5"/>
  <c r="J62" i="5" s="1"/>
  <c r="I88" i="3"/>
  <c r="J88" i="3" s="1"/>
  <c r="I46" i="4"/>
  <c r="J46" i="4" s="1"/>
  <c r="I160" i="4"/>
  <c r="J160" i="4" s="1"/>
  <c r="I81" i="3"/>
  <c r="J81" i="3" s="1"/>
  <c r="I109" i="3"/>
  <c r="J109" i="3" s="1"/>
  <c r="I47" i="4"/>
  <c r="J47" i="4" s="1"/>
  <c r="I110" i="3"/>
  <c r="J110" i="3" s="1"/>
  <c r="I41" i="3"/>
  <c r="J41" i="3" s="1"/>
  <c r="I29" i="5"/>
  <c r="J29" i="5" s="1"/>
  <c r="I111" i="3"/>
  <c r="J111" i="3" s="1"/>
  <c r="I28" i="5"/>
  <c r="J28" i="5" s="1"/>
  <c r="I70" i="5"/>
  <c r="J70" i="5" s="1"/>
  <c r="I104" i="3"/>
  <c r="J104" i="3" s="1"/>
  <c r="I113" i="4"/>
  <c r="J113" i="4" s="1"/>
  <c r="H87" i="5" l="1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D113" i="5" l="1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D114" i="5" l="1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71" i="3"/>
  <c r="H69" i="3"/>
  <c r="H67" i="3"/>
  <c r="H66" i="3"/>
  <c r="H65" i="3"/>
  <c r="H64" i="3"/>
  <c r="H63" i="3"/>
  <c r="H62" i="3"/>
  <c r="H51" i="3"/>
  <c r="H44" i="3"/>
  <c r="H43" i="3"/>
  <c r="H42" i="3"/>
  <c r="H49" i="3"/>
  <c r="H48" i="3"/>
  <c r="H46" i="3"/>
  <c r="H45" i="3"/>
  <c r="H41" i="3"/>
  <c r="H30" i="3"/>
  <c r="H28" i="3"/>
  <c r="H27" i="3"/>
  <c r="H24" i="3"/>
  <c r="H25" i="3"/>
  <c r="H23" i="3"/>
  <c r="H22" i="3"/>
  <c r="H20" i="3"/>
  <c r="C34" i="5" l="1"/>
  <c r="C35" i="5" s="1"/>
  <c r="C37" i="5" s="1"/>
  <c r="C67" i="5"/>
  <c r="C112" i="5"/>
  <c r="C154" i="5"/>
  <c r="C156" i="5" s="1"/>
  <c r="C134" i="5"/>
  <c r="F51" i="3"/>
  <c r="F71" i="3"/>
  <c r="G30" i="3"/>
  <c r="F30" i="3"/>
  <c r="C68" i="5" l="1"/>
  <c r="C113" i="5"/>
  <c r="C136" i="5"/>
  <c r="C69" i="5" l="1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69" i="3"/>
  <c r="G69" i="3"/>
  <c r="F67" i="3"/>
  <c r="G67" i="3"/>
  <c r="F65" i="3"/>
  <c r="F64" i="3"/>
  <c r="F63" i="3"/>
  <c r="G63" i="3"/>
  <c r="C63" i="3"/>
  <c r="F62" i="3"/>
  <c r="G62" i="3"/>
  <c r="F49" i="3"/>
  <c r="G49" i="3"/>
  <c r="F48" i="3"/>
  <c r="G48" i="3"/>
  <c r="F46" i="3"/>
  <c r="G46" i="3"/>
  <c r="F45" i="3"/>
  <c r="F44" i="3"/>
  <c r="F43" i="3"/>
  <c r="F42" i="3"/>
  <c r="G42" i="3"/>
  <c r="C42" i="3"/>
  <c r="F41" i="3"/>
  <c r="G41" i="3"/>
  <c r="F28" i="3"/>
  <c r="F27" i="3"/>
  <c r="F25" i="3"/>
  <c r="F24" i="3"/>
  <c r="G24" i="3"/>
  <c r="F23" i="3"/>
  <c r="F22" i="3"/>
  <c r="F21" i="3"/>
  <c r="G21" i="3"/>
  <c r="C21" i="3"/>
  <c r="F20" i="3"/>
  <c r="G20" i="3"/>
  <c r="C71" i="5" l="1"/>
  <c r="C47" i="4"/>
  <c r="C115" i="4"/>
  <c r="C28" i="4"/>
  <c r="C29" i="4" s="1"/>
  <c r="C64" i="3"/>
  <c r="C43" i="3"/>
  <c r="C22" i="3"/>
  <c r="C31" i="4" l="1"/>
  <c r="C72" i="5"/>
  <c r="C116" i="4"/>
  <c r="C49" i="4"/>
  <c r="C69" i="4"/>
  <c r="C65" i="3"/>
  <c r="C44" i="3"/>
  <c r="C23" i="3"/>
  <c r="C74" i="5" l="1"/>
  <c r="C71" i="4"/>
  <c r="C117" i="4"/>
  <c r="C145" i="4"/>
  <c r="C147" i="4" s="1"/>
  <c r="C45" i="3"/>
  <c r="C66" i="3"/>
  <c r="C24" i="3"/>
  <c r="C75" i="5" l="1"/>
  <c r="C119" i="4"/>
  <c r="C72" i="4"/>
  <c r="C74" i="4" s="1"/>
  <c r="C76" i="4" s="1"/>
  <c r="C67" i="3"/>
  <c r="C46" i="3"/>
  <c r="C25" i="3"/>
  <c r="C76" i="5" l="1"/>
  <c r="C120" i="4"/>
  <c r="C122" i="4" s="1"/>
  <c r="C123" i="4" s="1"/>
  <c r="C125" i="4" s="1"/>
  <c r="C69" i="3"/>
  <c r="C71" i="3" s="1"/>
  <c r="C48" i="3"/>
  <c r="C27" i="3"/>
  <c r="C126" i="4" l="1"/>
  <c r="C77" i="5"/>
  <c r="C50" i="4"/>
  <c r="C49" i="3"/>
  <c r="C51" i="3" s="1"/>
  <c r="C28" i="3"/>
  <c r="C30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<sst xmlns="http://schemas.openxmlformats.org/spreadsheetml/2006/main" count="915" uniqueCount="175">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</sst>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8" fillId="10" borderId="5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0" borderId="4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5:D37" headerRowCount="0" totalsRowShown="0" headerRowDxfId="214" dataDxfId="212" headerRowBorderDxfId="213" tableBorderDxfId="211" totalsRowBorderDxfId="210">
  <tableColumns count="2">
    <tableColumn id="1" xr3:uid="{00000000-0010-0000-0200-000001000000}" name="Column1" headerRowDxfId="209" dataDxfId="208"/>
    <tableColumn id="2" xr3:uid="{00000000-0010-0000-0200-000002000000}" name="Column2" headerRowDxfId="207" dataDxfId="20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5:G37" headerRowCount="0" totalsRowShown="0" headerRowDxfId="205" dataDxfId="203" headerRowBorderDxfId="204" tableBorderDxfId="202" totalsRowBorderDxfId="201">
  <tableColumns count="2">
    <tableColumn id="1" xr3:uid="{CD0B7C1C-6074-4B03-92D4-BC81F2EBB19C}" name="Column1" headerRowDxfId="200" dataDxfId="199">
      <calculatedColumnFormula array="1">defaultValue(G25,1)</calculatedColumnFormula>
    </tableColumn>
    <tableColumn id="2" xr3:uid="{EB8B2C46-B6A3-497A-AC36-E0E0DE2EA54A}" name="Column2" headerRowDxfId="198" dataDxfId="1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5:M37" headerRowCount="0" totalsRowShown="0" headerRowDxfId="196" dataDxfId="194" headerRowBorderDxfId="195" tableBorderDxfId="193" totalsRowBorderDxfId="192">
  <tableColumns count="2">
    <tableColumn id="1" xr3:uid="{250C44D2-47B1-42C2-8D2B-CAA1432FDA56}" name="Column1" headerRowDxfId="191" dataDxfId="190">
      <calculatedColumnFormula array="1">defaultValue(M25,C24)</calculatedColumnFormula>
    </tableColumn>
    <tableColumn id="2" xr3:uid="{E5D458B6-4695-4151-8C3A-36078280174C}" name="Column2" headerRowDxfId="189" dataDxfId="1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5:J37" headerRowCount="0" totalsRowShown="0" headerRowDxfId="187" dataDxfId="185" headerRowBorderDxfId="186" tableBorderDxfId="184" totalsRowBorderDxfId="183">
  <tableColumns count="2">
    <tableColumn id="1" xr3:uid="{CDCD5A84-7D20-4E65-9944-DF64AFBDCF15}" name="Column1" headerRowDxfId="182" dataDxfId="181">
      <calculatedColumnFormula>INDEX(global[[#All],[Column1]],MATCH(J25,global[[#All],[Column2]],0))</calculatedColumnFormula>
    </tableColumn>
    <tableColumn id="2" xr3:uid="{6A1D9F36-66CC-4BFA-B363-3C22327FB984}" name="Column2" headerRowDxfId="180" dataDxfId="1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5:P37" headerRowCount="0" totalsRowShown="0" headerRowDxfId="178" dataDxfId="176" headerRowBorderDxfId="177" tableBorderDxfId="175" totalsRowBorderDxfId="174">
  <tableColumns count="2">
    <tableColumn id="1" xr3:uid="{3DB08154-ACD6-41BF-8D18-EE97F412E9D9}" name="Column1" headerRowDxfId="173" dataDxfId="172">
      <calculatedColumnFormula array="1">defaultValue("دلف المطبخ",1)</calculatedColumnFormula>
    </tableColumn>
    <tableColumn id="2" xr3:uid="{E148ED46-BA14-4105-9B99-1191A0BF50F8}" name="Column2" headerRowDxfId="171" dataDxfId="1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CD5574-9A45-4301-A700-9E85270C302D}" name="woodMaterials" displayName="woodMaterials" ref="C44:N45" headerRowCount="0" totalsRowShown="0" headerRowDxfId="131" dataDxfId="159" headerRowBorderDxfId="157" tableBorderDxfId="158" totalsRowBorderDxfId="156">
  <tableColumns count="12">
    <tableColumn id="1" xr3:uid="{D2E0602B-B5DE-493A-8886-F8028A7F0C8A}" name="Column1" headerRowDxfId="155" dataDxfId="143"/>
    <tableColumn id="2" xr3:uid="{D6CC4EB5-61F0-43A1-9475-1E2150D451D6}" name="Column2" headerRowDxfId="154" dataDxfId="142"/>
    <tableColumn id="3" xr3:uid="{222386E9-2FFF-4890-BE1E-B129EB83768E}" name="Column3" headerRowDxfId="153" dataDxfId="141"/>
    <tableColumn id="4" xr3:uid="{C395FCF4-53AB-4EDA-AEA8-6C3D23EC43D3}" name="Column4" headerRowDxfId="152" dataDxfId="140"/>
    <tableColumn id="5" xr3:uid="{27B7F4A7-18D7-460E-8693-6DB51A16586C}" name="Column5" headerRowDxfId="151" dataDxfId="139"/>
    <tableColumn id="6" xr3:uid="{E60925BA-0111-4E66-84F2-F1083CEF2DC4}" name="Column6" headerRowDxfId="150" dataDxfId="138"/>
    <tableColumn id="7" xr3:uid="{DFF2EE94-929F-464B-A646-EB22C76EEA42}" name="Column7" headerRowDxfId="149" dataDxfId="137"/>
    <tableColumn id="8" xr3:uid="{4027F531-A345-4A00-BC47-4B34D4E4F39B}" name="Column8" headerRowDxfId="148" dataDxfId="136"/>
    <tableColumn id="9" xr3:uid="{0826EF51-474D-4985-B3C9-89E12CAE06BB}" name="Column9" headerRowDxfId="147" dataDxfId="135"/>
    <tableColumn id="10" xr3:uid="{9B53D5E4-6DDF-4C1C-906E-FAEF962F6817}" name="Column10" headerRowDxfId="146" dataDxfId="134"/>
    <tableColumn id="11" xr3:uid="{A8EBB077-D535-4EC5-8452-63CBC187CE63}" name="Column11" headerRowDxfId="145" dataDxfId="133"/>
    <tableColumn id="12" xr3:uid="{167E878C-BA59-4FBB-97BD-709866D5D71D}" name="Column12" headerRowDxfId="144" dataDxfId="13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09A181-A5DD-42EF-BB5D-3DD68ACD001A}" name="blankMaterials" displayName="blankMaterials" ref="C48:N49" headerRowCount="0" totalsRowShown="0" headerRowDxfId="130" dataDxfId="129" headerRowBorderDxfId="127" tableBorderDxfId="128" totalsRowBorderDxfId="126">
  <tableColumns count="12">
    <tableColumn id="1" xr3:uid="{FA030607-CE77-4921-BBDB-03C44ED8A344}" name="Column1" headerRowDxfId="125" dataDxfId="124"/>
    <tableColumn id="2" xr3:uid="{8D4DB36B-BD7F-4017-A2AE-CC5836C2F6B6}" name="Column2" headerRowDxfId="123" dataDxfId="122"/>
    <tableColumn id="3" xr3:uid="{7595ADAA-7401-40B9-A54D-2C80D85AC02D}" name="Column3" headerRowDxfId="121" dataDxfId="120"/>
    <tableColumn id="4" xr3:uid="{B3070CC3-CA67-4DEC-8A1F-576CC23146CC}" name="Column4" headerRowDxfId="119" dataDxfId="118"/>
    <tableColumn id="5" xr3:uid="{572A3B88-9FC0-4D91-B934-FED5BDB97A39}" name="Column5" headerRowDxfId="117" dataDxfId="116"/>
    <tableColumn id="6" xr3:uid="{F70E3DD1-04C5-40AE-BA94-863DB3EBAF92}" name="Column6" headerRowDxfId="115" dataDxfId="114"/>
    <tableColumn id="7" xr3:uid="{EE7BCD7C-DFF9-40CB-AC42-418C75C2353F}" name="Column7" headerRowDxfId="113" dataDxfId="112"/>
    <tableColumn id="8" xr3:uid="{798230A2-1417-414C-999D-CAC1B8A81EF9}" name="Column8" headerRowDxfId="111" dataDxfId="110"/>
    <tableColumn id="9" xr3:uid="{63FE385D-795B-4CFC-BB5D-97B3EE5D6ED4}" name="Column9" headerRowDxfId="109" dataDxfId="108"/>
    <tableColumn id="10" xr3:uid="{7872CB09-8C5B-45F2-B9C6-7A1C82A00EAF}" name="Column10" headerRowDxfId="107" dataDxfId="106"/>
    <tableColumn id="11" xr3:uid="{76C334E9-7A2B-4D91-8391-4E90280A3097}" name="Column11" headerRowDxfId="105" dataDxfId="104"/>
    <tableColumn id="12" xr3:uid="{9887C4B3-A37C-4661-8699-97CBEE62738C}" name="Column12" headerRowDxfId="103" dataDxfId="10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6" displayName="woodMaterials6" ref="C12:N13" headerRowCount="0" totalsRowShown="0" headerRowDxfId="101" dataDxfId="100" headerRowBorderDxfId="98" tableBorderDxfId="99" totalsRowBorderDxfId="97">
  <tableColumns count="12">
    <tableColumn id="1" xr3:uid="{CE2C31BA-3509-47B9-BEDC-D6CD8F1ED9E6}" name="Column1" headerRowDxfId="96" dataDxfId="95"/>
    <tableColumn id="6" xr3:uid="{E1784E39-EDAC-4DAB-9B14-E397D730A51B}" name="Column6" headerRowDxfId="46" dataDxfId="45"/>
    <tableColumn id="2" xr3:uid="{116E8920-189E-4510-B8D2-2248ABC4622F}" name="Column2" headerRowDxfId="94" dataDxfId="93"/>
    <tableColumn id="3" xr3:uid="{1094FCDB-CFA9-4F01-94DB-17ACAB9F5A42}" name="Column3" headerRowDxfId="92" dataDxfId="91"/>
    <tableColumn id="4" xr3:uid="{A8E09EA9-1A49-489E-B2AD-7D53572D176F}" name="Column4" headerRowDxfId="90" dataDxfId="89"/>
    <tableColumn id="5" xr3:uid="{DE04D9ED-421A-4D96-B9EA-ECC81533BCB2}" name="Column5" headerRowDxfId="88" dataDxfId="87"/>
    <tableColumn id="7" xr3:uid="{FADB0994-C461-4954-9FD5-E16D46BE3A5F}" name="Column7" headerRowDxfId="86" dataDxfId="85"/>
    <tableColumn id="8" xr3:uid="{E738693D-6EF6-49AE-99D0-6F48F90B87D0}" name="Column8" headerRowDxfId="84" dataDxfId="83"/>
    <tableColumn id="9" xr3:uid="{B3707C24-AE47-495B-BD3C-8B594D592AEB}" name="Column9" headerRowDxfId="82" dataDxfId="81"/>
    <tableColumn id="10" xr3:uid="{DDFBB51B-A3C0-4A82-8656-FD1DC7CCB2AA}" name="Column10" headerRowDxfId="80" dataDxfId="79"/>
    <tableColumn id="11" xr3:uid="{C5D6EE06-82A1-460C-B4DE-5903CA74C822}" name="Column11" headerRowDxfId="78" dataDxfId="77"/>
    <tableColumn id="12" xr3:uid="{BE5A8FE7-70A2-4509-82CE-4DF5DF20BF01}" name="Column12" headerRowDxfId="76" dataDxfId="7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9" displayName="blankMaterials9" ref="C17:N18" headerRowCount="0" totalsRowShown="0" headerRowDxfId="74" dataDxfId="73" headerRowBorderDxfId="71" tableBorderDxfId="72" totalsRowBorderDxfId="70">
  <tableColumns count="12">
    <tableColumn id="1" xr3:uid="{E451C9D8-9377-4078-BCC6-BCBD4A39AA29}" name="Column1" headerRowDxfId="69" dataDxfId="68"/>
    <tableColumn id="6" xr3:uid="{DF70B173-01BE-40C3-AD0E-3D8AC3B1CB93}" name="Column6" headerRowDxfId="43" dataDxfId="42"/>
    <tableColumn id="2" xr3:uid="{842F4306-1C00-4A82-9AD7-B532D5CD07A6}" name="Column2" headerRowDxfId="67" dataDxfId="66"/>
    <tableColumn id="3" xr3:uid="{75EE3CAD-D9A3-4A31-91AB-E2D1D55DFBDA}" name="Column3" headerRowDxfId="65" dataDxfId="64"/>
    <tableColumn id="4" xr3:uid="{0F56D11B-B8A8-49AE-ADFC-9ED4A9D53437}" name="Column4" headerRowDxfId="63" dataDxfId="62"/>
    <tableColumn id="5" xr3:uid="{DA35ED00-D6D2-45F8-A24B-A49DC445A0F3}" name="Column5" headerRowDxfId="61" dataDxfId="60"/>
    <tableColumn id="7" xr3:uid="{0E7970F5-77D6-4B90-A2D3-15569615C62A}" name="Column7" headerRowDxfId="59" dataDxfId="58"/>
    <tableColumn id="8" xr3:uid="{B858F225-F05B-4C4F-9BFC-D01ADF4399DA}" name="Column8" headerRowDxfId="57" dataDxfId="56"/>
    <tableColumn id="9" xr3:uid="{7DA4BD4B-21C5-41B6-A23D-FB53BA3E2833}" name="Column9" headerRowDxfId="55" dataDxfId="54"/>
    <tableColumn id="10" xr3:uid="{E7B259EC-2C79-41C8-95AA-DF38A7AB3CF2}" name="Column10" headerRowDxfId="53" dataDxfId="52"/>
    <tableColumn id="11" xr3:uid="{337CDD83-6618-4E8E-B556-75FE8B1091B2}" name="Column11" headerRowDxfId="51" dataDxfId="50"/>
    <tableColumn id="12" xr3:uid="{19E9C219-D893-49CC-B1F4-0DD3FD793856}" name="Column12" headerRowDxfId="49" dataDxfId="48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169" dataDxfId="167" headerRowBorderDxfId="168" tableBorderDxfId="166" totalsRowBorderDxfId="165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164"/>
    <tableColumn id="2" xr3:uid="{00000000-0010-0000-0700-000002000000}" name="بورديوم" dataDxfId="163"/>
    <tableColumn id="3" xr3:uid="{00000000-0010-0000-0700-000003000000}" name="وحدات علوية" dataDxfId="162"/>
    <tableColumn id="4" xr3:uid="{00000000-0010-0000-0700-000004000000}" name="دواليب" dataDxfId="161"/>
    <tableColumn id="5" xr3:uid="{00000000-0010-0000-0700-000005000000}" name="تجاليد" dataDxfId="16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2"/>
  <sheetViews>
    <sheetView zoomScale="55" zoomScaleNormal="55" workbookViewId="0">
      <selection activeCell="C24" sqref="C24:D24"/>
    </sheetView>
  </sheetViews>
  <sheetFormatPr defaultRowHeight="21" customHeight="1" x14ac:dyDescent="0.3"/>
  <cols>
    <col min="1" max="1" width="8.88671875" style="82" customWidth="1"/>
    <col min="2" max="2" width="31.88671875" style="59" customWidth="1"/>
    <col min="3" max="3" width="12.33203125" style="59" customWidth="1"/>
    <col min="4" max="4" width="17.6640625" style="59" customWidth="1"/>
    <col min="5" max="6" width="12.5546875" style="59" customWidth="1"/>
    <col min="7" max="7" width="15.77734375" style="59" customWidth="1"/>
    <col min="8" max="8" width="17.109375" style="75" bestFit="1" customWidth="1"/>
    <col min="9" max="10" width="15.77734375" style="59" customWidth="1"/>
    <col min="11" max="11" width="17.109375" style="75" bestFit="1" customWidth="1"/>
    <col min="12" max="13" width="15.77734375" style="59" customWidth="1"/>
    <col min="14" max="14" width="17.109375" style="75" bestFit="1" customWidth="1"/>
    <col min="15" max="16" width="15.77734375" style="59" customWidth="1"/>
    <col min="17" max="17" width="17.109375" style="75" bestFit="1" customWidth="1"/>
    <col min="18" max="19" width="15.77734375" style="59" customWidth="1"/>
    <col min="20" max="20" width="15.77734375" style="75" customWidth="1"/>
    <col min="21" max="22" width="15.77734375" style="59" customWidth="1"/>
    <col min="23" max="23" width="15.77734375" style="75" customWidth="1"/>
    <col min="24" max="28" width="15.77734375" style="59" customWidth="1"/>
    <col min="29" max="16384" width="8.88671875" style="59"/>
  </cols>
  <sheetData>
    <row r="1" spans="1:23" s="82" customFormat="1" ht="21" customHeight="1" x14ac:dyDescent="0.3">
      <c r="H1" s="84"/>
      <c r="K1" s="84"/>
      <c r="N1" s="84"/>
      <c r="Q1" s="84"/>
      <c r="T1" s="84"/>
      <c r="W1" s="84"/>
    </row>
    <row r="2" spans="1:23" s="82" customFormat="1" ht="21" customHeight="1" x14ac:dyDescent="0.3">
      <c r="H2" s="84"/>
      <c r="K2" s="84"/>
      <c r="N2" s="84"/>
      <c r="Q2" s="84"/>
      <c r="T2" s="84"/>
      <c r="W2" s="84"/>
    </row>
    <row r="3" spans="1:23" s="81" customFormat="1" ht="31.2" x14ac:dyDescent="0.3">
      <c r="B3" s="82" t="s">
        <v>151</v>
      </c>
    </row>
    <row r="4" spans="1:23" s="82" customFormat="1" ht="21" customHeight="1" x14ac:dyDescent="0.3">
      <c r="H4" s="84"/>
      <c r="K4" s="84"/>
      <c r="N4" s="84"/>
      <c r="Q4" s="84"/>
      <c r="T4" s="84"/>
      <c r="W4" s="84"/>
    </row>
    <row r="5" spans="1:23" s="82" customFormat="1" ht="21" customHeight="1" x14ac:dyDescent="0.3">
      <c r="H5" s="84"/>
      <c r="K5" s="84"/>
      <c r="N5" s="84"/>
      <c r="Q5" s="84"/>
      <c r="T5" s="84"/>
      <c r="W5" s="84"/>
    </row>
    <row r="6" spans="1:23" s="82" customFormat="1" ht="21" customHeight="1" x14ac:dyDescent="0.3">
      <c r="H6" s="84"/>
      <c r="K6" s="84"/>
      <c r="N6" s="84"/>
      <c r="Q6" s="84"/>
      <c r="T6" s="84"/>
      <c r="W6" s="84"/>
    </row>
    <row r="7" spans="1:23" s="82" customFormat="1" ht="21" customHeight="1" x14ac:dyDescent="0.3">
      <c r="H7" s="84"/>
      <c r="K7" s="84"/>
      <c r="N7" s="84"/>
      <c r="Q7" s="84"/>
      <c r="T7" s="84"/>
      <c r="W7" s="84"/>
    </row>
    <row r="8" spans="1:23" s="82" customFormat="1" ht="21" customHeight="1" x14ac:dyDescent="0.3">
      <c r="H8" s="84"/>
      <c r="K8" s="84"/>
      <c r="N8" s="84"/>
      <c r="Q8" s="84"/>
      <c r="T8" s="84"/>
      <c r="W8" s="84"/>
    </row>
    <row r="9" spans="1:23" customFormat="1" ht="21" customHeight="1" x14ac:dyDescent="0.3">
      <c r="A9" s="82"/>
    </row>
    <row r="10" spans="1:23" s="76" customFormat="1" ht="31.2" x14ac:dyDescent="0.3">
      <c r="A10" s="83"/>
    </row>
    <row r="11" spans="1:23" ht="31.2" x14ac:dyDescent="0.3">
      <c r="B11" s="62"/>
      <c r="C11" s="113" t="s">
        <v>161</v>
      </c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76"/>
      <c r="P11" s="75"/>
      <c r="Q11" s="76"/>
      <c r="R11" s="76"/>
      <c r="S11" s="75"/>
    </row>
    <row r="12" spans="1:23" ht="21" customHeight="1" x14ac:dyDescent="0.3">
      <c r="B12" s="62"/>
      <c r="C12" s="60"/>
      <c r="D12" s="60" t="s">
        <v>34</v>
      </c>
      <c r="E12" s="60" t="s">
        <v>40</v>
      </c>
      <c r="F12" s="60" t="s">
        <v>38</v>
      </c>
      <c r="G12" s="60" t="s">
        <v>37</v>
      </c>
      <c r="H12" s="60" t="s">
        <v>36</v>
      </c>
      <c r="I12" s="60" t="s">
        <v>102</v>
      </c>
      <c r="J12" s="60" t="s">
        <v>35</v>
      </c>
      <c r="K12" s="60" t="s">
        <v>20</v>
      </c>
      <c r="L12" s="60" t="s">
        <v>39</v>
      </c>
      <c r="M12" s="60" t="s">
        <v>58</v>
      </c>
      <c r="N12" s="60"/>
      <c r="O12" s="76"/>
      <c r="P12" s="75"/>
      <c r="Q12" s="76"/>
      <c r="R12" s="76"/>
      <c r="S12" s="75"/>
    </row>
    <row r="13" spans="1:23" ht="21" customHeight="1" x14ac:dyDescent="0.3">
      <c r="B13" s="62"/>
      <c r="C13" s="60"/>
      <c r="D13" s="60">
        <v>6</v>
      </c>
      <c r="E13" s="60">
        <v>4</v>
      </c>
      <c r="F13" s="60">
        <v>4</v>
      </c>
      <c r="G13" s="60">
        <v>4</v>
      </c>
      <c r="H13" s="60">
        <v>4</v>
      </c>
      <c r="I13" s="60">
        <v>2</v>
      </c>
      <c r="J13" s="60">
        <v>2</v>
      </c>
      <c r="K13" s="60">
        <v>2</v>
      </c>
      <c r="L13" s="60">
        <v>2</v>
      </c>
      <c r="M13" s="60">
        <v>2</v>
      </c>
      <c r="N13" s="60" t="s">
        <v>173</v>
      </c>
      <c r="O13" s="76"/>
      <c r="P13" s="75"/>
      <c r="Q13" s="76"/>
      <c r="R13" s="76"/>
      <c r="S13" s="75"/>
    </row>
    <row r="14" spans="1:23" ht="21" customHeight="1" x14ac:dyDescent="0.3">
      <c r="B14" s="62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76"/>
      <c r="P14" s="75"/>
      <c r="Q14" s="76"/>
      <c r="R14" s="76"/>
      <c r="S14" s="75"/>
    </row>
    <row r="15" spans="1:23" ht="21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P15" s="75"/>
      <c r="Q15" s="59"/>
      <c r="S15" s="75"/>
    </row>
    <row r="16" spans="1:23" ht="31.2" x14ac:dyDescent="0.3">
      <c r="A16" s="53"/>
      <c r="B16"/>
      <c r="C16" s="113" t="s">
        <v>162</v>
      </c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P16" s="75"/>
      <c r="Q16" s="59"/>
      <c r="S16" s="75"/>
    </row>
    <row r="17" spans="1:19" ht="21" customHeight="1" x14ac:dyDescent="0.3">
      <c r="A17" s="50"/>
      <c r="B17"/>
      <c r="C17" s="60"/>
      <c r="D17" s="60" t="s">
        <v>167</v>
      </c>
      <c r="E17" s="60" t="s">
        <v>163</v>
      </c>
      <c r="F17" s="60" t="s">
        <v>164</v>
      </c>
      <c r="G17" s="60" t="s">
        <v>165</v>
      </c>
      <c r="H17" s="60" t="s">
        <v>166</v>
      </c>
      <c r="I17" s="60" t="s">
        <v>168</v>
      </c>
      <c r="J17" s="60" t="s">
        <v>169</v>
      </c>
      <c r="K17" s="60" t="s">
        <v>170</v>
      </c>
      <c r="L17" s="60" t="s">
        <v>171</v>
      </c>
      <c r="M17" s="60" t="s">
        <v>172</v>
      </c>
      <c r="N17" s="60"/>
      <c r="P17" s="75"/>
      <c r="Q17" s="59"/>
      <c r="S17" s="75"/>
    </row>
    <row r="18" spans="1:19" ht="21" customHeight="1" x14ac:dyDescent="0.3">
      <c r="A18" s="50"/>
      <c r="B18"/>
      <c r="C18" s="60"/>
      <c r="D18" s="61">
        <v>5</v>
      </c>
      <c r="E18" s="61">
        <v>3</v>
      </c>
      <c r="F18" s="61">
        <v>3</v>
      </c>
      <c r="G18" s="61">
        <v>3</v>
      </c>
      <c r="H18" s="61">
        <v>3</v>
      </c>
      <c r="I18" s="61">
        <v>1</v>
      </c>
      <c r="J18" s="61">
        <v>1</v>
      </c>
      <c r="K18" s="61">
        <v>1</v>
      </c>
      <c r="L18" s="61">
        <v>1</v>
      </c>
      <c r="M18" s="61">
        <v>1</v>
      </c>
      <c r="N18" s="60" t="s">
        <v>173</v>
      </c>
      <c r="P18" s="75"/>
      <c r="Q18" s="59"/>
      <c r="S18" s="75"/>
    </row>
    <row r="19" spans="1:19" ht="21" customHeight="1" x14ac:dyDescent="0.3">
      <c r="A19" s="50"/>
      <c r="B19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P19" s="75"/>
      <c r="Q19" s="59"/>
      <c r="S19" s="75"/>
    </row>
    <row r="20" spans="1:19" ht="21" customHeight="1" x14ac:dyDescent="0.3">
      <c r="A20" s="50"/>
      <c r="B20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P20" s="75"/>
      <c r="Q20" s="59"/>
      <c r="S20" s="75"/>
    </row>
    <row r="21" spans="1:19" ht="21" customHeight="1" x14ac:dyDescent="0.3">
      <c r="A21" s="50"/>
      <c r="B21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P21" s="75"/>
      <c r="Q21" s="59"/>
      <c r="S21" s="75"/>
    </row>
    <row r="22" spans="1:19" ht="21" customHeight="1" x14ac:dyDescent="0.3">
      <c r="A22" s="50"/>
      <c r="B22"/>
      <c r="D22" s="75"/>
      <c r="G22" s="75"/>
      <c r="H22" s="59"/>
      <c r="J22" s="75"/>
      <c r="K22" s="59"/>
      <c r="M22" s="75"/>
      <c r="N22" s="59"/>
      <c r="P22" s="75"/>
      <c r="Q22" s="59"/>
      <c r="S22" s="75"/>
    </row>
    <row r="23" spans="1:19" ht="31.2" customHeight="1" x14ac:dyDescent="0.3">
      <c r="A23" s="50"/>
      <c r="B23"/>
      <c r="C23" s="88" t="s">
        <v>146</v>
      </c>
      <c r="D23" s="89"/>
      <c r="E23" s="76"/>
      <c r="F23" s="88" t="s">
        <v>0</v>
      </c>
      <c r="G23" s="89"/>
      <c r="H23" s="76"/>
      <c r="I23" s="88" t="s">
        <v>43</v>
      </c>
      <c r="J23" s="89"/>
      <c r="K23" s="76"/>
      <c r="L23" s="88" t="s">
        <v>62</v>
      </c>
      <c r="M23" s="89"/>
      <c r="N23" s="76"/>
      <c r="O23" s="88" t="s">
        <v>101</v>
      </c>
      <c r="P23" s="89"/>
    </row>
    <row r="24" spans="1:19" ht="21" customHeight="1" x14ac:dyDescent="0.3">
      <c r="A24" s="50"/>
      <c r="B24"/>
      <c r="C24" s="86">
        <f ca="1">_xlfn.SHEET("إعدادات")</f>
        <v>1</v>
      </c>
      <c r="D24" s="87"/>
      <c r="F24" s="86">
        <f ca="1">_xlfn.SHEET("وحدات سفلية")</f>
        <v>4</v>
      </c>
      <c r="G24" s="87"/>
      <c r="H24" s="59"/>
      <c r="I24" s="86">
        <f ca="1">_xlfn.SHEET("وحدات علوية")</f>
        <v>5</v>
      </c>
      <c r="J24" s="87"/>
      <c r="K24" s="59"/>
      <c r="L24" s="86">
        <f ca="1">_xlfn.SHEET("دواليب")</f>
        <v>6</v>
      </c>
      <c r="M24" s="87"/>
      <c r="N24" s="59"/>
      <c r="O24" s="86">
        <f ca="1">_xlfn.SHEET("تجاليد")</f>
        <v>7</v>
      </c>
      <c r="P24" s="87"/>
    </row>
    <row r="25" spans="1:19" ht="21" customHeight="1" x14ac:dyDescent="0.3">
      <c r="A25" s="50"/>
      <c r="B25"/>
      <c r="C25" s="63" t="str">
        <f>K12</f>
        <v>HPL</v>
      </c>
      <c r="D25" s="64" t="s">
        <v>31</v>
      </c>
      <c r="F25" s="63" t="str" cm="1">
        <f t="array" aca="1" ref="F25" ca="1">defaultValue(G25,C24)</f>
        <v>HPL</v>
      </c>
      <c r="G25" s="64" t="s">
        <v>31</v>
      </c>
      <c r="H25" s="59"/>
      <c r="I25" s="63" t="str" cm="1">
        <f t="array" aca="1" ref="I25" ca="1">defaultValue(J25,C24)</f>
        <v>HPL</v>
      </c>
      <c r="J25" s="64" t="s">
        <v>31</v>
      </c>
      <c r="K25" s="59"/>
      <c r="L25" s="63" t="str" cm="1">
        <f t="array" aca="1" ref="L25" ca="1">defaultValue(M25,C24)</f>
        <v>HPL</v>
      </c>
      <c r="M25" s="64" t="s">
        <v>31</v>
      </c>
      <c r="N25" s="59"/>
      <c r="O25" s="67" t="str" cm="1">
        <f t="array" aca="1" ref="O25" ca="1">defaultValue("دلف المطبخ",C24)</f>
        <v>يوفيلاك</v>
      </c>
      <c r="P25" s="67" t="s">
        <v>9</v>
      </c>
    </row>
    <row r="26" spans="1:19" ht="21" customHeight="1" x14ac:dyDescent="0.3">
      <c r="A26" s="50"/>
      <c r="B26"/>
      <c r="C26" s="65" t="str">
        <f>D12</f>
        <v>يوفيلاك</v>
      </c>
      <c r="D26" s="66" t="s">
        <v>32</v>
      </c>
      <c r="F26" s="65" t="str" cm="1">
        <f t="array" aca="1" ref="F26" ca="1">defaultValue(G26,C24)</f>
        <v>يوفيلاك</v>
      </c>
      <c r="G26" s="66" t="s">
        <v>32</v>
      </c>
      <c r="H26" s="59"/>
      <c r="I26" s="65" t="str" cm="1">
        <f t="array" aca="1" ref="I26" ca="1">defaultValue(J26,C24)</f>
        <v>يوفيلاك</v>
      </c>
      <c r="J26" s="66" t="s">
        <v>32</v>
      </c>
      <c r="K26" s="59"/>
      <c r="L26" s="65" t="str" cm="1">
        <f t="array" aca="1" ref="L26" ca="1">defaultValue(M26,C24)</f>
        <v>يوفيلاك</v>
      </c>
      <c r="M26" s="66" t="s">
        <v>32</v>
      </c>
      <c r="N26" s="59"/>
      <c r="O26" s="71" t="e" cm="1">
        <f t="array" ref="O26">defaultValue(P26,1)</f>
        <v>#N/A</v>
      </c>
      <c r="P26" s="73"/>
    </row>
    <row r="27" spans="1:19" ht="21" customHeight="1" x14ac:dyDescent="0.3">
      <c r="A27" s="50"/>
      <c r="B27"/>
      <c r="C27" s="68" t="str">
        <f>M12</f>
        <v>ظهر</v>
      </c>
      <c r="D27" s="69" t="s">
        <v>58</v>
      </c>
      <c r="F27" s="68" t="str" cm="1">
        <f t="array" aca="1" ref="F27" ca="1">defaultValue(G27,C24)</f>
        <v>ظهر</v>
      </c>
      <c r="G27" s="69" t="s">
        <v>58</v>
      </c>
      <c r="H27" s="59"/>
      <c r="I27" s="79" t="str" cm="1">
        <f t="array" aca="1" ref="I27" ca="1">defaultValue(J27,C24)</f>
        <v>ظهر</v>
      </c>
      <c r="J27" s="80" t="s">
        <v>58</v>
      </c>
      <c r="K27" s="59"/>
      <c r="L27" s="79" t="str" cm="1">
        <f t="array" aca="1" ref="L27" ca="1">defaultValue(M27,C24)</f>
        <v>ظهر</v>
      </c>
      <c r="M27" s="80" t="s">
        <v>58</v>
      </c>
      <c r="N27" s="59"/>
      <c r="O27" s="71" t="e" cm="1">
        <f t="array" ref="O27">defaultValue(P27,1)</f>
        <v>#N/A</v>
      </c>
      <c r="P27" s="73"/>
    </row>
    <row r="28" spans="1:19" ht="21" customHeight="1" x14ac:dyDescent="0.3">
      <c r="A28" s="50"/>
      <c r="B28"/>
      <c r="C28" s="71">
        <v>45</v>
      </c>
      <c r="D28" s="73" t="s">
        <v>19</v>
      </c>
      <c r="F28" s="71">
        <v>56</v>
      </c>
      <c r="G28" s="73" t="s">
        <v>111</v>
      </c>
      <c r="H28" s="70"/>
      <c r="I28" s="71">
        <v>30</v>
      </c>
      <c r="J28" s="73" t="s">
        <v>111</v>
      </c>
      <c r="K28" s="59"/>
      <c r="L28" s="71" t="e" cm="1">
        <f t="array" ref="L28">defaultValue(M28,C27)</f>
        <v>#VALUE!</v>
      </c>
      <c r="M28" s="73"/>
      <c r="N28" s="59"/>
      <c r="O28" s="71" t="e" cm="1">
        <f t="array" ref="O28">defaultValue(P28,1)</f>
        <v>#N/A</v>
      </c>
      <c r="P28" s="73"/>
    </row>
    <row r="29" spans="1:19" ht="21" customHeight="1" x14ac:dyDescent="0.3">
      <c r="A29" s="50"/>
      <c r="B29"/>
      <c r="C29" s="72">
        <v>3.5</v>
      </c>
      <c r="D29" s="74" t="s">
        <v>16</v>
      </c>
      <c r="F29" s="71">
        <v>78</v>
      </c>
      <c r="G29" s="73" t="s">
        <v>3</v>
      </c>
      <c r="H29" s="59"/>
      <c r="I29" s="71">
        <v>70</v>
      </c>
      <c r="J29" s="73" t="s">
        <v>3</v>
      </c>
      <c r="K29" s="59"/>
      <c r="L29" s="71" t="e" cm="1">
        <f t="array" ref="L29">defaultValue(M29,C28)</f>
        <v>#VALUE!</v>
      </c>
      <c r="M29" s="73"/>
      <c r="N29" s="59"/>
      <c r="O29" s="71" t="e" cm="1">
        <f t="array" ref="O29">defaultValue(P29,1)</f>
        <v>#N/A</v>
      </c>
      <c r="P29" s="73"/>
    </row>
    <row r="30" spans="1:19" ht="21" customHeight="1" x14ac:dyDescent="0.3">
      <c r="A30" s="50"/>
      <c r="B30"/>
      <c r="C30" s="77" t="b">
        <v>1</v>
      </c>
      <c r="D30" s="73" t="s">
        <v>112</v>
      </c>
      <c r="F30" s="71" cm="1">
        <f t="array" aca="1" ref="F30" ca="1">defaultValue(G30,C24)</f>
        <v>45</v>
      </c>
      <c r="G30" s="73" t="s">
        <v>19</v>
      </c>
      <c r="H30" s="59"/>
      <c r="I30" s="71" cm="1">
        <f t="array" ref="I30">defaultValue(J30,1)</f>
        <v>45</v>
      </c>
      <c r="J30" s="73" t="s">
        <v>19</v>
      </c>
      <c r="K30" s="59"/>
      <c r="L30" s="71" t="e" cm="1">
        <f t="array" ref="L30">defaultValue(M30,C29)</f>
        <v>#N/A</v>
      </c>
      <c r="M30" s="73"/>
      <c r="N30" s="59"/>
      <c r="O30" s="71" t="e" cm="1">
        <f t="array" ref="O30">defaultValue(P30,1)</f>
        <v>#N/A</v>
      </c>
      <c r="P30" s="73"/>
    </row>
    <row r="31" spans="1:19" ht="21" customHeight="1" x14ac:dyDescent="0.3">
      <c r="A31" s="50"/>
      <c r="B31"/>
      <c r="C31" s="77"/>
      <c r="D31" s="73"/>
      <c r="F31" s="71" cm="1">
        <f t="array" aca="1" ref="F31" ca="1">defaultValue(G31,C24)</f>
        <v>3.5</v>
      </c>
      <c r="G31" s="73" t="s">
        <v>16</v>
      </c>
      <c r="H31" s="59"/>
      <c r="I31" s="71" cm="1">
        <f t="array" ref="I31">defaultValue(J31,1)</f>
        <v>3.5</v>
      </c>
      <c r="J31" s="73" t="s">
        <v>16</v>
      </c>
      <c r="K31" s="59"/>
      <c r="L31" s="71" t="e" cm="1">
        <f t="array" ref="L31">defaultValue(M31,C30)</f>
        <v>#VALUE!</v>
      </c>
      <c r="M31" s="73"/>
      <c r="N31" s="59"/>
      <c r="O31" s="71" t="e" cm="1">
        <f t="array" ref="O31">defaultValue(P31,1)</f>
        <v>#N/A</v>
      </c>
      <c r="P31" s="73"/>
    </row>
    <row r="32" spans="1:19" ht="21" customHeight="1" x14ac:dyDescent="0.3">
      <c r="A32" s="50"/>
      <c r="B32"/>
      <c r="C32" s="77"/>
      <c r="D32" s="73"/>
      <c r="F32" s="71" t="b" cm="1">
        <f t="array" aca="1" ref="F32" ca="1">defaultValue(G32,C24)</f>
        <v>1</v>
      </c>
      <c r="G32" s="73" t="s">
        <v>112</v>
      </c>
      <c r="H32" s="59"/>
      <c r="I32" s="71">
        <v>0</v>
      </c>
      <c r="J32" s="73" t="s">
        <v>113</v>
      </c>
      <c r="K32" s="59"/>
      <c r="L32" s="71" t="e" cm="1">
        <f t="array" ref="L32">defaultValue(M32,C31)</f>
        <v>#VALUE!</v>
      </c>
      <c r="M32" s="73"/>
      <c r="N32" s="59"/>
      <c r="O32" s="71" t="e" cm="1">
        <f t="array" ref="O32">defaultValue(P32,1)</f>
        <v>#N/A</v>
      </c>
      <c r="P32" s="74"/>
    </row>
    <row r="33" spans="1:27" ht="21" customHeight="1" x14ac:dyDescent="0.3">
      <c r="A33" s="50"/>
      <c r="B33"/>
      <c r="C33" s="78"/>
      <c r="D33" s="74"/>
      <c r="F33" s="72" t="e" cm="1">
        <f t="array" ref="F33">defaultValue(G33,1)</f>
        <v>#N/A</v>
      </c>
      <c r="G33" s="74"/>
      <c r="H33" s="59"/>
      <c r="I33" s="72" t="e" cm="1">
        <f t="array" ref="I33">defaultValue(J33,1)</f>
        <v>#N/A</v>
      </c>
      <c r="J33" s="74"/>
      <c r="K33" s="59"/>
      <c r="L33" s="72" t="e" cm="1">
        <f t="array" ref="L33">defaultValue(M33,C32)</f>
        <v>#VALUE!</v>
      </c>
      <c r="M33" s="74"/>
      <c r="N33" s="59"/>
      <c r="O33" s="71" t="e" cm="1">
        <f t="array" ref="O33">defaultValue(P33,1)</f>
        <v>#N/A</v>
      </c>
      <c r="P33" s="73"/>
    </row>
    <row r="34" spans="1:27" ht="21" customHeight="1" x14ac:dyDescent="0.3">
      <c r="A34" s="50"/>
      <c r="B34"/>
      <c r="C34" s="77"/>
      <c r="D34" s="73"/>
      <c r="F34" s="71" t="e" cm="1">
        <f t="array" ref="F34">defaultValue(G34,1)</f>
        <v>#N/A</v>
      </c>
      <c r="G34" s="73"/>
      <c r="H34" s="59"/>
      <c r="I34" s="71" t="e" cm="1">
        <f t="array" ref="I34">defaultValue(J34,1)</f>
        <v>#N/A</v>
      </c>
      <c r="J34" s="73"/>
      <c r="K34" s="59"/>
      <c r="L34" s="71" t="e" cm="1">
        <f t="array" ref="L34">defaultValue(M34,C33)</f>
        <v>#VALUE!</v>
      </c>
      <c r="M34" s="73"/>
      <c r="N34" s="59"/>
      <c r="O34" s="71" t="e" cm="1">
        <f t="array" ref="O34">defaultValue(P34,1)</f>
        <v>#N/A</v>
      </c>
      <c r="P34" s="73"/>
    </row>
    <row r="35" spans="1:27" ht="21" customHeight="1" x14ac:dyDescent="0.3">
      <c r="A35" s="50"/>
      <c r="B35"/>
      <c r="C35" s="77"/>
      <c r="D35" s="73"/>
      <c r="F35" s="71" t="e" cm="1">
        <f t="array" ref="F35">defaultValue(G35,1)</f>
        <v>#N/A</v>
      </c>
      <c r="G35" s="73"/>
      <c r="H35" s="59"/>
      <c r="I35" s="71" t="e" cm="1">
        <f t="array" ref="I35">defaultValue(J35,1)</f>
        <v>#N/A</v>
      </c>
      <c r="J35" s="73"/>
      <c r="K35" s="59"/>
      <c r="L35" s="71" t="e" cm="1">
        <f t="array" ref="L35">defaultValue(M35,C34)</f>
        <v>#VALUE!</v>
      </c>
      <c r="M35" s="73"/>
      <c r="N35" s="59"/>
      <c r="O35" s="71" t="e" cm="1">
        <f t="array" ref="O35">defaultValue(P35,1)</f>
        <v>#N/A</v>
      </c>
      <c r="P35" s="73"/>
    </row>
    <row r="36" spans="1:27" ht="21" customHeight="1" x14ac:dyDescent="0.3">
      <c r="A36" s="50"/>
      <c r="B36"/>
      <c r="C36" s="77"/>
      <c r="D36" s="73"/>
      <c r="F36" s="71" t="e" cm="1">
        <f t="array" ref="F36">defaultValue(G36,1)</f>
        <v>#N/A</v>
      </c>
      <c r="G36" s="73"/>
      <c r="H36" s="59"/>
      <c r="I36" s="71" t="e" cm="1">
        <f t="array" ref="I36">defaultValue(J36,1)</f>
        <v>#N/A</v>
      </c>
      <c r="J36" s="73"/>
      <c r="K36" s="59"/>
      <c r="L36" s="71" t="e" cm="1">
        <f t="array" ref="L36">defaultValue(M36,C35)</f>
        <v>#VALUE!</v>
      </c>
      <c r="M36" s="73"/>
      <c r="N36" s="59"/>
      <c r="O36" s="71" t="e" cm="1">
        <f t="array" ref="O36">defaultValue(P36,1)</f>
        <v>#N/A</v>
      </c>
      <c r="P36" s="74"/>
    </row>
    <row r="37" spans="1:27" ht="21" customHeight="1" x14ac:dyDescent="0.3">
      <c r="C37" s="78"/>
      <c r="D37" s="74"/>
      <c r="F37" s="72" t="e" cm="1">
        <f t="array" ref="F37">defaultValue(G37,1)</f>
        <v>#N/A</v>
      </c>
      <c r="G37" s="74"/>
      <c r="H37" s="59"/>
      <c r="I37" s="71" t="e" cm="1">
        <f t="array" ref="I37">defaultValue(J37,1)</f>
        <v>#N/A</v>
      </c>
      <c r="J37" s="74"/>
      <c r="K37" s="59"/>
      <c r="L37" s="71" t="e" cm="1">
        <f t="array" ref="L37">defaultValue(M37,C36)</f>
        <v>#VALUE!</v>
      </c>
      <c r="M37" s="74"/>
      <c r="N37" s="59"/>
      <c r="O37" s="71" t="e" cm="1">
        <f t="array" ref="O37">defaultValue(P37,1)</f>
        <v>#N/A</v>
      </c>
      <c r="P37" s="74"/>
    </row>
    <row r="42" spans="1:27" ht="21" customHeight="1" x14ac:dyDescent="0.3">
      <c r="B42"/>
      <c r="C42"/>
      <c r="D42"/>
      <c r="E42"/>
      <c r="F42"/>
      <c r="G42"/>
      <c r="H42"/>
      <c r="I42"/>
      <c r="J42"/>
      <c r="K42"/>
      <c r="L42"/>
      <c r="U42"/>
      <c r="V42"/>
      <c r="W42"/>
      <c r="X42"/>
      <c r="Y42"/>
      <c r="Z42"/>
      <c r="AA42"/>
    </row>
    <row r="43" spans="1:27" ht="31.2" x14ac:dyDescent="0.3">
      <c r="B43"/>
      <c r="C43" s="113" t="s">
        <v>161</v>
      </c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U43"/>
      <c r="V43"/>
      <c r="W43"/>
      <c r="X43"/>
      <c r="Y43"/>
      <c r="Z43"/>
      <c r="AA43"/>
    </row>
    <row r="44" spans="1:27" ht="21" customHeight="1" x14ac:dyDescent="0.3">
      <c r="B44"/>
      <c r="C44" s="60"/>
      <c r="D44" s="60" t="s">
        <v>40</v>
      </c>
      <c r="E44" s="60" t="s">
        <v>38</v>
      </c>
      <c r="F44" s="60" t="s">
        <v>37</v>
      </c>
      <c r="G44" s="60" t="s">
        <v>36</v>
      </c>
      <c r="H44" s="60" t="s">
        <v>34</v>
      </c>
      <c r="I44" s="60" t="s">
        <v>102</v>
      </c>
      <c r="J44" s="60" t="s">
        <v>35</v>
      </c>
      <c r="K44" s="60" t="s">
        <v>20</v>
      </c>
      <c r="L44" s="60" t="s">
        <v>39</v>
      </c>
      <c r="M44" s="60" t="s">
        <v>58</v>
      </c>
      <c r="N44" s="60"/>
      <c r="U44"/>
      <c r="V44"/>
      <c r="W44"/>
      <c r="X44"/>
      <c r="Y44"/>
      <c r="Z44"/>
      <c r="AA44"/>
    </row>
    <row r="45" spans="1:27" ht="21" customHeight="1" x14ac:dyDescent="0.3">
      <c r="B45"/>
      <c r="C45" s="60"/>
      <c r="D45" s="60">
        <v>4</v>
      </c>
      <c r="E45" s="60">
        <v>4</v>
      </c>
      <c r="F45" s="60">
        <v>4</v>
      </c>
      <c r="G45" s="60">
        <v>4</v>
      </c>
      <c r="H45" s="60">
        <v>6</v>
      </c>
      <c r="I45" s="60">
        <v>2</v>
      </c>
      <c r="J45" s="60">
        <v>2</v>
      </c>
      <c r="K45" s="60">
        <v>2</v>
      </c>
      <c r="L45" s="60">
        <v>2</v>
      </c>
      <c r="M45" s="60">
        <v>2</v>
      </c>
      <c r="N45" s="60" t="s">
        <v>173</v>
      </c>
      <c r="U45"/>
      <c r="V45"/>
      <c r="W45"/>
      <c r="X45"/>
      <c r="Y45"/>
      <c r="Z45"/>
      <c r="AA45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ht="31.2" x14ac:dyDescent="0.3">
      <c r="B47"/>
      <c r="C47" s="113" t="s">
        <v>162</v>
      </c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U47"/>
      <c r="V47"/>
      <c r="W47"/>
      <c r="X47"/>
      <c r="Y47"/>
      <c r="Z47"/>
      <c r="AA47"/>
    </row>
    <row r="48" spans="1:27" ht="21" customHeight="1" x14ac:dyDescent="0.3">
      <c r="C48" s="60"/>
      <c r="D48" s="60" t="s">
        <v>163</v>
      </c>
      <c r="E48" s="60" t="s">
        <v>164</v>
      </c>
      <c r="F48" s="60" t="s">
        <v>165</v>
      </c>
      <c r="G48" s="60" t="s">
        <v>166</v>
      </c>
      <c r="H48" s="60" t="s">
        <v>167</v>
      </c>
      <c r="I48" s="60" t="s">
        <v>168</v>
      </c>
      <c r="J48" s="60" t="s">
        <v>169</v>
      </c>
      <c r="K48" s="60" t="s">
        <v>170</v>
      </c>
      <c r="L48" s="60" t="s">
        <v>171</v>
      </c>
      <c r="M48" s="60" t="s">
        <v>172</v>
      </c>
      <c r="N48" s="60"/>
    </row>
    <row r="49" spans="3:14" ht="21" customHeight="1" x14ac:dyDescent="0.3">
      <c r="C49" s="60"/>
      <c r="D49" s="61">
        <v>3</v>
      </c>
      <c r="E49" s="61">
        <v>3</v>
      </c>
      <c r="F49" s="61">
        <v>3</v>
      </c>
      <c r="G49" s="61">
        <v>3</v>
      </c>
      <c r="H49" s="61">
        <v>5</v>
      </c>
      <c r="I49" s="61">
        <v>1</v>
      </c>
      <c r="J49" s="61">
        <v>1</v>
      </c>
      <c r="K49" s="61">
        <v>1</v>
      </c>
      <c r="L49" s="61">
        <v>1</v>
      </c>
      <c r="M49" s="61">
        <v>1</v>
      </c>
      <c r="N49" s="60" t="s">
        <v>173</v>
      </c>
    </row>
    <row r="52" spans="3:14" ht="21" customHeight="1" x14ac:dyDescent="0.3">
      <c r="J52" s="59" cm="1">
        <f t="array" ref="J52">materialNum(H48)</f>
        <v>5</v>
      </c>
    </row>
  </sheetData>
  <mergeCells count="14">
    <mergeCell ref="C43:N43"/>
    <mergeCell ref="C47:N47"/>
    <mergeCell ref="C16:N16"/>
    <mergeCell ref="C11:N11"/>
    <mergeCell ref="L24:M24"/>
    <mergeCell ref="O24:P24"/>
    <mergeCell ref="C23:D23"/>
    <mergeCell ref="C24:D24"/>
    <mergeCell ref="F24:G24"/>
    <mergeCell ref="I24:J24"/>
    <mergeCell ref="F23:G23"/>
    <mergeCell ref="I23:J23"/>
    <mergeCell ref="L23:M23"/>
    <mergeCell ref="O23:P23"/>
  </mergeCells>
  <phoneticPr fontId="10" type="noConversion"/>
  <pageMargins left="0.7" right="0.7" top="0.75" bottom="0.75" header="0.3" footer="0.3"/>
  <pageSetup orientation="portrait" verticalDpi="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3"/>
  <sheetViews>
    <sheetView tabSelected="1" zoomScale="66" zoomScaleNormal="85" workbookViewId="0">
      <pane ySplit="8" topLeftCell="A9" activePane="bottomLeft" state="frozen"/>
      <selection pane="bottomLeft" activeCell="G15" sqref="G15"/>
    </sheetView>
  </sheetViews>
  <sheetFormatPr defaultRowHeight="14.4" x14ac:dyDescent="0.3"/>
  <cols>
    <col min="1" max="1" width="8.88671875" style="33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3" customFormat="1" x14ac:dyDescent="0.3">
      <c r="B1" s="33">
        <v>6</v>
      </c>
    </row>
    <row r="2" spans="1:62" s="33" customFormat="1" x14ac:dyDescent="0.3">
      <c r="B2" s="33" t="s">
        <v>152</v>
      </c>
    </row>
    <row r="3" spans="1:62" s="33" customFormat="1" x14ac:dyDescent="0.3">
      <c r="B3" s="33" t="s">
        <v>151</v>
      </c>
    </row>
    <row r="4" spans="1:62" s="33" customFormat="1" x14ac:dyDescent="0.3"/>
    <row r="5" spans="1:62" s="33" customFormat="1" x14ac:dyDescent="0.3"/>
    <row r="6" spans="1:62" s="33" customFormat="1" x14ac:dyDescent="0.3"/>
    <row r="7" spans="1:62" s="33" customFormat="1" x14ac:dyDescent="0.3"/>
    <row r="8" spans="1:62" s="33" customFormat="1" x14ac:dyDescent="0.3"/>
    <row r="9" spans="1:62" x14ac:dyDescent="0.3">
      <c r="A9" s="39"/>
    </row>
    <row r="13" spans="1:62" ht="34.799999999999997" customHeight="1" x14ac:dyDescent="0.3">
      <c r="A13" s="53" t="s">
        <v>128</v>
      </c>
      <c r="B13" s="14"/>
      <c r="C13" s="13">
        <v>1</v>
      </c>
      <c r="D13" s="21" t="s">
        <v>59</v>
      </c>
      <c r="E13" s="90" t="s">
        <v>153</v>
      </c>
      <c r="F13" s="91"/>
      <c r="G13" s="91"/>
      <c r="H13" s="92"/>
      <c r="I13" s="2" t="s">
        <v>30</v>
      </c>
      <c r="J13" s="2">
        <f>letterToNumber(A13)</f>
        <v>1</v>
      </c>
      <c r="K13" s="26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0">
        <v>1</v>
      </c>
      <c r="B14" s="14"/>
      <c r="C14" s="8"/>
      <c r="D14" s="7"/>
      <c r="E14" s="26" t="str" cm="1">
        <f t="array" aca="1" ref="E14" ca="1">defaultValue(F14,K13)</f>
        <v>ظهر</v>
      </c>
      <c r="F14" s="7" t="s">
        <v>58</v>
      </c>
      <c r="G14" s="26" t="str" cm="1">
        <f t="array" aca="1" ref="G14" ca="1">defaultValue(H14,K13)</f>
        <v>يوفيلاك</v>
      </c>
      <c r="H14" s="7" t="s">
        <v>32</v>
      </c>
      <c r="I14" s="26" t="str" cm="1">
        <f t="array" aca="1" ref="I14" ca="1">defaultValue(J14,K13)</f>
        <v>HPL</v>
      </c>
      <c r="J14" s="7" t="s">
        <v>31</v>
      </c>
      <c r="K14" s="24" t="s">
        <v>109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0">
        <v>1</v>
      </c>
      <c r="B15" s="14"/>
      <c r="C15" s="7"/>
      <c r="D15" s="17"/>
      <c r="E15" s="7"/>
      <c r="F15" s="7"/>
      <c r="G15" s="7" t="s">
        <v>16</v>
      </c>
      <c r="H15" s="7" t="s">
        <v>22</v>
      </c>
      <c r="I15" s="7" t="s">
        <v>3</v>
      </c>
      <c r="J15" s="7" t="s">
        <v>111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0">
        <v>1</v>
      </c>
      <c r="B16" s="14"/>
      <c r="C16" s="8"/>
      <c r="D16" s="8"/>
      <c r="E16" s="26"/>
      <c r="F16" s="7"/>
      <c r="G16" s="26" cm="1">
        <f t="array" aca="1" ref="G16" ca="1">defaultValue(G15,K13)</f>
        <v>3.5</v>
      </c>
      <c r="H16" s="8"/>
      <c r="I16" s="26"/>
      <c r="J16" s="26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0">
        <v>0</v>
      </c>
      <c r="B17" s="14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0">
        <v>2</v>
      </c>
      <c r="B18" s="14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174</v>
      </c>
      <c r="K18" s="6" t="s">
        <v>157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0">
        <v>0</v>
      </c>
      <c r="B19" s="14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0">
        <v>3</v>
      </c>
      <c r="B20" s="14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>
        <f ca="1">visible(materialNum(D20), K20)</f>
        <v>2</v>
      </c>
      <c r="J20" s="6">
        <f ca="1">visible(engraving(I20), K20)</f>
        <v>2</v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0">
        <v>3</v>
      </c>
      <c r="B21" s="14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>
        <f ca="1">visible(materialNum(D21), K21)</f>
        <v>2</v>
      </c>
      <c r="J21" s="6">
        <f ca="1">visible(engraving(I21), K21)</f>
        <v>2</v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0">
        <v>3</v>
      </c>
      <c r="B22" s="14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>
        <f ca="1">visible(materialNum(D22), K22)</f>
        <v>2</v>
      </c>
      <c r="J22" s="6">
        <f ca="1">visible(engraving(I22), K22)</f>
        <v>2</v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0">
        <v>3</v>
      </c>
      <c r="B23" s="14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>
        <f ca="1">visible(materialNum(D23), K23)</f>
        <v>2</v>
      </c>
      <c r="J23" s="6">
        <f ca="1">visible(engraving(I23), K23)</f>
        <v>2</v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0">
        <v>0</v>
      </c>
      <c r="B24" s="14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0">
        <v>4</v>
      </c>
      <c r="B25" s="14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0">
        <v>4</v>
      </c>
      <c r="B26" s="14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0">
        <v>0</v>
      </c>
      <c r="B27" s="14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0">
        <v>5</v>
      </c>
      <c r="B28" s="14" t="str" cm="1">
        <f t="array" ref="B28">visible(E13, K28)</f>
        <v>وحدة عادية</v>
      </c>
      <c r="C28" s="18" cm="1">
        <f t="array" ref="C28">visible(7,K28)</f>
        <v>7</v>
      </c>
      <c r="D28" s="18" t="str" cm="1">
        <f t="array" aca="1" ref="D28" ca="1">visible((E14),K28)</f>
        <v>ظهر</v>
      </c>
      <c r="E28" s="18" t="str" cm="1">
        <f t="array" ref="E28">visible(("replace me"),K28)</f>
        <v>replace me</v>
      </c>
      <c r="F28" s="18" t="str" cm="1">
        <f t="array" ref="F28">visible(("replace me"),K28)</f>
        <v>replace me</v>
      </c>
      <c r="G28" s="18" t="str" cm="1">
        <f t="array" ref="G28">visible(("replace me"),K28)</f>
        <v>replace me</v>
      </c>
      <c r="H28" s="18" t="str" cm="1">
        <f t="array" ref="H28">visible(("replace me"),K28)</f>
        <v>replace me</v>
      </c>
      <c r="I28" s="18">
        <f ca="1">visible(materialNum(D28), K28)</f>
        <v>2</v>
      </c>
      <c r="J28" s="18">
        <f ca="1">visible(engraving(I28), K28)</f>
        <v>2</v>
      </c>
      <c r="K28" s="18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3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3" t="s">
        <v>133</v>
      </c>
      <c r="B31" s="14"/>
      <c r="C31" s="13">
        <v>1</v>
      </c>
      <c r="D31" s="21" t="s">
        <v>59</v>
      </c>
      <c r="E31" s="90" t="s">
        <v>154</v>
      </c>
      <c r="F31" s="91"/>
      <c r="G31" s="91"/>
      <c r="H31" s="92"/>
      <c r="I31" s="2" t="s">
        <v>30</v>
      </c>
      <c r="J31" s="2">
        <f>letterToNumber(A31)</f>
        <v>2</v>
      </c>
      <c r="K31" s="26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0">
        <v>1</v>
      </c>
      <c r="B32" s="14"/>
      <c r="C32" s="8"/>
      <c r="D32" s="7"/>
      <c r="E32" s="26" t="str" cm="1">
        <f t="array" aca="1" ref="E32" ca="1">defaultValue(F32,K31)</f>
        <v>ظهر</v>
      </c>
      <c r="F32" s="7" t="s">
        <v>58</v>
      </c>
      <c r="G32" s="26" t="str" cm="1">
        <f t="array" aca="1" ref="G32" ca="1">defaultValue(H32,K31)</f>
        <v>يوفيلاك</v>
      </c>
      <c r="H32" s="7" t="s">
        <v>32</v>
      </c>
      <c r="I32" s="26" t="str" cm="1">
        <f t="array" aca="1" ref="I32" ca="1">defaultValue(J32,K31)</f>
        <v>HPL</v>
      </c>
      <c r="J32" s="7" t="s">
        <v>31</v>
      </c>
      <c r="K32" s="24" t="s">
        <v>109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0">
        <v>1</v>
      </c>
      <c r="B33" s="14"/>
      <c r="C33" s="7" t="s">
        <v>12</v>
      </c>
      <c r="D33" s="7" t="s">
        <v>18</v>
      </c>
      <c r="E33" s="85"/>
      <c r="F33" s="85" t="s">
        <v>112</v>
      </c>
      <c r="G33" s="7" t="s">
        <v>16</v>
      </c>
      <c r="H33" s="7" t="s">
        <v>22</v>
      </c>
      <c r="I33" s="7" t="s">
        <v>3</v>
      </c>
      <c r="J33" s="7" t="s">
        <v>111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0">
        <v>1</v>
      </c>
      <c r="B34" s="14"/>
      <c r="C34" s="26">
        <v>1</v>
      </c>
      <c r="D34" s="26">
        <v>5</v>
      </c>
      <c r="E34" s="45"/>
      <c r="F34" s="26" t="b" cm="1">
        <f t="array" aca="1" ref="F34" ca="1">defaultValue(F33,K31)</f>
        <v>1</v>
      </c>
      <c r="G34" s="26" cm="1">
        <f t="array" aca="1" ref="G34" ca="1">defaultValue(G33,K31)</f>
        <v>3.5</v>
      </c>
      <c r="H34" s="8"/>
      <c r="I34" s="26" cm="1">
        <f t="array" aca="1" ref="I34" ca="1">defaultValue(I33,K31)</f>
        <v>78</v>
      </c>
      <c r="J34" s="26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0">
        <v>0</v>
      </c>
      <c r="B35" s="14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0">
        <v>2</v>
      </c>
      <c r="B36" s="14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174</v>
      </c>
      <c r="K36" s="6" t="s">
        <v>157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0">
        <v>0</v>
      </c>
      <c r="B37" s="14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0">
        <v>3</v>
      </c>
      <c r="B38" s="14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>
        <f ca="1">visible(materialNum(D38), K38)</f>
        <v>2</v>
      </c>
      <c r="J38" s="6">
        <f ca="1">visible(engraving(I38), K38)</f>
        <v>2</v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0">
        <v>3</v>
      </c>
      <c r="B39" s="14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>
        <f ca="1">visible(materialNum(D39), K39)</f>
        <v>2</v>
      </c>
      <c r="J39" s="6">
        <f ca="1">visible(engraving(I39), K39)</f>
        <v>2</v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0">
        <v>3</v>
      </c>
      <c r="B40" s="14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>
        <f ca="1">visible(materialNum(D40), K40)</f>
        <v>2</v>
      </c>
      <c r="J40" s="6">
        <f ca="1">visible(engraving(I40), K40)</f>
        <v>2</v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0">
        <v>3</v>
      </c>
      <c r="B41" s="14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>
        <f ca="1">visible(materialNum(D41), K41)</f>
        <v>2</v>
      </c>
      <c r="J41" s="6">
        <f ca="1">visible(engraving(I41), K41)</f>
        <v>2</v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0">
        <v>3</v>
      </c>
      <c r="B42" s="14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visible((H34-3.8),K42)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0">
        <v>0</v>
      </c>
      <c r="B43" s="14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0">
        <v>4</v>
      </c>
      <c r="B44" s="14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>
        <f ca="1">visible(materialNum(D44), K44)</f>
        <v>6</v>
      </c>
      <c r="J44" s="9">
        <f ca="1">visible(engraving(I44), K44)</f>
        <v>2</v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0">
        <v>0</v>
      </c>
      <c r="B45" s="14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0">
        <v>5</v>
      </c>
      <c r="B46" s="14" t="str" cm="1">
        <f t="array" aca="1" ref="B46" ca="1">visible(E31, K46)</f>
        <v>وحدة سفلية</v>
      </c>
      <c r="C46" s="18" cm="1">
        <f t="array" aca="1" ref="C46" ca="1">visible(7,K46)</f>
        <v>7</v>
      </c>
      <c r="D46" s="18" t="str" cm="1">
        <f t="array" aca="1" ref="D46" ca="1">visible((E32),K46)</f>
        <v>ظهر</v>
      </c>
      <c r="E46" s="18" t="str" cm="1">
        <f t="array" aca="1" ref="E46" ca="1">visible(("ظهر"),K46)</f>
        <v>ظهر</v>
      </c>
      <c r="F46" s="18" cm="1">
        <f t="array" aca="1" ref="F46" ca="1">visible((I34-2),K46)</f>
        <v>76</v>
      </c>
      <c r="G46" s="18" cm="1">
        <f t="array" aca="1" ref="G46" ca="1">visible((H34-2),K46)</f>
        <v>-2</v>
      </c>
      <c r="H46" s="18" cm="1">
        <f t="array" aca="1" ref="H46" ca="1">visible((C31),K46)</f>
        <v>1</v>
      </c>
      <c r="I46" s="18">
        <f ca="1">visible(materialNum(D46), K46)</f>
        <v>2</v>
      </c>
      <c r="J46" s="18">
        <f ca="1">visible(engraving(I46), K46)</f>
        <v>2</v>
      </c>
      <c r="K46" s="18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0">
        <v>255</v>
      </c>
      <c r="B47" s="14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0">
        <v>255</v>
      </c>
      <c r="B48" s="14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3" t="s">
        <v>129</v>
      </c>
      <c r="B49" s="14"/>
      <c r="C49" s="13">
        <v>1</v>
      </c>
      <c r="D49" s="21" t="s">
        <v>59</v>
      </c>
      <c r="E49" s="90" t="s">
        <v>155</v>
      </c>
      <c r="F49" s="91"/>
      <c r="G49" s="91"/>
      <c r="H49" s="92"/>
      <c r="I49" s="2" t="s">
        <v>30</v>
      </c>
      <c r="J49" s="2">
        <f>letterToNumber(A49)</f>
        <v>3</v>
      </c>
      <c r="K49" s="26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0">
        <v>1</v>
      </c>
      <c r="B50" s="14"/>
      <c r="C50" s="8" cm="1">
        <f t="array" aca="1" ref="C50" ca="1">defaultValue(D50,K49)</f>
        <v>45</v>
      </c>
      <c r="D50" s="7" t="s">
        <v>19</v>
      </c>
      <c r="E50" s="26" t="str" cm="1">
        <f t="array" aca="1" ref="E50" ca="1">defaultValue(F50,K49)</f>
        <v>ظهر</v>
      </c>
      <c r="F50" s="7" t="s">
        <v>58</v>
      </c>
      <c r="G50" s="26" t="str" cm="1">
        <f t="array" aca="1" ref="G50" ca="1">defaultValue(H50,K49)</f>
        <v>يوفيلاك</v>
      </c>
      <c r="H50" s="7" t="s">
        <v>32</v>
      </c>
      <c r="I50" s="26" t="str" cm="1">
        <f t="array" aca="1" ref="I50" ca="1">defaultValue(J50,K49)</f>
        <v>HPL</v>
      </c>
      <c r="J50" s="7" t="s">
        <v>31</v>
      </c>
      <c r="K50" s="24" t="s">
        <v>109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0">
        <v>1</v>
      </c>
      <c r="B51" s="14"/>
      <c r="C51" s="7" t="s">
        <v>122</v>
      </c>
      <c r="D51" s="7" t="s">
        <v>121</v>
      </c>
      <c r="E51" s="85" t="s">
        <v>120</v>
      </c>
      <c r="F51" s="85" t="s">
        <v>158</v>
      </c>
      <c r="G51" s="7" t="s">
        <v>16</v>
      </c>
      <c r="H51" s="7" t="s">
        <v>22</v>
      </c>
      <c r="I51" s="7" t="s">
        <v>3</v>
      </c>
      <c r="J51" s="7" t="s">
        <v>111</v>
      </c>
      <c r="K51" s="7" t="s">
        <v>112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0">
        <v>1</v>
      </c>
      <c r="B52" s="14"/>
      <c r="C52" s="26">
        <v>1</v>
      </c>
      <c r="D52" s="26">
        <v>1</v>
      </c>
      <c r="E52" s="8">
        <v>1</v>
      </c>
      <c r="F52" s="26">
        <v>1</v>
      </c>
      <c r="G52" s="26" cm="1">
        <f t="array" aca="1" ref="G52" ca="1">defaultValue(G51,K49)</f>
        <v>3.5</v>
      </c>
      <c r="H52" s="8">
        <v>80</v>
      </c>
      <c r="I52" s="26" cm="1">
        <f t="array" aca="1" ref="I52" ca="1">defaultValue(I51,K49)</f>
        <v>78</v>
      </c>
      <c r="J52" s="26" cm="1">
        <f t="array" aca="1" ref="J52" ca="1">defaultValue(J51,K49)</f>
        <v>56</v>
      </c>
      <c r="K52" s="26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0">
        <v>1</v>
      </c>
      <c r="B53" s="14"/>
      <c r="C53" s="26">
        <v>30</v>
      </c>
      <c r="D53" s="26">
        <v>20</v>
      </c>
      <c r="E53" s="45">
        <v>7</v>
      </c>
      <c r="F53" s="26">
        <v>10</v>
      </c>
      <c r="G53" s="26">
        <v>3</v>
      </c>
      <c r="H53" s="28" t="s">
        <v>123</v>
      </c>
      <c r="I53" s="26">
        <v>0</v>
      </c>
      <c r="J53" s="93" t="s">
        <v>159</v>
      </c>
      <c r="K53" s="94"/>
      <c r="BB53"/>
      <c r="BC53"/>
      <c r="BD53"/>
      <c r="BE53"/>
      <c r="BF53"/>
      <c r="BG53"/>
      <c r="BH53"/>
      <c r="BI53"/>
      <c r="BJ53"/>
    </row>
    <row r="54" spans="1:62" ht="15.6" x14ac:dyDescent="0.3">
      <c r="A54" s="50">
        <v>0</v>
      </c>
      <c r="B54" s="14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0">
        <v>2</v>
      </c>
      <c r="B55" s="14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174</v>
      </c>
      <c r="K55" s="6" t="s">
        <v>157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0">
        <v>0</v>
      </c>
      <c r="B56" s="14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0">
        <v>3</v>
      </c>
      <c r="B57" s="14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76.400000000000006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>
        <f ca="1">visible(materialNum(D57), K57)</f>
        <v>2</v>
      </c>
      <c r="J57" s="6">
        <f ca="1">visible(engraving(I57), K57)</f>
        <v>2</v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0">
        <v>3</v>
      </c>
      <c r="B58" s="14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>
        <f ca="1">visible(materialNum(D58), K58)</f>
        <v>2</v>
      </c>
      <c r="J58" s="6">
        <f ca="1">visible(engraving(I58), K58)</f>
        <v>2</v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0">
        <v>3</v>
      </c>
      <c r="B59" s="14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76.400000000000006</v>
      </c>
      <c r="G59" s="6" cm="1">
        <f t="array" ref="G59">visible((10),K59)</f>
        <v>10</v>
      </c>
      <c r="H59" s="6" cm="1">
        <f t="array" ref="H59">visible((C49),K59)</f>
        <v>1</v>
      </c>
      <c r="I59" s="6">
        <f ca="1">visible(materialNum(D59), K59)</f>
        <v>2</v>
      </c>
      <c r="J59" s="6">
        <f ca="1">visible(engraving(I59), K59)</f>
        <v>2</v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0">
        <v>3</v>
      </c>
      <c r="B60" s="14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76.400000000000006</v>
      </c>
      <c r="G60" s="6" cm="1">
        <f t="array" ref="G60">visible((7),K60)</f>
        <v>7</v>
      </c>
      <c r="H60" s="6" cm="1">
        <f t="array" ref="H60">visible((C49),K60)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0">
        <v>3</v>
      </c>
      <c r="B61" s="14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70.3</v>
      </c>
      <c r="G61" s="10" cm="1">
        <f t="array" ref="G61">visible((F53),K61)</f>
        <v>10</v>
      </c>
      <c r="H61" s="10" cm="1">
        <f t="array" ref="H61">visible((F52*C49),K61)</f>
        <v>1</v>
      </c>
      <c r="I61" s="10">
        <f ca="1">visible(materialNum(D61), K61)</f>
        <v>2</v>
      </c>
      <c r="J61" s="10">
        <f ca="1">visible(engraving(I61), K61)</f>
        <v>2</v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0">
        <v>3</v>
      </c>
      <c r="B62" s="14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>
        <f ca="1">visible(materialNum(D62), K62)</f>
        <v>2</v>
      </c>
      <c r="J62" s="10">
        <f ca="1">visible(engraving(I62), K62)</f>
        <v>2</v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0">
        <v>3</v>
      </c>
      <c r="B63" s="14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70.3</v>
      </c>
      <c r="G63" s="10" cm="1">
        <f t="array" ref="G63">visible((F53-3),K63)</f>
        <v>7</v>
      </c>
      <c r="H63" s="10" cm="1">
        <f t="array" ref="H63">visible((F52*C49),K63)</f>
        <v>1</v>
      </c>
      <c r="I63" s="10">
        <f ca="1">visible(materialNum(D63), K63)</f>
        <v>2</v>
      </c>
      <c r="J63" s="10">
        <f ca="1">visible(engraving(I63), K63)</f>
        <v>2</v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0">
        <v>3</v>
      </c>
      <c r="B64" s="14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70.3</v>
      </c>
      <c r="G64" s="6" cm="1">
        <f t="array" ref="G64">visible((D53),K64)</f>
        <v>20</v>
      </c>
      <c r="H64" s="6" cm="1">
        <f t="array" ref="H64">visible((D52*C49),K64)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0">
        <v>3</v>
      </c>
      <c r="B65" s="14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0">
        <v>3</v>
      </c>
      <c r="B66" s="14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70.3</v>
      </c>
      <c r="G66" s="6" cm="1">
        <f t="array" ref="G66">visible((D53-3),K66)</f>
        <v>17</v>
      </c>
      <c r="H66" s="6" cm="1">
        <f t="array" ref="H66">visible((D52*C49),K66)</f>
        <v>1</v>
      </c>
      <c r="I66" s="6">
        <f ca="1">visible(materialNum(D66), K66)</f>
        <v>2</v>
      </c>
      <c r="J66" s="6">
        <f ca="1">visible(engraving(I66), K66)</f>
        <v>2</v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0">
        <v>3</v>
      </c>
      <c r="B67" s="14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70.3</v>
      </c>
      <c r="G67" s="10" cm="1">
        <f t="array" ref="G67">visible((C53),K67)</f>
        <v>30</v>
      </c>
      <c r="H67" s="10" cm="1">
        <f t="array" ref="H67">visible((C52*C49),K67)</f>
        <v>1</v>
      </c>
      <c r="I67" s="10">
        <f ca="1">visible(materialNum(D67), K67)</f>
        <v>2</v>
      </c>
      <c r="J67" s="10">
        <f ca="1">visible(engraving(I67), K67)</f>
        <v>2</v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0">
        <v>3</v>
      </c>
      <c r="B68" s="14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>
        <f ca="1">visible(materialNum(D68), K68)</f>
        <v>2</v>
      </c>
      <c r="J68" s="10">
        <f ca="1">visible(engraving(I68), K68)</f>
        <v>2</v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0">
        <v>3</v>
      </c>
      <c r="B69" s="14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70.3</v>
      </c>
      <c r="G69" s="10" cm="1">
        <f t="array" ref="G69">visible((C53-3),K69)</f>
        <v>27</v>
      </c>
      <c r="H69" s="10" cm="1">
        <f t="array" ref="H69">visible((C52*C49),K69)</f>
        <v>1</v>
      </c>
      <c r="I69" s="10">
        <f ca="1">visible(materialNum(D69), K69)</f>
        <v>2</v>
      </c>
      <c r="J69" s="10">
        <f ca="1">visible(engraving(I69), K69)</f>
        <v>2</v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0">
        <v>3</v>
      </c>
      <c r="B70" s="14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70.3</v>
      </c>
      <c r="G70" s="6" cm="1">
        <f t="array" ref="G70">visible((E53),K70)</f>
        <v>7</v>
      </c>
      <c r="H70" s="6" cm="1">
        <f t="array" ref="H70">visible((E52*C49*2),K70)</f>
        <v>2</v>
      </c>
      <c r="I70" s="6">
        <f ca="1">visible(materialNum(D70), K70)</f>
        <v>2</v>
      </c>
      <c r="J70" s="6">
        <f ca="1">visible(engraving(I70), K70)</f>
        <v>2</v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0">
        <v>3</v>
      </c>
      <c r="B71" s="14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0">
        <v>0</v>
      </c>
      <c r="B72" s="14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0">
        <v>4</v>
      </c>
      <c r="B73" s="14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79.5</v>
      </c>
      <c r="H73" s="9" cm="1">
        <f t="array" ref="H73">visible((C49*G53),K73)</f>
        <v>3</v>
      </c>
      <c r="I73" s="9">
        <f ca="1">visible(materialNum(D73), K73)</f>
        <v>6</v>
      </c>
      <c r="J73" s="9">
        <f ca="1">visible(engraving(I73), K73)</f>
        <v>2</v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0">
        <v>4</v>
      </c>
      <c r="B74" s="14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>
        <f ca="1">visible(materialNum(D74), K74)</f>
        <v/>
      </c>
      <c r="J74" s="9" t="str">
        <f ca="1">visible(engraving(I74), 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0">
        <v>4</v>
      </c>
      <c r="B75" s="14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>
        <f ca="1">visible(materialNum(D75), K75)</f>
        <v/>
      </c>
      <c r="J75" s="9" t="str">
        <f ca="1">visible(engraving(I75), 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0">
        <v>4</v>
      </c>
      <c r="B76" s="14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>
        <f ca="1">visible(materialNum(D76), K76)</f>
        <v/>
      </c>
      <c r="J76" s="9" t="str">
        <f ca="1">visible(engraving(I76), 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0">
        <v>0</v>
      </c>
      <c r="B77" s="14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0">
        <v>5</v>
      </c>
      <c r="B78" s="14" t="str" cm="1">
        <f t="array" aca="1" ref="B78" ca="1">visible(E49, K78)</f>
        <v>وحدة سفلية ادراج</v>
      </c>
      <c r="C78" s="18">
        <f ca="1">visible(20,K78)</f>
        <v>20</v>
      </c>
      <c r="D78" s="18" t="str" cm="1">
        <f t="array" aca="1" ref="D78" ca="1">visible((E50),K78)</f>
        <v>ظهر</v>
      </c>
      <c r="E78" s="18" t="str" cm="1">
        <f t="array" aca="1" ref="E78" ca="1">visible(("ظهر"),K78)</f>
        <v>ظهر</v>
      </c>
      <c r="F78" s="18" cm="1">
        <f t="array" aca="1" ref="F78" ca="1">visible((I52-2),K78)</f>
        <v>76</v>
      </c>
      <c r="G78" s="18" cm="1">
        <f t="array" aca="1" ref="G78" ca="1">visible((H52-2),K78)</f>
        <v>78</v>
      </c>
      <c r="H78" s="18" cm="1">
        <f t="array" aca="1" ref="H78" ca="1">visible((C49),K78)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f ca="1">K52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0">
        <v>5</v>
      </c>
      <c r="B79" s="14" t="str">
        <f>visible(E49, K79)</f>
        <v>وحدة سفلية ادراج</v>
      </c>
      <c r="C79" s="18">
        <f>visible(21,K79)</f>
        <v>21</v>
      </c>
      <c r="D79" s="18" t="str">
        <f ca="1">visible((E50),K79)</f>
        <v>ظهر</v>
      </c>
      <c r="E79" s="18" t="str" cm="1">
        <f t="array" ref="E79">visible(("قعر درج داخلي"),K79)</f>
        <v>قعر درج داخلي</v>
      </c>
      <c r="F79" s="18" cm="1">
        <f t="array" ref="F79">visible((H52-3.6-3.6-2.5+2),K79)</f>
        <v>72.3</v>
      </c>
      <c r="G79" s="18" cm="1">
        <f t="array" aca="1" ref="G79" ca="1">visible((C50-1),K79)</f>
        <v>44</v>
      </c>
      <c r="H79" s="18">
        <f>visible(C49*F52,K79)</f>
        <v>1</v>
      </c>
      <c r="I79" s="18">
        <f ca="1">visible(materialNum(D79), K79)</f>
        <v>2</v>
      </c>
      <c r="J79" s="18">
        <f ca="1">visible(engraving(I79), K79)</f>
        <v>2</v>
      </c>
      <c r="K79" s="18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0">
        <v>5</v>
      </c>
      <c r="B80" s="14" t="str">
        <f>visible(E49, K80)</f>
        <v>وحدة سفلية ادراج</v>
      </c>
      <c r="C80" s="18">
        <f>visible(22,K80)</f>
        <v>22</v>
      </c>
      <c r="D80" s="18" t="str">
        <f ca="1">visible((E50),K80)</f>
        <v>ظهر</v>
      </c>
      <c r="E80" s="18" t="str" cm="1">
        <f t="array" ref="E80">visible(("قعر درج 30"),K80)</f>
        <v>قعر درج 30</v>
      </c>
      <c r="F80" s="18" cm="1">
        <f t="array" ref="F80">visible((H52-3.6-3.6-2.5+2),K80)</f>
        <v>72.3</v>
      </c>
      <c r="G80" s="18" cm="1">
        <f t="array" aca="1" ref="G80" ca="1">visible((C50-1),K80)</f>
        <v>44</v>
      </c>
      <c r="H80" s="18">
        <f>visible(C49*C52,K80)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0">
        <v>5</v>
      </c>
      <c r="B81" s="14" t="str">
        <f>visible(E49, K81)</f>
        <v>وحدة سفلية ادراج</v>
      </c>
      <c r="C81" s="18">
        <f>visible(23,K81)</f>
        <v>23</v>
      </c>
      <c r="D81" s="18" t="str">
        <f ca="1">visible((E50),K81)</f>
        <v>ظهر</v>
      </c>
      <c r="E81" s="18" t="str" cm="1">
        <f t="array" ref="E81">visible(("قعر درج 20"),K81)</f>
        <v>قعر درج 20</v>
      </c>
      <c r="F81" s="18" cm="1">
        <f t="array" ref="F81">visible((H52-3.6-3.6-2.5+2),K81)</f>
        <v>72.3</v>
      </c>
      <c r="G81" s="18" cm="1">
        <f t="array" aca="1" ref="G81" ca="1">visible((C50-1),K81)</f>
        <v>44</v>
      </c>
      <c r="H81" s="18">
        <f>visible(C49*D52,K81)</f>
        <v>1</v>
      </c>
      <c r="I81" s="18">
        <f ca="1">visible(materialNum(D81), K81)</f>
        <v>2</v>
      </c>
      <c r="J81" s="18">
        <f ca="1">visible(engraving(I81), K81)</f>
        <v>2</v>
      </c>
      <c r="K81" s="18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0">
        <v>255</v>
      </c>
      <c r="B82" s="14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0">
        <v>255</v>
      </c>
      <c r="B83" s="14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ht="39" customHeight="1" x14ac:dyDescent="0.3">
      <c r="A84" s="53" t="s">
        <v>134</v>
      </c>
      <c r="B84" s="14"/>
      <c r="C84" s="13">
        <v>1</v>
      </c>
      <c r="D84" s="21" t="s">
        <v>59</v>
      </c>
      <c r="E84" s="90" t="s">
        <v>160</v>
      </c>
      <c r="F84" s="91"/>
      <c r="G84" s="91"/>
      <c r="H84" s="92"/>
      <c r="I84" s="2" t="s">
        <v>30</v>
      </c>
      <c r="J84" s="2">
        <f>letterToNumber(A84)</f>
        <v>4</v>
      </c>
      <c r="K84" s="26">
        <f ca="1">_xlfn.SHEET("وحدات سفلية")</f>
        <v>4</v>
      </c>
      <c r="BB84"/>
      <c r="BC84"/>
      <c r="BD84"/>
      <c r="BE84"/>
      <c r="BF84"/>
      <c r="BG84"/>
      <c r="BH84"/>
      <c r="BI84"/>
      <c r="BJ84"/>
    </row>
    <row r="85" spans="1:62" ht="21" x14ac:dyDescent="0.3">
      <c r="A85" s="50">
        <v>1</v>
      </c>
      <c r="B85" s="14"/>
      <c r="C85" s="8"/>
      <c r="D85" s="7"/>
      <c r="E85" s="26" t="str" cm="1">
        <f t="array" aca="1" ref="E85" ca="1">defaultValue(F85,K84)</f>
        <v>ظهر</v>
      </c>
      <c r="F85" s="7" t="s">
        <v>58</v>
      </c>
      <c r="G85" s="26" t="str" cm="1">
        <f t="array" aca="1" ref="G85" ca="1">defaultValue(H85,K84)</f>
        <v>يوفيلاك</v>
      </c>
      <c r="H85" s="7" t="s">
        <v>32</v>
      </c>
      <c r="I85" s="26" t="str" cm="1">
        <f t="array" aca="1" ref="I85" ca="1">defaultValue(J85,K84)</f>
        <v>HPL</v>
      </c>
      <c r="J85" s="7" t="s">
        <v>31</v>
      </c>
      <c r="K85" s="24" t="s">
        <v>109</v>
      </c>
    </row>
    <row r="86" spans="1:62" ht="15.6" x14ac:dyDescent="0.3">
      <c r="A86" s="50">
        <v>1</v>
      </c>
      <c r="B86" s="14"/>
      <c r="C86" s="7" t="s">
        <v>12</v>
      </c>
      <c r="D86" s="7" t="s">
        <v>18</v>
      </c>
      <c r="E86" s="85" t="s">
        <v>24</v>
      </c>
      <c r="F86" s="85" t="s">
        <v>112</v>
      </c>
      <c r="G86" s="7" t="s">
        <v>16</v>
      </c>
      <c r="H86" s="7" t="s">
        <v>22</v>
      </c>
      <c r="I86" s="7" t="s">
        <v>3</v>
      </c>
      <c r="J86" s="7" t="s">
        <v>111</v>
      </c>
      <c r="K86" s="7"/>
    </row>
    <row r="87" spans="1:62" ht="15.6" x14ac:dyDescent="0.3">
      <c r="A87" s="50">
        <v>1</v>
      </c>
      <c r="B87" s="14"/>
      <c r="C87" s="26">
        <v>1</v>
      </c>
      <c r="D87" s="26">
        <v>1</v>
      </c>
      <c r="E87" s="45">
        <f ca="1">J87</f>
        <v>56</v>
      </c>
      <c r="F87" s="26" t="b" cm="1">
        <f t="array" aca="1" ref="F87" ca="1">defaultValue(F86,K84)</f>
        <v>1</v>
      </c>
      <c r="G87" s="26" cm="1">
        <f t="array" aca="1" ref="G87" ca="1">defaultValue(G86,K84)</f>
        <v>3.5</v>
      </c>
      <c r="H87" s="8">
        <v>100</v>
      </c>
      <c r="I87" s="26" cm="1">
        <f t="array" aca="1" ref="I87" ca="1">defaultValue(I86,K84)</f>
        <v>78</v>
      </c>
      <c r="J87" s="26" cm="1">
        <f t="array" aca="1" ref="J87" ca="1">defaultValue(J86,K84)</f>
        <v>56</v>
      </c>
      <c r="K87" s="7"/>
    </row>
    <row r="88" spans="1:62" ht="15.6" x14ac:dyDescent="0.3">
      <c r="A88" s="50">
        <v>0</v>
      </c>
      <c r="B88" s="14"/>
      <c r="C88" s="3"/>
      <c r="D88" s="3"/>
      <c r="E88" s="3"/>
      <c r="F88" s="3"/>
      <c r="G88" s="3"/>
      <c r="H88" s="3"/>
      <c r="I88" s="3"/>
      <c r="J88" s="3"/>
      <c r="K88" s="3"/>
    </row>
    <row r="89" spans="1:62" ht="15.6" x14ac:dyDescent="0.3">
      <c r="A89" s="50">
        <v>2</v>
      </c>
      <c r="B89" s="14"/>
      <c r="C89" s="6" t="s">
        <v>4</v>
      </c>
      <c r="D89" s="6" t="s">
        <v>9</v>
      </c>
      <c r="E89" s="6" t="s">
        <v>5</v>
      </c>
      <c r="F89" s="6" t="s">
        <v>7</v>
      </c>
      <c r="G89" s="6" t="s">
        <v>1</v>
      </c>
      <c r="H89" s="6" t="s">
        <v>6</v>
      </c>
      <c r="I89" s="6" t="s">
        <v>33</v>
      </c>
      <c r="J89" s="6" t="s">
        <v>174</v>
      </c>
      <c r="K89" s="6" t="s">
        <v>157</v>
      </c>
    </row>
    <row r="90" spans="1:62" ht="15.6" x14ac:dyDescent="0.3">
      <c r="A90" s="50">
        <v>0</v>
      </c>
      <c r="B90" s="14"/>
      <c r="K90" s="3"/>
    </row>
    <row r="91" spans="1:62" ht="15.6" x14ac:dyDescent="0.3">
      <c r="A91" s="50">
        <v>3</v>
      </c>
      <c r="B91" s="14" t="str" cm="1">
        <f t="array" ref="B91">visible(E84, K91)</f>
        <v>وحدة سفلية تلبيسة دلفة/ دلفتين</v>
      </c>
      <c r="C91" s="6">
        <f>visible(1,K91)</f>
        <v>1</v>
      </c>
      <c r="D91" s="6" t="str" cm="1">
        <f t="array" aca="1" ref="D91" ca="1">visible((I85),K91)</f>
        <v>HPL</v>
      </c>
      <c r="E91" s="6" t="str" cm="1">
        <f t="array" ref="E91">visible(("قاعدة"),K91)</f>
        <v>قاعدة</v>
      </c>
      <c r="F91" s="6" cm="1">
        <f t="array" ref="F91">visible((H87 -3.6),K91)</f>
        <v>96.4</v>
      </c>
      <c r="G91" s="6" cm="1">
        <f t="array" aca="1" ref="G91" ca="1">visible((J87),K91)</f>
        <v>56</v>
      </c>
      <c r="H91" s="6" cm="1">
        <f t="array" ref="H91">visible((C84),K91)</f>
        <v>1</v>
      </c>
      <c r="I91" s="6">
        <f ca="1">visible(materialNum(D91), K91)</f>
        <v>2</v>
      </c>
      <c r="J91" s="6">
        <f ca="1">visible(engraving(I91), K91)</f>
        <v>2</v>
      </c>
      <c r="K91" s="6" t="b">
        <v>1</v>
      </c>
    </row>
    <row r="92" spans="1:62" ht="15.6" x14ac:dyDescent="0.3">
      <c r="A92" s="50">
        <v>3</v>
      </c>
      <c r="B92" s="14" t="str" cm="1">
        <f t="array" ref="B92">visible(E84, K92)</f>
        <v>وحدة سفلية تلبيسة دلفة/ دلفتين</v>
      </c>
      <c r="C92" s="6">
        <f>visible(2,K92)</f>
        <v>2</v>
      </c>
      <c r="D92" s="6" t="str" cm="1">
        <f t="array" aca="1" ref="D92" ca="1">visible((I85),K92)</f>
        <v>HPL</v>
      </c>
      <c r="E92" s="6" t="str" cm="1">
        <f t="array" ref="E92">visible(("أجناب"),K92)</f>
        <v>أجناب</v>
      </c>
      <c r="F92" s="6" cm="1">
        <f t="array" aca="1" ref="F92" ca="1">visible((I87),K92)</f>
        <v>78</v>
      </c>
      <c r="G92" s="6" cm="1">
        <f t="array" aca="1" ref="G92" ca="1">visible((J87),K92)</f>
        <v>56</v>
      </c>
      <c r="H92" s="6" cm="1">
        <f t="array" ref="H92">visible((2 *C84),K92)</f>
        <v>2</v>
      </c>
      <c r="I92" s="6">
        <f ca="1">visible(materialNum(D92), K92)</f>
        <v>2</v>
      </c>
      <c r="J92" s="6">
        <f ca="1">visible(engraving(I92), K92)</f>
        <v>2</v>
      </c>
      <c r="K92" s="6" t="b">
        <v>1</v>
      </c>
    </row>
    <row r="93" spans="1:62" ht="15.6" x14ac:dyDescent="0.3">
      <c r="A93" s="50">
        <v>3</v>
      </c>
      <c r="B93" s="14" t="str" cm="1">
        <f t="array" ref="B93">visible(E84, K93)</f>
        <v>وحدة سفلية تلبيسة دلفة/ دلفتين</v>
      </c>
      <c r="C93" s="6">
        <f>visible(3,K93)</f>
        <v>3</v>
      </c>
      <c r="D93" s="6" t="str" cm="1">
        <f t="array" aca="1" ref="D93" ca="1">visible((I85),K93)</f>
        <v>HPL</v>
      </c>
      <c r="E93" s="6" t="str" cm="1">
        <f t="array" ref="E93">visible(("مرايا علوية 1"),K93)</f>
        <v>مرايا علوية 1</v>
      </c>
      <c r="F93" s="6" cm="1">
        <f t="array" ref="F93">visible((H87-3.6),K93)</f>
        <v>96.4</v>
      </c>
      <c r="G93" s="6" cm="1">
        <f t="array" ref="G93">visible((10),K93)</f>
        <v>10</v>
      </c>
      <c r="H93" s="6" cm="1">
        <f t="array" ref="H93">visible((C84),K93)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</row>
    <row r="94" spans="1:62" ht="15.6" x14ac:dyDescent="0.3">
      <c r="A94" s="50">
        <v>3</v>
      </c>
      <c r="B94" s="14" t="str" cm="1">
        <f t="array" ref="B94">visible(E84, K94)</f>
        <v>وحدة سفلية تلبيسة دلفة/ دلفتين</v>
      </c>
      <c r="C94" s="6">
        <f>visible(4,K94)</f>
        <v>4</v>
      </c>
      <c r="D94" s="6" t="str" cm="1">
        <f t="array" aca="1" ref="D94" ca="1">visible((I85),K94)</f>
        <v>HPL</v>
      </c>
      <c r="E94" s="6" t="str" cm="1">
        <f t="array" ref="E94">visible(("مرايا علوية 2"),K94)</f>
        <v>مرايا علوية 2</v>
      </c>
      <c r="F94" s="6" cm="1">
        <f t="array" ref="F94">visible((H87-3.6),K94)</f>
        <v>96.4</v>
      </c>
      <c r="G94" s="6" cm="1">
        <f t="array" ref="G94">visible((7),K94)</f>
        <v>7</v>
      </c>
      <c r="H94" s="6" cm="1">
        <f t="array" ref="H94">visible((C84),K94)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</row>
    <row r="95" spans="1:62" ht="15.6" x14ac:dyDescent="0.3">
      <c r="A95" s="50">
        <v>3</v>
      </c>
      <c r="B95" s="14" t="str" cm="1">
        <f t="array" ref="B95">visible(E84, K95)</f>
        <v>وحدة سفلية تلبيسة دلفة/ دلفتين</v>
      </c>
      <c r="C95" s="6">
        <f>visible(5,K95)</f>
        <v>5</v>
      </c>
      <c r="D95" s="6" t="str" cm="1">
        <f t="array" aca="1" ref="D95" ca="1">visible((I85),K95)</f>
        <v>HPL</v>
      </c>
      <c r="E95" s="6" t="str" cm="1">
        <f t="array" ref="E95">visible(("رف"),K95)</f>
        <v>رف</v>
      </c>
      <c r="F95" s="6" cm="1">
        <f t="array" ref="F95">visible((H87-3.8),K95)</f>
        <v>96.2</v>
      </c>
      <c r="G95" s="6" cm="1">
        <f t="array" aca="1" ref="G95" ca="1">visible((J87-6),K95)</f>
        <v>50</v>
      </c>
      <c r="H95" s="6" cm="1">
        <f t="array" ref="H95">visible((D87*C84),K95)</f>
        <v>1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50">
        <v>3</v>
      </c>
      <c r="B96" s="14" t="str">
        <f>visible(E84, K96)</f>
        <v>وحدة سفلية تلبيسة دلفة/ دلفتين</v>
      </c>
      <c r="C96" s="6">
        <f>visible(6,K96)</f>
        <v>6</v>
      </c>
      <c r="D96" s="6" t="str">
        <f ca="1">visible((I85),K96)</f>
        <v>HPL</v>
      </c>
      <c r="E96" s="6" t="str" cm="1">
        <f t="array" ref="E96">visible(("تلبيسة"),K96)</f>
        <v>تلبيسة</v>
      </c>
      <c r="F96" s="6" cm="1">
        <f t="array" aca="1" ref="F96" ca="1">visible((I87),K96)</f>
        <v>78</v>
      </c>
      <c r="G96" s="6" cm="1">
        <f t="array" aca="1" ref="G96" ca="1">visible((E87),K96)</f>
        <v>56</v>
      </c>
      <c r="H96" s="6">
        <f>visible(C84,K96)</f>
        <v>1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50">
        <v>0</v>
      </c>
      <c r="B97" s="14"/>
      <c r="C97" s="3"/>
      <c r="D97" s="3"/>
      <c r="E97" s="3"/>
      <c r="F97" s="3"/>
      <c r="G97" s="3"/>
      <c r="H97" s="3"/>
      <c r="I97" s="3"/>
      <c r="J97" s="3"/>
      <c r="K97" s="3"/>
    </row>
    <row r="98" spans="1:11" ht="15.6" x14ac:dyDescent="0.3">
      <c r="A98" s="50">
        <v>4</v>
      </c>
      <c r="B98" s="14" t="str" cm="1">
        <f t="array" ref="B98">visible(E84, K98)</f>
        <v>وحدة سفلية تلبيسة دلفة/ دلفتين</v>
      </c>
      <c r="C98" s="9">
        <f>visible(7,K98)</f>
        <v>7</v>
      </c>
      <c r="D98" s="9" t="str" cm="1">
        <f t="array" aca="1" ref="D98" ca="1">visible((G85),K98)</f>
        <v>يوفيلاك</v>
      </c>
      <c r="E98" s="9" t="str" cm="1">
        <f t="array" ref="E98">visible(("دلف"),K98)</f>
        <v>دلف</v>
      </c>
      <c r="F98" s="9" cm="1">
        <f t="array" aca="1" ref="F98" ca="1">visible((I87-0.5-G87),K98)</f>
        <v>74</v>
      </c>
      <c r="G98" s="9" cm="1">
        <f t="array" aca="1" ref="G98" ca="1">visible(((H87-E87-G99)/C87-0.5),K98)</f>
        <v>39.5</v>
      </c>
      <c r="H98" s="9" cm="1">
        <f t="array" ref="H98">visible((C87*C84),K98)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</row>
    <row r="99" spans="1:11" ht="15.6" x14ac:dyDescent="0.3">
      <c r="A99" s="50">
        <v>4</v>
      </c>
      <c r="B99" s="14" t="str">
        <f>visible(E84, K99)</f>
        <v>وحدة سفلية تلبيسة دلفة/ دلفتين</v>
      </c>
      <c r="C99" s="9">
        <f>visible(8,K99)</f>
        <v>8</v>
      </c>
      <c r="D99" s="9" t="str">
        <f ca="1">visible((G85),K99)</f>
        <v>يوفيلاك</v>
      </c>
      <c r="E99" s="9" t="str" cm="1">
        <f t="array" ref="E99">visible(("تلبيسة ثابتة"),K99)</f>
        <v>تلبيسة ثابتة</v>
      </c>
      <c r="F99" s="9" cm="1">
        <f t="array" aca="1" ref="F99" ca="1">visible((I87),K99)</f>
        <v>78</v>
      </c>
      <c r="G99" s="9" cm="1">
        <f t="array" ref="G99">visible(4,K99)</f>
        <v>4</v>
      </c>
      <c r="H99" s="9">
        <f>visible(C84,K99)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</row>
    <row r="100" spans="1:11" ht="15.6" x14ac:dyDescent="0.3">
      <c r="A100" s="50">
        <v>0</v>
      </c>
      <c r="B100" s="14"/>
      <c r="K100" s="3"/>
    </row>
    <row r="101" spans="1:11" ht="15.6" x14ac:dyDescent="0.3">
      <c r="A101" s="50">
        <v>5</v>
      </c>
      <c r="B101" s="14" t="str" cm="1">
        <f t="array" aca="1" ref="B101" ca="1">visible(E84, K101)</f>
        <v>وحدة سفلية تلبيسة دلفة/ دلفتين</v>
      </c>
      <c r="C101" s="18">
        <f ca="1">visible(9,K101)</f>
        <v>9</v>
      </c>
      <c r="D101" s="18" t="str" cm="1">
        <f t="array" aca="1" ref="D101" ca="1">visible((E85),K101)</f>
        <v>ظهر</v>
      </c>
      <c r="E101" s="18" t="str" cm="1">
        <f t="array" aca="1" ref="E101" ca="1">visible(("ظهر"),K101)</f>
        <v>ظهر</v>
      </c>
      <c r="F101" s="18" cm="1">
        <f t="array" aca="1" ref="F101" ca="1">visible((I87-2),K101)</f>
        <v>76</v>
      </c>
      <c r="G101" s="18" cm="1">
        <f t="array" aca="1" ref="G101" ca="1">visible((H87-2),K101)</f>
        <v>98</v>
      </c>
      <c r="H101" s="18" cm="1">
        <f t="array" aca="1" ref="H101" ca="1">visible((C84),K101)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f ca="1">F87</f>
        <v>1</v>
      </c>
    </row>
    <row r="102" spans="1:11" ht="15.6" x14ac:dyDescent="0.3">
      <c r="A102" s="50">
        <v>255</v>
      </c>
      <c r="B102" s="14"/>
      <c r="C102"/>
      <c r="D102"/>
      <c r="E102"/>
      <c r="F102"/>
      <c r="G102"/>
      <c r="H102"/>
      <c r="I102"/>
      <c r="J102"/>
      <c r="K102"/>
    </row>
    <row r="103" spans="1:11" ht="15.6" x14ac:dyDescent="0.3">
      <c r="A103" s="50">
        <v>255</v>
      </c>
      <c r="B103" s="14"/>
      <c r="C103"/>
      <c r="D103"/>
      <c r="E103"/>
      <c r="F103"/>
      <c r="G103"/>
      <c r="H103"/>
      <c r="I103"/>
      <c r="J103"/>
      <c r="K103"/>
    </row>
  </sheetData>
  <mergeCells count="5">
    <mergeCell ref="E13:H13"/>
    <mergeCell ref="E31:H31"/>
    <mergeCell ref="E49:H49"/>
    <mergeCell ref="J53:K53"/>
    <mergeCell ref="E84:H8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 activeCell="G9" sqref="G9"/>
    </sheetView>
  </sheetViews>
  <sheetFormatPr defaultRowHeight="14.4" x14ac:dyDescent="0.3"/>
  <cols>
    <col min="1" max="1" width="10.77734375" style="40" customWidth="1"/>
    <col min="2" max="2" width="34.44140625" style="41" customWidth="1"/>
    <col min="3" max="3" width="8.88671875" style="41" customWidth="1"/>
    <col min="4" max="4" width="11.6640625" style="41" customWidth="1"/>
    <col min="5" max="5" width="27.6640625" style="41" customWidth="1"/>
    <col min="6" max="6" width="8.88671875" style="41" customWidth="1"/>
    <col min="7" max="7" width="12.5546875" style="41" customWidth="1"/>
    <col min="8" max="8" width="8.88671875" style="41" customWidth="1"/>
    <col min="9" max="9" width="13.109375" style="41" customWidth="1"/>
    <col min="10" max="10" width="11.21875" style="41" customWidth="1"/>
    <col min="11" max="11" width="8.88671875" style="41"/>
    <col min="12" max="12" width="12.33203125" style="41" customWidth="1"/>
    <col min="13" max="13" width="10.21875" style="41" customWidth="1"/>
    <col min="14" max="14" width="8.88671875" style="41" customWidth="1"/>
    <col min="15" max="17" width="8.88671875" style="41"/>
    <col min="18" max="22" width="10.6640625" style="41" hidden="1" customWidth="1"/>
    <col min="23" max="52" width="0" style="41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1"/>
  </cols>
  <sheetData>
    <row r="1" spans="2:63" s="40" customFormat="1" x14ac:dyDescent="0.3">
      <c r="B1" s="42">
        <v>1</v>
      </c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</row>
    <row r="2" spans="2:63" s="40" customFormat="1" ht="21" x14ac:dyDescent="0.4">
      <c r="B2" s="46" t="s">
        <v>119</v>
      </c>
      <c r="E2" s="95" t="s">
        <v>110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</row>
    <row r="3" spans="2:63" s="40" customFormat="1" x14ac:dyDescent="0.3">
      <c r="B3" s="42"/>
      <c r="E3" s="40" cm="1">
        <f t="array" ref="E3:P4">woodMaterials[]</f>
        <v>0</v>
      </c>
      <c r="F3" s="40" t="str">
        <v>بوليلاك</v>
      </c>
      <c r="G3" s="40" t="str">
        <v>Lumber J</v>
      </c>
      <c r="H3" s="40" t="str">
        <v>بولى بلس</v>
      </c>
      <c r="I3" s="40" t="str">
        <v>PVC</v>
      </c>
      <c r="J3" s="40" t="str">
        <v>يوفيلاك</v>
      </c>
      <c r="K3" s="40" t="str">
        <v>بورديوم</v>
      </c>
      <c r="L3" s="40" t="str">
        <v>كونتر ميلامين</v>
      </c>
      <c r="M3" s="40" t="str">
        <v>HPL</v>
      </c>
      <c r="N3" s="40" t="str">
        <v>CPL</v>
      </c>
      <c r="O3" s="40" t="str">
        <v>ظهر</v>
      </c>
      <c r="P3" s="40">
        <v>0</v>
      </c>
      <c r="R3" s="40" t="s">
        <v>0</v>
      </c>
      <c r="S3" s="40" t="s">
        <v>102</v>
      </c>
      <c r="T3" s="40" t="s">
        <v>43</v>
      </c>
      <c r="U3" s="40" t="s">
        <v>62</v>
      </c>
      <c r="V3" s="43" t="s">
        <v>101</v>
      </c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</row>
    <row r="4" spans="2:63" s="40" customFormat="1" x14ac:dyDescent="0.3">
      <c r="B4" s="42"/>
      <c r="E4" s="40">
        <v>0</v>
      </c>
      <c r="F4" s="40">
        <v>4</v>
      </c>
      <c r="G4" s="40">
        <v>4</v>
      </c>
      <c r="H4" s="40">
        <v>4</v>
      </c>
      <c r="I4" s="40">
        <v>4</v>
      </c>
      <c r="J4" s="40">
        <v>6</v>
      </c>
      <c r="K4" s="40">
        <v>2</v>
      </c>
      <c r="L4" s="40">
        <v>2</v>
      </c>
      <c r="M4" s="40">
        <v>2</v>
      </c>
      <c r="N4" s="40">
        <v>2</v>
      </c>
      <c r="O4" s="40">
        <v>2</v>
      </c>
      <c r="P4" s="40" t="str">
        <v>الرقم</v>
      </c>
      <c r="R4" s="40">
        <v>1</v>
      </c>
      <c r="S4" s="40">
        <v>2</v>
      </c>
      <c r="T4" s="40">
        <v>3</v>
      </c>
      <c r="U4" s="40">
        <v>4</v>
      </c>
      <c r="V4" s="40">
        <v>5</v>
      </c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</row>
    <row r="5" spans="2:63" s="40" customFormat="1" x14ac:dyDescent="0.3">
      <c r="B5" s="42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</row>
    <row r="6" spans="2:63" s="40" customFormat="1" x14ac:dyDescent="0.3">
      <c r="B6" s="42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</row>
    <row r="7" spans="2:63" s="40" customFormat="1" x14ac:dyDescent="0.3">
      <c r="B7" s="42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</row>
    <row r="8" spans="2:63" s="40" customFormat="1" x14ac:dyDescent="0.3">
      <c r="B8" s="42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27" zoomScale="68" zoomScaleNormal="85" workbookViewId="0">
      <selection activeCell="I45" sqref="I45"/>
    </sheetView>
  </sheetViews>
  <sheetFormatPr defaultRowHeight="15.6" x14ac:dyDescent="0.3"/>
  <cols>
    <col min="1" max="1" width="8.21875" style="50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4" customFormat="1" x14ac:dyDescent="0.3">
      <c r="A1" s="50">
        <v>13</v>
      </c>
      <c r="B1" s="51">
        <v>7</v>
      </c>
    </row>
    <row r="2" spans="1:75" s="34" customFormat="1" ht="37.200000000000003" customHeight="1" x14ac:dyDescent="0.3">
      <c r="A2" s="50">
        <v>30</v>
      </c>
      <c r="B2" s="47" t="s">
        <v>115</v>
      </c>
      <c r="C2" s="96" t="s">
        <v>0</v>
      </c>
      <c r="D2" s="96"/>
      <c r="E2" s="96"/>
      <c r="F2" s="96"/>
      <c r="G2" s="96"/>
      <c r="H2" s="96"/>
      <c r="I2" s="96"/>
      <c r="J2" s="96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</row>
    <row r="3" spans="1:75" s="34" customFormat="1" ht="18" customHeight="1" x14ac:dyDescent="0.3">
      <c r="A3" s="50"/>
      <c r="B3" s="52" t="s">
        <v>147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Q3" s="44"/>
      <c r="R3" s="33"/>
      <c r="S3" s="33"/>
      <c r="T3" s="33"/>
      <c r="U3" s="33"/>
      <c r="V3" s="39"/>
      <c r="W3" s="39"/>
      <c r="X3" s="39"/>
      <c r="Y3" s="39"/>
      <c r="Z3" s="39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</row>
    <row r="4" spans="1:75" s="34" customFormat="1" ht="14.4" x14ac:dyDescent="0.3">
      <c r="A4" s="50"/>
      <c r="B4" s="52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Q4" s="44"/>
      <c r="R4" s="33"/>
      <c r="S4" s="33"/>
      <c r="T4" s="33"/>
      <c r="U4" s="33"/>
      <c r="V4" s="33"/>
      <c r="W4" s="33"/>
      <c r="X4" s="33"/>
      <c r="Y4" s="33"/>
      <c r="Z4" s="33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</row>
    <row r="5" spans="1:75" s="34" customFormat="1" ht="14.4" x14ac:dyDescent="0.3">
      <c r="A5" s="50"/>
      <c r="B5" s="52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</row>
    <row r="6" spans="1:75" s="34" customFormat="1" ht="14.4" x14ac:dyDescent="0.3">
      <c r="A6" s="50"/>
      <c r="B6" s="52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</row>
    <row r="7" spans="1:75" s="36" customFormat="1" ht="18" x14ac:dyDescent="0.3">
      <c r="A7" s="50"/>
      <c r="B7" s="52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</row>
    <row r="8" spans="1:75" s="37" customFormat="1" ht="18" x14ac:dyDescent="0.3">
      <c r="A8" s="50"/>
      <c r="B8" s="52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</row>
    <row r="9" spans="1:75" customFormat="1" ht="14.4" x14ac:dyDescent="0.3">
      <c r="A9" s="50"/>
      <c r="K9" s="1"/>
    </row>
    <row r="10" spans="1:75" customFormat="1" ht="14.4" x14ac:dyDescent="0.3">
      <c r="A10" s="50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0" t="s">
        <v>128</v>
      </c>
      <c r="C13" s="13">
        <v>1</v>
      </c>
      <c r="D13" s="21" t="s">
        <v>59</v>
      </c>
      <c r="E13" s="90" t="s">
        <v>23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0">
        <v>1</v>
      </c>
      <c r="C14" s="7" t="s">
        <v>12</v>
      </c>
      <c r="D14" s="7" t="s">
        <v>18</v>
      </c>
      <c r="E14" s="7" t="s">
        <v>16</v>
      </c>
      <c r="F14" s="97"/>
      <c r="G14" s="7" t="s">
        <v>24</v>
      </c>
      <c r="H14" s="7" t="s">
        <v>22</v>
      </c>
      <c r="I14" s="7" t="s">
        <v>3</v>
      </c>
      <c r="J14" s="7" t="s">
        <v>111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0">
        <v>1</v>
      </c>
      <c r="C15" s="8">
        <v>1</v>
      </c>
      <c r="D15" s="8">
        <v>1</v>
      </c>
      <c r="E15" s="26" cm="1">
        <f t="array" aca="1" ref="E15" ca="1">defaultValue(E14,K13)</f>
        <v>3.5</v>
      </c>
      <c r="F15" s="97"/>
      <c r="G15" s="26">
        <v>56</v>
      </c>
      <c r="H15" s="8">
        <v>105</v>
      </c>
      <c r="I15" s="26" cm="1">
        <f t="array" aca="1" ref="I15" ca="1">defaultValue(I14,K13)</f>
        <v>78</v>
      </c>
      <c r="J15" s="26" cm="1">
        <f t="array" aca="1" ref="J15" ca="1">defaultValue(J14,K13)</f>
        <v>56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0">
        <v>1</v>
      </c>
      <c r="C16" s="8"/>
      <c r="D16" s="26" t="str" cm="1">
        <f t="array" aca="1" ref="D16" ca="1">defaultValue(E16,K13)</f>
        <v>ظهر</v>
      </c>
      <c r="E16" s="7" t="s">
        <v>58</v>
      </c>
      <c r="F16" s="26" t="str" cm="1">
        <f t="array" aca="1" ref="F16" ca="1">defaultValue(G16,K13)</f>
        <v>يوفيلاك</v>
      </c>
      <c r="G16" s="7" t="s">
        <v>32</v>
      </c>
      <c r="H16" s="26" t="str" cm="1">
        <f t="array" aca="1" ref="H16" ca="1">defaultValue(I16,K13)</f>
        <v>HPL</v>
      </c>
      <c r="I16" s="7" t="s">
        <v>31</v>
      </c>
      <c r="J16" s="24" t="s">
        <v>109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0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0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174</v>
      </c>
      <c r="K18" s="6" t="s">
        <v>157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0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0">
        <v>3</v>
      </c>
      <c r="B20" s="14" t="str">
        <f>E13</f>
        <v xml:space="preserve">وحدة سفلية  تلبيسة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101.4</v>
      </c>
      <c r="G20" s="6">
        <f ca="1">J15</f>
        <v>56</v>
      </c>
      <c r="H20" s="6">
        <f>1*C13</f>
        <v>1</v>
      </c>
      <c r="I20" s="6">
        <f ca="1">visible(materialNum(D20), K20)</f>
        <v>2</v>
      </c>
      <c r="J20" s="6">
        <f ca="1">visible(engraving(I20), K20)</f>
        <v>2</v>
      </c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0">
        <v>3</v>
      </c>
      <c r="B21" s="14" t="str">
        <f>B20</f>
        <v xml:space="preserve">وحدة سفلية  تلبيسة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v>2</v>
      </c>
      <c r="I21" s="6">
        <f ca="1">visible(materialNum(D21), K21)</f>
        <v>2</v>
      </c>
      <c r="J21" s="6">
        <f ca="1">visible(engraving(I21), K21)</f>
        <v>2</v>
      </c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0">
        <v>3</v>
      </c>
      <c r="B22" s="14" t="str">
        <f>B20</f>
        <v xml:space="preserve">وحدة سفلية  تلبيسة دلفة /دلفتين </v>
      </c>
      <c r="C22" s="6">
        <f t="shared" ref="C22:C25" si="0">C21+1</f>
        <v>3</v>
      </c>
      <c r="D22" s="6" t="str">
        <f ca="1">H16</f>
        <v>HPL</v>
      </c>
      <c r="E22" s="6" t="s">
        <v>13</v>
      </c>
      <c r="F22" s="6">
        <f>H15-3.6</f>
        <v>101.4</v>
      </c>
      <c r="G22" s="6">
        <v>10</v>
      </c>
      <c r="H22" s="6">
        <f>1*C13</f>
        <v>1</v>
      </c>
      <c r="I22" s="6">
        <f ca="1">visible(materialNum(D22), K22)</f>
        <v>2</v>
      </c>
      <c r="J22" s="6">
        <f ca="1">visible(engraving(I22), K22)</f>
        <v>2</v>
      </c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0">
        <v>3</v>
      </c>
      <c r="B23" s="14" t="str">
        <f>B20</f>
        <v xml:space="preserve">وحدة سفلية  تلبيسة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101.4</v>
      </c>
      <c r="G23" s="6">
        <v>7</v>
      </c>
      <c r="H23" s="6">
        <f>1*C13</f>
        <v>1</v>
      </c>
      <c r="I23" s="6">
        <f ca="1">visible(materialNum(D23), K23)</f>
        <v>2</v>
      </c>
      <c r="J23" s="6">
        <f ca="1">visible(engraving(I23), K23)</f>
        <v>2</v>
      </c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0">
        <v>3</v>
      </c>
      <c r="B24" s="14" t="str">
        <f>B20</f>
        <v xml:space="preserve">وحدة سفلية  تلبيسة دلفة /دلفتين </v>
      </c>
      <c r="C24" s="6">
        <f t="shared" si="0"/>
        <v>5</v>
      </c>
      <c r="D24" s="6" t="str">
        <f ca="1">H16</f>
        <v>HPL</v>
      </c>
      <c r="E24" s="6" t="s">
        <v>17</v>
      </c>
      <c r="F24" s="6">
        <f>H15-3.8</f>
        <v>101.2</v>
      </c>
      <c r="G24" s="6">
        <f ca="1">J15-6</f>
        <v>50</v>
      </c>
      <c r="H24" s="6">
        <f>D15*C13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0">
        <v>3</v>
      </c>
      <c r="B25" s="14" t="str">
        <f>B20</f>
        <v xml:space="preserve">وحدة سفلية  تلبيسة دلفة /دلفتين </v>
      </c>
      <c r="C25" s="6">
        <f t="shared" si="0"/>
        <v>6</v>
      </c>
      <c r="D25" s="6" t="str">
        <f ca="1">H16</f>
        <v>HPL</v>
      </c>
      <c r="E25" s="6" t="s">
        <v>24</v>
      </c>
      <c r="F25" s="6">
        <f ca="1">I15</f>
        <v>78</v>
      </c>
      <c r="G25" s="6">
        <f>G15</f>
        <v>56</v>
      </c>
      <c r="H25" s="6">
        <f>1*C13</f>
        <v>1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ht="14.4" x14ac:dyDescent="0.3">
      <c r="A26" s="50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0">
        <v>4</v>
      </c>
      <c r="B27" s="14" t="str">
        <f>B20</f>
        <v xml:space="preserve">وحدة سفلية  تلبيسة دلفة /دلفتين </v>
      </c>
      <c r="C27" s="9">
        <f>C25+1</f>
        <v>7</v>
      </c>
      <c r="D27" s="9" t="str">
        <f ca="1">F16</f>
        <v>يوفيلاك</v>
      </c>
      <c r="E27" s="9" t="s">
        <v>15</v>
      </c>
      <c r="F27" s="9">
        <f ca="1">I15-0.5-E15</f>
        <v>74</v>
      </c>
      <c r="G27" s="9">
        <f>(H15-G15-G28)/C15-0.5</f>
        <v>44.5</v>
      </c>
      <c r="H27" s="9">
        <f>C15*C13</f>
        <v>1</v>
      </c>
      <c r="I27" s="9">
        <f ca="1">visible(materialNum(D27), K27)</f>
        <v>6</v>
      </c>
      <c r="J27" s="9">
        <f ca="1">visible(engraving(I27), K27)</f>
        <v>2</v>
      </c>
      <c r="K27" s="9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0">
        <v>4</v>
      </c>
      <c r="B28" s="14" t="str">
        <f>B20</f>
        <v xml:space="preserve">وحدة سفلية  تلبيسة دلفة /دلفتين </v>
      </c>
      <c r="C28" s="9">
        <f t="shared" ref="C28" si="1">C27+1</f>
        <v>8</v>
      </c>
      <c r="D28" s="9" t="str">
        <f ca="1">F16</f>
        <v>يوفيلاك</v>
      </c>
      <c r="E28" s="9" t="s">
        <v>25</v>
      </c>
      <c r="F28" s="9">
        <f ca="1">I15</f>
        <v>78</v>
      </c>
      <c r="G28" s="9">
        <v>4</v>
      </c>
      <c r="H28" s="9">
        <f>1*C13</f>
        <v>1</v>
      </c>
      <c r="I28" s="9">
        <f ca="1">visible(materialNum(D28), K28)</f>
        <v>6</v>
      </c>
      <c r="J28" s="9">
        <f ca="1">visible(engraving(I28), K28)</f>
        <v>2</v>
      </c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ht="14.4" x14ac:dyDescent="0.3">
      <c r="A29" s="50">
        <v>0</v>
      </c>
      <c r="B29"/>
      <c r="C29"/>
      <c r="D29"/>
      <c r="E29"/>
      <c r="F29"/>
      <c r="G29"/>
      <c r="H29"/>
      <c r="I29"/>
      <c r="J29"/>
      <c r="K2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0">
        <v>5</v>
      </c>
      <c r="B30" s="14" t="str">
        <f>B20</f>
        <v xml:space="preserve">وحدة سفلية  تلبيسة دلفة /دلفتين </v>
      </c>
      <c r="C30" s="18">
        <f>C28+1</f>
        <v>9</v>
      </c>
      <c r="D30" s="18" t="str">
        <f ca="1">D16</f>
        <v>ظهر</v>
      </c>
      <c r="E30" s="18" t="s">
        <v>58</v>
      </c>
      <c r="F30" s="18">
        <f ca="1">I15-2</f>
        <v>76</v>
      </c>
      <c r="G30" s="18">
        <f>H15-2</f>
        <v>103</v>
      </c>
      <c r="H30" s="18">
        <f>1*C13</f>
        <v>1</v>
      </c>
      <c r="I30" s="18">
        <f ca="1">visible(materialNum(D30), K30)</f>
        <v>2</v>
      </c>
      <c r="J30" s="18">
        <f ca="1">visible(engraving(I30), K30)</f>
        <v>2</v>
      </c>
      <c r="K30" s="18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0">
        <v>255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0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6" x14ac:dyDescent="0.3">
      <c r="A33" s="50" t="s">
        <v>133</v>
      </c>
      <c r="C33" s="13">
        <v>1</v>
      </c>
      <c r="D33" s="21" t="s">
        <v>59</v>
      </c>
      <c r="E33" s="90" t="s">
        <v>26</v>
      </c>
      <c r="F33" s="91"/>
      <c r="G33" s="91"/>
      <c r="H33" s="92"/>
      <c r="I33" s="2" t="s">
        <v>30</v>
      </c>
      <c r="J33" s="2">
        <f>letterToNumber(A33)</f>
        <v>2</v>
      </c>
      <c r="K33" s="7">
        <f ca="1">_xlfn.SHEET("وحدات سفلية")</f>
        <v>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0">
        <v>1</v>
      </c>
      <c r="C34" s="7"/>
      <c r="D34" s="7" t="s">
        <v>18</v>
      </c>
      <c r="E34" s="7" t="s">
        <v>16</v>
      </c>
      <c r="F34" s="97"/>
      <c r="G34" s="7"/>
      <c r="H34" s="7" t="s">
        <v>22</v>
      </c>
      <c r="I34" s="7" t="s">
        <v>3</v>
      </c>
      <c r="J34" s="7" t="s">
        <v>111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0">
        <v>1</v>
      </c>
      <c r="C35" s="8"/>
      <c r="D35" s="8">
        <v>1</v>
      </c>
      <c r="E35" s="26" cm="1">
        <f t="array" aca="1" ref="E35" ca="1">defaultValue(E34,K33)</f>
        <v>3.5</v>
      </c>
      <c r="F35" s="97"/>
      <c r="G35" s="7"/>
      <c r="H35" s="8"/>
      <c r="I35" s="26" cm="1">
        <f t="array" aca="1" ref="I35" ca="1">defaultValue(I34,K33)</f>
        <v>78</v>
      </c>
      <c r="J35" s="26" cm="1">
        <f t="array" aca="1" ref="J35" ca="1">defaultValue(J34,K33)</f>
        <v>56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0">
        <v>1</v>
      </c>
      <c r="C36" s="27"/>
      <c r="D36" s="11"/>
      <c r="E36" s="11"/>
      <c r="F36" s="12"/>
      <c r="G36" s="7"/>
      <c r="H36" s="8"/>
      <c r="I36" s="26" cm="1">
        <f t="array" aca="1" ref="I36" ca="1">defaultValue(I34,K33)</f>
        <v>78</v>
      </c>
      <c r="J36" s="26" cm="1">
        <f t="array" aca="1" ref="J36" ca="1">defaultValue(J34,K33)</f>
        <v>56</v>
      </c>
      <c r="K36" s="7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50">
        <v>1</v>
      </c>
      <c r="C37" s="8"/>
      <c r="D37" s="26" t="str" cm="1">
        <f t="array" aca="1" ref="D37" ca="1">defaultValue(E37,K33)</f>
        <v>ظهر</v>
      </c>
      <c r="E37" s="7" t="s">
        <v>58</v>
      </c>
      <c r="F37" s="26" t="str" cm="1">
        <f t="array" aca="1" ref="F37" ca="1">defaultValue(G37,K33)</f>
        <v>يوفيلاك</v>
      </c>
      <c r="G37" s="7" t="s">
        <v>32</v>
      </c>
      <c r="H37" s="26" t="str" cm="1">
        <f t="array" aca="1" ref="H37" ca="1">defaultValue(I37,K33)</f>
        <v>HPL</v>
      </c>
      <c r="I37" s="7" t="s">
        <v>31</v>
      </c>
      <c r="J37" s="24" t="s">
        <v>109</v>
      </c>
      <c r="K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0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0">
        <v>2</v>
      </c>
      <c r="C39" s="6" t="s">
        <v>4</v>
      </c>
      <c r="D39" s="6" t="s">
        <v>9</v>
      </c>
      <c r="E39" s="6" t="s">
        <v>5</v>
      </c>
      <c r="F39" s="6" t="s">
        <v>7</v>
      </c>
      <c r="G39" s="6" t="s">
        <v>1</v>
      </c>
      <c r="H39" s="6" t="s">
        <v>6</v>
      </c>
      <c r="I39" s="6" t="s">
        <v>33</v>
      </c>
      <c r="J39" s="6" t="s">
        <v>174</v>
      </c>
      <c r="K39" s="6" t="s">
        <v>157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ht="14.4" x14ac:dyDescent="0.3">
      <c r="A40" s="50">
        <v>0</v>
      </c>
      <c r="B40"/>
      <c r="C40"/>
      <c r="D40"/>
      <c r="E40"/>
      <c r="F40"/>
      <c r="G40"/>
      <c r="H40"/>
      <c r="I40"/>
      <c r="J40"/>
      <c r="K4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0">
        <v>3</v>
      </c>
      <c r="B41" s="14">
        <f>B40</f>
        <v>0</v>
      </c>
      <c r="C41" s="6">
        <v>1</v>
      </c>
      <c r="D41" s="6" t="str">
        <f ca="1">H37</f>
        <v>HPL</v>
      </c>
      <c r="E41" s="6" t="s">
        <v>10</v>
      </c>
      <c r="F41" s="6">
        <f>H35-1.8</f>
        <v>-1.8</v>
      </c>
      <c r="G41" s="6">
        <f>H36-1.8</f>
        <v>-1.8</v>
      </c>
      <c r="H41" s="6">
        <f>1*C33</f>
        <v>1</v>
      </c>
      <c r="I41" s="6">
        <f ca="1">visible(materialNum(D41), K41)</f>
        <v>2</v>
      </c>
      <c r="J41" s="6">
        <f ca="1">visible(engraving(I41), K41)</f>
        <v>2</v>
      </c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0">
        <v>3</v>
      </c>
      <c r="B42" s="14">
        <f>B40</f>
        <v>0</v>
      </c>
      <c r="C42" s="6">
        <f>C41+1</f>
        <v>2</v>
      </c>
      <c r="D42" s="6" t="str">
        <f ca="1">H37</f>
        <v>HPL</v>
      </c>
      <c r="E42" s="6" t="s">
        <v>11</v>
      </c>
      <c r="F42" s="6">
        <f ca="1">I35</f>
        <v>78</v>
      </c>
      <c r="G42" s="6">
        <f ca="1">J35</f>
        <v>56</v>
      </c>
      <c r="H42" s="6">
        <f>2*C33</f>
        <v>2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0">
        <v>3</v>
      </c>
      <c r="B43" s="14">
        <f>B40</f>
        <v>0</v>
      </c>
      <c r="C43" s="6">
        <f t="shared" ref="C43:C46" si="2">C42+1</f>
        <v>3</v>
      </c>
      <c r="D43" s="6" t="str">
        <f ca="1">H37</f>
        <v>HPL</v>
      </c>
      <c r="E43" s="6" t="s">
        <v>13</v>
      </c>
      <c r="F43" s="6">
        <f>H35-1.8</f>
        <v>-1.8</v>
      </c>
      <c r="G43" s="6">
        <v>10</v>
      </c>
      <c r="H43" s="6">
        <f>2*C33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0">
        <v>3</v>
      </c>
      <c r="B44" s="14">
        <f>B40</f>
        <v>0</v>
      </c>
      <c r="C44" s="6">
        <f t="shared" si="2"/>
        <v>4</v>
      </c>
      <c r="D44" s="6" t="str">
        <f ca="1">H37</f>
        <v>HPL</v>
      </c>
      <c r="E44" s="6" t="s">
        <v>14</v>
      </c>
      <c r="F44" s="6">
        <f>H35-1.8</f>
        <v>-1.8</v>
      </c>
      <c r="G44" s="6">
        <v>7</v>
      </c>
      <c r="H44" s="6">
        <f>2*C33</f>
        <v>2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0">
        <v>3</v>
      </c>
      <c r="B45" s="14">
        <f>B40</f>
        <v>0</v>
      </c>
      <c r="C45" s="6">
        <f t="shared" si="2"/>
        <v>5</v>
      </c>
      <c r="D45" s="6" t="str">
        <f ca="1">H37</f>
        <v>HPL</v>
      </c>
      <c r="E45" s="6" t="s">
        <v>27</v>
      </c>
      <c r="F45" s="6">
        <f ca="1">I35</f>
        <v>78</v>
      </c>
      <c r="G45" s="6">
        <v>10</v>
      </c>
      <c r="H45" s="6">
        <f>1*C33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0">
        <v>3</v>
      </c>
      <c r="B46" s="14">
        <f>B40</f>
        <v>0</v>
      </c>
      <c r="C46" s="6">
        <f t="shared" si="2"/>
        <v>6</v>
      </c>
      <c r="D46" s="6" t="str">
        <f ca="1">H37</f>
        <v>HPL</v>
      </c>
      <c r="E46" s="6" t="s">
        <v>17</v>
      </c>
      <c r="F46" s="6">
        <f>H35-3.8</f>
        <v>-3.8</v>
      </c>
      <c r="G46" s="6">
        <f>H36-3.8</f>
        <v>-3.8</v>
      </c>
      <c r="H46" s="6">
        <f>D35*C33</f>
        <v>1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ht="14.4" x14ac:dyDescent="0.3">
      <c r="A47" s="50">
        <v>0</v>
      </c>
      <c r="B47"/>
      <c r="C47"/>
      <c r="D47"/>
      <c r="E47"/>
      <c r="F47"/>
      <c r="G47"/>
      <c r="H47"/>
      <c r="I47"/>
      <c r="J47"/>
      <c r="K4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0">
        <v>4</v>
      </c>
      <c r="B48" s="14">
        <f>B40</f>
        <v>0</v>
      </c>
      <c r="C48" s="9">
        <f>C46+1</f>
        <v>7</v>
      </c>
      <c r="D48" s="9" t="str">
        <f ca="1">F37</f>
        <v>يوفيلاك</v>
      </c>
      <c r="E48" s="9" t="s">
        <v>28</v>
      </c>
      <c r="F48" s="9">
        <f ca="1">I35-0.5-E35</f>
        <v>74</v>
      </c>
      <c r="G48" s="9">
        <f>H35-56-3</f>
        <v>-59</v>
      </c>
      <c r="H48" s="9">
        <f>1*C33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9" x14ac:dyDescent="0.3">
      <c r="A49" s="50">
        <v>4</v>
      </c>
      <c r="B49" s="14">
        <f>B40</f>
        <v>0</v>
      </c>
      <c r="C49" s="9">
        <f t="shared" ref="C49" si="3">C48+1</f>
        <v>8</v>
      </c>
      <c r="D49" s="9" t="str">
        <f ca="1">F37</f>
        <v>يوفيلاك</v>
      </c>
      <c r="E49" s="9" t="s">
        <v>41</v>
      </c>
      <c r="F49" s="9">
        <f ca="1">I36-0.5-E35</f>
        <v>74</v>
      </c>
      <c r="G49" s="9">
        <f>H36-56-3</f>
        <v>-59</v>
      </c>
      <c r="H49" s="9">
        <f>1*C33</f>
        <v>1</v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9" ht="14.4" x14ac:dyDescent="0.3">
      <c r="A50" s="50">
        <v>0</v>
      </c>
      <c r="B50"/>
      <c r="C50"/>
      <c r="D50"/>
      <c r="E50"/>
      <c r="F50"/>
      <c r="G50"/>
      <c r="H50"/>
      <c r="I50"/>
      <c r="J50"/>
      <c r="K5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9" x14ac:dyDescent="0.3">
      <c r="A51" s="50">
        <v>5</v>
      </c>
      <c r="B51" s="14">
        <f>B40</f>
        <v>0</v>
      </c>
      <c r="C51" s="18">
        <f>C49+1</f>
        <v>9</v>
      </c>
      <c r="D51" s="18" t="str">
        <f ca="1">D37</f>
        <v>ظهر</v>
      </c>
      <c r="E51" s="18" t="s">
        <v>58</v>
      </c>
      <c r="F51" s="18">
        <f ca="1">I36-1</f>
        <v>77</v>
      </c>
      <c r="G51" s="18">
        <f>H36-1</f>
        <v>-1</v>
      </c>
      <c r="H51" s="18">
        <f>2*C33</f>
        <v>2</v>
      </c>
      <c r="I51" s="18">
        <f ca="1">visible(materialNum(D51), K51)</f>
        <v>2</v>
      </c>
      <c r="J51" s="18">
        <f ca="1">visible(engraving(I51), K51)</f>
        <v>2</v>
      </c>
      <c r="K51" s="18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9" x14ac:dyDescent="0.3">
      <c r="A52" s="50">
        <v>255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9" x14ac:dyDescent="0.3">
      <c r="A53" s="50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9" ht="36" x14ac:dyDescent="0.3">
      <c r="A54" s="50" t="s">
        <v>129</v>
      </c>
      <c r="C54" s="13">
        <v>1</v>
      </c>
      <c r="D54" s="21" t="s">
        <v>59</v>
      </c>
      <c r="E54" s="90" t="s">
        <v>29</v>
      </c>
      <c r="F54" s="91"/>
      <c r="G54" s="91"/>
      <c r="H54" s="92"/>
      <c r="I54" s="2" t="s">
        <v>30</v>
      </c>
      <c r="J54" s="2">
        <f>letterToNumber(A54)</f>
        <v>3</v>
      </c>
      <c r="K54" s="7">
        <f ca="1">_xlfn.SHEET("وحدات سفلية")</f>
        <v>4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9" x14ac:dyDescent="0.3">
      <c r="A55" s="50">
        <v>1</v>
      </c>
      <c r="C55" s="7"/>
      <c r="D55" s="7" t="s">
        <v>18</v>
      </c>
      <c r="E55" s="7" t="s">
        <v>16</v>
      </c>
      <c r="F55" s="97"/>
      <c r="G55" s="7"/>
      <c r="H55" s="7" t="s">
        <v>22</v>
      </c>
      <c r="I55" s="7" t="s">
        <v>3</v>
      </c>
      <c r="J55" s="7" t="s">
        <v>111</v>
      </c>
      <c r="K55" s="7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9" x14ac:dyDescent="0.3">
      <c r="A56" s="50">
        <v>1</v>
      </c>
      <c r="C56" s="8"/>
      <c r="D56" s="8">
        <v>1</v>
      </c>
      <c r="E56" s="26" cm="1">
        <f t="array" aca="1" ref="E56" ca="1">defaultValue(E55,K54)</f>
        <v>3.5</v>
      </c>
      <c r="F56" s="97"/>
      <c r="G56" s="7"/>
      <c r="H56" s="8"/>
      <c r="I56" s="26" cm="1">
        <f t="array" aca="1" ref="I56" ca="1">defaultValue(I55,K54)</f>
        <v>78</v>
      </c>
      <c r="J56" s="26" cm="1">
        <f t="array" aca="1" ref="J56" ca="1">defaultValue(J55,K54)</f>
        <v>56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9" x14ac:dyDescent="0.3">
      <c r="A57" s="50">
        <v>1</v>
      </c>
      <c r="C57" s="27"/>
      <c r="D57" s="11"/>
      <c r="E57" s="11"/>
      <c r="F57" s="12"/>
      <c r="G57" s="7"/>
      <c r="H57" s="8"/>
      <c r="I57" s="26" cm="1">
        <f t="array" aca="1" ref="I57" ca="1">defaultValue(I55,K54)</f>
        <v>78</v>
      </c>
      <c r="J57" s="26" cm="1">
        <f t="array" aca="1" ref="J57" ca="1">defaultValue(J55,K54)</f>
        <v>56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9" ht="31.2" x14ac:dyDescent="0.3">
      <c r="A58" s="50">
        <v>1</v>
      </c>
      <c r="C58" s="8"/>
      <c r="D58" s="26" t="str" cm="1">
        <f t="array" aca="1" ref="D58" ca="1">defaultValue(E58,K54)</f>
        <v>ظهر</v>
      </c>
      <c r="E58" s="7" t="s">
        <v>58</v>
      </c>
      <c r="F58" s="26" t="str" cm="1">
        <f t="array" aca="1" ref="F58" ca="1">defaultValue(G58,K54)</f>
        <v>يوفيلاك</v>
      </c>
      <c r="G58" s="7" t="s">
        <v>32</v>
      </c>
      <c r="H58" s="26" t="str" cm="1">
        <f t="array" aca="1" ref="H58" ca="1">defaultValue(I58,K54)</f>
        <v>HPL</v>
      </c>
      <c r="I58" s="7" t="s">
        <v>31</v>
      </c>
      <c r="J58" s="24" t="s">
        <v>109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9" ht="14.4" x14ac:dyDescent="0.3">
      <c r="A59" s="50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9" x14ac:dyDescent="0.3">
      <c r="A60" s="50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33</v>
      </c>
      <c r="J60" s="6" t="s">
        <v>174</v>
      </c>
      <c r="K60" s="6" t="s">
        <v>157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9" ht="14.4" x14ac:dyDescent="0.3">
      <c r="A61" s="50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9" x14ac:dyDescent="0.3">
      <c r="A62" s="50">
        <v>3</v>
      </c>
      <c r="B62" s="14" t="str">
        <f>E54</f>
        <v>وحدة سفلية  ركنة 45</v>
      </c>
      <c r="C62" s="6">
        <v>1</v>
      </c>
      <c r="D62" s="6" t="str">
        <f ca="1">H58</f>
        <v>HPL</v>
      </c>
      <c r="E62" s="6" t="s">
        <v>10</v>
      </c>
      <c r="F62" s="6">
        <f>H56-1.8</f>
        <v>-1.8</v>
      </c>
      <c r="G62" s="6">
        <f>H57-1.8</f>
        <v>-1.8</v>
      </c>
      <c r="H62" s="6">
        <f>1*C54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9" x14ac:dyDescent="0.3">
      <c r="A63" s="50">
        <v>3</v>
      </c>
      <c r="B63" s="14" t="str">
        <f>B62</f>
        <v>وحدة سفلية  ركنة 45</v>
      </c>
      <c r="C63" s="6">
        <f>C62+1</f>
        <v>2</v>
      </c>
      <c r="D63" s="6" t="str">
        <f ca="1">H58</f>
        <v>HPL</v>
      </c>
      <c r="E63" s="6" t="s">
        <v>11</v>
      </c>
      <c r="F63" s="6">
        <f ca="1">I56</f>
        <v>78</v>
      </c>
      <c r="G63" s="6">
        <f ca="1">J56</f>
        <v>56</v>
      </c>
      <c r="H63" s="6">
        <f>2*C54</f>
        <v>2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9" x14ac:dyDescent="0.3">
      <c r="A64" s="50">
        <v>3</v>
      </c>
      <c r="B64" s="14" t="str">
        <f>B62</f>
        <v>وحدة سفلية  ركنة 45</v>
      </c>
      <c r="C64" s="6">
        <f t="shared" ref="C64:C67" si="4">C63+1</f>
        <v>3</v>
      </c>
      <c r="D64" s="6" t="str">
        <f ca="1">H58</f>
        <v>HPL</v>
      </c>
      <c r="E64" s="6" t="s">
        <v>13</v>
      </c>
      <c r="F64" s="6">
        <f>H56-1.8</f>
        <v>-1.8</v>
      </c>
      <c r="G64" s="6">
        <v>10</v>
      </c>
      <c r="H64" s="6">
        <f>3*C54</f>
        <v>3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50">
        <v>3</v>
      </c>
      <c r="B65" s="14" t="str">
        <f>B62</f>
        <v>وحدة سفلية  ركنة 45</v>
      </c>
      <c r="C65" s="6">
        <f t="shared" si="4"/>
        <v>4</v>
      </c>
      <c r="D65" s="6" t="str">
        <f ca="1">H58</f>
        <v>HPL</v>
      </c>
      <c r="E65" s="6" t="s">
        <v>14</v>
      </c>
      <c r="F65" s="6">
        <f>H56-1.8</f>
        <v>-1.8</v>
      </c>
      <c r="G65" s="6">
        <v>7</v>
      </c>
      <c r="H65" s="6">
        <f>2*C54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50">
        <v>3</v>
      </c>
      <c r="B66" s="14" t="str">
        <f>B62</f>
        <v>وحدة سفلية  ركنة 45</v>
      </c>
      <c r="C66" s="6">
        <f t="shared" si="4"/>
        <v>5</v>
      </c>
      <c r="D66" s="6" t="str">
        <f ca="1">H58</f>
        <v>HPL</v>
      </c>
      <c r="E66" s="6" t="s">
        <v>27</v>
      </c>
      <c r="F66" s="6">
        <v>70</v>
      </c>
      <c r="G66" s="6">
        <v>10</v>
      </c>
      <c r="H66" s="6">
        <f>1*C54</f>
        <v>1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50">
        <v>3</v>
      </c>
      <c r="B67" s="14" t="str">
        <f>B62</f>
        <v>وحدة سفلية  ركنة 45</v>
      </c>
      <c r="C67" s="6">
        <f t="shared" si="4"/>
        <v>6</v>
      </c>
      <c r="D67" s="6" t="str">
        <f ca="1">H58</f>
        <v>HPL</v>
      </c>
      <c r="E67" s="6" t="s">
        <v>17</v>
      </c>
      <c r="F67" s="6">
        <f>H56-3.8</f>
        <v>-3.8</v>
      </c>
      <c r="G67" s="6">
        <f>H57-3.8</f>
        <v>-3.8</v>
      </c>
      <c r="H67" s="6">
        <f>D56*C54</f>
        <v>1</v>
      </c>
      <c r="I67" s="6">
        <f ca="1">visible(materialNum(D67), K67)</f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ht="14.4" x14ac:dyDescent="0.3">
      <c r="A68" s="50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50">
        <v>4</v>
      </c>
      <c r="B69" s="14" t="str">
        <f>B62</f>
        <v>وحدة سفلية  ركنة 45</v>
      </c>
      <c r="C69" s="9">
        <f>C67+1</f>
        <v>7</v>
      </c>
      <c r="D69" s="9" t="str">
        <f ca="1">F58</f>
        <v>يوفيلاك</v>
      </c>
      <c r="E69" s="9" t="s">
        <v>28</v>
      </c>
      <c r="F69" s="9">
        <f ca="1">I56-0.5-E56</f>
        <v>74</v>
      </c>
      <c r="G69" s="16">
        <f ca="1">(SQRT((H56-J56)^2+(H57-J57)^2))-2</f>
        <v>77.195959492893323</v>
      </c>
      <c r="H69" s="9">
        <f>1*C54</f>
        <v>1</v>
      </c>
      <c r="I69" s="9">
        <f ca="1">visible(materialNum(D69), K69)</f>
        <v>6</v>
      </c>
      <c r="J69" s="9">
        <f ca="1">visible(engraving(I69), K69)</f>
        <v>2</v>
      </c>
      <c r="K69" s="9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ht="14.4" x14ac:dyDescent="0.3">
      <c r="A70" s="50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50">
        <v>5</v>
      </c>
      <c r="B71" s="14" t="str">
        <f>B62</f>
        <v>وحدة سفلية  ركنة 45</v>
      </c>
      <c r="C71" s="18">
        <f>C69+1</f>
        <v>8</v>
      </c>
      <c r="D71" s="18" t="str">
        <f ca="1">D58</f>
        <v>ظهر</v>
      </c>
      <c r="E71" s="18" t="s">
        <v>58</v>
      </c>
      <c r="F71" s="18">
        <f ca="1">I56-1</f>
        <v>77</v>
      </c>
      <c r="G71" s="18">
        <f>H56-1</f>
        <v>-1</v>
      </c>
      <c r="H71" s="18">
        <f>1*C54</f>
        <v>1</v>
      </c>
      <c r="I71" s="18">
        <f ca="1">visible(materialNum(D71), K71)</f>
        <v>2</v>
      </c>
      <c r="J71" s="18">
        <f ca="1">visible(engraving(I71), K71)</f>
        <v>2</v>
      </c>
      <c r="K71" s="18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50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">
      <c r="A73" s="50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ht="36" x14ac:dyDescent="0.3">
      <c r="A74" s="50" t="s">
        <v>134</v>
      </c>
      <c r="B74" s="3"/>
      <c r="C74" s="13">
        <v>1</v>
      </c>
      <c r="D74" s="21" t="s">
        <v>59</v>
      </c>
      <c r="E74" s="90" t="s">
        <v>103</v>
      </c>
      <c r="F74" s="91"/>
      <c r="G74" s="91"/>
      <c r="H74" s="92"/>
      <c r="I74" s="2" t="s">
        <v>30</v>
      </c>
      <c r="J74" s="2">
        <f>letterToNumber(A74)</f>
        <v>4</v>
      </c>
      <c r="K74" s="7">
        <f ca="1">_xlfn.SHEET("وحدات سفلية")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ht="31.2" x14ac:dyDescent="0.3">
      <c r="A75" s="50">
        <v>1</v>
      </c>
      <c r="B75" s="20"/>
      <c r="C75" s="7" t="s">
        <v>12</v>
      </c>
      <c r="D75" s="7" t="s">
        <v>18</v>
      </c>
      <c r="E75" s="7" t="s">
        <v>16</v>
      </c>
      <c r="F75" s="97"/>
      <c r="G75" s="15" t="s">
        <v>19</v>
      </c>
      <c r="H75" s="7" t="s">
        <v>22</v>
      </c>
      <c r="I75" s="7" t="s">
        <v>3</v>
      </c>
      <c r="J75" s="7" t="s">
        <v>111</v>
      </c>
      <c r="K75" s="7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">
      <c r="A76" s="50">
        <v>1</v>
      </c>
      <c r="B76" s="20"/>
      <c r="C76" s="8"/>
      <c r="D76" s="8">
        <v>0</v>
      </c>
      <c r="E76" s="26" cm="1">
        <f t="array" aca="1" ref="E76" ca="1">defaultValue(E75,K74)</f>
        <v>3.5</v>
      </c>
      <c r="F76" s="97"/>
      <c r="G76" s="26" cm="1">
        <f t="array" aca="1" ref="G76" ca="1">defaultValue(G75,K74)</f>
        <v>45</v>
      </c>
      <c r="H76" s="8">
        <v>60</v>
      </c>
      <c r="I76" s="26" cm="1">
        <f t="array" aca="1" ref="I76" ca="1">defaultValue(I75,K74)</f>
        <v>78</v>
      </c>
      <c r="J76" s="26" cm="1">
        <f t="array" aca="1" ref="J76" ca="1">defaultValue(J75,K74)</f>
        <v>56</v>
      </c>
      <c r="K76" s="7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ht="31.2" x14ac:dyDescent="0.3">
      <c r="A77" s="50">
        <v>1</v>
      </c>
      <c r="B77" s="20"/>
      <c r="C77" s="8"/>
      <c r="D77" s="26" t="str" cm="1">
        <f t="array" aca="1" ref="D77" ca="1">defaultValue(E77,K74)</f>
        <v>ظهر</v>
      </c>
      <c r="E77" s="7" t="s">
        <v>58</v>
      </c>
      <c r="F77" s="26" t="str" cm="1">
        <f t="array" aca="1" ref="F77" ca="1">defaultValue(G77,K74)</f>
        <v>يوفيلاك</v>
      </c>
      <c r="G77" s="7" t="s">
        <v>32</v>
      </c>
      <c r="H77" s="26" t="str" cm="1">
        <f t="array" aca="1" ref="H77" ca="1">defaultValue(I77,K74)</f>
        <v>HPL</v>
      </c>
      <c r="I77" s="7" t="s">
        <v>31</v>
      </c>
      <c r="J77" s="24" t="s">
        <v>109</v>
      </c>
      <c r="K77" s="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ht="14.4" x14ac:dyDescent="0.3">
      <c r="A78" s="50">
        <v>0</v>
      </c>
      <c r="B78"/>
      <c r="C78"/>
      <c r="D78"/>
      <c r="E78"/>
      <c r="F78"/>
      <c r="G78"/>
      <c r="H78"/>
      <c r="I78"/>
      <c r="J78"/>
      <c r="K78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ht="14.4" x14ac:dyDescent="0.3">
      <c r="A79" s="50">
        <v>2</v>
      </c>
      <c r="B79" s="20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33</v>
      </c>
      <c r="J79" s="6" t="s">
        <v>174</v>
      </c>
      <c r="K79" s="6" t="s">
        <v>157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ht="14.4" x14ac:dyDescent="0.3">
      <c r="A80" s="50">
        <v>0</v>
      </c>
      <c r="B80"/>
      <c r="C80"/>
      <c r="D80"/>
      <c r="E80"/>
      <c r="F80"/>
      <c r="G80"/>
      <c r="H80"/>
      <c r="I80"/>
      <c r="J80"/>
      <c r="K8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">
      <c r="A81" s="50">
        <v>3</v>
      </c>
      <c r="B81" s="14" t="str">
        <f>E74</f>
        <v xml:space="preserve">وحدة سفلية  فرن </v>
      </c>
      <c r="C81" s="6">
        <v>1</v>
      </c>
      <c r="D81" s="6" t="str">
        <f ca="1">H77</f>
        <v>HPL</v>
      </c>
      <c r="E81" s="6" t="s">
        <v>10</v>
      </c>
      <c r="F81" s="6">
        <f>H76-3.6</f>
        <v>56.4</v>
      </c>
      <c r="G81" s="6">
        <f ca="1">J76</f>
        <v>56</v>
      </c>
      <c r="H81" s="6">
        <f>2*C74</f>
        <v>2</v>
      </c>
      <c r="I81" s="6">
        <f ca="1">visible(materialNum(D81), K81)</f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">
      <c r="A82" s="50">
        <v>3</v>
      </c>
      <c r="B82" s="14" t="str">
        <f>B81</f>
        <v xml:space="preserve">وحدة سفلية  فرن </v>
      </c>
      <c r="C82" s="6">
        <f>C81+1</f>
        <v>2</v>
      </c>
      <c r="D82" s="6" t="str">
        <f ca="1">H77</f>
        <v>HPL</v>
      </c>
      <c r="E82" s="6" t="s">
        <v>11</v>
      </c>
      <c r="F82" s="6">
        <f ca="1">I76</f>
        <v>78</v>
      </c>
      <c r="G82" s="6">
        <f ca="1">J76</f>
        <v>56</v>
      </c>
      <c r="H82" s="6">
        <f>2*C74</f>
        <v>2</v>
      </c>
      <c r="I82" s="6">
        <f ca="1">visible(materialNum(D82), K82)</f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50">
        <v>3</v>
      </c>
      <c r="B83" s="14" t="str">
        <f>B81</f>
        <v xml:space="preserve">وحدة سفلية  فرن </v>
      </c>
      <c r="C83" s="6">
        <f t="shared" ref="C83:C88" si="5">C82+1</f>
        <v>3</v>
      </c>
      <c r="D83" s="6" t="str">
        <f ca="1">H77</f>
        <v>HPL</v>
      </c>
      <c r="E83" s="6" t="s">
        <v>13</v>
      </c>
      <c r="F83" s="6">
        <f>H76-3.6</f>
        <v>56.4</v>
      </c>
      <c r="G83" s="6">
        <v>10</v>
      </c>
      <c r="H83" s="6">
        <f>2*C74</f>
        <v>2</v>
      </c>
      <c r="I83" s="6">
        <f ca="1">visible(materialNum(D83), K83)</f>
        <v>2</v>
      </c>
      <c r="J83" s="6">
        <f ca="1">visible(engraving(I83), K83)</f>
        <v>2</v>
      </c>
      <c r="K83" s="6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">
      <c r="A84" s="50">
        <v>3</v>
      </c>
      <c r="B84" s="14" t="str">
        <f>B81</f>
        <v xml:space="preserve">وحدة سفلية  فرن </v>
      </c>
      <c r="C84" s="6">
        <f t="shared" si="5"/>
        <v>4</v>
      </c>
      <c r="D84" s="6" t="str">
        <f ca="1">H77</f>
        <v>HPL</v>
      </c>
      <c r="E84" s="6" t="s">
        <v>14</v>
      </c>
      <c r="F84" s="6">
        <f>H76-3.6</f>
        <v>56.4</v>
      </c>
      <c r="G84" s="6">
        <v>7</v>
      </c>
      <c r="H84" s="6">
        <f>2*C74</f>
        <v>2</v>
      </c>
      <c r="I84" s="6">
        <f ca="1">visible(materialNum(D84), K84)</f>
        <v>2</v>
      </c>
      <c r="J84" s="6">
        <f ca="1">visible(engraving(I84), K84)</f>
        <v>2</v>
      </c>
      <c r="K84" s="6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">
      <c r="A85" s="50">
        <v>3</v>
      </c>
      <c r="B85" s="14" t="str">
        <f>B81</f>
        <v xml:space="preserve">وحدة سفلية  فرن </v>
      </c>
      <c r="C85" s="6">
        <f t="shared" si="5"/>
        <v>5</v>
      </c>
      <c r="D85" s="6" t="str">
        <f ca="1">H77</f>
        <v>HPL</v>
      </c>
      <c r="E85" s="6" t="s">
        <v>17</v>
      </c>
      <c r="F85" s="6">
        <f>H76-3.8</f>
        <v>56.2</v>
      </c>
      <c r="G85" s="6">
        <f ca="1">J76-6</f>
        <v>50</v>
      </c>
      <c r="H85" s="6">
        <f>D76*C74</f>
        <v>0</v>
      </c>
      <c r="I85" s="6">
        <f ca="1">visible(materialNum(D85), K85)</f>
        <v>2</v>
      </c>
      <c r="J85" s="6">
        <f ca="1">visible(engraving(I85), K85)</f>
        <v>2</v>
      </c>
      <c r="K85" s="6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">
      <c r="A86" s="50">
        <v>3</v>
      </c>
      <c r="B86" s="14" t="str">
        <f>B82</f>
        <v xml:space="preserve">وحدة سفلية  فرن </v>
      </c>
      <c r="C86" s="10">
        <f t="shared" si="5"/>
        <v>6</v>
      </c>
      <c r="D86" s="10" t="str">
        <f ca="1">H77</f>
        <v>HPL</v>
      </c>
      <c r="E86" s="10" t="s">
        <v>21</v>
      </c>
      <c r="F86" s="10">
        <f>H76-3.6-3.6-2.5</f>
        <v>50.3</v>
      </c>
      <c r="G86" s="10">
        <v>10</v>
      </c>
      <c r="H86" s="10">
        <f>1*C74</f>
        <v>1</v>
      </c>
      <c r="I86" s="10">
        <f ca="1">visible(materialNum(D86), K86)</f>
        <v>2</v>
      </c>
      <c r="J86" s="10">
        <f ca="1">visible(engraving(I86), K86)</f>
        <v>2</v>
      </c>
      <c r="K86" s="10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">
      <c r="A87" s="50">
        <v>3</v>
      </c>
      <c r="B87" s="14" t="str">
        <f>B83</f>
        <v xml:space="preserve">وحدة سفلية  فرن </v>
      </c>
      <c r="C87" s="10">
        <f t="shared" si="5"/>
        <v>7</v>
      </c>
      <c r="D87" s="10" t="str">
        <f ca="1">H77</f>
        <v>HPL</v>
      </c>
      <c r="E87" s="10" t="s">
        <v>126</v>
      </c>
      <c r="F87" s="10">
        <f ca="1">G76</f>
        <v>45</v>
      </c>
      <c r="G87" s="10">
        <v>10</v>
      </c>
      <c r="H87" s="10">
        <f>2*C74</f>
        <v>2</v>
      </c>
      <c r="I87" s="10">
        <f ca="1">visible(materialNum(D87), K87)</f>
        <v>2</v>
      </c>
      <c r="J87" s="10">
        <f ca="1">visible(engraving(I87), K87)</f>
        <v>2</v>
      </c>
      <c r="K87" s="10" t="b"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">
      <c r="A88" s="50">
        <v>3</v>
      </c>
      <c r="B88" s="14" t="str">
        <f>B84</f>
        <v xml:space="preserve">وحدة سفلية  فرن </v>
      </c>
      <c r="C88" s="10">
        <f t="shared" si="5"/>
        <v>8</v>
      </c>
      <c r="D88" s="10" t="str">
        <f ca="1">H77</f>
        <v>HPL</v>
      </c>
      <c r="E88" s="10" t="s">
        <v>127</v>
      </c>
      <c r="F88" s="10">
        <f>H76-3.6-3.6-2.5</f>
        <v>50.3</v>
      </c>
      <c r="G88" s="10">
        <f>10-3</f>
        <v>7</v>
      </c>
      <c r="H88" s="10">
        <f>1*C74</f>
        <v>1</v>
      </c>
      <c r="I88" s="10">
        <f ca="1">visible(materialNum(D88), K88)</f>
        <v>2</v>
      </c>
      <c r="J88" s="10">
        <f ca="1">visible(engraving(I88), K88)</f>
        <v>2</v>
      </c>
      <c r="K88" s="10" t="b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ht="14.4" x14ac:dyDescent="0.3">
      <c r="A89" s="50">
        <v>0</v>
      </c>
      <c r="B89"/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">
      <c r="A90" s="50">
        <v>4</v>
      </c>
      <c r="B90" s="14" t="str">
        <f>B81</f>
        <v xml:space="preserve">وحدة سفلية  فرن </v>
      </c>
      <c r="C90" s="9">
        <f>C88+1</f>
        <v>9</v>
      </c>
      <c r="D90" s="9" t="str">
        <f ca="1">F77</f>
        <v>يوفيلاك</v>
      </c>
      <c r="E90" s="9" t="s">
        <v>15</v>
      </c>
      <c r="F90" s="9" t="str">
        <f>IF(H90=0,"",(I76-0.5-E76))</f>
        <v/>
      </c>
      <c r="G90" s="9" t="str">
        <f>IF(H90=0, "",(H76/C76)-0.5)</f>
        <v/>
      </c>
      <c r="H90" s="9">
        <f>C76*C74</f>
        <v>0</v>
      </c>
      <c r="I90" s="9">
        <f ca="1">visible(materialNum(D90), K90)</f>
        <v>6</v>
      </c>
      <c r="J90" s="9">
        <f ca="1">visible(engraving(I90), K90)</f>
        <v>2</v>
      </c>
      <c r="K90" s="9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">
      <c r="A91" s="50">
        <v>4</v>
      </c>
      <c r="B91" s="14" t="str">
        <f>B81</f>
        <v xml:space="preserve">وحدة سفلية  فرن </v>
      </c>
      <c r="C91" s="9">
        <f>C90+1</f>
        <v>10</v>
      </c>
      <c r="D91" s="9" t="str">
        <f ca="1">F77</f>
        <v>يوفيلاك</v>
      </c>
      <c r="E91" s="9" t="s">
        <v>125</v>
      </c>
      <c r="F91" s="9">
        <f>H76-0.5</f>
        <v>59.5</v>
      </c>
      <c r="G91" s="9">
        <f ca="1">I76-E76-60.5</f>
        <v>14</v>
      </c>
      <c r="H91" s="9">
        <f>1*C74</f>
        <v>1</v>
      </c>
      <c r="I91" s="9">
        <f ca="1">visible(materialNum(D91), K91)</f>
        <v>6</v>
      </c>
      <c r="J91" s="9">
        <f ca="1">visible(engraving(I91), K91)</f>
        <v>2</v>
      </c>
      <c r="K91" s="9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4.4" x14ac:dyDescent="0.3">
      <c r="A92" s="50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">
      <c r="A93" s="50">
        <v>5</v>
      </c>
      <c r="B93" s="14" t="str">
        <f>B81</f>
        <v xml:space="preserve">وحدة سفلية  فرن </v>
      </c>
      <c r="C93" s="18">
        <f>C91+1</f>
        <v>11</v>
      </c>
      <c r="D93" s="18" t="str">
        <f ca="1">D77</f>
        <v>ظهر</v>
      </c>
      <c r="E93" s="18" t="s">
        <v>58</v>
      </c>
      <c r="F93" s="18">
        <f ca="1">I76-2</f>
        <v>76</v>
      </c>
      <c r="G93" s="18">
        <f>H76-2</f>
        <v>58</v>
      </c>
      <c r="H93" s="18">
        <f>1*C74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">
      <c r="A94" s="50">
        <v>5</v>
      </c>
      <c r="B94" s="14" t="str">
        <f>B81</f>
        <v xml:space="preserve">وحدة سفلية  فرن </v>
      </c>
      <c r="C94" s="18">
        <f>C93+1</f>
        <v>12</v>
      </c>
      <c r="D94" s="18" t="str">
        <f ca="1">D77</f>
        <v>ظهر</v>
      </c>
      <c r="E94" s="18" t="s">
        <v>124</v>
      </c>
      <c r="F94" s="18">
        <f>H76-3.6-3.6-2.5+2</f>
        <v>52.3</v>
      </c>
      <c r="G94" s="18">
        <f ca="1">G76-1</f>
        <v>44</v>
      </c>
      <c r="H94" s="18">
        <f>1*C74</f>
        <v>1</v>
      </c>
      <c r="I94" s="18">
        <f ca="1">visible(materialNum(D94), K94)</f>
        <v>2</v>
      </c>
      <c r="J94" s="18">
        <f ca="1">visible(engraving(I94), K94)</f>
        <v>2</v>
      </c>
      <c r="K94" s="18" t="b">
        <v>1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">
      <c r="A95" s="50">
        <v>255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">
      <c r="A96" s="50">
        <v>255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ht="36" x14ac:dyDescent="0.3">
      <c r="A97" s="53" t="s">
        <v>130</v>
      </c>
      <c r="C97" s="13">
        <v>1</v>
      </c>
      <c r="D97" s="21" t="s">
        <v>59</v>
      </c>
      <c r="E97" s="90" t="s">
        <v>135</v>
      </c>
      <c r="F97" s="91"/>
      <c r="G97" s="91"/>
      <c r="H97" s="92"/>
      <c r="I97" s="2" t="s">
        <v>30</v>
      </c>
      <c r="J97" s="2">
        <f>letterToNumber(A97)</f>
        <v>5</v>
      </c>
      <c r="K97" s="7">
        <f ca="1">_xlfn.SHEET("وحدات سفلية")</f>
        <v>4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ht="31.2" x14ac:dyDescent="0.3">
      <c r="A98" s="50">
        <v>1</v>
      </c>
      <c r="C98" s="7" t="s">
        <v>12</v>
      </c>
      <c r="D98" s="17" t="s">
        <v>18</v>
      </c>
      <c r="E98" s="7" t="s">
        <v>16</v>
      </c>
      <c r="F98" s="17" t="s">
        <v>136</v>
      </c>
      <c r="G98" s="15" t="s">
        <v>19</v>
      </c>
      <c r="H98" s="7" t="s">
        <v>22</v>
      </c>
      <c r="I98" s="7" t="s">
        <v>3</v>
      </c>
      <c r="J98" s="7" t="s">
        <v>111</v>
      </c>
      <c r="K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">
      <c r="A99" s="50">
        <v>1</v>
      </c>
      <c r="C99" s="8">
        <v>2</v>
      </c>
      <c r="D99" s="8">
        <v>1</v>
      </c>
      <c r="E99" s="26" cm="1">
        <f t="array" aca="1" ref="E99" ca="1">defaultValue(E98,K97)</f>
        <v>3.5</v>
      </c>
      <c r="F99" s="8">
        <v>1</v>
      </c>
      <c r="G99" s="26" cm="1">
        <f t="array" aca="1" ref="G99" ca="1">defaultValue(G98,K97)</f>
        <v>45</v>
      </c>
      <c r="H99" s="8">
        <v>60</v>
      </c>
      <c r="I99" s="26" cm="1">
        <f t="array" aca="1" ref="I99" ca="1">defaultValue(I98,K97)</f>
        <v>78</v>
      </c>
      <c r="J99" s="26" cm="1">
        <f t="array" aca="1" ref="J99" ca="1">defaultValue(J98,K97)</f>
        <v>56</v>
      </c>
      <c r="K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ht="31.2" x14ac:dyDescent="0.3">
      <c r="A100" s="50">
        <v>1</v>
      </c>
      <c r="C100" s="8"/>
      <c r="D100" s="26" t="str" cm="1">
        <f t="array" aca="1" ref="D100" ca="1">defaultValue(E100,K97)</f>
        <v>ظهر</v>
      </c>
      <c r="E100" s="7" t="s">
        <v>58</v>
      </c>
      <c r="F100" s="26" t="str" cm="1">
        <f t="array" aca="1" ref="F100" ca="1">defaultValue(G100,K97)</f>
        <v>يوفيلاك</v>
      </c>
      <c r="G100" s="7" t="s">
        <v>32</v>
      </c>
      <c r="H100" s="26" t="str" cm="1">
        <f t="array" aca="1" ref="H100" ca="1">defaultValue(I100,K97)</f>
        <v>HPL</v>
      </c>
      <c r="I100" s="7" t="s">
        <v>31</v>
      </c>
      <c r="J100" s="24" t="s">
        <v>109</v>
      </c>
      <c r="K100" s="7"/>
      <c r="BB100"/>
      <c r="BC100"/>
      <c r="BD100"/>
      <c r="BE100"/>
      <c r="BF100"/>
      <c r="BG100"/>
      <c r="BH100"/>
      <c r="BI100"/>
      <c r="BJ100"/>
    </row>
    <row r="101" spans="1:79" ht="14.4" x14ac:dyDescent="0.3">
      <c r="A101" s="50">
        <v>0</v>
      </c>
      <c r="B101"/>
      <c r="C101"/>
      <c r="D101"/>
      <c r="E101"/>
      <c r="F101"/>
      <c r="G101"/>
      <c r="H101"/>
      <c r="I101"/>
      <c r="J101"/>
      <c r="K101"/>
      <c r="BB101"/>
      <c r="BC101"/>
      <c r="BD101"/>
      <c r="BE101"/>
      <c r="BF101"/>
      <c r="BG101"/>
      <c r="BH101"/>
      <c r="BI101"/>
      <c r="BJ101"/>
    </row>
    <row r="102" spans="1:79" x14ac:dyDescent="0.3">
      <c r="A102" s="50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33</v>
      </c>
      <c r="J102" s="6" t="s">
        <v>174</v>
      </c>
      <c r="K102" s="6" t="s">
        <v>157</v>
      </c>
      <c r="BB102"/>
      <c r="BC102"/>
      <c r="BD102"/>
      <c r="BE102"/>
      <c r="BF102"/>
      <c r="BG102"/>
      <c r="BH102"/>
      <c r="BI102"/>
      <c r="BJ102"/>
    </row>
    <row r="103" spans="1:79" ht="14.4" x14ac:dyDescent="0.3">
      <c r="A103" s="50">
        <v>0</v>
      </c>
      <c r="B103"/>
      <c r="C103"/>
      <c r="D103"/>
      <c r="E103"/>
      <c r="F103"/>
      <c r="G103"/>
      <c r="H103"/>
      <c r="I103"/>
      <c r="J103"/>
      <c r="K103"/>
      <c r="BB103"/>
      <c r="BC103"/>
      <c r="BD103"/>
      <c r="BE103"/>
      <c r="BF103"/>
      <c r="BG103"/>
      <c r="BH103"/>
      <c r="BI103"/>
      <c r="BJ103"/>
    </row>
    <row r="104" spans="1:79" x14ac:dyDescent="0.3">
      <c r="A104" s="50">
        <v>3</v>
      </c>
      <c r="B104" s="14" t="str">
        <f>E97</f>
        <v>وحدة سفلية دلفة /دلفتين + درج</v>
      </c>
      <c r="C104" s="6">
        <v>1</v>
      </c>
      <c r="D104" s="6" t="str">
        <f ca="1">H100</f>
        <v>HPL</v>
      </c>
      <c r="E104" s="6" t="s">
        <v>10</v>
      </c>
      <c r="F104" s="6">
        <f>H99-3.6</f>
        <v>56.4</v>
      </c>
      <c r="G104" s="6">
        <f ca="1">J99</f>
        <v>56</v>
      </c>
      <c r="H104" s="6">
        <f>1*C97</f>
        <v>1</v>
      </c>
      <c r="I104" s="6">
        <f ca="1">visible(materialNum(D104), K104)</f>
        <v>2</v>
      </c>
      <c r="J104" s="6">
        <f ca="1">visible(engraving(I104), K104)</f>
        <v>2</v>
      </c>
      <c r="K104" s="6" t="b">
        <v>1</v>
      </c>
      <c r="BB104"/>
      <c r="BC104"/>
      <c r="BD104"/>
      <c r="BE104"/>
      <c r="BF104"/>
      <c r="BG104"/>
      <c r="BH104"/>
      <c r="BI104"/>
      <c r="BJ104"/>
    </row>
    <row r="105" spans="1:79" x14ac:dyDescent="0.3">
      <c r="A105" s="50">
        <v>3</v>
      </c>
      <c r="B105" s="14" t="str">
        <f>B104</f>
        <v>وحدة سفلية دلفة /دلفتين + درج</v>
      </c>
      <c r="C105" s="6">
        <f>C104+1</f>
        <v>2</v>
      </c>
      <c r="D105" s="6" t="str">
        <f ca="1">H100</f>
        <v>HPL</v>
      </c>
      <c r="E105" s="6" t="s">
        <v>11</v>
      </c>
      <c r="F105" s="6">
        <f ca="1">I99</f>
        <v>78</v>
      </c>
      <c r="G105" s="6">
        <f ca="1">J99</f>
        <v>56</v>
      </c>
      <c r="H105" s="6">
        <f>2*C97</f>
        <v>2</v>
      </c>
      <c r="I105" s="6">
        <f ca="1">visible(materialNum(D105), K105)</f>
        <v>2</v>
      </c>
      <c r="J105" s="6">
        <f ca="1">visible(engraving(I105), K105)</f>
        <v>2</v>
      </c>
      <c r="K105" s="6" t="b">
        <v>1</v>
      </c>
      <c r="BB105"/>
      <c r="BC105"/>
      <c r="BD105"/>
      <c r="BE105"/>
      <c r="BF105"/>
      <c r="BG105"/>
      <c r="BH105"/>
      <c r="BI105"/>
      <c r="BJ105"/>
    </row>
    <row r="106" spans="1:79" x14ac:dyDescent="0.3">
      <c r="A106" s="50">
        <v>3</v>
      </c>
      <c r="B106" s="14" t="str">
        <f>B104</f>
        <v>وحدة سفلية دلفة /دلفتين + درج</v>
      </c>
      <c r="C106" s="6">
        <f t="shared" ref="C106:C111" si="6">C105+1</f>
        <v>3</v>
      </c>
      <c r="D106" s="6" t="str">
        <f ca="1">H100</f>
        <v>HPL</v>
      </c>
      <c r="E106" s="6" t="s">
        <v>13</v>
      </c>
      <c r="F106" s="6">
        <f>H99-3.6</f>
        <v>56.4</v>
      </c>
      <c r="G106" s="6">
        <f>10</f>
        <v>10</v>
      </c>
      <c r="H106" s="6">
        <f>1*C97</f>
        <v>1</v>
      </c>
      <c r="I106" s="6">
        <f ca="1">visible(materialNum(D106), K106)</f>
        <v>2</v>
      </c>
      <c r="J106" s="6">
        <f ca="1">visible(engraving(I106), K106)</f>
        <v>2</v>
      </c>
      <c r="K106" s="6" t="b">
        <v>1</v>
      </c>
      <c r="BB106"/>
      <c r="BC106"/>
      <c r="BD106"/>
      <c r="BE106"/>
      <c r="BF106"/>
      <c r="BG106"/>
      <c r="BH106"/>
      <c r="BI106"/>
      <c r="BJ106"/>
    </row>
    <row r="107" spans="1:79" x14ac:dyDescent="0.3">
      <c r="A107" s="50">
        <v>3</v>
      </c>
      <c r="B107" s="14" t="str">
        <f>B104</f>
        <v>وحدة سفلية دلفة /دلفتين + درج</v>
      </c>
      <c r="C107" s="6">
        <f t="shared" si="6"/>
        <v>4</v>
      </c>
      <c r="D107" s="6" t="str">
        <f ca="1">H100</f>
        <v>HPL</v>
      </c>
      <c r="E107" s="6" t="s">
        <v>14</v>
      </c>
      <c r="F107" s="6">
        <f>H99-3.6</f>
        <v>56.4</v>
      </c>
      <c r="G107" s="6">
        <f>7</f>
        <v>7</v>
      </c>
      <c r="H107" s="6">
        <f>1*C97</f>
        <v>1</v>
      </c>
      <c r="I107" s="6">
        <f ca="1">visible(materialNum(D107), K107)</f>
        <v>2</v>
      </c>
      <c r="J107" s="6">
        <f ca="1">visible(engraving(I107), K107)</f>
        <v>2</v>
      </c>
      <c r="K107" s="6" t="b">
        <v>1</v>
      </c>
      <c r="BB107"/>
      <c r="BC107"/>
      <c r="BD107"/>
      <c r="BE107"/>
      <c r="BF107"/>
      <c r="BG107"/>
      <c r="BH107"/>
      <c r="BI107"/>
      <c r="BJ107"/>
    </row>
    <row r="108" spans="1:79" x14ac:dyDescent="0.3">
      <c r="A108" s="50">
        <v>3</v>
      </c>
      <c r="B108" s="14" t="str">
        <f>B104</f>
        <v>وحدة سفلية دلفة /دلفتين + درج</v>
      </c>
      <c r="C108" s="6">
        <f t="shared" si="6"/>
        <v>5</v>
      </c>
      <c r="D108" s="6" t="str">
        <f ca="1">H100</f>
        <v>HPL</v>
      </c>
      <c r="E108" s="6" t="s">
        <v>17</v>
      </c>
      <c r="F108" s="6">
        <f>H99-3.8</f>
        <v>56.2</v>
      </c>
      <c r="G108" s="6">
        <f ca="1">J99-6</f>
        <v>50</v>
      </c>
      <c r="H108" s="6">
        <f>D99*C97</f>
        <v>1</v>
      </c>
      <c r="I108" s="6">
        <f ca="1">visible(materialNum(D108), K108)</f>
        <v>2</v>
      </c>
      <c r="J108" s="6">
        <f ca="1">visible(engraving(I108), K108)</f>
        <v>2</v>
      </c>
      <c r="K108" s="6" t="b">
        <v>1</v>
      </c>
      <c r="BB108"/>
      <c r="BC108"/>
      <c r="BD108"/>
      <c r="BE108"/>
      <c r="BF108"/>
      <c r="BG108"/>
      <c r="BH108"/>
      <c r="BI108"/>
      <c r="BJ108"/>
    </row>
    <row r="109" spans="1:79" x14ac:dyDescent="0.3">
      <c r="A109" s="50">
        <v>3</v>
      </c>
      <c r="B109" s="14" t="str">
        <f>B105</f>
        <v>وحدة سفلية دلفة /دلفتين + درج</v>
      </c>
      <c r="C109" s="10">
        <f t="shared" si="6"/>
        <v>6</v>
      </c>
      <c r="D109" s="10" t="str">
        <f ca="1">H100</f>
        <v>HPL</v>
      </c>
      <c r="E109" s="10" t="s">
        <v>21</v>
      </c>
      <c r="F109" s="10">
        <f>H99-3.6-3.6-2.5</f>
        <v>50.3</v>
      </c>
      <c r="G109" s="10">
        <v>10</v>
      </c>
      <c r="H109" s="10">
        <f>F99*C97</f>
        <v>1</v>
      </c>
      <c r="I109" s="10">
        <f ca="1">visible(materialNum(D109), K109)</f>
        <v>2</v>
      </c>
      <c r="J109" s="10">
        <f ca="1">visible(engraving(I109), K109)</f>
        <v>2</v>
      </c>
      <c r="K109" s="10" t="b">
        <v>1</v>
      </c>
      <c r="BB109"/>
      <c r="BC109"/>
      <c r="BD109"/>
      <c r="BE109"/>
      <c r="BF109"/>
      <c r="BG109"/>
      <c r="BH109"/>
      <c r="BI109"/>
      <c r="BJ109"/>
    </row>
    <row r="110" spans="1:79" x14ac:dyDescent="0.3">
      <c r="A110" s="50">
        <v>3</v>
      </c>
      <c r="B110" s="14" t="str">
        <f>B106</f>
        <v>وحدة سفلية دلفة /دلفتين + درج</v>
      </c>
      <c r="C110" s="10">
        <f t="shared" si="6"/>
        <v>7</v>
      </c>
      <c r="D110" s="10" t="str">
        <f ca="1">H100</f>
        <v>HPL</v>
      </c>
      <c r="E110" s="10" t="s">
        <v>126</v>
      </c>
      <c r="F110" s="10">
        <f ca="1">G99</f>
        <v>45</v>
      </c>
      <c r="G110" s="10">
        <v>10</v>
      </c>
      <c r="H110" s="10">
        <f>2*C97*F99</f>
        <v>2</v>
      </c>
      <c r="I110" s="10">
        <f ca="1">visible(materialNum(D110), K110)</f>
        <v>2</v>
      </c>
      <c r="J110" s="10">
        <f ca="1">visible(engraving(I110), K110)</f>
        <v>2</v>
      </c>
      <c r="K110" s="10" t="b">
        <v>1</v>
      </c>
      <c r="BB110"/>
      <c r="BC110"/>
      <c r="BD110"/>
      <c r="BE110"/>
      <c r="BF110"/>
      <c r="BG110"/>
      <c r="BH110"/>
      <c r="BI110"/>
      <c r="BJ110"/>
    </row>
    <row r="111" spans="1:79" x14ac:dyDescent="0.3">
      <c r="A111" s="50">
        <v>3</v>
      </c>
      <c r="B111" s="14" t="str">
        <f>B107</f>
        <v>وحدة سفلية دلفة /دلفتين + درج</v>
      </c>
      <c r="C111" s="10">
        <f t="shared" si="6"/>
        <v>8</v>
      </c>
      <c r="D111" s="10" t="str">
        <f ca="1">H100</f>
        <v>HPL</v>
      </c>
      <c r="E111" s="10" t="s">
        <v>127</v>
      </c>
      <c r="F111" s="10">
        <f>H99-3.6-3.6-2.5</f>
        <v>50.3</v>
      </c>
      <c r="G111" s="10">
        <f>10-3</f>
        <v>7</v>
      </c>
      <c r="H111" s="10">
        <f>F99*C97</f>
        <v>1</v>
      </c>
      <c r="I111" s="10">
        <f ca="1">visible(materialNum(D111), K111)</f>
        <v>2</v>
      </c>
      <c r="J111" s="10">
        <f ca="1">visible(engraving(I111), K111)</f>
        <v>2</v>
      </c>
      <c r="K111" s="10" t="b">
        <v>1</v>
      </c>
      <c r="BB111"/>
      <c r="BC111"/>
      <c r="BD111"/>
      <c r="BE111"/>
      <c r="BF111"/>
      <c r="BG111"/>
      <c r="BH111"/>
      <c r="BI111"/>
      <c r="BJ111"/>
    </row>
    <row r="112" spans="1:79" ht="14.4" x14ac:dyDescent="0.3">
      <c r="A112" s="50">
        <v>0</v>
      </c>
      <c r="B112"/>
      <c r="C112"/>
      <c r="D112"/>
      <c r="E112"/>
      <c r="F112"/>
      <c r="G112"/>
      <c r="H112"/>
      <c r="I112"/>
      <c r="J112"/>
      <c r="K112"/>
      <c r="BB112"/>
      <c r="BC112"/>
      <c r="BD112"/>
      <c r="BE112"/>
      <c r="BF112"/>
      <c r="BG112"/>
      <c r="BH112"/>
      <c r="BI112"/>
      <c r="BJ112"/>
    </row>
    <row r="113" spans="1:62" x14ac:dyDescent="0.3">
      <c r="A113" s="50">
        <v>4</v>
      </c>
      <c r="B113" s="14" t="str">
        <f>B104</f>
        <v>وحدة سفلية دلفة /دلفتين + درج</v>
      </c>
      <c r="C113" s="9">
        <f>C111+1</f>
        <v>9</v>
      </c>
      <c r="D113" s="9" t="str">
        <f ca="1">F100</f>
        <v>يوفيلاك</v>
      </c>
      <c r="E113" s="9" t="s">
        <v>15</v>
      </c>
      <c r="F113" s="9">
        <f ca="1">I99-0.5-E99-G114</f>
        <v>59</v>
      </c>
      <c r="G113" s="9">
        <f>(H99/C99)-0.5</f>
        <v>29.5</v>
      </c>
      <c r="H113" s="9">
        <f>C99*C97</f>
        <v>2</v>
      </c>
      <c r="I113" s="9">
        <f ca="1">visible(materialNum(D113), K113)</f>
        <v>6</v>
      </c>
      <c r="J113" s="9">
        <f ca="1">visible(engraving(I113), K113)</f>
        <v>2</v>
      </c>
      <c r="K113" s="9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50">
        <v>4</v>
      </c>
      <c r="B114" s="14" t="str">
        <f>B104</f>
        <v>وحدة سفلية دلفة /دلفتين + درج</v>
      </c>
      <c r="C114" s="9">
        <f>C113+1</f>
        <v>10</v>
      </c>
      <c r="D114" s="9" t="str">
        <f ca="1">F100</f>
        <v>يوفيلاك</v>
      </c>
      <c r="E114" s="9" t="s">
        <v>138</v>
      </c>
      <c r="F114" s="9">
        <f>H99-0.5</f>
        <v>59.5</v>
      </c>
      <c r="G114" s="9">
        <f ca="1">I99-E99-59.5</f>
        <v>15</v>
      </c>
      <c r="H114" s="9">
        <f>F99*C97</f>
        <v>1</v>
      </c>
      <c r="I114" s="9">
        <f ca="1">visible(materialNum(D114), K114)</f>
        <v>6</v>
      </c>
      <c r="J114" s="9">
        <f ca="1">visible(engraving(I114), K114)</f>
        <v>2</v>
      </c>
      <c r="K114" s="9" t="b">
        <v>1</v>
      </c>
      <c r="BB114"/>
      <c r="BC114"/>
      <c r="BD114"/>
      <c r="BE114"/>
      <c r="BF114"/>
      <c r="BG114"/>
      <c r="BH114"/>
      <c r="BI114"/>
      <c r="BJ114"/>
    </row>
    <row r="115" spans="1:62" ht="14.4" x14ac:dyDescent="0.3">
      <c r="A115" s="50">
        <v>0</v>
      </c>
      <c r="B115"/>
      <c r="C115"/>
      <c r="D115"/>
      <c r="E115"/>
      <c r="F115"/>
      <c r="G115"/>
      <c r="H115"/>
      <c r="I115"/>
      <c r="J115"/>
      <c r="K115"/>
      <c r="BB115"/>
      <c r="BC115"/>
      <c r="BD115"/>
      <c r="BE115"/>
      <c r="BF115"/>
      <c r="BG115"/>
      <c r="BH115"/>
      <c r="BI115"/>
      <c r="BJ115"/>
    </row>
    <row r="116" spans="1:62" x14ac:dyDescent="0.3">
      <c r="A116" s="50">
        <v>5</v>
      </c>
      <c r="B116" s="14" t="str">
        <f>B104</f>
        <v>وحدة سفلية دلفة /دلفتين + درج</v>
      </c>
      <c r="C116" s="18">
        <f>C113+1</f>
        <v>10</v>
      </c>
      <c r="D116" s="18" t="str">
        <f ca="1">D100</f>
        <v>ظهر</v>
      </c>
      <c r="E116" s="18" t="s">
        <v>58</v>
      </c>
      <c r="F116" s="18">
        <f ca="1">I99-2</f>
        <v>76</v>
      </c>
      <c r="G116" s="18">
        <f>H99-2</f>
        <v>58</v>
      </c>
      <c r="H116" s="18">
        <f>1*C97</f>
        <v>1</v>
      </c>
      <c r="I116" s="18">
        <f ca="1">visible(materialNum(D116), K116)</f>
        <v>2</v>
      </c>
      <c r="J116" s="18">
        <f ca="1">visible(engraving(I116), K116)</f>
        <v>2</v>
      </c>
      <c r="K116" s="18" t="b">
        <v>1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50">
        <v>5</v>
      </c>
      <c r="B117" s="14" t="str">
        <f>B104</f>
        <v>وحدة سفلية دلفة /دلفتين + درج</v>
      </c>
      <c r="C117" s="18">
        <f>C116+1</f>
        <v>11</v>
      </c>
      <c r="D117" s="18" t="str">
        <f ca="1">D100</f>
        <v>ظهر</v>
      </c>
      <c r="E117" s="18" t="s">
        <v>137</v>
      </c>
      <c r="F117" s="18">
        <f>H99-3.6-3.6-2.5+2</f>
        <v>52.3</v>
      </c>
      <c r="G117" s="18">
        <f ca="1">G99-1</f>
        <v>44</v>
      </c>
      <c r="H117" s="18">
        <f>1*C97</f>
        <v>1</v>
      </c>
      <c r="I117" s="18">
        <f ca="1">visible(materialNum(D117), K117)</f>
        <v>2</v>
      </c>
      <c r="J117" s="18">
        <f ca="1">visible(engraving(I117), K117)</f>
        <v>2</v>
      </c>
      <c r="K117" s="18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50">
        <v>255</v>
      </c>
      <c r="BB118"/>
      <c r="BC118"/>
      <c r="BD118"/>
      <c r="BE118"/>
      <c r="BF118"/>
      <c r="BG118"/>
      <c r="BH118"/>
      <c r="BI118"/>
      <c r="BJ118"/>
    </row>
    <row r="119" spans="1:62" x14ac:dyDescent="0.3">
      <c r="A119" s="50">
        <v>255</v>
      </c>
      <c r="BB119"/>
      <c r="BC119"/>
      <c r="BD119"/>
      <c r="BE119"/>
      <c r="BF119"/>
      <c r="BG119"/>
      <c r="BH119"/>
      <c r="BI119"/>
      <c r="BJ119"/>
    </row>
    <row r="120" spans="1:62" ht="36" x14ac:dyDescent="0.3">
      <c r="A120" s="53" t="s">
        <v>131</v>
      </c>
      <c r="C120" s="13">
        <v>1</v>
      </c>
      <c r="D120" s="21" t="s">
        <v>59</v>
      </c>
      <c r="E120" s="90" t="s">
        <v>156</v>
      </c>
      <c r="F120" s="91"/>
      <c r="G120" s="91"/>
      <c r="H120" s="92"/>
      <c r="I120" s="2" t="s">
        <v>30</v>
      </c>
      <c r="J120" s="2">
        <f>letterToNumber(A120)</f>
        <v>6</v>
      </c>
      <c r="K120" s="26">
        <f ca="1">_xlfn.SHEET("وحدات سفلية")</f>
        <v>4</v>
      </c>
      <c r="BB120"/>
      <c r="BC120"/>
      <c r="BD120"/>
      <c r="BE120"/>
      <c r="BF120"/>
      <c r="BG120"/>
      <c r="BH120"/>
      <c r="BI120"/>
      <c r="BJ120"/>
    </row>
    <row r="121" spans="1:62" ht="21" x14ac:dyDescent="0.3">
      <c r="A121" s="50">
        <v>1</v>
      </c>
      <c r="C121" s="8"/>
      <c r="D121" s="7"/>
      <c r="E121" s="26" t="str" cm="1">
        <f t="array" aca="1" ref="E121" ca="1">defaultValue(F121,K120)</f>
        <v>ظهر</v>
      </c>
      <c r="F121" s="7" t="s">
        <v>58</v>
      </c>
      <c r="G121" s="26" t="str" cm="1">
        <f t="array" aca="1" ref="G121" ca="1">defaultValue(H121,K120)</f>
        <v>يوفيلاك</v>
      </c>
      <c r="H121" s="7" t="s">
        <v>32</v>
      </c>
      <c r="I121" s="26" t="str" cm="1">
        <f t="array" aca="1" ref="I121" ca="1">defaultValue(J121,K120)</f>
        <v>HPL</v>
      </c>
      <c r="J121" s="7" t="s">
        <v>31</v>
      </c>
      <c r="K121" s="24" t="s">
        <v>109</v>
      </c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50">
        <v>1</v>
      </c>
      <c r="C122" s="7" t="s">
        <v>12</v>
      </c>
      <c r="D122" s="7" t="s">
        <v>18</v>
      </c>
      <c r="E122" s="85"/>
      <c r="F122" s="85" t="s">
        <v>112</v>
      </c>
      <c r="G122" s="7" t="s">
        <v>16</v>
      </c>
      <c r="H122" s="7" t="s">
        <v>22</v>
      </c>
      <c r="I122" s="7" t="s">
        <v>3</v>
      </c>
      <c r="J122" s="7" t="s">
        <v>111</v>
      </c>
      <c r="K122" s="7"/>
      <c r="BB122"/>
      <c r="BC122"/>
      <c r="BD122"/>
      <c r="BE122"/>
      <c r="BF122"/>
      <c r="BG122"/>
      <c r="BH122"/>
      <c r="BI122"/>
      <c r="BJ122"/>
    </row>
    <row r="123" spans="1:62" x14ac:dyDescent="0.3">
      <c r="A123" s="50">
        <v>1</v>
      </c>
      <c r="C123" s="26">
        <v>1</v>
      </c>
      <c r="D123" s="26">
        <v>5</v>
      </c>
      <c r="E123" s="45"/>
      <c r="F123" s="26" t="b" cm="1">
        <f t="array" aca="1" ref="F123" ca="1">defaultValue(F122,K120)</f>
        <v>1</v>
      </c>
      <c r="G123" s="26" cm="1">
        <f t="array" aca="1" ref="G123" ca="1">defaultValue(G122,K120)</f>
        <v>3.5</v>
      </c>
      <c r="H123" s="8"/>
      <c r="I123" s="26" cm="1">
        <f t="array" aca="1" ref="I123" ca="1">defaultValue(I122,K120)</f>
        <v>78</v>
      </c>
      <c r="J123" s="26" cm="1">
        <f t="array" aca="1" ref="J123" ca="1">defaultValue(J122,K120)</f>
        <v>56</v>
      </c>
      <c r="K123" s="7"/>
      <c r="BB123"/>
      <c r="BC123"/>
      <c r="BD123"/>
      <c r="BE123"/>
      <c r="BF123"/>
      <c r="BG123"/>
      <c r="BH123"/>
      <c r="BI123"/>
      <c r="BJ123"/>
    </row>
    <row r="124" spans="1:62" x14ac:dyDescent="0.3">
      <c r="A124" s="50">
        <v>0</v>
      </c>
      <c r="BB124"/>
      <c r="BC124"/>
      <c r="BD124"/>
      <c r="BE124"/>
      <c r="BF124"/>
      <c r="BG124"/>
      <c r="BH124"/>
      <c r="BI124"/>
      <c r="BJ124"/>
    </row>
    <row r="125" spans="1:62" x14ac:dyDescent="0.3">
      <c r="A125" s="50">
        <v>2</v>
      </c>
      <c r="C125" s="6" t="s">
        <v>4</v>
      </c>
      <c r="D125" s="6" t="s">
        <v>9</v>
      </c>
      <c r="E125" s="6" t="s">
        <v>5</v>
      </c>
      <c r="F125" s="6" t="s">
        <v>7</v>
      </c>
      <c r="G125" s="6" t="s">
        <v>1</v>
      </c>
      <c r="H125" s="6" t="s">
        <v>6</v>
      </c>
      <c r="I125" s="6" t="s">
        <v>33</v>
      </c>
      <c r="J125" s="6" t="s">
        <v>174</v>
      </c>
      <c r="K125" s="6" t="s">
        <v>157</v>
      </c>
      <c r="BB125"/>
      <c r="BC125"/>
      <c r="BD125"/>
      <c r="BE125"/>
      <c r="BF125"/>
      <c r="BG125"/>
      <c r="BH125"/>
      <c r="BI125"/>
      <c r="BJ125"/>
    </row>
    <row r="126" spans="1:62" x14ac:dyDescent="0.3">
      <c r="A126" s="50">
        <v>0</v>
      </c>
      <c r="C126" s="1"/>
      <c r="D126" s="1"/>
      <c r="E126" s="1"/>
      <c r="F126" s="1"/>
      <c r="G126" s="1"/>
      <c r="H126" s="1"/>
      <c r="I126" s="1"/>
      <c r="J126" s="1"/>
      <c r="BB126"/>
      <c r="BC126"/>
      <c r="BD126"/>
      <c r="BE126"/>
      <c r="BF126"/>
      <c r="BG126"/>
      <c r="BH126"/>
      <c r="BI126"/>
      <c r="BJ126"/>
    </row>
    <row r="127" spans="1:62" x14ac:dyDescent="0.3">
      <c r="A127" s="50">
        <v>3</v>
      </c>
      <c r="B127" s="14" t="str" cm="1">
        <f t="array" ref="B127">visible(E120, K127)</f>
        <v>وحدة سفلية دلفة/ دلفتين</v>
      </c>
      <c r="C127" s="6" cm="1">
        <f t="array" ref="C127">visible((1),K127)</f>
        <v>1</v>
      </c>
      <c r="D127" s="6" t="str" cm="1">
        <f t="array" aca="1" ref="D127" ca="1">visible((I121),K127)</f>
        <v>HPL</v>
      </c>
      <c r="E127" s="6" t="str" cm="1">
        <f t="array" ref="E127">visible(("قاعدة"),K127)</f>
        <v>قاعدة</v>
      </c>
      <c r="F127" s="6" cm="1">
        <f t="array" ref="F127">visible((H123 -3.6),K127)</f>
        <v>-3.6</v>
      </c>
      <c r="G127" s="6" cm="1">
        <f t="array" aca="1" ref="G127" ca="1">visible((J123),K127)</f>
        <v>56</v>
      </c>
      <c r="H127" s="6" cm="1">
        <f t="array" ref="H127">visible((C120),K127)</f>
        <v>1</v>
      </c>
      <c r="I127" s="6">
        <f ca="1">visible(materialNum(D127), K127)</f>
        <v>2</v>
      </c>
      <c r="J127" s="6">
        <f ca="1">visible(engraving(I127), K127)</f>
        <v>2</v>
      </c>
      <c r="K127" s="6" t="b">
        <v>1</v>
      </c>
      <c r="BB127"/>
      <c r="BC127"/>
      <c r="BD127"/>
      <c r="BE127"/>
      <c r="BF127"/>
      <c r="BG127"/>
      <c r="BH127"/>
      <c r="BI127"/>
      <c r="BJ127"/>
    </row>
    <row r="128" spans="1:62" x14ac:dyDescent="0.3">
      <c r="A128" s="50">
        <v>3</v>
      </c>
      <c r="B128" s="14" t="str" cm="1">
        <f t="array" ref="B128">visible(E120, K128)</f>
        <v>وحدة سفلية دلفة/ دلفتين</v>
      </c>
      <c r="C128" s="6" cm="1">
        <f t="array" ref="C128">visible(2,K128)</f>
        <v>2</v>
      </c>
      <c r="D128" s="6" t="str" cm="1">
        <f t="array" aca="1" ref="D128" ca="1">visible((I121),K128)</f>
        <v>HPL</v>
      </c>
      <c r="E128" s="6" t="str" cm="1">
        <f t="array" ref="E128">visible(("أجناب"),K128)</f>
        <v>أجناب</v>
      </c>
      <c r="F128" s="6" cm="1">
        <f t="array" aca="1" ref="F128" ca="1">visible((I123),K128)</f>
        <v>78</v>
      </c>
      <c r="G128" s="6" cm="1">
        <f t="array" aca="1" ref="G128" ca="1">visible((J123),K128)</f>
        <v>56</v>
      </c>
      <c r="H128" s="6" cm="1">
        <f t="array" ref="H128">visible((2 *C120),K128)</f>
        <v>2</v>
      </c>
      <c r="I128" s="6">
        <f ca="1">visible(materialNum(D128), K128)</f>
        <v>2</v>
      </c>
      <c r="J128" s="6">
        <f ca="1">visible(engraving(I128), K128)</f>
        <v>2</v>
      </c>
      <c r="K128" s="6" t="b">
        <v>1</v>
      </c>
      <c r="BB128"/>
      <c r="BC128"/>
      <c r="BD128"/>
      <c r="BE128"/>
      <c r="BF128"/>
      <c r="BG128"/>
      <c r="BH128"/>
      <c r="BI128"/>
      <c r="BJ128"/>
    </row>
    <row r="129" spans="1:62" x14ac:dyDescent="0.3">
      <c r="A129" s="50">
        <v>3</v>
      </c>
      <c r="B129" s="14" t="str" cm="1">
        <f t="array" ref="B129">visible(E120, K129)</f>
        <v>وحدة سفلية دلفة/ دلفتين</v>
      </c>
      <c r="C129" s="6" cm="1">
        <f t="array" ref="C129">visible(3,K129)</f>
        <v>3</v>
      </c>
      <c r="D129" s="6" t="str" cm="1">
        <f t="array" aca="1" ref="D129" ca="1">visible((I121),K129)</f>
        <v>HPL</v>
      </c>
      <c r="E129" s="6" t="str" cm="1">
        <f t="array" ref="E129">visible(("مرايا علوية 1"),K129)</f>
        <v>مرايا علوية 1</v>
      </c>
      <c r="F129" s="6" cm="1">
        <f t="array" ref="F129">visible((H123-3.6),K129)</f>
        <v>-3.6</v>
      </c>
      <c r="G129" s="6" cm="1">
        <f t="array" ref="G129">visible((10),K129)</f>
        <v>10</v>
      </c>
      <c r="H129" s="6" cm="1">
        <f t="array" ref="H129">visible((C120),K129)</f>
        <v>1</v>
      </c>
      <c r="I129" s="6">
        <f ca="1">visible(materialNum(D129), K129)</f>
        <v>2</v>
      </c>
      <c r="J129" s="6">
        <f ca="1">visible(engraving(I129), K129)</f>
        <v>2</v>
      </c>
      <c r="K129" s="6" t="b">
        <v>1</v>
      </c>
      <c r="BB129"/>
      <c r="BC129"/>
      <c r="BD129"/>
      <c r="BE129"/>
      <c r="BF129"/>
      <c r="BG129"/>
      <c r="BH129"/>
      <c r="BI129"/>
      <c r="BJ129"/>
    </row>
    <row r="130" spans="1:62" x14ac:dyDescent="0.3">
      <c r="A130" s="50">
        <v>3</v>
      </c>
      <c r="B130" s="14" t="str" cm="1">
        <f t="array" ref="B130">visible(E120, K130)</f>
        <v>وحدة سفلية دلفة/ دلفتين</v>
      </c>
      <c r="C130" s="6" cm="1">
        <f t="array" ref="C130">visible(4,K130)</f>
        <v>4</v>
      </c>
      <c r="D130" s="6" t="str" cm="1">
        <f t="array" aca="1" ref="D130" ca="1">visible((I121),K130)</f>
        <v>HPL</v>
      </c>
      <c r="E130" s="6" t="str" cm="1">
        <f t="array" ref="E130">visible(("مرايا علوية 2"),K130)</f>
        <v>مرايا علوية 2</v>
      </c>
      <c r="F130" s="6" cm="1">
        <f t="array" ref="F130">visible((H123-3.6),K130)</f>
        <v>-3.6</v>
      </c>
      <c r="G130" s="6" cm="1">
        <f t="array" ref="G130">visible((7),K130)</f>
        <v>7</v>
      </c>
      <c r="H130" s="6" cm="1">
        <f t="array" ref="H130">visible((C120),K130)</f>
        <v>1</v>
      </c>
      <c r="I130" s="6">
        <f ca="1">visible(materialNum(D130), K130)</f>
        <v>2</v>
      </c>
      <c r="J130" s="6">
        <f ca="1">visible(engraving(I130), K130)</f>
        <v>2</v>
      </c>
      <c r="K130" s="6" t="b">
        <v>1</v>
      </c>
      <c r="BB130"/>
      <c r="BC130"/>
      <c r="BD130"/>
      <c r="BE130"/>
      <c r="BF130"/>
      <c r="BG130"/>
      <c r="BH130"/>
      <c r="BI130"/>
      <c r="BJ130"/>
    </row>
    <row r="131" spans="1:62" x14ac:dyDescent="0.3">
      <c r="A131" s="50">
        <v>3</v>
      </c>
      <c r="B131" s="14" t="str" cm="1">
        <f t="array" ref="B131">visible(E120, K131)</f>
        <v>وحدة سفلية دلفة/ دلفتين</v>
      </c>
      <c r="C131" s="6" cm="1">
        <f t="array" ref="C131">visible(5,K131)</f>
        <v>5</v>
      </c>
      <c r="D131" s="6" t="str" cm="1">
        <f t="array" aca="1" ref="D131" ca="1">visible((I121),K131)</f>
        <v>HPL</v>
      </c>
      <c r="E131" s="6" t="str" cm="1">
        <f t="array" ref="E131">visible(("رف"),K131)</f>
        <v>رف</v>
      </c>
      <c r="F131" s="6" cm="1">
        <f t="array" ref="F131">visible((H124-3.8),K131)</f>
        <v>-3.8</v>
      </c>
      <c r="G131" s="6" cm="1">
        <f t="array" aca="1" ref="G131" ca="1">visible((J123-6),K131)</f>
        <v>50</v>
      </c>
      <c r="H131" s="6" cm="1">
        <f t="array" ref="H131">visible((D123*C120),K131)</f>
        <v>5</v>
      </c>
      <c r="I131" s="6">
        <f ca="1">visible(materialNum(D131), K131)</f>
        <v>2</v>
      </c>
      <c r="J131" s="6">
        <f ca="1">visible(engraving(I131), K131)</f>
        <v>2</v>
      </c>
      <c r="K131" s="6" t="b">
        <v>1</v>
      </c>
      <c r="BB131"/>
      <c r="BC131"/>
      <c r="BD131"/>
      <c r="BE131"/>
      <c r="BF131"/>
      <c r="BG131"/>
      <c r="BH131"/>
      <c r="BI131"/>
      <c r="BJ131"/>
    </row>
    <row r="132" spans="1:62" x14ac:dyDescent="0.3">
      <c r="A132" s="50">
        <v>0</v>
      </c>
      <c r="BB132"/>
      <c r="BC132"/>
      <c r="BD132"/>
      <c r="BE132"/>
      <c r="BF132"/>
      <c r="BG132"/>
      <c r="BH132"/>
      <c r="BI132"/>
      <c r="BJ132"/>
    </row>
    <row r="133" spans="1:62" x14ac:dyDescent="0.3">
      <c r="A133" s="50">
        <v>4</v>
      </c>
      <c r="B133" s="14" t="str" cm="1">
        <f t="array" ref="B133">visible(E120, K133)</f>
        <v>وحدة سفلية دلفة/ دلفتين</v>
      </c>
      <c r="C133" s="9" cm="1">
        <f t="array" ref="C133">visible(6,K133)</f>
        <v>6</v>
      </c>
      <c r="D133" s="9" t="str" cm="1">
        <f t="array" aca="1" ref="D133" ca="1">visible((G121),K133)</f>
        <v>يوفيلاك</v>
      </c>
      <c r="E133" s="9" t="str" cm="1">
        <f t="array" ref="E133">visible(("دلف"),K133)</f>
        <v>دلف</v>
      </c>
      <c r="F133" s="9" cm="1">
        <f t="array" aca="1" ref="F133" ca="1">visible((I123-0.5-G123),K133)</f>
        <v>74</v>
      </c>
      <c r="G133" s="9" cm="1">
        <f t="array" ref="G133">visible(((H123/C123)-0.5),K133)</f>
        <v>-0.5</v>
      </c>
      <c r="H133" s="9" cm="1">
        <f t="array" ref="H133">visible((C123*C120),K133)</f>
        <v>1</v>
      </c>
      <c r="I133" s="9">
        <f ca="1">visible(materialNum(D133), K133)</f>
        <v>6</v>
      </c>
      <c r="J133" s="9">
        <f ca="1">visible(engraving(I133), K133)</f>
        <v>2</v>
      </c>
      <c r="K133" s="9" t="b">
        <v>1</v>
      </c>
      <c r="BB133"/>
      <c r="BC133"/>
      <c r="BD133"/>
      <c r="BE133"/>
      <c r="BF133"/>
      <c r="BG133"/>
      <c r="BH133"/>
      <c r="BI133"/>
      <c r="BJ133"/>
    </row>
    <row r="134" spans="1:62" x14ac:dyDescent="0.3">
      <c r="A134" s="50">
        <v>0</v>
      </c>
      <c r="C134" s="1"/>
      <c r="D134" s="1"/>
      <c r="E134" s="1"/>
      <c r="F134" s="1"/>
      <c r="G134" s="1"/>
      <c r="H134" s="1"/>
      <c r="I134" s="1"/>
      <c r="J134" s="1"/>
      <c r="BB134"/>
      <c r="BC134"/>
      <c r="BD134"/>
      <c r="BE134"/>
      <c r="BF134"/>
      <c r="BG134"/>
      <c r="BH134"/>
      <c r="BI134"/>
      <c r="BJ134"/>
    </row>
    <row r="135" spans="1:62" x14ac:dyDescent="0.3">
      <c r="A135" s="50">
        <v>5</v>
      </c>
      <c r="B135" s="14" t="str" cm="1">
        <f t="array" aca="1" ref="B135" ca="1">visible(E120, K135)</f>
        <v>وحدة سفلية دلفة/ دلفتين</v>
      </c>
      <c r="C135" s="18" cm="1">
        <f t="array" aca="1" ref="C135" ca="1">visible(7,K135)</f>
        <v>7</v>
      </c>
      <c r="D135" s="18" t="str" cm="1">
        <f t="array" aca="1" ref="D135" ca="1">visible((E121),K135)</f>
        <v>ظهر</v>
      </c>
      <c r="E135" s="18" t="str" cm="1">
        <f t="array" aca="1" ref="E135" ca="1">visible(("ظهر"),K135)</f>
        <v>ظهر</v>
      </c>
      <c r="F135" s="18" cm="1">
        <f t="array" aca="1" ref="F135" ca="1">visible((I123-2),K135)</f>
        <v>76</v>
      </c>
      <c r="G135" s="18" cm="1">
        <f t="array" aca="1" ref="G135" ca="1">visible((H123-2),K135)</f>
        <v>-2</v>
      </c>
      <c r="H135" s="18" cm="1">
        <f t="array" aca="1" ref="H135" ca="1">visible((C120),K135)</f>
        <v>1</v>
      </c>
      <c r="I135" s="18">
        <f ca="1">visible(materialNum(D135), K135)</f>
        <v>2</v>
      </c>
      <c r="J135" s="18">
        <f ca="1">visible(engraving(I135), K135)</f>
        <v>2</v>
      </c>
      <c r="K135" s="18" t="b">
        <f ca="1">F123</f>
        <v>1</v>
      </c>
      <c r="BB135"/>
      <c r="BC135"/>
      <c r="BD135"/>
      <c r="BE135"/>
      <c r="BF135"/>
      <c r="BG135"/>
      <c r="BH135"/>
      <c r="BI135"/>
      <c r="BJ135"/>
    </row>
    <row r="136" spans="1:62" x14ac:dyDescent="0.3">
      <c r="A136" s="50">
        <v>255</v>
      </c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62" x14ac:dyDescent="0.3">
      <c r="A137" s="50">
        <v>255</v>
      </c>
      <c r="C137"/>
      <c r="D137"/>
      <c r="E137"/>
      <c r="F137"/>
      <c r="G137"/>
      <c r="H137"/>
      <c r="I137"/>
      <c r="J137"/>
      <c r="K137"/>
      <c r="BB137"/>
      <c r="BC137"/>
      <c r="BD137"/>
      <c r="BE137"/>
      <c r="BF137"/>
      <c r="BG137"/>
      <c r="BH137"/>
      <c r="BI137"/>
      <c r="BJ137"/>
    </row>
    <row r="138" spans="1:62" ht="36" x14ac:dyDescent="0.3">
      <c r="A138" s="53" t="s">
        <v>132</v>
      </c>
      <c r="C138" s="13">
        <v>1</v>
      </c>
      <c r="D138" s="21" t="s">
        <v>59</v>
      </c>
      <c r="E138" s="90" t="s">
        <v>155</v>
      </c>
      <c r="F138" s="91"/>
      <c r="G138" s="91"/>
      <c r="H138" s="92"/>
      <c r="I138" s="2" t="s">
        <v>30</v>
      </c>
      <c r="J138" s="2">
        <f>letterToNumber(A138)</f>
        <v>7</v>
      </c>
      <c r="K138" s="26">
        <f ca="1">_xlfn.SHEET("وحدات سفلية")</f>
        <v>4</v>
      </c>
      <c r="BB138"/>
      <c r="BC138"/>
      <c r="BD138"/>
      <c r="BE138"/>
      <c r="BF138"/>
      <c r="BG138"/>
      <c r="BH138"/>
      <c r="BI138"/>
      <c r="BJ138"/>
    </row>
    <row r="139" spans="1:62" ht="21" x14ac:dyDescent="0.3">
      <c r="A139" s="50">
        <v>1</v>
      </c>
      <c r="C139" s="8" cm="1">
        <f t="array" aca="1" ref="C139" ca="1">defaultValue(D139,K138)</f>
        <v>45</v>
      </c>
      <c r="D139" s="7" t="s">
        <v>19</v>
      </c>
      <c r="E139" s="26" t="str" cm="1">
        <f t="array" aca="1" ref="E139" ca="1">defaultValue(F139,K138)</f>
        <v>ظهر</v>
      </c>
      <c r="F139" s="7" t="s">
        <v>58</v>
      </c>
      <c r="G139" s="26" t="str" cm="1">
        <f t="array" aca="1" ref="G139" ca="1">defaultValue(H139,K138)</f>
        <v>يوفيلاك</v>
      </c>
      <c r="H139" s="7" t="s">
        <v>32</v>
      </c>
      <c r="I139" s="26" t="str" cm="1">
        <f t="array" aca="1" ref="I139" ca="1">defaultValue(J139,K138)</f>
        <v>HPL</v>
      </c>
      <c r="J139" s="7" t="s">
        <v>31</v>
      </c>
      <c r="K139" s="24" t="s">
        <v>109</v>
      </c>
    </row>
    <row r="140" spans="1:62" ht="31.2" x14ac:dyDescent="0.3">
      <c r="A140" s="50">
        <v>1</v>
      </c>
      <c r="C140" s="7" t="s">
        <v>122</v>
      </c>
      <c r="D140" s="7" t="s">
        <v>121</v>
      </c>
      <c r="E140" s="85" t="s">
        <v>120</v>
      </c>
      <c r="F140" s="85" t="s">
        <v>158</v>
      </c>
      <c r="G140" s="7" t="s">
        <v>16</v>
      </c>
      <c r="H140" s="7" t="s">
        <v>22</v>
      </c>
      <c r="I140" s="7" t="s">
        <v>3</v>
      </c>
      <c r="J140" s="7" t="s">
        <v>111</v>
      </c>
      <c r="K140" s="7" t="s">
        <v>112</v>
      </c>
    </row>
    <row r="141" spans="1:62" x14ac:dyDescent="0.3">
      <c r="A141" s="50">
        <v>1</v>
      </c>
      <c r="C141" s="26">
        <v>1</v>
      </c>
      <c r="D141" s="26">
        <v>1</v>
      </c>
      <c r="E141" s="8">
        <v>1</v>
      </c>
      <c r="F141" s="26">
        <v>1</v>
      </c>
      <c r="G141" s="26" cm="1">
        <f t="array" aca="1" ref="G141" ca="1">defaultValue(G140,K138)</f>
        <v>3.5</v>
      </c>
      <c r="H141" s="8">
        <v>80</v>
      </c>
      <c r="I141" s="26" cm="1">
        <f t="array" aca="1" ref="I141" ca="1">defaultValue(I140,K138)</f>
        <v>78</v>
      </c>
      <c r="J141" s="26" cm="1">
        <f t="array" aca="1" ref="J141" ca="1">defaultValue(J140,K138)</f>
        <v>56</v>
      </c>
      <c r="K141" s="26" t="b" cm="1">
        <f t="array" aca="1" ref="K141" ca="1">defaultValue(K140,K138)</f>
        <v>1</v>
      </c>
    </row>
    <row r="142" spans="1:62" x14ac:dyDescent="0.3">
      <c r="A142" s="50">
        <v>1</v>
      </c>
      <c r="C142" s="26">
        <v>30</v>
      </c>
      <c r="D142" s="26">
        <v>20</v>
      </c>
      <c r="E142" s="45">
        <v>7</v>
      </c>
      <c r="F142" s="26">
        <v>10</v>
      </c>
      <c r="G142" s="26">
        <v>3</v>
      </c>
      <c r="H142" s="28" t="s">
        <v>123</v>
      </c>
      <c r="I142" s="26">
        <v>0</v>
      </c>
      <c r="J142" s="93" t="s">
        <v>159</v>
      </c>
      <c r="K142" s="94"/>
    </row>
    <row r="143" spans="1:62" x14ac:dyDescent="0.3">
      <c r="A143" s="50">
        <v>0</v>
      </c>
    </row>
    <row r="144" spans="1:62" x14ac:dyDescent="0.3">
      <c r="A144" s="50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174</v>
      </c>
      <c r="K144" s="6" t="s">
        <v>157</v>
      </c>
    </row>
    <row r="145" spans="1:11" x14ac:dyDescent="0.3">
      <c r="A145" s="50">
        <v>0</v>
      </c>
      <c r="C145" s="1"/>
      <c r="D145" s="1"/>
      <c r="E145" s="1"/>
      <c r="F145" s="1"/>
      <c r="G145" s="1"/>
      <c r="H145" s="1"/>
      <c r="I145" s="1"/>
      <c r="J145" s="1"/>
    </row>
    <row r="146" spans="1:11" x14ac:dyDescent="0.3">
      <c r="A146" s="50">
        <v>3</v>
      </c>
      <c r="B146" s="14" t="str" cm="1">
        <f t="array" ref="B146">visible(E138, K146)</f>
        <v>وحدة سفلية ادراج</v>
      </c>
      <c r="C146" s="6">
        <f>visible(1,K146)</f>
        <v>1</v>
      </c>
      <c r="D146" s="6" t="str" cm="1">
        <f t="array" aca="1" ref="D146" ca="1">visible((I139),K146)</f>
        <v>HPL</v>
      </c>
      <c r="E146" s="6" t="str" cm="1">
        <f t="array" ref="E146">visible(("قاعدة"),K146)</f>
        <v>قاعدة</v>
      </c>
      <c r="F146" s="6" cm="1">
        <f t="array" ref="F146">visible((H141 -3.6),K146)</f>
        <v>76.400000000000006</v>
      </c>
      <c r="G146" s="6" cm="1">
        <f t="array" aca="1" ref="G146" ca="1">visible((J141),K146)</f>
        <v>56</v>
      </c>
      <c r="H146" s="6" cm="1">
        <f t="array" ref="H146">visible((C138),K146)</f>
        <v>1</v>
      </c>
      <c r="I146" s="6">
        <f ca="1">visible(materialNum(D146), K146)</f>
        <v>2</v>
      </c>
      <c r="J146" s="6">
        <f ca="1">visible(engraving(I146), K146)</f>
        <v>2</v>
      </c>
      <c r="K146" s="6" t="b">
        <v>1</v>
      </c>
    </row>
    <row r="147" spans="1:11" x14ac:dyDescent="0.3">
      <c r="A147" s="50">
        <v>3</v>
      </c>
      <c r="B147" s="14" t="str" cm="1">
        <f t="array" ref="B147">visible(E138, K147)</f>
        <v>وحدة سفلية ادراج</v>
      </c>
      <c r="C147" s="6">
        <f>visible(2,K147)</f>
        <v>2</v>
      </c>
      <c r="D147" s="6" t="str" cm="1">
        <f t="array" aca="1" ref="D147" ca="1">visible((I139),K147)</f>
        <v>HPL</v>
      </c>
      <c r="E147" s="6" t="str" cm="1">
        <f t="array" ref="E147">visible(("أجناب"),K147)</f>
        <v>أجناب</v>
      </c>
      <c r="F147" s="6" cm="1">
        <f t="array" aca="1" ref="F147" ca="1">visible((I141),K147)</f>
        <v>78</v>
      </c>
      <c r="G147" s="6" cm="1">
        <f t="array" aca="1" ref="G147" ca="1">visible((J141),K147)</f>
        <v>56</v>
      </c>
      <c r="H147" s="6" cm="1">
        <f t="array" ref="H147">visible((2 *C138),K147)</f>
        <v>2</v>
      </c>
      <c r="I147" s="6">
        <f ca="1">visible(materialNum(D147), K147)</f>
        <v>2</v>
      </c>
      <c r="J147" s="6">
        <f ca="1">visible(engraving(I147), K147)</f>
        <v>2</v>
      </c>
      <c r="K147" s="6" t="b">
        <v>1</v>
      </c>
    </row>
    <row r="148" spans="1:11" x14ac:dyDescent="0.3">
      <c r="A148" s="50">
        <v>3</v>
      </c>
      <c r="B148" s="14" t="str" cm="1">
        <f t="array" ref="B148">visible(E138, K148)</f>
        <v>وحدة سفلية ادراج</v>
      </c>
      <c r="C148" s="6">
        <f>visible(3,K148)</f>
        <v>3</v>
      </c>
      <c r="D148" s="6" t="str" cm="1">
        <f t="array" aca="1" ref="D148" ca="1">visible((I139),K148)</f>
        <v>HPL</v>
      </c>
      <c r="E148" s="6" t="str" cm="1">
        <f t="array" ref="E148">visible(("مرايا علوية 1"),K148)</f>
        <v>مرايا علوية 1</v>
      </c>
      <c r="F148" s="6" cm="1">
        <f t="array" ref="F148">visible((H141-3.6),K148)</f>
        <v>76.400000000000006</v>
      </c>
      <c r="G148" s="6" cm="1">
        <f t="array" ref="G148">visible((10),K148)</f>
        <v>10</v>
      </c>
      <c r="H148" s="6" cm="1">
        <f t="array" ref="H148">visible((C138),K148)</f>
        <v>1</v>
      </c>
      <c r="I148" s="6">
        <f ca="1">visible(materialNum(D148), K148)</f>
        <v>2</v>
      </c>
      <c r="J148" s="6">
        <f ca="1">visible(engraving(I148), K148)</f>
        <v>2</v>
      </c>
      <c r="K148" s="6" t="b">
        <v>1</v>
      </c>
    </row>
    <row r="149" spans="1:11" x14ac:dyDescent="0.3">
      <c r="A149" s="50">
        <v>3</v>
      </c>
      <c r="B149" s="14" t="str" cm="1">
        <f t="array" ref="B149">visible(E138, K149)</f>
        <v>وحدة سفلية ادراج</v>
      </c>
      <c r="C149" s="6">
        <f>visible(4,K149)</f>
        <v>4</v>
      </c>
      <c r="D149" s="6" t="str" cm="1">
        <f t="array" aca="1" ref="D149" ca="1">visible((I139),K149)</f>
        <v>HPL</v>
      </c>
      <c r="E149" s="6" t="str" cm="1">
        <f t="array" ref="E149">visible(("مرايا علوية 2"),K149)</f>
        <v>مرايا علوية 2</v>
      </c>
      <c r="F149" s="6" cm="1">
        <f t="array" ref="F149">visible((H141-3.6),K149)</f>
        <v>76.400000000000006</v>
      </c>
      <c r="G149" s="6" cm="1">
        <f t="array" ref="G149">visible((7),K149)</f>
        <v>7</v>
      </c>
      <c r="H149" s="6" cm="1">
        <f t="array" ref="H149">visible((C138),K149)</f>
        <v>1</v>
      </c>
      <c r="I149" s="6">
        <f ca="1">visible(materialNum(D149), K149)</f>
        <v>2</v>
      </c>
      <c r="J149" s="6">
        <f ca="1">visible(engraving(I149), K149)</f>
        <v>2</v>
      </c>
      <c r="K149" s="6" t="b">
        <v>1</v>
      </c>
    </row>
    <row r="150" spans="1:11" x14ac:dyDescent="0.3">
      <c r="A150" s="50">
        <v>3</v>
      </c>
      <c r="B150" s="14" t="str" cm="1">
        <f t="array" ref="B150">visible(E138, K150)</f>
        <v>وحدة سفلية ادراج</v>
      </c>
      <c r="C150" s="10">
        <f>visible(5,K150)</f>
        <v>5</v>
      </c>
      <c r="D150" s="10" t="str" cm="1">
        <f t="array" aca="1" ref="D150" ca="1">visible((I139),K150)</f>
        <v>HPL</v>
      </c>
      <c r="E150" s="10" t="str" cm="1">
        <f t="array" ref="E150">visible(("وش درج داخلي A"),K150)</f>
        <v>وش درج داخلي A</v>
      </c>
      <c r="F150" s="10" cm="1">
        <f t="array" ref="F150">visible((H141-3.6-3.6-2.5),K150)</f>
        <v>70.3</v>
      </c>
      <c r="G150" s="10" cm="1">
        <f t="array" ref="G150">visible((F142),K150)</f>
        <v>10</v>
      </c>
      <c r="H150" s="10" cm="1">
        <f t="array" ref="H150">visible((F141*C138),K150)</f>
        <v>1</v>
      </c>
      <c r="I150" s="10">
        <f ca="1">visible(materialNum(D150), K150)</f>
        <v>2</v>
      </c>
      <c r="J150" s="10">
        <f ca="1">visible(engraving(I150), K150)</f>
        <v>2</v>
      </c>
      <c r="K150" s="10" t="b">
        <f>F141&gt;0</f>
        <v>1</v>
      </c>
    </row>
    <row r="151" spans="1:11" x14ac:dyDescent="0.3">
      <c r="A151" s="50">
        <v>3</v>
      </c>
      <c r="B151" s="14" t="str">
        <f>visible(E138, K151)</f>
        <v>وحدة سفلية ادراج</v>
      </c>
      <c r="C151" s="10">
        <f>visible(6,K151)</f>
        <v>6</v>
      </c>
      <c r="D151" s="10" t="str">
        <f ca="1">visible((I139),K151)</f>
        <v>HPL</v>
      </c>
      <c r="E151" s="10" t="str" cm="1">
        <f t="array" ref="E151">visible(("جنب درج داخلي A"),K151)</f>
        <v>جنب درج داخلي A</v>
      </c>
      <c r="F151" s="10" cm="1">
        <f t="array" aca="1" ref="F151" ca="1">visible((C139),K151)</f>
        <v>45</v>
      </c>
      <c r="G151" s="10" cm="1">
        <f t="array" ref="G151">visible((F142),K151)</f>
        <v>10</v>
      </c>
      <c r="H151" s="10" cm="1">
        <f t="array" ref="H151">visible((F141*C138*2),K151)</f>
        <v>2</v>
      </c>
      <c r="I151" s="10">
        <f ca="1">visible(materialNum(D151), K151)</f>
        <v>2</v>
      </c>
      <c r="J151" s="10">
        <f ca="1">visible(engraving(I151), K151)</f>
        <v>2</v>
      </c>
      <c r="K151" s="10" t="b">
        <f>F141&gt;0</f>
        <v>1</v>
      </c>
    </row>
    <row r="152" spans="1:11" x14ac:dyDescent="0.3">
      <c r="A152" s="50">
        <v>3</v>
      </c>
      <c r="B152" s="14" t="str">
        <f>visible(E138, K152)</f>
        <v>وحدة سفلية ادراج</v>
      </c>
      <c r="C152" s="10">
        <f>visible(7,K152)</f>
        <v>7</v>
      </c>
      <c r="D152" s="10" t="str">
        <f ca="1">visible((I139),K152)</f>
        <v>HPL</v>
      </c>
      <c r="E152" s="10" t="str" cm="1">
        <f t="array" ref="E152">visible(("ظهر درج داخلي A"),K152)</f>
        <v>ظهر درج داخلي A</v>
      </c>
      <c r="F152" s="10" cm="1">
        <f t="array" ref="F152">visible((H141-3.6-3.6-2.5),K152)</f>
        <v>70.3</v>
      </c>
      <c r="G152" s="10" cm="1">
        <f t="array" ref="G152">visible((F142-3),K152)</f>
        <v>7</v>
      </c>
      <c r="H152" s="10" cm="1">
        <f t="array" ref="H152">visible((F141*C138),K152)</f>
        <v>1</v>
      </c>
      <c r="I152" s="10">
        <f ca="1">visible(materialNum(D152), K152)</f>
        <v>2</v>
      </c>
      <c r="J152" s="10">
        <f ca="1">visible(engraving(I152), K152)</f>
        <v>2</v>
      </c>
      <c r="K152" s="10" t="b">
        <f>F141&gt;0</f>
        <v>1</v>
      </c>
    </row>
    <row r="153" spans="1:11" x14ac:dyDescent="0.3">
      <c r="A153" s="50">
        <v>3</v>
      </c>
      <c r="B153" s="14" t="str">
        <f>visible(E138, K153)</f>
        <v>وحدة سفلية ادراج</v>
      </c>
      <c r="C153" s="6">
        <f>visible(8,K153)</f>
        <v>8</v>
      </c>
      <c r="D153" s="6" t="str">
        <f ca="1">visible((I139),K153)</f>
        <v>HPL</v>
      </c>
      <c r="E153" s="6" t="str" cm="1">
        <f t="array" ref="E153">visible(("وش درج داخلي 20"),K153)</f>
        <v>وش درج داخلي 20</v>
      </c>
      <c r="F153" s="6" cm="1">
        <f t="array" ref="F153">visible((H141-3.6-3.6-2.5),K153)</f>
        <v>70.3</v>
      </c>
      <c r="G153" s="6" cm="1">
        <f t="array" ref="G153">visible((D142),K153)</f>
        <v>20</v>
      </c>
      <c r="H153" s="6" cm="1">
        <f t="array" ref="H153">visible((D141*C138),K153)</f>
        <v>1</v>
      </c>
      <c r="I153" s="6">
        <f ca="1">visible(materialNum(D153), K153)</f>
        <v>2</v>
      </c>
      <c r="J153" s="6">
        <f ca="1">visible(engraving(I153), K153)</f>
        <v>2</v>
      </c>
      <c r="K153" s="6" t="b">
        <f>D141&gt;0</f>
        <v>1</v>
      </c>
    </row>
    <row r="154" spans="1:11" x14ac:dyDescent="0.3">
      <c r="A154" s="50">
        <v>3</v>
      </c>
      <c r="B154" s="14" t="str">
        <f>visible(E138, K154)</f>
        <v>وحدة سفلية ادراج</v>
      </c>
      <c r="C154" s="6">
        <f>visible(9,K154)</f>
        <v>9</v>
      </c>
      <c r="D154" s="6" t="str">
        <f ca="1">visible((I139),K154)</f>
        <v>HPL</v>
      </c>
      <c r="E154" s="6" t="str" cm="1">
        <f t="array" ref="E154">visible(("جنب درج داخلي 20"),K154)</f>
        <v>جنب درج داخلي 20</v>
      </c>
      <c r="F154" s="6" cm="1">
        <f t="array" aca="1" ref="F154" ca="1">visible((C139),K154)</f>
        <v>45</v>
      </c>
      <c r="G154" s="6" cm="1">
        <f t="array" ref="G154">visible((D142),K154)</f>
        <v>20</v>
      </c>
      <c r="H154" s="6" cm="1">
        <f t="array" ref="H154">visible((D141*C138*2),K154)</f>
        <v>2</v>
      </c>
      <c r="I154" s="6">
        <f ca="1">visible(materialNum(D154), K154)</f>
        <v>2</v>
      </c>
      <c r="J154" s="6">
        <f ca="1">visible(engraving(I154), K154)</f>
        <v>2</v>
      </c>
      <c r="K154" s="6" t="b">
        <f>D141&gt;0</f>
        <v>1</v>
      </c>
    </row>
    <row r="155" spans="1:11" x14ac:dyDescent="0.3">
      <c r="A155" s="50">
        <v>3</v>
      </c>
      <c r="B155" s="14" t="str">
        <f>visible(E138, K155)</f>
        <v>وحدة سفلية ادراج</v>
      </c>
      <c r="C155" s="6">
        <f>visible(10,K155)</f>
        <v>10</v>
      </c>
      <c r="D155" s="6" t="str">
        <f ca="1">visible((I139),K155)</f>
        <v>HPL</v>
      </c>
      <c r="E155" s="6" t="str" cm="1">
        <f t="array" ref="E155">visible(("ظهر درج داخلي 20"),K155)</f>
        <v>ظهر درج داخلي 20</v>
      </c>
      <c r="F155" s="6" cm="1">
        <f t="array" ref="F155">visible((H141-3.6-3.6-2.5),K155)</f>
        <v>70.3</v>
      </c>
      <c r="G155" s="6" cm="1">
        <f t="array" ref="G155">visible((D142-3),K155)</f>
        <v>17</v>
      </c>
      <c r="H155" s="6" cm="1">
        <f t="array" ref="H155">visible((D141*C138),K155)</f>
        <v>1</v>
      </c>
      <c r="I155" s="6">
        <f ca="1">visible(materialNum(D155), K155)</f>
        <v>2</v>
      </c>
      <c r="J155" s="6">
        <f ca="1">visible(engraving(I155), K155)</f>
        <v>2</v>
      </c>
      <c r="K155" s="6" t="b">
        <f>D141&gt;0</f>
        <v>1</v>
      </c>
    </row>
    <row r="156" spans="1:11" x14ac:dyDescent="0.3">
      <c r="A156" s="50">
        <v>3</v>
      </c>
      <c r="B156" s="14" t="str">
        <f>visible(E138, K156)</f>
        <v>وحدة سفلية ادراج</v>
      </c>
      <c r="C156" s="10">
        <f>visible(11,K156)</f>
        <v>11</v>
      </c>
      <c r="D156" s="10" t="str">
        <f ca="1">visible((I139),K156)</f>
        <v>HPL</v>
      </c>
      <c r="E156" s="10" t="str" cm="1">
        <f t="array" ref="E156">visible(("وش درج داخلي 30"),K156)</f>
        <v>وش درج داخلي 30</v>
      </c>
      <c r="F156" s="10" cm="1">
        <f t="array" ref="F156">visible((H141-3.6-3.6-2.5),K156)</f>
        <v>70.3</v>
      </c>
      <c r="G156" s="10" cm="1">
        <f t="array" ref="G156">visible((C142),K156)</f>
        <v>30</v>
      </c>
      <c r="H156" s="10" cm="1">
        <f t="array" ref="H156">visible((C141*C138),K156)</f>
        <v>1</v>
      </c>
      <c r="I156" s="10">
        <f ca="1">visible(materialNum(D156), K156)</f>
        <v>2</v>
      </c>
      <c r="J156" s="10">
        <f ca="1">visible(engraving(I156), K156)</f>
        <v>2</v>
      </c>
      <c r="K156" s="10" t="b">
        <f>C141&gt;0</f>
        <v>1</v>
      </c>
    </row>
    <row r="157" spans="1:11" x14ac:dyDescent="0.3">
      <c r="A157" s="50">
        <v>3</v>
      </c>
      <c r="B157" s="14" t="str">
        <f>visible(E138, K157)</f>
        <v>وحدة سفلية ادراج</v>
      </c>
      <c r="C157" s="10">
        <f>visible(12,K157)</f>
        <v>12</v>
      </c>
      <c r="D157" s="10" t="str">
        <f ca="1">visible((I139),K157)</f>
        <v>HPL</v>
      </c>
      <c r="E157" s="10" t="str" cm="1">
        <f t="array" ref="E157">visible(("جنب درج داخلي 30"),K157)</f>
        <v>جنب درج داخلي 30</v>
      </c>
      <c r="F157" s="10" cm="1">
        <f t="array" aca="1" ref="F157" ca="1">visible((C139),K157)</f>
        <v>45</v>
      </c>
      <c r="G157" s="10" cm="1">
        <f t="array" ref="G157">visible((C142),K157)</f>
        <v>30</v>
      </c>
      <c r="H157" s="10" cm="1">
        <f t="array" ref="H157">visible((C141*C138*2),K157)</f>
        <v>2</v>
      </c>
      <c r="I157" s="10">
        <f ca="1">visible(materialNum(D157), K157)</f>
        <v>2</v>
      </c>
      <c r="J157" s="10">
        <f ca="1">visible(engraving(I157), K157)</f>
        <v>2</v>
      </c>
      <c r="K157" s="10" t="b">
        <f>C141&gt;0</f>
        <v>1</v>
      </c>
    </row>
    <row r="158" spans="1:11" x14ac:dyDescent="0.3">
      <c r="A158" s="50">
        <v>3</v>
      </c>
      <c r="B158" s="14" t="str">
        <f>visible(E138, K158)</f>
        <v>وحدة سفلية ادراج</v>
      </c>
      <c r="C158" s="10">
        <f>visible(13,K158)</f>
        <v>13</v>
      </c>
      <c r="D158" s="10" t="str">
        <f ca="1">visible((I139),K158)</f>
        <v>HPL</v>
      </c>
      <c r="E158" s="10" t="str" cm="1">
        <f t="array" ref="E158">visible(("ظهر درج داخلي 30"),K158)</f>
        <v>ظهر درج داخلي 30</v>
      </c>
      <c r="F158" s="10" cm="1">
        <f t="array" ref="F158">visible((H141-3.6-3.6-2.5),K158)</f>
        <v>70.3</v>
      </c>
      <c r="G158" s="10" cm="1">
        <f t="array" ref="G158">visible((C142-3),K158)</f>
        <v>27</v>
      </c>
      <c r="H158" s="10" cm="1">
        <f t="array" ref="H158">visible((C141*C138),K158)</f>
        <v>1</v>
      </c>
      <c r="I158" s="10">
        <f ca="1">visible(materialNum(D158), K158)</f>
        <v>2</v>
      </c>
      <c r="J158" s="10">
        <f ca="1">visible(engraving(I158), K158)</f>
        <v>2</v>
      </c>
      <c r="K158" s="10" t="b">
        <f>C141&gt;0</f>
        <v>1</v>
      </c>
    </row>
    <row r="159" spans="1:11" x14ac:dyDescent="0.3">
      <c r="A159" s="50">
        <v>3</v>
      </c>
      <c r="B159" s="14" t="str">
        <f>visible(E138, K159)</f>
        <v>وحدة سفلية ادراج</v>
      </c>
      <c r="C159" s="6">
        <f>visible(14,K159)</f>
        <v>14</v>
      </c>
      <c r="D159" s="6" t="str">
        <f ca="1">visible((I139),K159)</f>
        <v>HPL</v>
      </c>
      <c r="E159" s="6" t="str" cm="1">
        <f t="array" ref="E159">visible(("وش / ظهر درج تربو"),K159)</f>
        <v>وش / ظهر درج تربو</v>
      </c>
      <c r="F159" s="6" cm="1">
        <f t="array" ref="F159">visible((H141-3.6-3.6-2.5),K159)</f>
        <v>70.3</v>
      </c>
      <c r="G159" s="6" cm="1">
        <f t="array" ref="G159">visible((E142),K159)</f>
        <v>7</v>
      </c>
      <c r="H159" s="6" cm="1">
        <f t="array" ref="H159">visible((E141*C138*2),K159)</f>
        <v>2</v>
      </c>
      <c r="I159" s="6">
        <f ca="1">visible(materialNum(D159), K159)</f>
        <v>2</v>
      </c>
      <c r="J159" s="6">
        <f ca="1">visible(engraving(I159), K159)</f>
        <v>2</v>
      </c>
      <c r="K159" s="6" t="b">
        <f>E141&gt;0</f>
        <v>1</v>
      </c>
    </row>
    <row r="160" spans="1:11" x14ac:dyDescent="0.3">
      <c r="A160" s="50">
        <v>3</v>
      </c>
      <c r="B160" s="14" t="str">
        <f>visible(E138, K160)</f>
        <v>وحدة سفلية ادراج</v>
      </c>
      <c r="C160" s="6">
        <f>visible(15,K160)</f>
        <v>15</v>
      </c>
      <c r="D160" s="6" t="str">
        <f ca="1">visible((I139),K160)</f>
        <v>HPL</v>
      </c>
      <c r="E160" s="6" t="str" cm="1">
        <f t="array" ref="E160">visible(("جنب درج تربو"),K160)</f>
        <v>جنب درج تربو</v>
      </c>
      <c r="F160" s="6" cm="1">
        <f t="array" aca="1" ref="F160" ca="1">visible((C139),K160)</f>
        <v>45</v>
      </c>
      <c r="G160" s="6" cm="1">
        <f t="array" ref="G160">visible((E142),K160)</f>
        <v>7</v>
      </c>
      <c r="H160" s="6" cm="1">
        <f t="array" ref="H160">visible((E141*C138*2),K160)</f>
        <v>2</v>
      </c>
      <c r="I160" s="6">
        <f ca="1">visible(materialNum(D160), K160)</f>
        <v>2</v>
      </c>
      <c r="J160" s="6">
        <f ca="1">visible(engraving(I160), K160)</f>
        <v>2</v>
      </c>
      <c r="K160" s="6" t="b">
        <f>E141&gt;0</f>
        <v>1</v>
      </c>
    </row>
    <row r="161" spans="1:11" x14ac:dyDescent="0.3">
      <c r="A161" s="50">
        <v>0</v>
      </c>
    </row>
    <row r="162" spans="1:11" x14ac:dyDescent="0.3">
      <c r="A162" s="50">
        <v>4</v>
      </c>
      <c r="B162" s="14" t="str" cm="1">
        <f t="array" ref="B162">visible(E138, K162)</f>
        <v>وحدة سفلية ادراج</v>
      </c>
      <c r="C162" s="9">
        <f>visible(16,K162)</f>
        <v>16</v>
      </c>
      <c r="D162" s="9" t="str" cm="1">
        <f t="array" aca="1" ref="D162" ca="1">visible((G139),K162)</f>
        <v>يوفيلاك</v>
      </c>
      <c r="E162" s="9" t="str" cm="1">
        <f t="array" ref="E162">visible(("وش درج خارجى2/3  متساوية"),K162)</f>
        <v>وش درج خارجى2/3  متساوية</v>
      </c>
      <c r="F162" s="9" cm="1">
        <f t="array" aca="1" ref="F162" ca="1">visible(((I141/G142)-0.5-G141),K162)</f>
        <v>22</v>
      </c>
      <c r="G162" s="9" cm="1">
        <f t="array" ref="G162">visible((H141-0.5),K162)</f>
        <v>79.5</v>
      </c>
      <c r="H162" s="9" cm="1">
        <f t="array" ref="H162">visible((C138*G142),K162)</f>
        <v>3</v>
      </c>
      <c r="I162" s="9">
        <f ca="1">visible(materialNum(D162), K162)</f>
        <v>6</v>
      </c>
      <c r="J162" s="9">
        <f ca="1">visible(engraving(I162), K162)</f>
        <v>2</v>
      </c>
      <c r="K162" s="9" t="b">
        <f>G142&lt;=3</f>
        <v>1</v>
      </c>
    </row>
    <row r="163" spans="1:11" x14ac:dyDescent="0.3">
      <c r="A163" s="50">
        <v>4</v>
      </c>
      <c r="B163" s="14" t="str">
        <f>visible(E138, K163)</f>
        <v/>
      </c>
      <c r="C163" s="9" t="str">
        <f>visible(17,K163)</f>
        <v/>
      </c>
      <c r="D163" s="9" t="str">
        <f ca="1">visible((G139),K163)</f>
        <v/>
      </c>
      <c r="E163" s="9" t="str" cm="1">
        <f t="array" ref="E163">visible(("وش درج خارجى 4 متساوية"),K163)</f>
        <v/>
      </c>
      <c r="F163" s="9" t="str" cm="1">
        <f t="array" aca="1" ref="F163" ca="1">visible(((I141/G142)-0.5-G141),K163)</f>
        <v/>
      </c>
      <c r="G163" s="9" t="str" cm="1">
        <f t="array" ref="G163">visible((H141-0.5),K163)</f>
        <v/>
      </c>
      <c r="H163" s="9" t="str">
        <f>visible(G142*I142,K163)</f>
        <v/>
      </c>
      <c r="I163" s="9" t="str">
        <f ca="1">visible(materialNum(D163), K163)</f>
        <v/>
      </c>
      <c r="J163" s="9" t="str">
        <f ca="1">visible(engraving(I163), K163)</f>
        <v/>
      </c>
      <c r="K163" s="9" t="b">
        <f>AND(G142=4,I142)</f>
        <v>0</v>
      </c>
    </row>
    <row r="164" spans="1:11" x14ac:dyDescent="0.3">
      <c r="A164" s="50">
        <v>4</v>
      </c>
      <c r="B164" s="14" t="str">
        <f>visible(E138, K164)</f>
        <v/>
      </c>
      <c r="C164" s="9" t="str">
        <f>visible(18,K164)</f>
        <v/>
      </c>
      <c r="D164" s="9" t="str">
        <f ca="1">visible((G139),K164)</f>
        <v/>
      </c>
      <c r="E164" s="9" t="str" cm="1">
        <f t="array" ref="E164">visible(("وش درج خارجى صغير- 3 مختلفة"),K164)</f>
        <v/>
      </c>
      <c r="F164" s="9" t="str" cm="1">
        <f t="array" aca="1" ref="F164" ca="1">visible(((I141/G142)-0.5-G141),K164)</f>
        <v/>
      </c>
      <c r="G164" s="9" t="str" cm="1">
        <f t="array" ref="G164">visible((H141-0.5),K164)</f>
        <v/>
      </c>
      <c r="H164" s="9" t="str">
        <f>visible(G142*I142,K164)</f>
        <v/>
      </c>
      <c r="I164" s="9" t="str">
        <f ca="1">visible(materialNum(D164), K164)</f>
        <v/>
      </c>
      <c r="J164" s="9" t="str">
        <f ca="1">visible(engraving(I164), K164)</f>
        <v/>
      </c>
      <c r="K164" s="9" t="b">
        <f>AND(G142=4,NOT(I142))</f>
        <v>0</v>
      </c>
    </row>
    <row r="165" spans="1:11" x14ac:dyDescent="0.3">
      <c r="A165" s="50">
        <v>4</v>
      </c>
      <c r="B165" s="14" t="str">
        <f>visible(E138, K165)</f>
        <v/>
      </c>
      <c r="C165" s="9" t="str">
        <f>visible(19,K165)</f>
        <v/>
      </c>
      <c r="D165" s="9" t="str">
        <f ca="1">visible((G139),K165)</f>
        <v/>
      </c>
      <c r="E165" s="9" t="str" cm="1">
        <f t="array" ref="E165">visible(("وش درج خارجى كبير- 3 مختلفة"),K165)</f>
        <v/>
      </c>
      <c r="F165" s="9" t="str" cm="1">
        <f t="array" aca="1" ref="F165" ca="1">visible((((I141/G142)*2)-0.5-G141),K165)</f>
        <v/>
      </c>
      <c r="G165" s="9" t="str" cm="1">
        <f t="array" ref="G165">visible((H141-0.5),K165)</f>
        <v/>
      </c>
      <c r="H165" s="9" t="str">
        <f>visible(G142*I142,K165)</f>
        <v/>
      </c>
      <c r="I165" s="9" t="str">
        <f ca="1">visible(materialNum(D165), K165)</f>
        <v/>
      </c>
      <c r="J165" s="9" t="str">
        <f ca="1">visible(engraving(I165), K165)</f>
        <v/>
      </c>
      <c r="K165" s="9" t="b">
        <f>AND(G142=4,NOT(I142))</f>
        <v>0</v>
      </c>
    </row>
    <row r="166" spans="1:11" x14ac:dyDescent="0.3">
      <c r="A166" s="50">
        <v>0</v>
      </c>
      <c r="C166" s="1"/>
      <c r="D166" s="1"/>
      <c r="E166" s="1"/>
      <c r="F166" s="1"/>
      <c r="G166" s="1"/>
      <c r="H166" s="1"/>
      <c r="I166" s="1"/>
      <c r="J166" s="1"/>
    </row>
    <row r="167" spans="1:11" x14ac:dyDescent="0.3">
      <c r="A167" s="50">
        <v>5</v>
      </c>
      <c r="B167" s="14" t="str" cm="1">
        <f t="array" aca="1" ref="B167" ca="1">visible(E138, K167)</f>
        <v>وحدة سفلية ادراج</v>
      </c>
      <c r="C167" s="18">
        <f ca="1">visible(20,K167)</f>
        <v>20</v>
      </c>
      <c r="D167" s="18" t="str" cm="1">
        <f t="array" aca="1" ref="D167" ca="1">visible((E139),K167)</f>
        <v>ظهر</v>
      </c>
      <c r="E167" s="18" t="str" cm="1">
        <f t="array" aca="1" ref="E167" ca="1">visible(("ظهر"),K167)</f>
        <v>ظهر</v>
      </c>
      <c r="F167" s="18" cm="1">
        <f t="array" aca="1" ref="F167" ca="1">visible((I141-2),K167)</f>
        <v>76</v>
      </c>
      <c r="G167" s="18" cm="1">
        <f t="array" aca="1" ref="G167" ca="1">visible((H141-2),K167)</f>
        <v>78</v>
      </c>
      <c r="H167" s="18" cm="1">
        <f t="array" aca="1" ref="H167" ca="1">visible((C138),K167)</f>
        <v>1</v>
      </c>
      <c r="I167" s="18">
        <f ca="1">visible(materialNum(D167), K167)</f>
        <v>2</v>
      </c>
      <c r="J167" s="18">
        <f ca="1">visible(engraving(I167), K167)</f>
        <v>2</v>
      </c>
      <c r="K167" s="18" t="b">
        <f ca="1">K141</f>
        <v>1</v>
      </c>
    </row>
    <row r="168" spans="1:11" x14ac:dyDescent="0.3">
      <c r="A168" s="50">
        <v>5</v>
      </c>
      <c r="B168" s="14" t="str">
        <f>visible(E138, K168)</f>
        <v>وحدة سفلية ادراج</v>
      </c>
      <c r="C168" s="18">
        <f>visible(21,K168)</f>
        <v>21</v>
      </c>
      <c r="D168" s="18" t="str">
        <f ca="1">visible((E139),K168)</f>
        <v>ظهر</v>
      </c>
      <c r="E168" s="18" t="str" cm="1">
        <f t="array" ref="E168">visible(("قعر درج داخلي"),K168)</f>
        <v>قعر درج داخلي</v>
      </c>
      <c r="F168" s="18" cm="1">
        <f t="array" ref="F168">visible((H141-3.6-3.6-2.5+2),K168)</f>
        <v>72.3</v>
      </c>
      <c r="G168" s="18" cm="1">
        <f t="array" aca="1" ref="G168" ca="1">visible((C139-1),K168)</f>
        <v>44</v>
      </c>
      <c r="H168" s="18">
        <f>visible(C138*F141,K168)</f>
        <v>1</v>
      </c>
      <c r="I168" s="18">
        <f ca="1">visible(materialNum(D168), K168)</f>
        <v>2</v>
      </c>
      <c r="J168" s="18">
        <f ca="1">visible(engraving(I168), K168)</f>
        <v>2</v>
      </c>
      <c r="K168" s="18" t="b">
        <f>F141&gt;0</f>
        <v>1</v>
      </c>
    </row>
    <row r="169" spans="1:11" x14ac:dyDescent="0.3">
      <c r="A169" s="50">
        <v>5</v>
      </c>
      <c r="B169" s="14" t="str">
        <f>visible(E138, K169)</f>
        <v>وحدة سفلية ادراج</v>
      </c>
      <c r="C169" s="18">
        <f>visible(22,K169)</f>
        <v>22</v>
      </c>
      <c r="D169" s="18" t="str">
        <f ca="1">visible((E139),K169)</f>
        <v>ظهر</v>
      </c>
      <c r="E169" s="18" t="str" cm="1">
        <f t="array" ref="E169">visible(("قعر درج 30"),K169)</f>
        <v>قعر درج 30</v>
      </c>
      <c r="F169" s="18" cm="1">
        <f t="array" ref="F169">visible((H141-3.6-3.6-2.5+2),K169)</f>
        <v>72.3</v>
      </c>
      <c r="G169" s="18" cm="1">
        <f t="array" aca="1" ref="G169" ca="1">visible((C139-1),K169)</f>
        <v>44</v>
      </c>
      <c r="H169" s="18">
        <f>visible(C138*C141,K169)</f>
        <v>1</v>
      </c>
      <c r="I169" s="18">
        <f ca="1">visible(materialNum(D169), K169)</f>
        <v>2</v>
      </c>
      <c r="J169" s="18">
        <f ca="1">visible(engraving(I169), K169)</f>
        <v>2</v>
      </c>
      <c r="K169" s="18" t="b">
        <f>C141&gt;0</f>
        <v>1</v>
      </c>
    </row>
    <row r="170" spans="1:11" x14ac:dyDescent="0.3">
      <c r="A170" s="50">
        <v>5</v>
      </c>
      <c r="B170" s="14" t="str">
        <f>visible(E138, K170)</f>
        <v>وحدة سفلية ادراج</v>
      </c>
      <c r="C170" s="18">
        <f>visible(23,K170)</f>
        <v>23</v>
      </c>
      <c r="D170" s="18" t="str">
        <f ca="1">visible((E139),K170)</f>
        <v>ظهر</v>
      </c>
      <c r="E170" s="18" t="str" cm="1">
        <f t="array" ref="E170">visible(("قعر درج 20"),K170)</f>
        <v>قعر درج 20</v>
      </c>
      <c r="F170" s="18" cm="1">
        <f t="array" ref="F170">visible((H141-3.6-3.6-2.5+2),K170)</f>
        <v>72.3</v>
      </c>
      <c r="G170" s="18" cm="1">
        <f t="array" aca="1" ref="G170" ca="1">visible((C139-1),K170)</f>
        <v>44</v>
      </c>
      <c r="H170" s="18">
        <f>visible(C138*D141,K170)</f>
        <v>1</v>
      </c>
      <c r="I170" s="18">
        <f ca="1">visible(materialNum(D170), K170)</f>
        <v>2</v>
      </c>
      <c r="J170" s="18">
        <f ca="1">visible(engraving(I170), K170)</f>
        <v>2</v>
      </c>
      <c r="K170" s="18" t="b">
        <f>D141&gt;0</f>
        <v>1</v>
      </c>
    </row>
    <row r="171" spans="1:11" x14ac:dyDescent="0.3">
      <c r="A171" s="50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0">
        <v>255</v>
      </c>
      <c r="C172"/>
      <c r="D172"/>
      <c r="E172"/>
      <c r="F172"/>
      <c r="G172"/>
      <c r="H172"/>
      <c r="I172"/>
      <c r="J172"/>
      <c r="K172"/>
    </row>
  </sheetData>
  <mergeCells count="13">
    <mergeCell ref="E138:H138"/>
    <mergeCell ref="J142:K142"/>
    <mergeCell ref="E13:H13"/>
    <mergeCell ref="F55:F56"/>
    <mergeCell ref="F34:F35"/>
    <mergeCell ref="E33:H33"/>
    <mergeCell ref="C2:J2"/>
    <mergeCell ref="F14:F15"/>
    <mergeCell ref="E120:H120"/>
    <mergeCell ref="E97:H97"/>
    <mergeCell ref="E74:H74"/>
    <mergeCell ref="F75:F76"/>
    <mergeCell ref="E54:H54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K17" sqref="K17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4" customFormat="1" x14ac:dyDescent="0.3">
      <c r="A1" s="34">
        <v>34</v>
      </c>
      <c r="B1" s="54">
        <v>7</v>
      </c>
      <c r="P1" s="44"/>
      <c r="Q1" s="44"/>
      <c r="R1" s="44"/>
      <c r="S1" s="44"/>
      <c r="T1" s="44"/>
      <c r="U1" s="44"/>
      <c r="V1" s="44"/>
      <c r="W1" s="44"/>
      <c r="X1" s="44"/>
    </row>
    <row r="2" spans="1:81" s="34" customFormat="1" ht="31.2" x14ac:dyDescent="0.3">
      <c r="A2" s="34">
        <v>54</v>
      </c>
      <c r="B2" s="47" t="s">
        <v>116</v>
      </c>
      <c r="C2" s="96" t="s">
        <v>43</v>
      </c>
      <c r="D2" s="96"/>
      <c r="E2" s="96"/>
      <c r="F2" s="96"/>
      <c r="G2" s="96"/>
      <c r="H2" s="96"/>
      <c r="I2" s="96"/>
      <c r="J2" s="96"/>
      <c r="P2" s="44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</row>
    <row r="3" spans="1:81" s="34" customFormat="1" x14ac:dyDescent="0.3">
      <c r="B3" s="54" t="s">
        <v>148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P3" s="44"/>
      <c r="Q3" s="44"/>
      <c r="R3" s="33"/>
      <c r="S3" s="33"/>
      <c r="T3" s="33"/>
      <c r="U3" s="33"/>
      <c r="V3" s="39"/>
      <c r="W3" s="39"/>
      <c r="X3" s="39"/>
      <c r="Y3" s="39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</row>
    <row r="4" spans="1:81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P4" s="44"/>
      <c r="Q4" s="44"/>
      <c r="R4" s="33"/>
      <c r="S4" s="33"/>
      <c r="T4" s="33"/>
      <c r="U4" s="33"/>
      <c r="V4" s="33"/>
      <c r="W4" s="33"/>
      <c r="X4" s="33"/>
      <c r="Y4" s="33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</row>
    <row r="5" spans="1:81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</row>
    <row r="6" spans="1:81" s="34" customFormat="1" x14ac:dyDescent="0.3">
      <c r="B6" s="5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</row>
    <row r="7" spans="1:81" s="34" customFormat="1" x14ac:dyDescent="0.3">
      <c r="B7" s="5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</row>
    <row r="8" spans="1:81" s="37" customFormat="1" ht="18" x14ac:dyDescent="0.3">
      <c r="A8" s="34"/>
      <c r="B8" s="5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</row>
    <row r="9" spans="1:81" customFormat="1" x14ac:dyDescent="0.3">
      <c r="A9" s="34"/>
    </row>
    <row r="10" spans="1:81" customFormat="1" x14ac:dyDescent="0.3">
      <c r="A10" s="34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4" t="s">
        <v>128</v>
      </c>
      <c r="B13" s="3"/>
      <c r="C13" s="13">
        <v>1</v>
      </c>
      <c r="D13" s="21" t="s">
        <v>59</v>
      </c>
      <c r="E13" s="90" t="s">
        <v>44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4">
        <v>1</v>
      </c>
      <c r="C14" s="7" t="s">
        <v>54</v>
      </c>
      <c r="D14" s="7" t="s">
        <v>55</v>
      </c>
      <c r="E14" s="17" t="s">
        <v>18</v>
      </c>
      <c r="F14" s="7" t="s">
        <v>16</v>
      </c>
      <c r="G14" s="7" t="s">
        <v>113</v>
      </c>
      <c r="H14" s="7" t="s">
        <v>22</v>
      </c>
      <c r="I14" s="7" t="s">
        <v>3</v>
      </c>
      <c r="J14" s="7" t="s">
        <v>111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4">
        <v>1</v>
      </c>
      <c r="C15" s="8">
        <v>1</v>
      </c>
      <c r="D15" s="8">
        <v>0</v>
      </c>
      <c r="E15" s="8">
        <v>1</v>
      </c>
      <c r="F15" s="26" cm="1">
        <f t="array" aca="1" ref="F15" ca="1">defaultValue(F14,K13)</f>
        <v>3.5</v>
      </c>
      <c r="G15" s="26" cm="1">
        <f t="array" aca="1" ref="G15" ca="1">defaultValue(G14,K13)</f>
        <v>0</v>
      </c>
      <c r="H15" s="8"/>
      <c r="I15" s="26" cm="1">
        <f t="array" aca="1" ref="I15" ca="1">defaultValue(I14,K13)</f>
        <v>70</v>
      </c>
      <c r="J15" s="26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4">
        <v>1</v>
      </c>
      <c r="C16" s="9" t="b">
        <f>C15=0</f>
        <v>0</v>
      </c>
      <c r="D16" s="9" t="b">
        <f>D15=0</f>
        <v>1</v>
      </c>
      <c r="E16" s="7" t="s">
        <v>104</v>
      </c>
      <c r="F16" s="103" t="b">
        <f ca="1">NOT(AND(F15&gt;0,G15&gt;0))</f>
        <v>1</v>
      </c>
      <c r="G16" s="103"/>
      <c r="H16" s="3" t="b">
        <f>_xlfn.XOR(H15&lt;=50,C17=2)</f>
        <v>1</v>
      </c>
      <c r="I16" s="45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4">
        <v>1</v>
      </c>
      <c r="C17" s="102">
        <f>C15+D15</f>
        <v>1</v>
      </c>
      <c r="D17" s="102"/>
      <c r="E17" s="25">
        <v>10</v>
      </c>
      <c r="F17" s="104" t="str">
        <f ca="1">IF(F16,"المقابض مظبوطة","مينفعش مقبض مخفي مع بيلت ان")</f>
        <v>المقابض مظبوطة</v>
      </c>
      <c r="G17" s="104"/>
      <c r="H17" s="103" t="str">
        <f>IF(H16,"عدد الدلف صحيح","عدد الدلف غير صحيح")</f>
        <v>عدد الدلف صحيح</v>
      </c>
      <c r="I17" s="103"/>
      <c r="J17" s="10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4">
        <v>1</v>
      </c>
      <c r="C18" s="103" t="b">
        <f>C17&lt;=2</f>
        <v>1</v>
      </c>
      <c r="D18" s="10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4">
        <v>1</v>
      </c>
      <c r="C19" s="8"/>
      <c r="D19" s="26" t="str" cm="1">
        <f t="array" aca="1" ref="D19" ca="1">defaultValue(E19,K13)</f>
        <v>ظهر</v>
      </c>
      <c r="E19" s="7" t="s">
        <v>58</v>
      </c>
      <c r="F19" s="26" t="str" cm="1">
        <f t="array" aca="1" ref="F19" ca="1">defaultValue(G19,K13)</f>
        <v>يوفيلاك</v>
      </c>
      <c r="G19" s="7" t="s">
        <v>32</v>
      </c>
      <c r="H19" s="26" t="str" cm="1">
        <f t="array" aca="1" ref="H19" ca="1">defaultValue(I19,K13)</f>
        <v>HPL</v>
      </c>
      <c r="I19" s="7" t="s">
        <v>31</v>
      </c>
      <c r="J19" s="24" t="s">
        <v>109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4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4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174</v>
      </c>
      <c r="K21" s="6" t="s">
        <v>157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4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4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visible(materialNum(D23), K23)</f>
        <v>2</v>
      </c>
      <c r="J23" s="6">
        <f ca="1">visible(engraving(I23), K23)</f>
        <v>2</v>
      </c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4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4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4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4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visible(materialNum(D28), K28)</f>
        <v>6</v>
      </c>
      <c r="J28" s="9">
        <f ca="1">visible(engraving(I28), K28)</f>
        <v>2</v>
      </c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4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69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>
        <f>visible(materialNum(D29), K29)</f>
        <v>-1</v>
      </c>
      <c r="J29" s="9">
        <f>visible(engraving(I29), K29)</f>
        <v>0</v>
      </c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5</v>
      </c>
      <c r="B31" s="3" t="str">
        <f>B23</f>
        <v xml:space="preserve">وحدة علوية دلفة /دلفتين </v>
      </c>
      <c r="C31" s="18">
        <f>C29+1</f>
        <v>7</v>
      </c>
      <c r="D31" s="18" t="str">
        <f ca="1">D19</f>
        <v>ظهر</v>
      </c>
      <c r="E31" s="18" t="s">
        <v>58</v>
      </c>
      <c r="F31" s="18">
        <f ca="1">I15-2</f>
        <v>68</v>
      </c>
      <c r="G31" s="18">
        <f>H15-2</f>
        <v>-2</v>
      </c>
      <c r="H31" s="18">
        <f>1*C13</f>
        <v>1</v>
      </c>
      <c r="I31" s="18">
        <f ca="1">visible(materialNum(D31), K31)</f>
        <v>2</v>
      </c>
      <c r="J31" s="18">
        <f ca="1">visible(engraving(I31), K31)</f>
        <v>2</v>
      </c>
      <c r="K31" s="18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4" t="s">
        <v>133</v>
      </c>
      <c r="C34" s="13">
        <v>1</v>
      </c>
      <c r="D34" s="21" t="s">
        <v>59</v>
      </c>
      <c r="E34" s="90" t="s">
        <v>50</v>
      </c>
      <c r="F34" s="91"/>
      <c r="G34" s="91"/>
      <c r="H34" s="92"/>
      <c r="I34" s="2" t="s">
        <v>30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4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113</v>
      </c>
      <c r="H35" s="7" t="s">
        <v>22</v>
      </c>
      <c r="I35" s="7" t="s">
        <v>3</v>
      </c>
      <c r="J35" s="7" t="s">
        <v>111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4">
        <v>1</v>
      </c>
      <c r="C36" s="8">
        <v>2</v>
      </c>
      <c r="D36" s="8">
        <v>0</v>
      </c>
      <c r="E36" s="7">
        <v>1</v>
      </c>
      <c r="F36" s="26" cm="1">
        <f t="array" aca="1" ref="F36" ca="1">defaultValue(F35,K34)</f>
        <v>3.5</v>
      </c>
      <c r="G36" s="26" cm="1">
        <f t="array" aca="1" ref="G36" ca="1">defaultValue(G35,K34)</f>
        <v>0</v>
      </c>
      <c r="H36" s="8"/>
      <c r="I36" s="26" cm="1">
        <f t="array" aca="1" ref="I36" ca="1">defaultValue(I35,K34)</f>
        <v>70</v>
      </c>
      <c r="J36" s="26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4">
        <v>1</v>
      </c>
      <c r="C37" s="9" t="b">
        <f>C36=0</f>
        <v>0</v>
      </c>
      <c r="D37" s="9" t="b">
        <f>D36=0</f>
        <v>1</v>
      </c>
      <c r="E37" s="7" t="s">
        <v>104</v>
      </c>
      <c r="F37" s="105" t="b">
        <f ca="1">NOT(AND(F36&gt;0,G36&gt;0))</f>
        <v>1</v>
      </c>
      <c r="G37" s="10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4">
        <v>1</v>
      </c>
      <c r="C38" s="102">
        <f>C36+D36</f>
        <v>2</v>
      </c>
      <c r="D38" s="102"/>
      <c r="E38" s="7">
        <v>0</v>
      </c>
      <c r="F38" s="106" t="str">
        <f ca="1">IF(F37,"المقابض مظبوطة","مينفعش مقبض مخفي مع بيلت ان")</f>
        <v>المقابض مظبوطة</v>
      </c>
      <c r="G38" s="106"/>
      <c r="H38" s="29"/>
      <c r="I38" s="31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4">
        <v>1</v>
      </c>
      <c r="C39" s="103" t="b">
        <f>C38&lt;=2</f>
        <v>1</v>
      </c>
      <c r="D39" s="103"/>
      <c r="E39" s="45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4">
        <v>1</v>
      </c>
      <c r="C40" s="8"/>
      <c r="D40" s="26" t="str" cm="1">
        <f t="array" aca="1" ref="D40" ca="1">defaultValue(E40,K34)</f>
        <v>ظهر</v>
      </c>
      <c r="E40" s="7" t="s">
        <v>58</v>
      </c>
      <c r="F40" s="26" t="str" cm="1">
        <f t="array" aca="1" ref="F40" ca="1">defaultValue(G40,K34)</f>
        <v>يوفيلاك</v>
      </c>
      <c r="G40" s="7" t="s">
        <v>32</v>
      </c>
      <c r="H40" s="26" t="str" cm="1">
        <f t="array" aca="1" ref="H40" ca="1">defaultValue(I40,K34)</f>
        <v>HPL</v>
      </c>
      <c r="I40" s="7" t="s">
        <v>31</v>
      </c>
      <c r="J40" s="24" t="s">
        <v>109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4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4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174</v>
      </c>
      <c r="K42" s="6" t="s">
        <v>157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4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4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4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4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4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visible(materialNum(D47), K47)</f>
        <v>2</v>
      </c>
      <c r="J47" s="6">
        <f ca="1">visible(engraving(I47), K47)</f>
        <v>2</v>
      </c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4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4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4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>
        <f>visible(materialNum(D50), K50)</f>
        <v>-1</v>
      </c>
      <c r="J50" s="9">
        <f>visible(engraving(I50), K50)</f>
        <v>0</v>
      </c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5</v>
      </c>
      <c r="B52" s="3" t="str">
        <f>B44</f>
        <v>وحدة علوية  قلاب / 2 قلاب</v>
      </c>
      <c r="C52" s="18">
        <f>C50+1</f>
        <v>7</v>
      </c>
      <c r="D52" s="18" t="str">
        <f ca="1">D40</f>
        <v>ظهر</v>
      </c>
      <c r="E52" s="18" t="s">
        <v>58</v>
      </c>
      <c r="F52" s="18">
        <f ca="1">I36-2</f>
        <v>68</v>
      </c>
      <c r="G52" s="18">
        <f>H36-2</f>
        <v>-2</v>
      </c>
      <c r="H52" s="18">
        <f>1*C34</f>
        <v>1</v>
      </c>
      <c r="I52" s="18">
        <f ca="1">visible(materialNum(D52), K52)</f>
        <v>2</v>
      </c>
      <c r="J52" s="18">
        <f ca="1">visible(engraving(I52), K52)</f>
        <v>2</v>
      </c>
      <c r="K52" s="18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4" t="s">
        <v>129</v>
      </c>
      <c r="C55" s="13">
        <v>1</v>
      </c>
      <c r="D55" s="21" t="s">
        <v>59</v>
      </c>
      <c r="E55" s="90" t="s">
        <v>45</v>
      </c>
      <c r="F55" s="91"/>
      <c r="G55" s="91"/>
      <c r="H55" s="92"/>
      <c r="I55" s="2" t="s">
        <v>30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4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113</v>
      </c>
      <c r="H56" s="7" t="s">
        <v>22</v>
      </c>
      <c r="I56" s="7" t="s">
        <v>3</v>
      </c>
      <c r="J56" s="7" t="s">
        <v>111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4">
        <v>1</v>
      </c>
      <c r="C57" s="8">
        <v>2</v>
      </c>
      <c r="D57" s="8"/>
      <c r="E57" s="8">
        <v>1</v>
      </c>
      <c r="F57" s="26" cm="1">
        <f t="array" aca="1" ref="F57" ca="1">defaultValue(F56,K55)</f>
        <v>3.5</v>
      </c>
      <c r="G57" s="26" cm="1">
        <f t="array" aca="1" ref="G57" ca="1">defaultValue(G56,K55)</f>
        <v>0</v>
      </c>
      <c r="H57" s="8"/>
      <c r="I57" s="26" cm="1">
        <f t="array" aca="1" ref="I57" ca="1">defaultValue(I56,K55)</f>
        <v>70</v>
      </c>
      <c r="J57" s="26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4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3" t="b">
        <f ca="1">NOT(AND(F57&gt;0,G57&gt;0))</f>
        <v>1</v>
      </c>
      <c r="G58" s="100"/>
      <c r="H58" s="3" t="b">
        <f>_xlfn.XOR(H57&lt;=50,C59=2)</f>
        <v>0</v>
      </c>
      <c r="I58" s="57" t="s">
        <v>139</v>
      </c>
      <c r="J58" s="58" t="s">
        <v>140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4">
        <v>1</v>
      </c>
      <c r="C59" s="102">
        <f>C57+D57</f>
        <v>2</v>
      </c>
      <c r="D59" s="102"/>
      <c r="E59" s="7" t="s">
        <v>104</v>
      </c>
      <c r="F59" s="107" t="str">
        <f ca="1">IF(F58,"المقابض مظبوطة","مينفعش مقبض مخفي مع بيلت ان")</f>
        <v>المقابض مظبوطة</v>
      </c>
      <c r="G59" s="107"/>
      <c r="H59" s="32" t="str">
        <f>IF(H58,"عدد الدلف صحيح","عدد الدلف غير صحيح")</f>
        <v>عدد الدلف غير صحيح</v>
      </c>
      <c r="I59" s="57">
        <v>30</v>
      </c>
      <c r="J59" s="58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4">
        <v>1</v>
      </c>
      <c r="C60" s="103" t="b">
        <f>C59&lt;=2</f>
        <v>1</v>
      </c>
      <c r="D60" s="10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4">
        <v>1</v>
      </c>
      <c r="B61" s="1"/>
      <c r="C61" s="8"/>
      <c r="D61" s="26" t="str" cm="1">
        <f t="array" aca="1" ref="D61" ca="1">defaultValue(E61,K55)</f>
        <v>ظهر</v>
      </c>
      <c r="E61" s="7" t="s">
        <v>58</v>
      </c>
      <c r="F61" s="26" t="str" cm="1">
        <f t="array" aca="1" ref="F61" ca="1">defaultValue(G61,K55)</f>
        <v>يوفيلاك</v>
      </c>
      <c r="G61" s="7" t="s">
        <v>32</v>
      </c>
      <c r="H61" s="26" t="str" cm="1">
        <f t="array" aca="1" ref="H61" ca="1">defaultValue(I61,K55)</f>
        <v>HPL</v>
      </c>
      <c r="I61" s="7" t="s">
        <v>31</v>
      </c>
      <c r="J61" s="24" t="s">
        <v>109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4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4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174</v>
      </c>
      <c r="K63" s="6" t="s">
        <v>157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4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4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4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4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visible(materialNum(D67), K67)</f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visible(materialNum(D68), K68)</f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4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4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4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visible(materialNum(D71), K71)</f>
        <v>6</v>
      </c>
      <c r="J71" s="9">
        <f ca="1">visible(engraving(I71), K71)</f>
        <v>2</v>
      </c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4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visible(materialNum(D72), K72)</f>
        <v>6</v>
      </c>
      <c r="J72" s="9">
        <f ca="1">visible(engraving(I72), K72)</f>
        <v>2</v>
      </c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69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>
        <f>visible(materialNum(D74), K74)</f>
        <v>-1</v>
      </c>
      <c r="J74" s="9">
        <f>visible(engraving(I74), K74)</f>
        <v>0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5</v>
      </c>
      <c r="B76" s="3" t="str">
        <f>B65</f>
        <v xml:space="preserve">وحدة علوية  تلبيسة دلفة /دلفتين </v>
      </c>
      <c r="C76" s="18">
        <f>C74+1</f>
        <v>9</v>
      </c>
      <c r="D76" s="18" t="str">
        <f ca="1">D61</f>
        <v>ظهر</v>
      </c>
      <c r="E76" s="18" t="s">
        <v>58</v>
      </c>
      <c r="F76" s="18">
        <f ca="1">I57-2</f>
        <v>68</v>
      </c>
      <c r="G76" s="18">
        <f>H57-2</f>
        <v>-2</v>
      </c>
      <c r="H76" s="18">
        <f>1*C55</f>
        <v>1</v>
      </c>
      <c r="I76" s="18">
        <f ca="1">visible(materialNum(D76), K76)</f>
        <v>2</v>
      </c>
      <c r="J76" s="18">
        <f ca="1">visible(engraving(I76), K76)</f>
        <v>2</v>
      </c>
      <c r="K76" s="18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4" t="s">
        <v>134</v>
      </c>
      <c r="C79" s="13">
        <v>1</v>
      </c>
      <c r="D79" s="21" t="s">
        <v>59</v>
      </c>
      <c r="E79" s="90" t="s">
        <v>141</v>
      </c>
      <c r="F79" s="91"/>
      <c r="G79" s="91"/>
      <c r="H79" s="92"/>
      <c r="I79" s="2" t="s">
        <v>30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4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113</v>
      </c>
      <c r="H80" s="7" t="s">
        <v>22</v>
      </c>
      <c r="I80" s="7" t="s">
        <v>3</v>
      </c>
      <c r="J80" s="7" t="s">
        <v>111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4">
        <v>1</v>
      </c>
      <c r="C81" s="8">
        <v>1</v>
      </c>
      <c r="D81" s="8">
        <v>0</v>
      </c>
      <c r="E81" s="8">
        <v>0</v>
      </c>
      <c r="F81" s="26" cm="1">
        <f t="array" aca="1" ref="F81" ca="1">defaultValue(F80,K79)</f>
        <v>3.5</v>
      </c>
      <c r="G81" s="26" cm="1">
        <f t="array" aca="1" ref="G81" ca="1">defaultValue(G80,K79)</f>
        <v>0</v>
      </c>
      <c r="H81" s="8"/>
      <c r="I81" s="26" cm="1">
        <f t="array" aca="1" ref="I81" ca="1">defaultValue(I80,K79)</f>
        <v>70</v>
      </c>
      <c r="J81" s="26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4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3" t="b">
        <f ca="1">NOT(AND(F81&gt;0,G81&gt;0))</f>
        <v>1</v>
      </c>
      <c r="G82" s="100"/>
      <c r="H82" s="3" t="b">
        <f ca="1">_xlfn.XOR(I81&lt;=50,C83=2)</f>
        <v>0</v>
      </c>
      <c r="I82" s="57" t="s">
        <v>139</v>
      </c>
      <c r="J82" s="58" t="s">
        <v>140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4">
        <v>1</v>
      </c>
      <c r="C83" s="102">
        <f>C81+D81</f>
        <v>1</v>
      </c>
      <c r="D83" s="102"/>
      <c r="E83" s="7" t="s">
        <v>104</v>
      </c>
      <c r="F83" s="107" t="str">
        <f ca="1">IF(F82,"المقابض مظبوطة","مينفعش مقبض مخفي مع بيلت ان")</f>
        <v>المقابض مظبوطة</v>
      </c>
      <c r="G83" s="107"/>
      <c r="H83" s="32" t="str">
        <f ca="1">IF(H82,"عدد الدلف صحيح","عدد الدلف غير صحيح")</f>
        <v>عدد الدلف غير صحيح</v>
      </c>
      <c r="I83" s="57">
        <v>0</v>
      </c>
      <c r="J83" s="58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4">
        <v>1</v>
      </c>
      <c r="C84" s="103" t="b">
        <f>C83&lt;=2</f>
        <v>1</v>
      </c>
      <c r="D84" s="10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4">
        <v>1</v>
      </c>
      <c r="B85" s="1"/>
      <c r="C85" s="8"/>
      <c r="D85" s="26" t="str" cm="1">
        <f t="array" aca="1" ref="D85" ca="1">defaultValue(E85,K79)</f>
        <v>ظهر</v>
      </c>
      <c r="E85" s="7" t="s">
        <v>58</v>
      </c>
      <c r="F85" s="26" t="str" cm="1">
        <f t="array" aca="1" ref="F85" ca="1">defaultValue(G85,K79)</f>
        <v>يوفيلاك</v>
      </c>
      <c r="G85" s="7" t="s">
        <v>32</v>
      </c>
      <c r="H85" s="26" t="str" cm="1">
        <f t="array" aca="1" ref="H85" ca="1">defaultValue(I85,K79)</f>
        <v>HPL</v>
      </c>
      <c r="I85" s="7" t="s">
        <v>31</v>
      </c>
      <c r="J85" s="24" t="s">
        <v>109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4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4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174</v>
      </c>
      <c r="K87" s="6" t="s">
        <v>157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4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4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visible(materialNum(D89), K89)</f>
        <v>2</v>
      </c>
      <c r="J89" s="6">
        <f ca="1">visible(engraving(I89), K89)</f>
        <v>2</v>
      </c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4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visible(materialNum(D90), K90)</f>
        <v>2</v>
      </c>
      <c r="J90" s="6">
        <f ca="1">visible(engraving(I90), K90)</f>
        <v>2</v>
      </c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4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visible(materialNum(D91), K91)</f>
        <v>2</v>
      </c>
      <c r="J91" s="6">
        <f ca="1">visible(engraving(I91), K91)</f>
        <v>2</v>
      </c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visible(materialNum(D92), K92)</f>
        <v>2</v>
      </c>
      <c r="J92" s="6">
        <f ca="1">visible(engraving(I92), K92)</f>
        <v>2</v>
      </c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4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4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4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142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visible(materialNum(D95), K95)</f>
        <v>6</v>
      </c>
      <c r="J95" s="9">
        <f ca="1">visible(engraving(I95), K95)</f>
        <v>2</v>
      </c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4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visible(materialNum(D96), K96)</f>
        <v>6</v>
      </c>
      <c r="J96" s="9">
        <f ca="1">visible(engraving(I96), K96)</f>
        <v>2</v>
      </c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69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>
        <f>visible(materialNum(D98), K98)</f>
        <v>-1</v>
      </c>
      <c r="J98" s="9">
        <f>visible(engraving(I98), K98)</f>
        <v>0</v>
      </c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5</v>
      </c>
      <c r="B100" s="3" t="str">
        <f>B89</f>
        <v>وحدة علوية  تلبيسة دلفة /دلفتين قلاب</v>
      </c>
      <c r="C100" s="18">
        <f>C98+1</f>
        <v>9</v>
      </c>
      <c r="D100" s="18" t="str">
        <f ca="1">D85</f>
        <v>ظهر</v>
      </c>
      <c r="E100" s="18" t="s">
        <v>58</v>
      </c>
      <c r="F100" s="18">
        <f ca="1">I81-2</f>
        <v>68</v>
      </c>
      <c r="G100" s="18">
        <f>H81-2</f>
        <v>-2</v>
      </c>
      <c r="H100" s="18">
        <f>1*C79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4" t="s">
        <v>130</v>
      </c>
      <c r="C103" s="13">
        <v>1</v>
      </c>
      <c r="D103" s="21" t="s">
        <v>59</v>
      </c>
      <c r="E103" s="90" t="s">
        <v>46</v>
      </c>
      <c r="F103" s="91"/>
      <c r="G103" s="91"/>
      <c r="H103" s="92"/>
      <c r="I103" s="2" t="s">
        <v>30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4">
        <v>1</v>
      </c>
      <c r="C104" s="7"/>
      <c r="D104" s="7" t="s">
        <v>18</v>
      </c>
      <c r="E104" s="7"/>
      <c r="F104" s="7" t="s">
        <v>16</v>
      </c>
      <c r="G104" s="7" t="s">
        <v>113</v>
      </c>
      <c r="H104" s="7" t="s">
        <v>22</v>
      </c>
      <c r="I104" s="7" t="s">
        <v>3</v>
      </c>
      <c r="J104" s="7" t="s">
        <v>111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4">
        <v>1</v>
      </c>
      <c r="C105" s="8"/>
      <c r="D105" s="8">
        <v>2</v>
      </c>
      <c r="E105" s="8"/>
      <c r="F105" s="26" cm="1">
        <f t="array" aca="1" ref="F105" ca="1">defaultValue(F104,K103)</f>
        <v>3.5</v>
      </c>
      <c r="G105" s="26" cm="1">
        <f t="array" aca="1" ref="G105" ca="1">defaultValue(G104,K103)</f>
        <v>0</v>
      </c>
      <c r="H105" s="8"/>
      <c r="I105" s="26" cm="1">
        <f t="array" aca="1" ref="I105" ca="1">defaultValue(I104,K103)</f>
        <v>70</v>
      </c>
      <c r="J105" s="26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4">
        <v>1</v>
      </c>
      <c r="C106" s="8"/>
      <c r="D106" s="8"/>
      <c r="E106" s="8"/>
      <c r="F106" s="103" t="b">
        <f ca="1">NOT(AND(F105&gt;0,G105&gt;0))</f>
        <v>1</v>
      </c>
      <c r="G106" s="103"/>
      <c r="H106" s="8">
        <v>60</v>
      </c>
      <c r="I106" s="26" cm="1">
        <f t="array" aca="1" ref="I106" ca="1">defaultValue(I104,K103)</f>
        <v>70</v>
      </c>
      <c r="J106" s="26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4">
        <v>1</v>
      </c>
      <c r="C107" s="8"/>
      <c r="D107" s="8"/>
      <c r="E107" s="8"/>
      <c r="F107" s="106" t="str">
        <f ca="1">IF(F106,"المقابض مظبوطة","مينفعش مقبض مخفي مع بيلت ان")</f>
        <v>المقابض مظبوطة</v>
      </c>
      <c r="G107" s="10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8"/>
      <c r="D108" s="26" t="str" cm="1">
        <f t="array" aca="1" ref="D108" ca="1">defaultValue(E108,K103)</f>
        <v>ظهر</v>
      </c>
      <c r="E108" s="7" t="s">
        <v>58</v>
      </c>
      <c r="F108" s="26" t="str" cm="1">
        <f t="array" aca="1" ref="F108" ca="1">defaultValue(G108,K103)</f>
        <v>يوفيلاك</v>
      </c>
      <c r="G108" s="7" t="s">
        <v>32</v>
      </c>
      <c r="H108" s="26" t="str" cm="1">
        <f t="array" aca="1" ref="H108" ca="1">defaultValue(I108,K103)</f>
        <v>HPL</v>
      </c>
      <c r="I108" s="7" t="s">
        <v>31</v>
      </c>
      <c r="J108" s="24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4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4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174</v>
      </c>
      <c r="K110" s="6" t="s">
        <v>157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4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4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4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4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60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61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4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visible(materialNum(D117), K117)</f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4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4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visible(materialNum(D119), K119)</f>
        <v>6</v>
      </c>
      <c r="J119" s="9">
        <f ca="1">visible(engraving(I119), K119)</f>
        <v>2</v>
      </c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4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visible(materialNum(D120), K120)</f>
        <v>6</v>
      </c>
      <c r="J120" s="9">
        <f ca="1">visible(engraving(I120), K120)</f>
        <v>2</v>
      </c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69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>
        <f>visible(materialNum(D122), K122)</f>
        <v>-1</v>
      </c>
      <c r="J122" s="9">
        <f>visible(engraving(I122), K122)</f>
        <v>0</v>
      </c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69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>
        <f>visible(materialNum(D123), K123)</f>
        <v>-1</v>
      </c>
      <c r="J123" s="9">
        <f>visible(engraving(I123), K123)</f>
        <v>0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5</v>
      </c>
      <c r="B125" s="3" t="str">
        <f>B112</f>
        <v>وحدة علوية  زاوية 90</v>
      </c>
      <c r="C125" s="18">
        <f>C123+1</f>
        <v>11</v>
      </c>
      <c r="D125" s="18" t="str">
        <f ca="1">D108</f>
        <v>ظهر</v>
      </c>
      <c r="E125" s="18" t="s">
        <v>105</v>
      </c>
      <c r="F125" s="18">
        <f ca="1">I105-2</f>
        <v>68</v>
      </c>
      <c r="G125" s="18">
        <f>H105-1</f>
        <v>-1</v>
      </c>
      <c r="H125" s="18">
        <f>1*C103</f>
        <v>1</v>
      </c>
      <c r="I125" s="18">
        <f ca="1">visible(materialNum(D125), K125)</f>
        <v>2</v>
      </c>
      <c r="J125" s="18">
        <f ca="1">visible(engraving(I125), K125)</f>
        <v>2</v>
      </c>
      <c r="K125" s="18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5</v>
      </c>
      <c r="B126" s="3" t="str">
        <f>B112</f>
        <v>وحدة علوية  زاوية 90</v>
      </c>
      <c r="C126" s="18">
        <f>C125+1</f>
        <v>12</v>
      </c>
      <c r="D126" s="18" t="str">
        <f ca="1">D108</f>
        <v>ظهر</v>
      </c>
      <c r="E126" s="18" t="s">
        <v>106</v>
      </c>
      <c r="F126" s="18">
        <f ca="1">I106-2</f>
        <v>68</v>
      </c>
      <c r="G126" s="18">
        <f>H106-1</f>
        <v>59</v>
      </c>
      <c r="H126" s="18">
        <f>1*C103</f>
        <v>1</v>
      </c>
      <c r="I126" s="18">
        <f ca="1">visible(materialNum(D126), K126)</f>
        <v>2</v>
      </c>
      <c r="J126" s="18">
        <f ca="1">visible(engraving(I126), K126)</f>
        <v>2</v>
      </c>
      <c r="K126" s="18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4" t="s">
        <v>131</v>
      </c>
      <c r="C129" s="13">
        <v>1</v>
      </c>
      <c r="D129" s="21" t="s">
        <v>59</v>
      </c>
      <c r="E129" s="90" t="s">
        <v>47</v>
      </c>
      <c r="F129" s="91"/>
      <c r="G129" s="91"/>
      <c r="H129" s="92"/>
      <c r="I129" s="2" t="s">
        <v>30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4">
        <v>1</v>
      </c>
      <c r="C130" s="7"/>
      <c r="D130" s="7" t="s">
        <v>18</v>
      </c>
      <c r="E130" s="7"/>
      <c r="F130" s="7" t="s">
        <v>16</v>
      </c>
      <c r="G130" s="7" t="s">
        <v>113</v>
      </c>
      <c r="H130" s="7" t="s">
        <v>22</v>
      </c>
      <c r="I130" s="7" t="s">
        <v>3</v>
      </c>
      <c r="J130" s="7" t="s">
        <v>111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4">
        <v>1</v>
      </c>
      <c r="C131" s="8"/>
      <c r="D131" s="8">
        <v>1</v>
      </c>
      <c r="E131" s="8"/>
      <c r="F131" s="26" cm="1">
        <f t="array" aca="1" ref="F131" ca="1">defaultValue(F130,K129)</f>
        <v>3.5</v>
      </c>
      <c r="G131" s="26" cm="1">
        <f t="array" aca="1" ref="G131" ca="1">defaultValue(G130,K129)</f>
        <v>0</v>
      </c>
      <c r="H131" s="8"/>
      <c r="I131" s="26" cm="1">
        <f t="array" aca="1" ref="I131" ca="1">defaultValue(I130,K129)</f>
        <v>70</v>
      </c>
      <c r="J131" s="26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4">
        <v>1</v>
      </c>
      <c r="C132" s="8"/>
      <c r="D132" s="8"/>
      <c r="E132" s="8"/>
      <c r="F132" s="103" t="b">
        <f ca="1">NOT(AND(F131&gt;0,G131&gt;0))</f>
        <v>1</v>
      </c>
      <c r="G132" s="103"/>
      <c r="H132" s="8"/>
      <c r="I132" s="26" cm="1">
        <f t="array" aca="1" ref="I132" ca="1">defaultValue(I130,K129)</f>
        <v>70</v>
      </c>
      <c r="J132" s="26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4">
        <v>1</v>
      </c>
      <c r="C133" s="8"/>
      <c r="D133" s="8"/>
      <c r="E133" s="8"/>
      <c r="F133" s="106" t="str">
        <f ca="1">IF(F132,"المقابض مظبوطة","مينفعش مقبض مخفي مع بيلت ان")</f>
        <v>المقابض مظبوطة</v>
      </c>
      <c r="G133" s="10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8"/>
      <c r="D134" s="26" t="str" cm="1">
        <f t="array" aca="1" ref="D134" ca="1">defaultValue(E134,K129)</f>
        <v>ظهر</v>
      </c>
      <c r="E134" s="7" t="s">
        <v>58</v>
      </c>
      <c r="F134" s="26" t="str" cm="1">
        <f t="array" aca="1" ref="F134" ca="1">defaultValue(G134,K129)</f>
        <v>يوفيلاك</v>
      </c>
      <c r="G134" s="7" t="s">
        <v>32</v>
      </c>
      <c r="H134" s="26" t="str" cm="1">
        <f t="array" aca="1" ref="H134" ca="1">defaultValue(I134,K129)</f>
        <v>HPL</v>
      </c>
      <c r="I134" s="7" t="s">
        <v>31</v>
      </c>
      <c r="J134" s="24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4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4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174</v>
      </c>
      <c r="K136" s="6" t="s">
        <v>157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4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4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4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visible(materialNum(D139), K139)</f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4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60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visible(materialNum(D140), K140)</f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61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visible(materialNum(D141), K141)</f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4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visible(materialNum(D143), K143)</f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4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4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6">
        <f ca="1">(SQRT((H131-J131)^2+(H132-J132)^2))-2</f>
        <v>40.426406871192853</v>
      </c>
      <c r="H145" s="9">
        <f>1*C129</f>
        <v>1</v>
      </c>
      <c r="I145" s="9">
        <f ca="1">visible(materialNum(D145), K145)</f>
        <v>6</v>
      </c>
      <c r="J145" s="9">
        <f ca="1">visible(engraving(I145), K145)</f>
        <v>2</v>
      </c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4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5</v>
      </c>
      <c r="B147" s="3" t="str">
        <f>B138</f>
        <v>وحدة علوية  ركنة 45</v>
      </c>
      <c r="C147" s="18">
        <f>C145+1</f>
        <v>8</v>
      </c>
      <c r="D147" s="18" t="str">
        <f ca="1">D134</f>
        <v>ظهر</v>
      </c>
      <c r="E147" s="18" t="s">
        <v>58</v>
      </c>
      <c r="F147" s="18">
        <f ca="1">I131-2</f>
        <v>68</v>
      </c>
      <c r="G147" s="18">
        <f>H131-1</f>
        <v>-1</v>
      </c>
      <c r="H147" s="18">
        <f>1*C129</f>
        <v>1</v>
      </c>
      <c r="I147" s="18">
        <f ca="1">visible(materialNum(D147), K147)</f>
        <v>2</v>
      </c>
      <c r="J147" s="18">
        <f ca="1">visible(engraving(I147), K147)</f>
        <v>2</v>
      </c>
      <c r="K147" s="18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4" t="s">
        <v>132</v>
      </c>
      <c r="C150" s="13">
        <v>1</v>
      </c>
      <c r="D150" s="21" t="s">
        <v>59</v>
      </c>
      <c r="E150" s="90" t="s">
        <v>107</v>
      </c>
      <c r="F150" s="91"/>
      <c r="G150" s="91"/>
      <c r="H150" s="92"/>
      <c r="I150" s="2" t="s">
        <v>30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4">
        <v>1</v>
      </c>
      <c r="C151" s="7" t="s">
        <v>54</v>
      </c>
      <c r="D151" s="7" t="s">
        <v>55</v>
      </c>
      <c r="E151" s="17" t="s">
        <v>18</v>
      </c>
      <c r="F151" s="7" t="s">
        <v>16</v>
      </c>
      <c r="G151" s="7" t="s">
        <v>113</v>
      </c>
      <c r="H151" s="7" t="s">
        <v>22</v>
      </c>
      <c r="I151" s="7" t="s">
        <v>3</v>
      </c>
      <c r="J151" s="7" t="s">
        <v>111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4">
        <v>1</v>
      </c>
      <c r="C152" s="8">
        <v>1</v>
      </c>
      <c r="D152" s="8">
        <v>0</v>
      </c>
      <c r="E152" s="8">
        <v>2</v>
      </c>
      <c r="F152" s="26" cm="1">
        <f t="array" aca="1" ref="F152" ca="1">defaultValue(F151,K150)</f>
        <v>3.5</v>
      </c>
      <c r="G152" s="26" cm="1">
        <f t="array" aca="1" ref="G152" ca="1">defaultValue(G151,K150)</f>
        <v>0</v>
      </c>
      <c r="H152" s="8"/>
      <c r="I152" s="26" cm="1">
        <f t="array" aca="1" ref="I152" ca="1">defaultValue(I151,K150)</f>
        <v>70</v>
      </c>
      <c r="J152" s="26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4">
        <v>1</v>
      </c>
      <c r="C153" s="9" t="b">
        <f>C152=0</f>
        <v>0</v>
      </c>
      <c r="D153" s="9" t="b">
        <f>D152=0</f>
        <v>1</v>
      </c>
      <c r="E153" s="7" t="s">
        <v>104</v>
      </c>
      <c r="F153" s="6" t="b">
        <f ca="1">NOT(AND(F152&gt;0,G152&gt;0))</f>
        <v>1</v>
      </c>
      <c r="G153" s="8"/>
      <c r="H153" s="6" t="b">
        <f>_xlfn.XOR(H152&lt;=50,C154=2)</f>
        <v>1</v>
      </c>
      <c r="I153" s="45"/>
      <c r="J153" s="7" t="s">
        <v>108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4">
        <v>1</v>
      </c>
      <c r="C154" s="98">
        <f>C152+D152</f>
        <v>1</v>
      </c>
      <c r="D154" s="9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4">
        <v>1</v>
      </c>
      <c r="C155" s="100" t="b">
        <f>C154&lt;=2</f>
        <v>1</v>
      </c>
      <c r="D155" s="10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4">
        <v>1</v>
      </c>
      <c r="C156" s="8"/>
      <c r="D156" s="26" t="str" cm="1">
        <f t="array" aca="1" ref="D156" ca="1">defaultValue(E156,K150)</f>
        <v>ظهر</v>
      </c>
      <c r="E156" s="7" t="s">
        <v>58</v>
      </c>
      <c r="F156" s="26" t="str" cm="1">
        <f t="array" aca="1" ref="F156" ca="1">defaultValue(G156,K150)</f>
        <v>يوفيلاك</v>
      </c>
      <c r="G156" s="7" t="s">
        <v>32</v>
      </c>
      <c r="H156" s="26" t="str" cm="1">
        <f t="array" aca="1" ref="H156" ca="1">defaultValue(I156,K150)</f>
        <v>HPL</v>
      </c>
      <c r="I156" s="7" t="s">
        <v>31</v>
      </c>
      <c r="J156" s="24" t="s">
        <v>109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4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4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174</v>
      </c>
      <c r="K158" s="6" t="s">
        <v>157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4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4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visible(materialNum(D160), K160)</f>
        <v>2</v>
      </c>
      <c r="J160" s="6">
        <f ca="1">visible(engraving(I160), K160)</f>
        <v>2</v>
      </c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visible(materialNum(D161), K161)</f>
        <v>2</v>
      </c>
      <c r="J161" s="6">
        <f ca="1">visible(engraving(I161), K161)</f>
        <v>2</v>
      </c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visible(materialNum(D162), K162)</f>
        <v>2</v>
      </c>
      <c r="J162" s="6">
        <f ca="1">visible(engraving(I162), K162)</f>
        <v>2</v>
      </c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visible(materialNum(D163), K163)</f>
        <v>2</v>
      </c>
      <c r="J163" s="6">
        <f ca="1">visible(engraving(I163), K163)</f>
        <v>2</v>
      </c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visible(materialNum(D166), K166)</f>
        <v>6</v>
      </c>
      <c r="J166" s="9">
        <f ca="1">visible(engraving(I166), K166)</f>
        <v>2</v>
      </c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69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>
        <f>visible(materialNum(D167), K167)</f>
        <v>-1</v>
      </c>
      <c r="J167" s="9">
        <f>visible(engraving(I167), K167)</f>
        <v>0</v>
      </c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5</v>
      </c>
      <c r="B169" s="3" t="str">
        <f>B160</f>
        <v xml:space="preserve">وحدة علوية ميكروويف دلفة /دلفتين </v>
      </c>
      <c r="C169" s="18">
        <f>C167+1</f>
        <v>8</v>
      </c>
      <c r="D169" s="18" t="str">
        <f ca="1">D156</f>
        <v>ظهر</v>
      </c>
      <c r="E169" s="18" t="s">
        <v>58</v>
      </c>
      <c r="F169" s="18">
        <f ca="1">I152-2</f>
        <v>68</v>
      </c>
      <c r="G169" s="18">
        <f>H152-2</f>
        <v>-2</v>
      </c>
      <c r="H169" s="18">
        <f>1*C150</f>
        <v>1</v>
      </c>
      <c r="I169" s="18">
        <f ca="1">visible(materialNum(D169), K169)</f>
        <v>2</v>
      </c>
      <c r="J169" s="18">
        <f ca="1">visible(engraving(I169), K169)</f>
        <v>2</v>
      </c>
      <c r="K169" s="18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55" zoomScale="70" zoomScaleNormal="70" workbookViewId="0">
      <selection activeCell="I72" sqref="I72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4" customFormat="1" x14ac:dyDescent="0.3">
      <c r="A1" s="34">
        <v>40</v>
      </c>
      <c r="B1" s="54">
        <v>2</v>
      </c>
    </row>
    <row r="2" spans="1:23" s="34" customFormat="1" ht="31.2" x14ac:dyDescent="0.3">
      <c r="A2" s="34">
        <v>91</v>
      </c>
      <c r="B2" s="49" t="s">
        <v>117</v>
      </c>
      <c r="C2" s="96" t="s">
        <v>62</v>
      </c>
      <c r="D2" s="96"/>
      <c r="E2" s="96"/>
      <c r="F2" s="96"/>
      <c r="G2" s="96"/>
      <c r="H2" s="96"/>
      <c r="I2" s="96"/>
      <c r="J2" s="96"/>
    </row>
    <row r="3" spans="1:23" s="34" customFormat="1" x14ac:dyDescent="0.3">
      <c r="B3" s="54" t="s">
        <v>149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R3" s="33"/>
      <c r="S3" s="33"/>
      <c r="T3" s="33"/>
      <c r="U3" s="33"/>
      <c r="V3" s="39"/>
      <c r="W3" s="39"/>
    </row>
    <row r="4" spans="1:23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R4" s="33"/>
      <c r="S4" s="33"/>
      <c r="T4" s="33"/>
      <c r="U4" s="33"/>
      <c r="V4" s="33"/>
      <c r="W4" s="33"/>
    </row>
    <row r="5" spans="1:23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</row>
    <row r="6" spans="1:23" s="34" customFormat="1" x14ac:dyDescent="0.3">
      <c r="B6" s="54"/>
    </row>
    <row r="7" spans="1:23" s="34" customFormat="1" ht="18" x14ac:dyDescent="0.3">
      <c r="B7" s="54"/>
      <c r="C7" s="36"/>
      <c r="D7" s="36"/>
      <c r="E7" s="44"/>
      <c r="F7" s="44"/>
      <c r="G7" s="44"/>
      <c r="H7" s="44"/>
      <c r="I7" s="44"/>
      <c r="J7" s="44"/>
      <c r="K7" s="36"/>
      <c r="L7" s="36"/>
      <c r="M7" s="36"/>
      <c r="N7" s="36"/>
    </row>
    <row r="8" spans="1:23" s="37" customFormat="1" ht="18" x14ac:dyDescent="0.3">
      <c r="A8" s="34"/>
      <c r="B8" s="5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23" customFormat="1" x14ac:dyDescent="0.3">
      <c r="A9" s="34"/>
    </row>
    <row r="10" spans="1:23" customFormat="1" x14ac:dyDescent="0.3">
      <c r="A10" s="34"/>
    </row>
    <row r="13" spans="1:23" s="4" customFormat="1" ht="36" x14ac:dyDescent="0.3">
      <c r="A13" s="34" t="s">
        <v>128</v>
      </c>
      <c r="B13" s="3"/>
      <c r="C13" s="13">
        <v>1</v>
      </c>
      <c r="D13" s="21" t="s">
        <v>59</v>
      </c>
      <c r="E13" s="108" t="s">
        <v>63</v>
      </c>
      <c r="F13" s="108"/>
      <c r="G13" s="108"/>
      <c r="H13" s="108"/>
      <c r="I13" s="2" t="s">
        <v>30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4">
        <v>1</v>
      </c>
      <c r="C14" s="17"/>
      <c r="D14" s="17"/>
      <c r="E14" s="17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4">
        <v>1</v>
      </c>
      <c r="C15" s="17"/>
      <c r="D15" s="17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4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4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67</v>
      </c>
      <c r="K17" s="7"/>
    </row>
    <row r="18" spans="1:13" ht="25.8" customHeight="1" x14ac:dyDescent="0.3">
      <c r="A18" s="34">
        <v>1</v>
      </c>
      <c r="C18" s="9" t="b">
        <f>G17=0</f>
        <v>0</v>
      </c>
      <c r="D18" s="9" t="b">
        <f>H17=0</f>
        <v>0</v>
      </c>
      <c r="E18" s="8"/>
      <c r="F18" s="45"/>
      <c r="G18" s="8">
        <v>1</v>
      </c>
      <c r="H18" s="8">
        <v>1</v>
      </c>
      <c r="I18" s="8">
        <v>70</v>
      </c>
      <c r="J18" s="8" t="s">
        <v>68</v>
      </c>
      <c r="K18" s="7"/>
    </row>
    <row r="19" spans="1:13" ht="15.6" x14ac:dyDescent="0.3">
      <c r="A19" s="34">
        <v>1</v>
      </c>
      <c r="C19" s="102">
        <f>G17+H17</f>
        <v>2</v>
      </c>
      <c r="D19" s="102"/>
      <c r="E19" s="8"/>
      <c r="F19" s="45"/>
      <c r="G19" s="45"/>
      <c r="H19" s="45"/>
      <c r="I19" s="8">
        <f>SUM(I17:I18)</f>
        <v>210</v>
      </c>
      <c r="J19" s="106" t="str">
        <f>IF(I20,"مقاس الدلف صحيح","مقاس الدلف غير صحيح")</f>
        <v>مقاس الدلف صحيح</v>
      </c>
      <c r="K19" s="7"/>
    </row>
    <row r="20" spans="1:13" ht="15.6" x14ac:dyDescent="0.3">
      <c r="A20" s="34">
        <v>1</v>
      </c>
      <c r="C20" s="103" t="b">
        <f>C19&lt;=2</f>
        <v>1</v>
      </c>
      <c r="D20" s="103"/>
      <c r="E20" s="8"/>
      <c r="F20" s="8"/>
      <c r="G20" s="8"/>
      <c r="H20" s="8"/>
      <c r="I20" s="6" t="b">
        <f>I19=I15</f>
        <v>1</v>
      </c>
      <c r="J20" s="106"/>
      <c r="K20" s="7"/>
    </row>
    <row r="21" spans="1:13" ht="31.2" x14ac:dyDescent="0.3">
      <c r="A21" s="34">
        <v>1</v>
      </c>
      <c r="B21" s="1"/>
      <c r="C21" s="8"/>
      <c r="D21" s="26" t="str" cm="1">
        <f t="array" aca="1" ref="D21" ca="1">defaultValue(E21,K13)</f>
        <v>ظهر</v>
      </c>
      <c r="E21" s="7" t="s">
        <v>58</v>
      </c>
      <c r="F21" s="26" t="str" cm="1">
        <f t="array" aca="1" ref="F21" ca="1">defaultValue(G21,K13)</f>
        <v>يوفيلاك</v>
      </c>
      <c r="G21" s="7" t="s">
        <v>32</v>
      </c>
      <c r="H21" s="26" t="str" cm="1">
        <f t="array" aca="1" ref="H21" ca="1">defaultValue(I21,K13)</f>
        <v>HPL</v>
      </c>
      <c r="I21" s="7" t="s">
        <v>31</v>
      </c>
      <c r="J21" s="24" t="s">
        <v>109</v>
      </c>
      <c r="K21" s="7"/>
    </row>
    <row r="22" spans="1:13" x14ac:dyDescent="0.3">
      <c r="A22" s="34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4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174</v>
      </c>
      <c r="K23" s="6" t="s">
        <v>157</v>
      </c>
    </row>
    <row r="24" spans="1:13" x14ac:dyDescent="0.3">
      <c r="A24" s="34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4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</row>
    <row r="26" spans="1:13" ht="15.6" customHeight="1" x14ac:dyDescent="0.3">
      <c r="A26" s="34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</row>
    <row r="27" spans="1:13" ht="15.6" customHeight="1" x14ac:dyDescent="0.3">
      <c r="A27" s="34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</row>
    <row r="28" spans="1:13" ht="15.6" customHeight="1" x14ac:dyDescent="0.3">
      <c r="A28" s="34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</row>
    <row r="29" spans="1:13" x14ac:dyDescent="0.3">
      <c r="A29" s="34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3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4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70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visible(materialNum(D31), K31)</f>
        <v>6</v>
      </c>
      <c r="J31" s="9">
        <f ca="1">visible(engraving(I31), K31)</f>
        <v>2</v>
      </c>
      <c r="K31" s="9" t="b">
        <v>1</v>
      </c>
    </row>
    <row r="32" spans="1:13" x14ac:dyDescent="0.3">
      <c r="A32" s="34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71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</row>
    <row r="33" spans="1:13" x14ac:dyDescent="0.3">
      <c r="A33" s="34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4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72</v>
      </c>
      <c r="F34" s="9">
        <f>I17-0.5</f>
        <v>139.5</v>
      </c>
      <c r="G34" s="9">
        <f>(H15/C19)-0.5</f>
        <v>-0.5</v>
      </c>
      <c r="H34" s="9">
        <f>H17*C13</f>
        <v>1</v>
      </c>
      <c r="I34" s="9">
        <f>visible(materialNum(D34), K34)</f>
        <v>-1</v>
      </c>
      <c r="J34" s="9">
        <f>visible(engraving(I34), K34)</f>
        <v>0</v>
      </c>
      <c r="K34" s="9" t="b">
        <v>1</v>
      </c>
    </row>
    <row r="35" spans="1:13" x14ac:dyDescent="0.3">
      <c r="A35" s="34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73</v>
      </c>
      <c r="F35" s="9">
        <f>I18-0.5</f>
        <v>69.5</v>
      </c>
      <c r="G35" s="9">
        <f>(H15/C19)-0.5</f>
        <v>-0.5</v>
      </c>
      <c r="H35" s="9">
        <f>H18*C13</f>
        <v>1</v>
      </c>
      <c r="I35" s="9">
        <f>visible(materialNum(D35), K35)</f>
        <v>-1</v>
      </c>
      <c r="J35" s="9">
        <f>visible(engraving(I35), K35)</f>
        <v>0</v>
      </c>
      <c r="K35" s="9" t="b">
        <v>1</v>
      </c>
    </row>
    <row r="36" spans="1:13" x14ac:dyDescent="0.3">
      <c r="A36" s="34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4">
        <v>5</v>
      </c>
      <c r="B37" s="3" t="str">
        <f>B25</f>
        <v xml:space="preserve">دواليب دلفة /دلفتين </v>
      </c>
      <c r="C37" s="18">
        <f>C35+1</f>
        <v>10</v>
      </c>
      <c r="D37" s="18" t="str">
        <f ca="1">D21</f>
        <v>ظهر</v>
      </c>
      <c r="E37" s="18" t="s">
        <v>58</v>
      </c>
      <c r="F37" s="18">
        <f>I15-2</f>
        <v>208</v>
      </c>
      <c r="G37" s="18">
        <f>H15-2</f>
        <v>-2</v>
      </c>
      <c r="H37" s="18">
        <f>1*C13</f>
        <v>1</v>
      </c>
      <c r="I37" s="18">
        <f ca="1">visible(materialNum(D37), K37)</f>
        <v>2</v>
      </c>
      <c r="J37" s="18">
        <f ca="1">visible(engraving(I37), K37)</f>
        <v>2</v>
      </c>
      <c r="K37" s="18" t="b">
        <v>1</v>
      </c>
    </row>
    <row r="38" spans="1:13" x14ac:dyDescent="0.3">
      <c r="A38" s="34">
        <v>255</v>
      </c>
    </row>
    <row r="39" spans="1:13" x14ac:dyDescent="0.3">
      <c r="A39" s="34">
        <v>255</v>
      </c>
      <c r="K39" s="1"/>
      <c r="L39" s="1"/>
      <c r="M39" s="1"/>
    </row>
    <row r="40" spans="1:13" ht="36" x14ac:dyDescent="0.3">
      <c r="A40" s="34" t="s">
        <v>133</v>
      </c>
      <c r="C40" s="13">
        <v>1</v>
      </c>
      <c r="D40" s="21" t="s">
        <v>59</v>
      </c>
      <c r="E40" s="108" t="s">
        <v>74</v>
      </c>
      <c r="F40" s="108"/>
      <c r="G40" s="108"/>
      <c r="H40" s="108"/>
      <c r="I40" s="2" t="s">
        <v>30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4">
        <v>1</v>
      </c>
      <c r="C41" s="17"/>
      <c r="D41" s="15" t="s">
        <v>19</v>
      </c>
      <c r="E41" s="17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4">
        <v>1</v>
      </c>
      <c r="C42" s="17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4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4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75</v>
      </c>
      <c r="K44" s="7"/>
    </row>
    <row r="45" spans="1:13" ht="15.6" x14ac:dyDescent="0.3">
      <c r="A45" s="34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76</v>
      </c>
      <c r="K45" s="7"/>
      <c r="L45" s="1"/>
      <c r="M45" s="1"/>
    </row>
    <row r="46" spans="1:13" ht="15.6" x14ac:dyDescent="0.3">
      <c r="A46" s="34">
        <v>1</v>
      </c>
      <c r="C46" s="8"/>
      <c r="D46" s="8"/>
      <c r="E46" s="8"/>
      <c r="F46" s="8"/>
      <c r="G46" s="7"/>
      <c r="H46" s="7"/>
      <c r="I46" s="8"/>
      <c r="J46" s="8" t="s">
        <v>77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8"/>
      <c r="H47" s="8"/>
      <c r="I47" s="8"/>
      <c r="J47" s="8" t="s">
        <v>67</v>
      </c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78</v>
      </c>
      <c r="K48" s="7"/>
      <c r="L48" s="1"/>
      <c r="M48" s="1"/>
    </row>
    <row r="49" spans="1:13" ht="15.6" x14ac:dyDescent="0.3">
      <c r="A49" s="34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79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80</v>
      </c>
      <c r="K50" s="7"/>
      <c r="L50" s="1"/>
      <c r="M50" s="1"/>
    </row>
    <row r="51" spans="1:13" ht="15.6" x14ac:dyDescent="0.3">
      <c r="A51" s="34">
        <v>1</v>
      </c>
      <c r="C51" s="9" t="b">
        <f>G47=0</f>
        <v>1</v>
      </c>
      <c r="D51" s="9" t="b">
        <f>H47=0</f>
        <v>1</v>
      </c>
      <c r="E51" s="8"/>
      <c r="F51" s="45"/>
      <c r="G51" s="8"/>
      <c r="H51" s="8"/>
      <c r="I51" s="8"/>
      <c r="J51" s="8" t="s">
        <v>81</v>
      </c>
      <c r="K51" s="7"/>
      <c r="L51" s="1"/>
      <c r="M51" s="1"/>
    </row>
    <row r="52" spans="1:13" ht="15.6" x14ac:dyDescent="0.3">
      <c r="A52" s="34">
        <v>1</v>
      </c>
      <c r="C52" s="102">
        <f>G47+H47</f>
        <v>0</v>
      </c>
      <c r="D52" s="102"/>
      <c r="E52" s="8"/>
      <c r="F52" s="45"/>
      <c r="G52" s="45"/>
      <c r="H52" s="45"/>
      <c r="I52" s="8">
        <f>SUM(I44:I51)</f>
        <v>220</v>
      </c>
      <c r="J52" s="10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4">
        <v>1</v>
      </c>
      <c r="C53" s="103" t="b">
        <f>C52&lt;=2</f>
        <v>1</v>
      </c>
      <c r="D53" s="103"/>
      <c r="E53" s="8"/>
      <c r="F53" s="8"/>
      <c r="G53" s="8"/>
      <c r="H53" s="8"/>
      <c r="I53" s="6" t="b">
        <f>I52=I42</f>
        <v>1</v>
      </c>
      <c r="J53" s="106"/>
      <c r="K53" s="7"/>
      <c r="L53" s="1"/>
      <c r="M53" s="1"/>
    </row>
    <row r="54" spans="1:13" ht="31.2" x14ac:dyDescent="0.3">
      <c r="A54" s="34">
        <v>1</v>
      </c>
      <c r="B54" s="1"/>
      <c r="C54" s="8"/>
      <c r="D54" s="26" t="str" cm="1">
        <f t="array" aca="1" ref="D54" ca="1">defaultValue(E54,K40)</f>
        <v>ظهر</v>
      </c>
      <c r="E54" s="7" t="s">
        <v>58</v>
      </c>
      <c r="F54" s="26" t="str" cm="1">
        <f t="array" aca="1" ref="F54" ca="1">defaultValue(G54,K40)</f>
        <v>يوفيلاك</v>
      </c>
      <c r="G54" s="7" t="s">
        <v>32</v>
      </c>
      <c r="H54" s="26" t="str" cm="1">
        <f t="array" aca="1" ref="H54" ca="1">defaultValue(I54,K40)</f>
        <v>HPL</v>
      </c>
      <c r="I54" s="7" t="s">
        <v>31</v>
      </c>
      <c r="J54" s="24" t="s">
        <v>109</v>
      </c>
      <c r="K54" s="7"/>
      <c r="L54" s="1"/>
      <c r="M54" s="1"/>
    </row>
    <row r="55" spans="1:13" ht="15.6" customHeight="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4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174</v>
      </c>
      <c r="K56" s="6" t="s">
        <v>157</v>
      </c>
      <c r="L56" s="1"/>
      <c r="M56" s="1"/>
    </row>
    <row r="57" spans="1:13" ht="15.6" customHeight="1" x14ac:dyDescent="0.3">
      <c r="A57" s="34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4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visible(materialNum(D58), K58)</f>
        <v>2</v>
      </c>
      <c r="J58" s="6">
        <f ca="1">visible(engraving(I58), K58)</f>
        <v>2</v>
      </c>
      <c r="K58" s="6" t="b">
        <v>1</v>
      </c>
      <c r="L58" s="1"/>
      <c r="M58" s="1"/>
    </row>
    <row r="59" spans="1:13" x14ac:dyDescent="0.3">
      <c r="A59" s="34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visible(materialNum(D59), K59)</f>
        <v>2</v>
      </c>
      <c r="J59" s="6">
        <f ca="1">visible(engraving(I59), K59)</f>
        <v>2</v>
      </c>
      <c r="K59" s="6" t="b">
        <v>1</v>
      </c>
      <c r="L59" s="1"/>
      <c r="M59" s="1"/>
    </row>
    <row r="60" spans="1:13" x14ac:dyDescent="0.3">
      <c r="A60" s="34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  <c r="L60" s="1"/>
      <c r="M60" s="1"/>
    </row>
    <row r="61" spans="1:13" ht="15.6" customHeight="1" x14ac:dyDescent="0.3">
      <c r="A61" s="34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  <c r="L61" s="1"/>
      <c r="M61" s="1"/>
    </row>
    <row r="62" spans="1:13" x14ac:dyDescent="0.3">
      <c r="A62" s="34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4">
        <v>3</v>
      </c>
      <c r="B64" s="3" t="str">
        <f>B58</f>
        <v>دواليب منوع /فرن /أدراج</v>
      </c>
      <c r="C64" s="19">
        <f>C62+1</f>
        <v>6</v>
      </c>
      <c r="D64" s="19" t="str">
        <f ca="1">H54</f>
        <v>HPL</v>
      </c>
      <c r="E64" s="19" t="s">
        <v>82</v>
      </c>
      <c r="F64" s="19">
        <f>IF(H64=0, "",(H42-3.6-3.6-2.5))</f>
        <v>50.3</v>
      </c>
      <c r="G64" s="19">
        <f>IF(H64=0, "",(I44-6))</f>
        <v>14</v>
      </c>
      <c r="H64" s="19">
        <f>G44*C40</f>
        <v>1</v>
      </c>
      <c r="I64" s="19">
        <f ca="1">visible(materialNum(D64), K64)</f>
        <v>2</v>
      </c>
      <c r="J64" s="19">
        <f ca="1">visible(engraving(I64), K64)</f>
        <v>2</v>
      </c>
      <c r="K64" s="19" t="b">
        <v>1</v>
      </c>
    </row>
    <row r="65" spans="1:12" x14ac:dyDescent="0.3">
      <c r="A65" s="34">
        <v>3</v>
      </c>
      <c r="B65" s="3" t="str">
        <f>B58</f>
        <v>دواليب منوع /فرن /أدراج</v>
      </c>
      <c r="C65" s="19">
        <f>C64+1</f>
        <v>7</v>
      </c>
      <c r="D65" s="19" t="str">
        <f ca="1">H54</f>
        <v>HPL</v>
      </c>
      <c r="E65" s="19" t="s">
        <v>83</v>
      </c>
      <c r="F65" s="19">
        <f>IF(H65=0, "",D42)</f>
        <v>45</v>
      </c>
      <c r="G65" s="19">
        <f>IF(H65=0, "",(I44-6))</f>
        <v>14</v>
      </c>
      <c r="H65" s="19">
        <f>2*G44*C40</f>
        <v>2</v>
      </c>
      <c r="I65" s="19">
        <f ca="1">visible(materialNum(D65), K65)</f>
        <v>2</v>
      </c>
      <c r="J65" s="19">
        <f ca="1">visible(engraving(I65), K65)</f>
        <v>2</v>
      </c>
      <c r="K65" s="19" t="b">
        <v>1</v>
      </c>
    </row>
    <row r="66" spans="1:12" x14ac:dyDescent="0.3">
      <c r="A66" s="34">
        <v>3</v>
      </c>
      <c r="B66" s="3" t="str">
        <f>B58</f>
        <v>دواليب منوع /فرن /أدراج</v>
      </c>
      <c r="C66" s="19">
        <f t="shared" ref="C66:C72" si="2">C65+1</f>
        <v>8</v>
      </c>
      <c r="D66" s="19" t="str">
        <f ca="1">H54</f>
        <v>HPL</v>
      </c>
      <c r="E66" s="19" t="s">
        <v>84</v>
      </c>
      <c r="F66" s="19">
        <f>IF(H66=0, "",(H42-3.6-3.6-2.5))</f>
        <v>50.3</v>
      </c>
      <c r="G66" s="19">
        <f>IF(H66=0, "",(I44-6-3))</f>
        <v>11</v>
      </c>
      <c r="H66" s="19">
        <f>G44*C40</f>
        <v>1</v>
      </c>
      <c r="I66" s="19">
        <f ca="1">visible(materialNum(D66), K66)</f>
        <v>2</v>
      </c>
      <c r="J66" s="19">
        <f ca="1">visible(engraving(I66), K66)</f>
        <v>2</v>
      </c>
      <c r="K66" s="19" t="b">
        <v>1</v>
      </c>
    </row>
    <row r="67" spans="1:12" x14ac:dyDescent="0.3">
      <c r="A67" s="34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85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visible(materialNum(D67), K67)</f>
        <v>2</v>
      </c>
      <c r="J67" s="10">
        <f ca="1">visible(engraving(I67), K67)</f>
        <v>2</v>
      </c>
      <c r="K67" s="10" t="b">
        <v>1</v>
      </c>
    </row>
    <row r="68" spans="1:12" x14ac:dyDescent="0.3">
      <c r="A68" s="34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86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visible(materialNum(D68), K68)</f>
        <v>2</v>
      </c>
      <c r="J68" s="10">
        <f ca="1">visible(engraving(I68), K68)</f>
        <v>2</v>
      </c>
      <c r="K68" s="10" t="b">
        <v>1</v>
      </c>
    </row>
    <row r="69" spans="1:12" x14ac:dyDescent="0.3">
      <c r="A69" s="34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87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visible(materialNum(D69), K69)</f>
        <v>2</v>
      </c>
      <c r="J69" s="10">
        <f ca="1">visible(engraving(I69), K69)</f>
        <v>2</v>
      </c>
      <c r="K69" s="10" t="b">
        <v>1</v>
      </c>
    </row>
    <row r="70" spans="1:12" x14ac:dyDescent="0.3">
      <c r="A70" s="34">
        <v>3</v>
      </c>
      <c r="B70" s="3" t="str">
        <f>B58</f>
        <v>دواليب منوع /فرن /أدراج</v>
      </c>
      <c r="C70" s="19">
        <f t="shared" si="2"/>
        <v>12</v>
      </c>
      <c r="D70" s="19" t="str">
        <f ca="1">H54</f>
        <v>HPL</v>
      </c>
      <c r="E70" s="19" t="s">
        <v>88</v>
      </c>
      <c r="F70" s="19" t="str">
        <f>IF(H70=0, "",(H42-3.6-3.6-2.5))</f>
        <v/>
      </c>
      <c r="G70" s="19" t="str">
        <f>IF(H70=0, "",(I46-6))</f>
        <v/>
      </c>
      <c r="H70" s="19">
        <f>G46*C40</f>
        <v>0</v>
      </c>
      <c r="I70" s="19">
        <f ca="1">visible(materialNum(D70), K70)</f>
        <v>2</v>
      </c>
      <c r="J70" s="19">
        <f ca="1">visible(engraving(I70), K70)</f>
        <v>2</v>
      </c>
      <c r="K70" s="19" t="b">
        <v>1</v>
      </c>
    </row>
    <row r="71" spans="1:12" x14ac:dyDescent="0.3">
      <c r="A71" s="34">
        <v>3</v>
      </c>
      <c r="B71" s="3" t="str">
        <f>B58</f>
        <v>دواليب منوع /فرن /أدراج</v>
      </c>
      <c r="C71" s="19">
        <f t="shared" si="2"/>
        <v>13</v>
      </c>
      <c r="D71" s="19" t="str">
        <f ca="1">H54</f>
        <v>HPL</v>
      </c>
      <c r="E71" s="19" t="s">
        <v>89</v>
      </c>
      <c r="F71" s="19" t="str">
        <f>IF(H71=0, "",D42)</f>
        <v/>
      </c>
      <c r="G71" s="19" t="str">
        <f>IF(H71=0, "",(I46-6))</f>
        <v/>
      </c>
      <c r="H71" s="19">
        <f>2*G46*C40</f>
        <v>0</v>
      </c>
      <c r="I71" s="19">
        <f ca="1">visible(materialNum(D71), K71)</f>
        <v>2</v>
      </c>
      <c r="J71" s="19">
        <f ca="1">visible(engraving(I71), K71)</f>
        <v>2</v>
      </c>
      <c r="K71" s="19" t="b">
        <v>1</v>
      </c>
    </row>
    <row r="72" spans="1:12" x14ac:dyDescent="0.3">
      <c r="A72" s="34">
        <v>3</v>
      </c>
      <c r="B72" s="3" t="str">
        <f>B58</f>
        <v>دواليب منوع /فرن /أدراج</v>
      </c>
      <c r="C72" s="19">
        <f t="shared" si="2"/>
        <v>14</v>
      </c>
      <c r="D72" s="19" t="str">
        <f ca="1">H54</f>
        <v>HPL</v>
      </c>
      <c r="E72" s="19" t="s">
        <v>90</v>
      </c>
      <c r="F72" s="19" t="str">
        <f>IF(H72=0, "",(H42-3.6-3.6-2.5))</f>
        <v/>
      </c>
      <c r="G72" s="19" t="str">
        <f>IF(H72=0, "",(I46-6-3))</f>
        <v/>
      </c>
      <c r="H72" s="19">
        <f>G46*C40</f>
        <v>0</v>
      </c>
      <c r="I72" s="19">
        <f ca="1">visible(materialNum(D72), K72)</f>
        <v>2</v>
      </c>
      <c r="J72" s="19">
        <f ca="1">visible(engraving(I72), K72)</f>
        <v>2</v>
      </c>
      <c r="K72" s="19" t="b">
        <v>1</v>
      </c>
    </row>
    <row r="73" spans="1:12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4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93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L74" s="3" t="e">
        <f>IF(H75=0, "",(I45-0.5-G43))</f>
        <v>#VALUE!</v>
      </c>
    </row>
    <row r="75" spans="1:12" x14ac:dyDescent="0.3">
      <c r="A75" s="34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94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L75" s="3" t="str">
        <f>IF(H76=0, "",(I46-0.5-G44))</f>
        <v/>
      </c>
    </row>
    <row r="76" spans="1:12" x14ac:dyDescent="0.3">
      <c r="A76" s="34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95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</row>
    <row r="77" spans="1:12" x14ac:dyDescent="0.3">
      <c r="A77" s="34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70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visible(materialNum(D77), K77)</f>
        <v>6</v>
      </c>
      <c r="J77" s="9">
        <f ca="1">visible(engraving(I77), K77)</f>
        <v>2</v>
      </c>
      <c r="K77" s="9" t="b">
        <v>1</v>
      </c>
      <c r="L77" s="3">
        <f>IF(H78=0, "",(I48-0.5-G46))</f>
        <v>66.5</v>
      </c>
    </row>
    <row r="78" spans="1:12" x14ac:dyDescent="0.3">
      <c r="A78" s="34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96</v>
      </c>
      <c r="F78" s="9">
        <f>IF(H78=0, "",(H42-0.5))</f>
        <v>59.5</v>
      </c>
      <c r="G78" s="23">
        <f>IF(H78=0, "",(I48-60.5))</f>
        <v>6.5</v>
      </c>
      <c r="H78" s="9">
        <f>G48*C40</f>
        <v>1</v>
      </c>
      <c r="I78" s="9">
        <f ca="1">visible(materialNum(D78), K78)</f>
        <v>6</v>
      </c>
      <c r="J78" s="9">
        <f ca="1">visible(engraving(I78), K78)</f>
        <v>2</v>
      </c>
      <c r="K78" s="9" t="b">
        <v>1</v>
      </c>
      <c r="L78" s="3" t="str">
        <f>IF(H79=0, "",(I49-0.5-G47))</f>
        <v/>
      </c>
    </row>
    <row r="79" spans="1:12" x14ac:dyDescent="0.3">
      <c r="A79" s="34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97</v>
      </c>
      <c r="F79" s="9"/>
      <c r="G79" s="9"/>
      <c r="H79" s="9"/>
      <c r="I79" s="9">
        <f ca="1">visible(materialNum(D79), K79)</f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2" x14ac:dyDescent="0.3">
      <c r="A80" s="34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98</v>
      </c>
      <c r="F80" s="9"/>
      <c r="G80" s="9"/>
      <c r="H80" s="9"/>
      <c r="I80" s="9">
        <f ca="1">visible(materialNum(D80), K80)</f>
        <v>6</v>
      </c>
      <c r="J80" s="9">
        <f ca="1">visible(engraving(I80), K80)</f>
        <v>2</v>
      </c>
      <c r="K80" s="9" t="b">
        <v>1</v>
      </c>
    </row>
    <row r="81" spans="1:11" x14ac:dyDescent="0.3">
      <c r="A81" s="34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91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visible(materialNum(D81), K81)</f>
        <v>6</v>
      </c>
      <c r="J81" s="9">
        <f ca="1">visible(engraving(I81), K81)</f>
        <v>2</v>
      </c>
      <c r="K81" s="9" t="b">
        <v>1</v>
      </c>
    </row>
    <row r="82" spans="1:11" x14ac:dyDescent="0.3">
      <c r="A82" s="34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92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visible(materialNum(D82), K82)</f>
        <v>6</v>
      </c>
      <c r="J82" s="9">
        <f ca="1">visible(engraving(I82), K82)</f>
        <v>2</v>
      </c>
      <c r="K82" s="9" t="b">
        <v>1</v>
      </c>
    </row>
    <row r="83" spans="1:11" x14ac:dyDescent="0.3">
      <c r="A83" s="34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4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4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72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>
        <f>visible(materialNum(D85), K85)</f>
        <v>-1</v>
      </c>
      <c r="J85" s="9">
        <f>visible(engraving(I85), K85)</f>
        <v>0</v>
      </c>
      <c r="K85" s="9" t="b">
        <v>1</v>
      </c>
    </row>
    <row r="86" spans="1:11" x14ac:dyDescent="0.3">
      <c r="A86" s="34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99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>
        <f>visible(materialNum(D86), K86)</f>
        <v>-1</v>
      </c>
      <c r="J86" s="9">
        <f>visible(engraving(I86), K86)</f>
        <v>0</v>
      </c>
      <c r="K86" s="9" t="b">
        <v>1</v>
      </c>
    </row>
    <row r="87" spans="1:11" x14ac:dyDescent="0.3">
      <c r="A87" s="34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100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>
        <f>visible(materialNum(D87), K87)</f>
        <v>-1</v>
      </c>
      <c r="J87" s="9">
        <f>visible(engraving(I87), K87)</f>
        <v>0</v>
      </c>
      <c r="K87" s="9" t="b">
        <v>1</v>
      </c>
    </row>
    <row r="88" spans="1:11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4">
        <v>5</v>
      </c>
      <c r="B89" s="3" t="str">
        <f>B58</f>
        <v>دواليب منوع /فرن /أدراج</v>
      </c>
      <c r="C89" s="18">
        <f>C86+1</f>
        <v>25</v>
      </c>
      <c r="D89" s="18" t="str">
        <f ca="1">D54</f>
        <v>ظهر</v>
      </c>
      <c r="E89" s="18" t="s">
        <v>58</v>
      </c>
      <c r="F89" s="18">
        <f>I42-2</f>
        <v>218</v>
      </c>
      <c r="G89" s="18">
        <f>H42-2</f>
        <v>58</v>
      </c>
      <c r="H89" s="18">
        <f>1*C40</f>
        <v>1</v>
      </c>
      <c r="I89" s="18">
        <f ca="1">visible(materialNum(D89), K89)</f>
        <v>2</v>
      </c>
      <c r="J89" s="18">
        <f ca="1">visible(engraving(I89), K89)</f>
        <v>2</v>
      </c>
      <c r="K89" s="18" t="b">
        <v>1</v>
      </c>
    </row>
    <row r="90" spans="1:11" x14ac:dyDescent="0.3">
      <c r="A90" s="34">
        <v>255</v>
      </c>
    </row>
    <row r="91" spans="1:11" x14ac:dyDescent="0.3">
      <c r="A91" s="34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3">
        <v>2</v>
      </c>
      <c r="D98" s="21" t="s">
        <v>59</v>
      </c>
      <c r="E98" s="90" t="s">
        <v>64</v>
      </c>
      <c r="F98" s="91"/>
      <c r="G98" s="91"/>
      <c r="H98" s="92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3" t="b">
        <f>NOT(AND(F100&gt;0,G100&gt;0))</f>
        <v>1</v>
      </c>
      <c r="G101" s="103"/>
      <c r="I101" s="3" t="b">
        <f>_xlfn.XOR(I100&lt;=50,C102=2)</f>
        <v>0</v>
      </c>
    </row>
    <row r="102" spans="2:10" ht="24" hidden="1" customHeight="1" x14ac:dyDescent="0.3">
      <c r="C102" s="103">
        <f>C100+E100</f>
        <v>3</v>
      </c>
      <c r="D102" s="103"/>
      <c r="E102" s="32"/>
      <c r="F102" s="107" t="str">
        <f>IF(F101,"المقابض مظبوطة","مينفعش مقبض مخفي مع بيلت ان")</f>
        <v>المقابض مظبوطة</v>
      </c>
      <c r="G102" s="107"/>
      <c r="H102" s="22"/>
      <c r="I102" s="32" t="str">
        <f>IF(I101,"عدد الدلف صحيح","عدد الدلف غير صحيح")</f>
        <v>عدد الدلف غير صحيح</v>
      </c>
      <c r="J102" s="30"/>
    </row>
    <row r="103" spans="2:10" ht="15.6" hidden="1" customHeight="1" x14ac:dyDescent="0.3">
      <c r="C103" s="103" t="b">
        <f>C102&lt;=2</f>
        <v>0</v>
      </c>
      <c r="D103" s="10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8">
        <f>C114+1</f>
        <v>9</v>
      </c>
      <c r="D116" s="18" t="s">
        <v>58</v>
      </c>
      <c r="E116" s="18" t="s">
        <v>58</v>
      </c>
      <c r="F116" s="18">
        <f>I100-2</f>
        <v>78</v>
      </c>
      <c r="G116" s="18">
        <f>H100-2</f>
        <v>118</v>
      </c>
      <c r="H116" s="18">
        <f>1*C98</f>
        <v>2</v>
      </c>
      <c r="I116" s="18">
        <f>F9</f>
        <v>0</v>
      </c>
      <c r="J116" s="18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3">
        <v>1</v>
      </c>
      <c r="D118" s="21" t="s">
        <v>59</v>
      </c>
      <c r="E118" s="90" t="s">
        <v>65</v>
      </c>
      <c r="F118" s="91"/>
      <c r="G118" s="91"/>
      <c r="H118" s="92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1"/>
      <c r="D121" s="11"/>
      <c r="E121" s="11"/>
      <c r="F121" s="103" t="b">
        <f>NOT(AND(F120&gt;0,G120&gt;0))</f>
        <v>1</v>
      </c>
      <c r="G121" s="10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07" t="str">
        <f>IF(F121,"المقابض مظبوطة","مينفعش مقبض مخفي مع بيلت ان")</f>
        <v>المقابض مظبوطة</v>
      </c>
      <c r="G122" s="10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60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61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8">
        <f>C134+1</f>
        <v>9</v>
      </c>
      <c r="D136" s="18" t="s">
        <v>58</v>
      </c>
      <c r="E136" s="18" t="s">
        <v>58</v>
      </c>
      <c r="F136" s="18">
        <f>I120-2</f>
        <v>78</v>
      </c>
      <c r="G136" s="18">
        <f>H120-2</f>
        <v>68</v>
      </c>
      <c r="H136" s="18">
        <f>2*C118</f>
        <v>2</v>
      </c>
      <c r="I136" s="18">
        <f>F9</f>
        <v>0</v>
      </c>
      <c r="J136" s="18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3">
        <v>2</v>
      </c>
      <c r="D138" s="21" t="s">
        <v>59</v>
      </c>
      <c r="E138" s="90" t="s">
        <v>66</v>
      </c>
      <c r="F138" s="91"/>
      <c r="G138" s="91"/>
      <c r="H138" s="92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1"/>
      <c r="D141" s="11"/>
      <c r="E141" s="11"/>
      <c r="F141" s="103" t="b">
        <f>NOT(AND(F140&gt;0,G140&gt;0))</f>
        <v>1</v>
      </c>
      <c r="G141" s="10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07" t="str">
        <f>IF(F141,"المقابض مظبوطة","مينفعش مقبض مخفي مع بيلت ان")</f>
        <v>المقابض مظبوطة</v>
      </c>
      <c r="G142" s="10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60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61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6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8">
        <f>C154+1</f>
        <v>9</v>
      </c>
      <c r="D156" s="18" t="s">
        <v>58</v>
      </c>
      <c r="E156" s="18" t="s">
        <v>58</v>
      </c>
      <c r="F156" s="18">
        <f>I140-2</f>
        <v>78</v>
      </c>
      <c r="G156" s="18">
        <f>H140-2</f>
        <v>58</v>
      </c>
      <c r="H156" s="18">
        <f>1*C138</f>
        <v>2</v>
      </c>
      <c r="I156" s="18">
        <f>F9</f>
        <v>0</v>
      </c>
      <c r="J156" s="18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09" t="s">
        <v>42</v>
      </c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I18" sqref="I18"/>
    </sheetView>
  </sheetViews>
  <sheetFormatPr defaultRowHeight="15.6" x14ac:dyDescent="0.3"/>
  <cols>
    <col min="1" max="1" width="9" style="35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4" customFormat="1" x14ac:dyDescent="0.3">
      <c r="A1" s="35">
        <v>13</v>
      </c>
      <c r="B1" s="54">
        <v>3</v>
      </c>
    </row>
    <row r="2" spans="1:62" s="34" customFormat="1" ht="31.2" x14ac:dyDescent="0.3">
      <c r="A2" s="35">
        <v>20</v>
      </c>
      <c r="B2" s="49" t="s">
        <v>118</v>
      </c>
      <c r="C2" s="110" t="s">
        <v>101</v>
      </c>
      <c r="D2" s="111"/>
      <c r="E2" s="111"/>
      <c r="F2" s="111"/>
      <c r="G2" s="111"/>
      <c r="H2" s="111"/>
      <c r="I2" s="111"/>
      <c r="J2" s="112"/>
    </row>
    <row r="3" spans="1:62" s="34" customFormat="1" x14ac:dyDescent="0.3">
      <c r="A3" s="35"/>
      <c r="B3" s="54" t="s">
        <v>150</v>
      </c>
      <c r="R3" s="33"/>
      <c r="S3" s="33"/>
      <c r="T3" s="33"/>
      <c r="U3" s="33"/>
      <c r="V3" s="39"/>
      <c r="W3" s="39"/>
    </row>
    <row r="4" spans="1:62" s="34" customFormat="1" x14ac:dyDescent="0.3">
      <c r="A4" s="35"/>
      <c r="B4" s="54"/>
      <c r="R4" s="33"/>
      <c r="S4" s="33"/>
      <c r="T4" s="33"/>
      <c r="U4" s="33"/>
      <c r="V4" s="33"/>
      <c r="W4" s="33"/>
    </row>
    <row r="5" spans="1:62" s="34" customFormat="1" x14ac:dyDescent="0.3">
      <c r="A5" s="35"/>
      <c r="B5" s="54"/>
    </row>
    <row r="6" spans="1:62" s="34" customFormat="1" x14ac:dyDescent="0.3">
      <c r="A6" s="35"/>
      <c r="B6" s="54"/>
    </row>
    <row r="7" spans="1:62" s="34" customFormat="1" ht="18" x14ac:dyDescent="0.3">
      <c r="A7" s="36"/>
      <c r="B7" s="55"/>
      <c r="C7" s="36"/>
      <c r="D7" s="36"/>
      <c r="E7" s="37"/>
      <c r="F7" s="37"/>
      <c r="G7" s="37"/>
      <c r="H7" s="37"/>
      <c r="I7" s="36"/>
      <c r="J7" s="36"/>
      <c r="K7" s="36"/>
      <c r="L7" s="36"/>
      <c r="M7" s="36"/>
    </row>
    <row r="8" spans="1:62" s="37" customFormat="1" ht="18" x14ac:dyDescent="0.3">
      <c r="A8" s="38"/>
      <c r="B8" s="56"/>
    </row>
    <row r="9" spans="1:62" customFormat="1" x14ac:dyDescent="0.3">
      <c r="A9" s="38"/>
    </row>
    <row r="10" spans="1:62" customFormat="1" x14ac:dyDescent="0.3">
      <c r="A10" s="38"/>
    </row>
    <row r="13" spans="1:62" ht="18" x14ac:dyDescent="0.3">
      <c r="A13" s="35" t="s">
        <v>128</v>
      </c>
      <c r="B13" s="14"/>
      <c r="C13" s="13">
        <v>1</v>
      </c>
      <c r="D13" s="21" t="s">
        <v>59</v>
      </c>
      <c r="E13" s="90" t="s">
        <v>143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_xlfn.SHEET("تجاليد")</f>
        <v>7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5">
        <v>1</v>
      </c>
      <c r="B14" s="14"/>
      <c r="C14" s="7"/>
      <c r="D14" s="17"/>
      <c r="E14" s="26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5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5">
        <v>2</v>
      </c>
      <c r="B16" s="14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174</v>
      </c>
      <c r="K16" s="6" t="s">
        <v>157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5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4">
        <v>4</v>
      </c>
      <c r="B18" s="14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114</v>
      </c>
      <c r="F18" s="9"/>
      <c r="G18" s="9">
        <f>G14</f>
        <v>62</v>
      </c>
      <c r="H18" s="9"/>
      <c r="I18" s="9">
        <f ca="1">visible(materialNum(D18), K18)</f>
        <v>6</v>
      </c>
      <c r="J18" s="9">
        <f ca="1">visible(engraving(I18), K18)</f>
        <v>2</v>
      </c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4">
        <v>4</v>
      </c>
      <c r="B19" s="14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114</v>
      </c>
      <c r="F19" s="9"/>
      <c r="G19" s="9">
        <f>G14</f>
        <v>62</v>
      </c>
      <c r="H19" s="9"/>
      <c r="I19" s="9">
        <f ca="1">visible(materialNum(D19), K19)</f>
        <v>6</v>
      </c>
      <c r="J19" s="9">
        <f ca="1">visible(engraving(I19), K19)</f>
        <v>2</v>
      </c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4">
        <v>4</v>
      </c>
      <c r="B20" s="14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114</v>
      </c>
      <c r="F20" s="9"/>
      <c r="G20" s="9">
        <f>G14</f>
        <v>62</v>
      </c>
      <c r="H20" s="9"/>
      <c r="I20" s="9">
        <f ca="1">visible(materialNum(D20), K20)</f>
        <v>6</v>
      </c>
      <c r="J20" s="9">
        <f ca="1">visible(engraving(I20), K20)</f>
        <v>2</v>
      </c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4">
        <v>4</v>
      </c>
      <c r="B21" s="14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114</v>
      </c>
      <c r="F21" s="9"/>
      <c r="G21" s="9">
        <f>G14</f>
        <v>62</v>
      </c>
      <c r="H21" s="9"/>
      <c r="I21" s="9">
        <f ca="1">visible(materialNum(D21), K21)</f>
        <v>6</v>
      </c>
      <c r="J21" s="9">
        <f ca="1">visible(engraving(I21), K21)</f>
        <v>2</v>
      </c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114</v>
      </c>
      <c r="F22" s="9"/>
      <c r="G22" s="9">
        <f>G14</f>
        <v>62</v>
      </c>
      <c r="H22" s="9"/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4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4">
        <v>255</v>
      </c>
    </row>
    <row r="25" spans="1:62" ht="18" x14ac:dyDescent="0.3">
      <c r="A25" s="35" t="s">
        <v>133</v>
      </c>
      <c r="B25" s="14"/>
      <c r="C25" s="13">
        <v>1</v>
      </c>
      <c r="D25" s="21" t="s">
        <v>59</v>
      </c>
      <c r="E25" s="90" t="s">
        <v>144</v>
      </c>
      <c r="F25" s="91"/>
      <c r="G25" s="91"/>
      <c r="H25" s="92"/>
      <c r="I25" s="2" t="s">
        <v>30</v>
      </c>
      <c r="J25" s="2">
        <f>letterToNumber(A25)</f>
        <v>2</v>
      </c>
      <c r="K25" s="7">
        <f ca="1">_xlfn.SHEET("تجاليد")</f>
        <v>7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5">
        <v>1</v>
      </c>
      <c r="B26" s="14"/>
      <c r="C26" s="7"/>
      <c r="D26" s="17"/>
      <c r="E26" s="26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5">
        <v>2</v>
      </c>
      <c r="B28" s="14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174</v>
      </c>
      <c r="K28" s="6" t="s">
        <v>157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5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4</v>
      </c>
      <c r="B30" s="14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114</v>
      </c>
      <c r="F30" s="9"/>
      <c r="G30" s="9">
        <f>G26</f>
        <v>32</v>
      </c>
      <c r="H30" s="9"/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4">
        <v>4</v>
      </c>
      <c r="B31" s="14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114</v>
      </c>
      <c r="F31" s="9"/>
      <c r="G31" s="9">
        <f>G26</f>
        <v>32</v>
      </c>
      <c r="H31" s="9"/>
      <c r="I31" s="9">
        <f ca="1">visible(materialNum(D31), K31)</f>
        <v>6</v>
      </c>
      <c r="J31" s="9">
        <f ca="1">visible(engraving(I31), K31)</f>
        <v>2</v>
      </c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4">
        <v>4</v>
      </c>
      <c r="B32" s="14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114</v>
      </c>
      <c r="F32" s="9"/>
      <c r="G32" s="9">
        <f>G26</f>
        <v>32</v>
      </c>
      <c r="H32" s="9"/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4">
        <v>4</v>
      </c>
      <c r="B33" s="14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114</v>
      </c>
      <c r="F33" s="9"/>
      <c r="G33" s="9">
        <f>G26</f>
        <v>32</v>
      </c>
      <c r="H33" s="9"/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114</v>
      </c>
      <c r="F34" s="9"/>
      <c r="G34" s="9">
        <f>G26</f>
        <v>32</v>
      </c>
      <c r="H34" s="9"/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4">
        <v>255</v>
      </c>
    </row>
    <row r="36" spans="1:62" customFormat="1" ht="14.4" x14ac:dyDescent="0.3">
      <c r="A36" s="44">
        <v>255</v>
      </c>
    </row>
    <row r="37" spans="1:62" ht="18" x14ac:dyDescent="0.3">
      <c r="A37" s="35" t="s">
        <v>129</v>
      </c>
      <c r="B37" s="14"/>
      <c r="C37" s="13">
        <v>1</v>
      </c>
      <c r="D37" s="21" t="s">
        <v>59</v>
      </c>
      <c r="E37" s="90" t="s">
        <v>145</v>
      </c>
      <c r="F37" s="91"/>
      <c r="G37" s="91"/>
      <c r="H37" s="92"/>
      <c r="I37" s="2" t="s">
        <v>30</v>
      </c>
      <c r="J37" s="2">
        <f>letterToNumber(A37)</f>
        <v>3</v>
      </c>
      <c r="K37" s="7">
        <f ca="1">_xlfn.SHEET("تجاليد")</f>
        <v>7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5">
        <v>1</v>
      </c>
      <c r="B38" s="14"/>
      <c r="C38" s="7"/>
      <c r="D38" s="17"/>
      <c r="E38" s="26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5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5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174</v>
      </c>
      <c r="K40" s="6" t="s">
        <v>157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4">
        <v>4</v>
      </c>
      <c r="B42" s="14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114</v>
      </c>
      <c r="F42" s="9"/>
      <c r="G42" s="9">
        <f>G38</f>
        <v>20</v>
      </c>
      <c r="H42" s="9"/>
      <c r="I42" s="9">
        <f ca="1">visible(materialNum(D42), K42)</f>
        <v>6</v>
      </c>
      <c r="J42" s="9">
        <f ca="1">visible(engraving(I42), K42)</f>
        <v>2</v>
      </c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4">
        <v>4</v>
      </c>
      <c r="B43" s="14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114</v>
      </c>
      <c r="F43" s="9"/>
      <c r="G43" s="9">
        <f>G38</f>
        <v>20</v>
      </c>
      <c r="H43" s="9"/>
      <c r="I43" s="9">
        <f ca="1">visible(materialNum(D43), K43)</f>
        <v>6</v>
      </c>
      <c r="J43" s="9">
        <f ca="1">visible(engraving(I43), K43)</f>
        <v>2</v>
      </c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4">
        <v>4</v>
      </c>
      <c r="B44" s="14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114</v>
      </c>
      <c r="F44" s="9"/>
      <c r="G44" s="9">
        <f>G38</f>
        <v>20</v>
      </c>
      <c r="H44" s="9"/>
      <c r="I44" s="9">
        <f ca="1">visible(materialNum(D44), K44)</f>
        <v>6</v>
      </c>
      <c r="J44" s="9">
        <f ca="1">visible(engraving(I44), K44)</f>
        <v>2</v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4">
        <v>4</v>
      </c>
      <c r="B45" s="14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114</v>
      </c>
      <c r="F45" s="9"/>
      <c r="G45" s="9">
        <f>G38</f>
        <v>20</v>
      </c>
      <c r="H45" s="9"/>
      <c r="I45" s="9">
        <f ca="1">visible(materialNum(D45), K45)</f>
        <v>6</v>
      </c>
      <c r="J45" s="9">
        <f ca="1">visible(engraving(I45), K45)</f>
        <v>2</v>
      </c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114</v>
      </c>
      <c r="F46" s="9"/>
      <c r="G46" s="9">
        <f>G38</f>
        <v>20</v>
      </c>
      <c r="H46" s="9"/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4">
        <v>255</v>
      </c>
    </row>
    <row r="48" spans="1:62" customFormat="1" ht="14.4" x14ac:dyDescent="0.3">
      <c r="A48" s="44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2024-09-22T13:06:50Z</dcterms:modified>
</cp:coreProperties>
</file>