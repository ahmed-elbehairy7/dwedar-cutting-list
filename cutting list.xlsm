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8.xml" ContentType="application/vnd.openxmlformats-officedocument.spreadsheetml.table+xml"/>
  <Override PartName="/xl/drawings/drawing3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4.xml" ContentType="application/vnd.openxmlformats-officedocument.drawing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6.xml" ContentType="application/vnd.openxmlformats-officedocument.drawing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drawings/drawing7.xml" ContentType="application/vnd.openxmlformats-officedocument.drawing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dwedar\excel\cutting-list\"/>
    </mc:Choice>
  </mc:AlternateContent>
  <xr:revisionPtr revIDLastSave="0" documentId="13_ncr:1_{7B37CAEB-9024-4C17-894A-E3FDD0A99110}" xr6:coauthVersionLast="47" xr6:coauthVersionMax="47" xr10:uidLastSave="{00000000-0000-0000-0000-000000000000}"/>
  <bookViews>
    <workbookView xWindow="-108" yWindow="-108" windowWidth="23256" windowHeight="12456" tabRatio="627" activeTab="1" xr2:uid="{00000000-000D-0000-FFFF-FFFF00000000}"/>
  </bookViews>
  <sheets>
    <sheet name="إعدادات" sheetId="8" r:id="rId1"/>
    <sheet name="نماذج" sheetId="11" r:id="rId2"/>
    <sheet name="وحدات" sheetId="10" r:id="rId3"/>
    <sheet name="وحدات سفلية" sheetId="3" r:id="rId4"/>
    <sheet name="بورديوم" sheetId="7" r:id="rId5"/>
    <sheet name="وحدات علوية" sheetId="4" r:id="rId6"/>
    <sheet name="دواليب" sheetId="5" r:id="rId7"/>
    <sheet name="تجاليد" sheetId="6" r:id="rId8"/>
  </sheets>
  <functionGroups builtInGroupCount="19"/>
  <definedNames>
    <definedName name="_xlnm._FilterDatabase" localSheetId="3" hidden="1">'وحدات سفلية'!#REF!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55" i="3" l="1"/>
  <c r="K49" i="11"/>
  <c r="H168" i="3" a="1"/>
  <c r="B168" i="3" a="1"/>
  <c r="E166" i="3" a="1"/>
  <c r="H165" i="3" a="1"/>
  <c r="B165" i="3" a="1"/>
  <c r="E164" i="3" a="1"/>
  <c r="H163" i="3" a="1"/>
  <c r="B163" i="3" a="1"/>
  <c r="E162" i="3" a="1"/>
  <c r="J166" i="3" a="1"/>
  <c r="J162" i="3" a="1"/>
  <c r="H162" i="3" a="1"/>
  <c r="J170" i="3" a="1"/>
  <c r="G168" i="3" a="1"/>
  <c r="G165" i="3" a="1"/>
  <c r="J164" i="3" a="1"/>
  <c r="E165" i="3" a="1"/>
  <c r="C166" i="3" a="1"/>
  <c r="F165" i="3" a="1"/>
  <c r="C164" i="3" a="1"/>
  <c r="C162" i="3" a="1"/>
  <c r="B166" i="3" a="1"/>
  <c r="E163" i="3" a="1"/>
  <c r="H164" i="3" a="1"/>
  <c r="E168" i="3" a="1"/>
  <c r="H166" i="3" a="1"/>
  <c r="B164" i="3" a="1"/>
  <c r="B162" i="3" a="1"/>
  <c r="G164" i="3" a="1"/>
  <c r="J168" i="3" a="1"/>
  <c r="J165" i="3" a="1"/>
  <c r="J163" i="3" a="1"/>
  <c r="C168" i="3" a="1"/>
  <c r="F166" i="3" a="1"/>
  <c r="C165" i="3" a="1"/>
  <c r="F164" i="3" a="1"/>
  <c r="C163" i="3" a="1"/>
  <c r="F162" i="3" a="1"/>
  <c r="J155" i="3"/>
  <c r="C62" i="11"/>
  <c r="C60" i="11"/>
  <c r="C59" i="11"/>
  <c r="C58" i="11"/>
  <c r="C57" i="11"/>
  <c r="C56" i="11"/>
  <c r="J49" i="11"/>
  <c r="B57" i="11" a="1"/>
  <c r="E57" i="11" a="1"/>
  <c r="F58" i="11" a="1"/>
  <c r="J59" i="11" a="1"/>
  <c r="E62" i="11" a="1"/>
  <c r="J60" i="11" a="1"/>
  <c r="J62" i="11" a="1"/>
  <c r="J56" i="11" a="1"/>
  <c r="F60" i="11" a="1"/>
  <c r="E56" i="11" a="1"/>
  <c r="E60" i="11" a="1"/>
  <c r="B59" i="11" a="1"/>
  <c r="G59" i="11" a="1"/>
  <c r="J57" i="11" a="1"/>
  <c r="H60" i="11" a="1"/>
  <c r="B60" i="11" a="1"/>
  <c r="G62" i="11" a="1"/>
  <c r="J58" i="11" a="1"/>
  <c r="H58" i="11" a="1"/>
  <c r="B56" i="11" a="1"/>
  <c r="F56" i="11" a="1"/>
  <c r="E59" i="11" a="1"/>
  <c r="G58" i="11" a="1"/>
  <c r="F59" i="11" a="1"/>
  <c r="B58" i="11" a="1"/>
  <c r="H57" i="11" a="1"/>
  <c r="J64" i="11" a="1"/>
  <c r="H56" i="11" a="1"/>
  <c r="B62" i="11" a="1"/>
  <c r="H59" i="11" a="1"/>
  <c r="H62" i="11" a="1"/>
  <c r="E58" i="11" a="1"/>
  <c r="I158" i="3" a="1"/>
  <c r="J158" i="3" a="1"/>
  <c r="J52" i="11" a="1"/>
  <c r="I52" i="11" a="1"/>
  <c r="I158" i="3" l="1"/>
  <c r="F162" i="3"/>
  <c r="C163" i="3"/>
  <c r="F164" i="3"/>
  <c r="C165" i="3"/>
  <c r="F166" i="3"/>
  <c r="C168" i="3"/>
  <c r="J163" i="3"/>
  <c r="J165" i="3"/>
  <c r="J168" i="3"/>
  <c r="J158" i="3"/>
  <c r="G164" i="3"/>
  <c r="B162" i="3"/>
  <c r="B164" i="3"/>
  <c r="H166" i="3"/>
  <c r="E168" i="3"/>
  <c r="H164" i="3"/>
  <c r="E163" i="3"/>
  <c r="B166" i="3"/>
  <c r="C162" i="3"/>
  <c r="C164" i="3"/>
  <c r="F165" i="3"/>
  <c r="C166" i="3"/>
  <c r="E165" i="3"/>
  <c r="J164" i="3"/>
  <c r="G165" i="3"/>
  <c r="G168" i="3"/>
  <c r="J170" i="3"/>
  <c r="H162" i="3"/>
  <c r="J162" i="3"/>
  <c r="J166" i="3"/>
  <c r="E162" i="3"/>
  <c r="B163" i="3"/>
  <c r="H163" i="3"/>
  <c r="E164" i="3"/>
  <c r="B165" i="3"/>
  <c r="H165" i="3"/>
  <c r="E166" i="3"/>
  <c r="B168" i="3"/>
  <c r="H168" i="3"/>
  <c r="J62" i="11"/>
  <c r="J52" i="11"/>
  <c r="H56" i="11"/>
  <c r="B60" i="11"/>
  <c r="H60" i="11"/>
  <c r="E62" i="11"/>
  <c r="F58" i="11"/>
  <c r="B56" i="11"/>
  <c r="I52" i="11"/>
  <c r="F60" i="11"/>
  <c r="B58" i="11"/>
  <c r="F59" i="11"/>
  <c r="G58" i="11"/>
  <c r="E59" i="11"/>
  <c r="J59" i="11"/>
  <c r="E57" i="11"/>
  <c r="G59" i="11"/>
  <c r="H58" i="11"/>
  <c r="J56" i="11"/>
  <c r="J58" i="11"/>
  <c r="J60" i="11"/>
  <c r="G62" i="11"/>
  <c r="J64" i="11"/>
  <c r="F56" i="11"/>
  <c r="J57" i="11"/>
  <c r="E56" i="11"/>
  <c r="B57" i="11"/>
  <c r="H57" i="11"/>
  <c r="E58" i="11"/>
  <c r="B59" i="11"/>
  <c r="H59" i="11"/>
  <c r="E60" i="11"/>
  <c r="B62" i="11"/>
  <c r="H62" i="11"/>
  <c r="K31" i="11"/>
  <c r="K13" i="11"/>
  <c r="J31" i="11"/>
  <c r="J13" i="11"/>
  <c r="G44" i="11" a="1"/>
  <c r="E41" i="11" a="1"/>
  <c r="C41" i="11" a="1"/>
  <c r="E38" i="11" a="1"/>
  <c r="C39" i="11" a="1"/>
  <c r="F38" i="11" a="1"/>
  <c r="H38" i="11" a="1"/>
  <c r="C42" i="11" a="1"/>
  <c r="J44" i="11" a="1"/>
  <c r="H41" i="11" a="1"/>
  <c r="G40" i="11" a="1"/>
  <c r="E40" i="11" a="1"/>
  <c r="B42" i="11" a="1"/>
  <c r="J42" i="11" a="1"/>
  <c r="H40" i="11" a="1"/>
  <c r="F40" i="11" a="1"/>
  <c r="B40" i="11" a="1"/>
  <c r="E39" i="11" a="1"/>
  <c r="J38" i="11" a="1"/>
  <c r="H44" i="11" a="1"/>
  <c r="B38" i="11" a="1"/>
  <c r="C40" i="11" a="1"/>
  <c r="F41" i="11" a="1"/>
  <c r="G41" i="11" a="1"/>
  <c r="B44" i="11" a="1"/>
  <c r="E42" i="11" a="1"/>
  <c r="J41" i="11" a="1"/>
  <c r="J40" i="11" a="1"/>
  <c r="E44" i="11" a="1"/>
  <c r="H42" i="11" a="1"/>
  <c r="H39" i="11" a="1"/>
  <c r="J46" i="11" a="1"/>
  <c r="B39" i="11" a="1"/>
  <c r="C44" i="11" a="1"/>
  <c r="B41" i="11" a="1"/>
  <c r="F42" i="11" a="1"/>
  <c r="C38" i="11" a="1"/>
  <c r="E21" i="11" a="1"/>
  <c r="B21" i="11" a="1"/>
  <c r="G25" i="11" a="1"/>
  <c r="G21" i="11" a="1"/>
  <c r="B25" i="11" a="1"/>
  <c r="H22" i="11" a="1"/>
  <c r="B28" i="11" a="1"/>
  <c r="C23" i="11" a="1"/>
  <c r="F28" i="11" a="1"/>
  <c r="G23" i="11" a="1"/>
  <c r="F23" i="11" a="1"/>
  <c r="B26" i="11" a="1"/>
  <c r="C26" i="11" a="1"/>
  <c r="F20" i="11" a="1"/>
  <c r="F21" i="11" a="1"/>
  <c r="E20" i="11" a="1"/>
  <c r="J21" i="11" a="1"/>
  <c r="G26" i="11" a="1"/>
  <c r="H21" i="11" a="1"/>
  <c r="E23" i="11" a="1"/>
  <c r="E28" i="11" a="1"/>
  <c r="H25" i="11" a="1"/>
  <c r="F25" i="11" a="1"/>
  <c r="G22" i="11" a="1"/>
  <c r="C20" i="11" a="1"/>
  <c r="H20" i="11" a="1"/>
  <c r="F22" i="11" a="1"/>
  <c r="E22" i="11" a="1"/>
  <c r="C25" i="11" a="1"/>
  <c r="J28" i="11" a="1"/>
  <c r="B20" i="11" a="1"/>
  <c r="H28" i="11" a="1"/>
  <c r="J26" i="11" a="1"/>
  <c r="J25" i="11" a="1"/>
  <c r="J20" i="11" a="1"/>
  <c r="E26" i="11" a="1"/>
  <c r="B23" i="11" a="1"/>
  <c r="C21" i="11" a="1"/>
  <c r="G28" i="11" a="1"/>
  <c r="B22" i="11" a="1"/>
  <c r="E25" i="11" a="1"/>
  <c r="H26" i="11" a="1"/>
  <c r="C28" i="11" a="1"/>
  <c r="C22" i="11" a="1"/>
  <c r="J22" i="11" a="1"/>
  <c r="F26" i="11" a="1"/>
  <c r="J23" i="11" a="1"/>
  <c r="H23" i="11" a="1"/>
  <c r="G20" i="11" a="1"/>
  <c r="G163" i="3" a="1"/>
  <c r="I34" i="11" a="1"/>
  <c r="G56" i="11" a="1"/>
  <c r="G57" i="11" a="1"/>
  <c r="G14" i="11" a="1"/>
  <c r="J34" i="11" a="1"/>
  <c r="F163" i="3" a="1"/>
  <c r="F57" i="11" a="1"/>
  <c r="G162" i="3" a="1"/>
  <c r="G163" i="3" l="1"/>
  <c r="G162" i="3"/>
  <c r="F163" i="3"/>
  <c r="F57" i="11"/>
  <c r="G57" i="11"/>
  <c r="G56" i="11"/>
  <c r="G14" i="11"/>
  <c r="E38" i="11"/>
  <c r="B39" i="11"/>
  <c r="H39" i="11"/>
  <c r="E40" i="11"/>
  <c r="B41" i="11"/>
  <c r="H41" i="11"/>
  <c r="E42" i="11"/>
  <c r="B44" i="11"/>
  <c r="H44" i="11"/>
  <c r="I34" i="11"/>
  <c r="F38" i="11"/>
  <c r="C39" i="11"/>
  <c r="F40" i="11"/>
  <c r="C41" i="11"/>
  <c r="F42" i="11"/>
  <c r="C44" i="11"/>
  <c r="J34" i="11"/>
  <c r="G40" i="11"/>
  <c r="J41" i="11"/>
  <c r="J44" i="11"/>
  <c r="B38" i="11"/>
  <c r="H38" i="11"/>
  <c r="E39" i="11"/>
  <c r="B40" i="11"/>
  <c r="H40" i="11"/>
  <c r="E41" i="11"/>
  <c r="B42" i="11"/>
  <c r="H42" i="11"/>
  <c r="E44" i="11"/>
  <c r="F41" i="11"/>
  <c r="C38" i="11"/>
  <c r="C40" i="11"/>
  <c r="C42" i="11"/>
  <c r="J38" i="11"/>
  <c r="J40" i="11"/>
  <c r="G41" i="11"/>
  <c r="J42" i="11"/>
  <c r="G44" i="11"/>
  <c r="J46" i="11"/>
  <c r="H22" i="11"/>
  <c r="H26" i="11"/>
  <c r="H25" i="11"/>
  <c r="H23" i="11"/>
  <c r="H21" i="11"/>
  <c r="H20" i="11"/>
  <c r="G22" i="11"/>
  <c r="H28" i="11"/>
  <c r="G28" i="11"/>
  <c r="G26" i="11"/>
  <c r="G25" i="11"/>
  <c r="G23" i="11"/>
  <c r="G21" i="11"/>
  <c r="G20" i="11"/>
  <c r="F28" i="11"/>
  <c r="F26" i="11"/>
  <c r="F25" i="11"/>
  <c r="F23" i="11"/>
  <c r="F22" i="11"/>
  <c r="F21" i="11"/>
  <c r="F20" i="11"/>
  <c r="E28" i="11"/>
  <c r="E26" i="11"/>
  <c r="E25" i="11"/>
  <c r="E23" i="11"/>
  <c r="E21" i="11"/>
  <c r="E22" i="11"/>
  <c r="E20" i="11"/>
  <c r="C28" i="11"/>
  <c r="C26" i="11"/>
  <c r="C25" i="11"/>
  <c r="C23" i="11"/>
  <c r="C22" i="11"/>
  <c r="C21" i="11"/>
  <c r="C20" i="11"/>
  <c r="B28" i="11"/>
  <c r="B26" i="11"/>
  <c r="B25" i="11"/>
  <c r="B23" i="11"/>
  <c r="B22" i="11"/>
  <c r="B21" i="11"/>
  <c r="B20" i="11"/>
  <c r="J28" i="11"/>
  <c r="J25" i="11"/>
  <c r="J26" i="11"/>
  <c r="J23" i="11"/>
  <c r="J21" i="11"/>
  <c r="J22" i="11"/>
  <c r="J20" i="11"/>
  <c r="J39" i="11" a="1"/>
  <c r="G60" i="11" a="1"/>
  <c r="F39" i="11" a="1"/>
  <c r="G166" i="3" a="1"/>
  <c r="G39" i="11" a="1"/>
  <c r="G38" i="11" a="1"/>
  <c r="G166" i="3" l="1"/>
  <c r="G60" i="11"/>
  <c r="J39" i="11"/>
  <c r="F39" i="11"/>
  <c r="G39" i="11"/>
  <c r="G38" i="11"/>
  <c r="G42" i="11" a="1"/>
  <c r="G42" i="11" l="1"/>
  <c r="O22" i="8" a="1"/>
  <c r="I14" i="11" a="1"/>
  <c r="E14" i="11" a="1"/>
  <c r="G16" i="11" a="1"/>
  <c r="I14" i="11" l="1"/>
  <c r="G16" i="11"/>
  <c r="E14" i="11"/>
  <c r="O22" i="8"/>
  <c r="O23" i="8" a="1"/>
  <c r="D21" i="11" a="1"/>
  <c r="D20" i="11" a="1"/>
  <c r="D28" i="11" a="1"/>
  <c r="D25" i="11" a="1"/>
  <c r="D23" i="11" a="1"/>
  <c r="D22" i="11" a="1"/>
  <c r="D26" i="11" a="1"/>
  <c r="D28" i="11" l="1"/>
  <c r="D26" i="11"/>
  <c r="D25" i="11"/>
  <c r="D23" i="11"/>
  <c r="D22" i="11"/>
  <c r="D21" i="11"/>
  <c r="D20" i="11"/>
  <c r="O23" i="8"/>
  <c r="O24" i="8" a="1"/>
  <c r="I25" i="11" a="1"/>
  <c r="I22" i="11" a="1"/>
  <c r="I23" i="11" a="1"/>
  <c r="I26" i="11" a="1"/>
  <c r="I28" i="11" a="1"/>
  <c r="I21" i="11" a="1"/>
  <c r="I20" i="11" a="1"/>
  <c r="I20" i="11" l="1"/>
  <c r="I26" i="11"/>
  <c r="I25" i="11"/>
  <c r="I21" i="11"/>
  <c r="I23" i="11"/>
  <c r="I22" i="11"/>
  <c r="I28" i="11"/>
  <c r="O24" i="8"/>
  <c r="I19" i="8"/>
  <c r="R18" i="8"/>
  <c r="O18" i="8"/>
  <c r="L18" i="8"/>
  <c r="I18" i="8"/>
  <c r="F18" i="8"/>
  <c r="C18" i="8"/>
  <c r="C139" i="7"/>
  <c r="F139" i="7"/>
  <c r="C140" i="7"/>
  <c r="C141" i="7" s="1"/>
  <c r="F141" i="7"/>
  <c r="G141" i="7"/>
  <c r="L74" i="5"/>
  <c r="K37" i="6"/>
  <c r="K25" i="6"/>
  <c r="K13" i="6"/>
  <c r="K40" i="5"/>
  <c r="K13" i="5"/>
  <c r="K150" i="4"/>
  <c r="K129" i="4"/>
  <c r="K103" i="4"/>
  <c r="K79" i="4"/>
  <c r="K55" i="4"/>
  <c r="K34" i="4"/>
  <c r="K13" i="4"/>
  <c r="K127" i="7"/>
  <c r="K107" i="7"/>
  <c r="K86" i="7"/>
  <c r="K66" i="7"/>
  <c r="K31" i="7"/>
  <c r="K13" i="7"/>
  <c r="K132" i="3"/>
  <c r="K109" i="3"/>
  <c r="K89" i="3"/>
  <c r="K68" i="3"/>
  <c r="K48" i="3"/>
  <c r="K13" i="3"/>
  <c r="O27" i="8" a="1"/>
  <c r="O28" i="8" a="1"/>
  <c r="O29" i="8" a="1"/>
  <c r="O30" i="8" a="1"/>
  <c r="O25" i="8" a="1"/>
  <c r="O31" i="8" a="1"/>
  <c r="O26" i="8" a="1"/>
  <c r="F25" i="8" a="1"/>
  <c r="R19" i="8" a="1"/>
  <c r="I22" i="8" a="1"/>
  <c r="O19" i="8" a="1"/>
  <c r="L21" i="8" a="1"/>
  <c r="F20" i="8" a="1"/>
  <c r="O20" i="8" a="1"/>
  <c r="F21" i="8" a="1"/>
  <c r="F19" i="8" a="1"/>
  <c r="F26" i="8" a="1"/>
  <c r="L19" i="8" a="1"/>
  <c r="L20" i="8" a="1"/>
  <c r="F24" i="8" a="1"/>
  <c r="I23" i="8" a="1"/>
  <c r="O21" i="8" a="1"/>
  <c r="F26" i="8" l="1"/>
  <c r="O26" i="8"/>
  <c r="O31" i="8"/>
  <c r="O25" i="8"/>
  <c r="O30" i="8"/>
  <c r="O29" i="8"/>
  <c r="O28" i="8"/>
  <c r="O27" i="8"/>
  <c r="R19" i="8"/>
  <c r="L21" i="8"/>
  <c r="L20" i="8"/>
  <c r="L19" i="8"/>
  <c r="O21" i="8"/>
  <c r="O19" i="8"/>
  <c r="O20" i="8"/>
  <c r="I23" i="8"/>
  <c r="I22" i="8"/>
  <c r="F25" i="8"/>
  <c r="F24" i="8"/>
  <c r="F21" i="8"/>
  <c r="F19" i="8"/>
  <c r="F20" i="8"/>
  <c r="G46" i="6"/>
  <c r="B46" i="6"/>
  <c r="G45" i="6"/>
  <c r="B45" i="6"/>
  <c r="G44" i="6"/>
  <c r="B44" i="6"/>
  <c r="G43" i="6"/>
  <c r="B43" i="6"/>
  <c r="G42" i="6"/>
  <c r="B42" i="6"/>
  <c r="C19" i="6"/>
  <c r="C20" i="6" s="1"/>
  <c r="C21" i="6" s="1"/>
  <c r="C22" i="6" s="1"/>
  <c r="G34" i="6"/>
  <c r="B34" i="6"/>
  <c r="G33" i="6"/>
  <c r="B33" i="6"/>
  <c r="G32" i="6"/>
  <c r="B32" i="6"/>
  <c r="G31" i="6"/>
  <c r="B31" i="6"/>
  <c r="G30" i="6"/>
  <c r="B30" i="6"/>
  <c r="G22" i="6"/>
  <c r="G21" i="6"/>
  <c r="G20" i="6"/>
  <c r="G19" i="6"/>
  <c r="B22" i="6"/>
  <c r="B21" i="6"/>
  <c r="B20" i="6"/>
  <c r="B19" i="6"/>
  <c r="G98" i="4"/>
  <c r="G95" i="4"/>
  <c r="G96" i="4"/>
  <c r="F92" i="4"/>
  <c r="G69" i="4"/>
  <c r="G93" i="4"/>
  <c r="H100" i="4"/>
  <c r="G100" i="4"/>
  <c r="H98" i="4"/>
  <c r="H96" i="4"/>
  <c r="H95" i="4"/>
  <c r="H93" i="4"/>
  <c r="H92" i="4"/>
  <c r="H91" i="4"/>
  <c r="H90" i="4"/>
  <c r="F90" i="4"/>
  <c r="C90" i="4"/>
  <c r="C91" i="4" s="1"/>
  <c r="C92" i="4" s="1"/>
  <c r="C93" i="4" s="1"/>
  <c r="C95" i="4" s="1"/>
  <c r="C96" i="4" s="1"/>
  <c r="C98" i="4" s="1"/>
  <c r="C100" i="4" s="1"/>
  <c r="H89" i="4"/>
  <c r="F89" i="4"/>
  <c r="B89" i="4"/>
  <c r="B92" i="4" s="1"/>
  <c r="B98" i="4" s="1"/>
  <c r="C83" i="4"/>
  <c r="C84" i="4" s="1"/>
  <c r="D82" i="4"/>
  <c r="C82" i="4"/>
  <c r="G74" i="4"/>
  <c r="H74" i="4"/>
  <c r="G71" i="4"/>
  <c r="H63" i="7"/>
  <c r="F63" i="7"/>
  <c r="H62" i="7"/>
  <c r="F62" i="7"/>
  <c r="H61" i="7"/>
  <c r="F61" i="7"/>
  <c r="H60" i="7"/>
  <c r="G60" i="7"/>
  <c r="H58" i="7"/>
  <c r="G58" i="7"/>
  <c r="H57" i="7"/>
  <c r="G57" i="7"/>
  <c r="H56" i="7"/>
  <c r="G56" i="7"/>
  <c r="H55" i="7"/>
  <c r="G55" i="7"/>
  <c r="H53" i="7"/>
  <c r="G53" i="7"/>
  <c r="H52" i="7"/>
  <c r="G52" i="7"/>
  <c r="F52" i="7"/>
  <c r="H51" i="7"/>
  <c r="G51" i="7"/>
  <c r="F51" i="7"/>
  <c r="H50" i="7"/>
  <c r="G50" i="7"/>
  <c r="H49" i="7"/>
  <c r="G49" i="7"/>
  <c r="F49" i="7"/>
  <c r="H48" i="7"/>
  <c r="G48" i="7"/>
  <c r="F48" i="7"/>
  <c r="H47" i="7"/>
  <c r="G47" i="7"/>
  <c r="H46" i="7"/>
  <c r="G46" i="7"/>
  <c r="F46" i="7"/>
  <c r="H45" i="7"/>
  <c r="G45" i="7"/>
  <c r="F45" i="7"/>
  <c r="H44" i="7"/>
  <c r="G44" i="7"/>
  <c r="H43" i="7"/>
  <c r="G43" i="7"/>
  <c r="F43" i="7"/>
  <c r="H42" i="7"/>
  <c r="F42" i="7"/>
  <c r="H41" i="7"/>
  <c r="F41" i="7"/>
  <c r="H40" i="7"/>
  <c r="C40" i="7"/>
  <c r="C41" i="7" s="1"/>
  <c r="C42" i="7" s="1"/>
  <c r="C43" i="7" s="1"/>
  <c r="C44" i="7" s="1"/>
  <c r="C45" i="7" s="1"/>
  <c r="C46" i="7" s="1"/>
  <c r="C47" i="7" s="1"/>
  <c r="C48" i="7" s="1"/>
  <c r="C49" i="7" s="1"/>
  <c r="C50" i="7" s="1"/>
  <c r="C51" i="7" s="1"/>
  <c r="C52" i="7" s="1"/>
  <c r="C53" i="7" s="1"/>
  <c r="C55" i="7" s="1"/>
  <c r="H39" i="7"/>
  <c r="F39" i="7"/>
  <c r="B39" i="7"/>
  <c r="B62" i="7" s="1"/>
  <c r="H123" i="4"/>
  <c r="H122" i="4"/>
  <c r="G72" i="4"/>
  <c r="C59" i="4"/>
  <c r="H58" i="4" s="1"/>
  <c r="H147" i="7"/>
  <c r="F147" i="7"/>
  <c r="H146" i="7"/>
  <c r="G146" i="7"/>
  <c r="F144" i="7"/>
  <c r="H143" i="7"/>
  <c r="G143" i="7"/>
  <c r="H138" i="7"/>
  <c r="F138" i="7"/>
  <c r="H137" i="7"/>
  <c r="G137" i="7"/>
  <c r="F137" i="7"/>
  <c r="H136" i="7"/>
  <c r="G136" i="7"/>
  <c r="F136" i="7"/>
  <c r="H135" i="7"/>
  <c r="C135" i="7"/>
  <c r="C136" i="7" s="1"/>
  <c r="C137" i="7" s="1"/>
  <c r="C138" i="7" s="1"/>
  <c r="C143" i="7" s="1"/>
  <c r="H134" i="7"/>
  <c r="F134" i="7"/>
  <c r="B134" i="7"/>
  <c r="B144" i="7" s="1"/>
  <c r="H149" i="3"/>
  <c r="H152" i="3"/>
  <c r="F152" i="3"/>
  <c r="F149" i="3"/>
  <c r="H146" i="3"/>
  <c r="H145" i="3"/>
  <c r="H144" i="3"/>
  <c r="G146" i="3"/>
  <c r="F146" i="3"/>
  <c r="F144" i="3"/>
  <c r="H151" i="3"/>
  <c r="G151" i="3"/>
  <c r="H148" i="3"/>
  <c r="G148" i="3"/>
  <c r="H143" i="3"/>
  <c r="F143" i="3"/>
  <c r="H142" i="3"/>
  <c r="G142" i="3"/>
  <c r="F142" i="3"/>
  <c r="H141" i="3"/>
  <c r="G141" i="3"/>
  <c r="F141" i="3"/>
  <c r="H140" i="3"/>
  <c r="C140" i="3"/>
  <c r="C141" i="3" s="1"/>
  <c r="C142" i="3" s="1"/>
  <c r="C143" i="3" s="1"/>
  <c r="C144" i="3" s="1"/>
  <c r="C145" i="3" s="1"/>
  <c r="C146" i="3" s="1"/>
  <c r="C148" i="3" s="1"/>
  <c r="C149" i="3" s="1"/>
  <c r="H139" i="3"/>
  <c r="F139" i="3"/>
  <c r="B139" i="3"/>
  <c r="B143" i="3" s="1"/>
  <c r="I27" i="8" a="1"/>
  <c r="L25" i="8" a="1"/>
  <c r="R23" i="8" a="1"/>
  <c r="J132" i="3"/>
  <c r="R25" i="8" a="1"/>
  <c r="I28" i="8" a="1"/>
  <c r="J25" i="6"/>
  <c r="I31" i="8" a="1"/>
  <c r="L30" i="8" a="1"/>
  <c r="J37" i="6"/>
  <c r="F29" i="8" a="1"/>
  <c r="R21" i="8" a="1"/>
  <c r="L29" i="8" a="1"/>
  <c r="J31" i="7"/>
  <c r="R31" i="8" a="1"/>
  <c r="R27" i="8" a="1"/>
  <c r="R20" i="8" a="1"/>
  <c r="I30" i="8" a="1"/>
  <c r="R24" i="8" a="1"/>
  <c r="L27" i="8" a="1"/>
  <c r="F30" i="8" a="1"/>
  <c r="R30" i="8" a="1"/>
  <c r="L28" i="8" a="1"/>
  <c r="I29" i="8" a="1"/>
  <c r="R26" i="8" a="1"/>
  <c r="F28" i="8" a="1"/>
  <c r="F31" i="8" a="1"/>
  <c r="R29" i="8" a="1"/>
  <c r="R28" i="8" a="1"/>
  <c r="F27" i="8" a="1"/>
  <c r="R22" i="8" a="1"/>
  <c r="L24" i="8" a="1"/>
  <c r="J127" i="7"/>
  <c r="L31" i="8" a="1"/>
  <c r="J79" i="4"/>
  <c r="I50" i="11" a="1"/>
  <c r="J36" i="4" a="1"/>
  <c r="I21" i="8" a="1"/>
  <c r="I106" i="4" a="1"/>
  <c r="I36" i="4" a="1"/>
  <c r="G57" i="4" a="1"/>
  <c r="I32" i="11" a="1"/>
  <c r="J132" i="4" a="1"/>
  <c r="G34" i="11" a="1"/>
  <c r="I24" i="8" a="1"/>
  <c r="F52" i="11" a="1"/>
  <c r="G50" i="11" a="1"/>
  <c r="F158" i="3" a="1"/>
  <c r="E32" i="11" a="1"/>
  <c r="I81" i="4" a="1"/>
  <c r="J131" i="4" a="1"/>
  <c r="I20" i="8" a="1"/>
  <c r="I131" i="4" a="1"/>
  <c r="G15" i="4" a="1"/>
  <c r="J106" i="4" a="1"/>
  <c r="I15" i="4" a="1"/>
  <c r="G158" i="3" a="1"/>
  <c r="I26" i="8" a="1"/>
  <c r="J81" i="4" a="1"/>
  <c r="J15" i="4" a="1"/>
  <c r="G105" i="4" a="1"/>
  <c r="I105" i="4" a="1"/>
  <c r="G36" i="4" a="1"/>
  <c r="E156" i="3" a="1"/>
  <c r="G32" i="11" a="1"/>
  <c r="J105" i="4" a="1"/>
  <c r="J152" i="4" a="1"/>
  <c r="G131" i="4" a="1"/>
  <c r="J57" i="4" a="1"/>
  <c r="I156" i="3" a="1"/>
  <c r="I152" i="4" a="1"/>
  <c r="G156" i="3" a="1"/>
  <c r="G152" i="4" a="1"/>
  <c r="G81" i="4" a="1"/>
  <c r="I57" i="4" a="1"/>
  <c r="F34" i="11" a="1"/>
  <c r="I132" i="4" a="1"/>
  <c r="I25" i="8" a="1"/>
  <c r="E50" i="11" a="1"/>
  <c r="G52" i="11" a="1"/>
  <c r="G156" i="3" l="1"/>
  <c r="I156" i="3"/>
  <c r="E156" i="3"/>
  <c r="G158" i="3"/>
  <c r="F158" i="3"/>
  <c r="K170" i="3" s="1"/>
  <c r="F52" i="11"/>
  <c r="K64" i="11" s="1"/>
  <c r="F34" i="11"/>
  <c r="K46" i="11" s="1"/>
  <c r="I50" i="11"/>
  <c r="G50" i="11"/>
  <c r="G52" i="11"/>
  <c r="E50" i="11"/>
  <c r="I26" i="8"/>
  <c r="G32" i="11"/>
  <c r="G34" i="11"/>
  <c r="E32" i="11"/>
  <c r="I32" i="11"/>
  <c r="I21" i="8"/>
  <c r="I20" i="8"/>
  <c r="I24" i="8"/>
  <c r="I25" i="8"/>
  <c r="R31" i="8"/>
  <c r="R24" i="8"/>
  <c r="R30" i="8"/>
  <c r="R23" i="8"/>
  <c r="R22" i="8"/>
  <c r="R28" i="8"/>
  <c r="R20" i="8"/>
  <c r="R25" i="8"/>
  <c r="R29" i="8"/>
  <c r="R27" i="8"/>
  <c r="R26" i="8"/>
  <c r="R21" i="8"/>
  <c r="I106" i="4"/>
  <c r="J106" i="4"/>
  <c r="I132" i="4"/>
  <c r="J132" i="4"/>
  <c r="G152" i="4"/>
  <c r="I152" i="4"/>
  <c r="J152" i="4"/>
  <c r="G131" i="4"/>
  <c r="I131" i="4"/>
  <c r="J131" i="4"/>
  <c r="G105" i="4"/>
  <c r="I105" i="4"/>
  <c r="J105" i="4"/>
  <c r="G81" i="4"/>
  <c r="I81" i="4"/>
  <c r="F91" i="4" s="1"/>
  <c r="J81" i="4"/>
  <c r="G91" i="4" s="1"/>
  <c r="G57" i="4"/>
  <c r="I57" i="4"/>
  <c r="J57" i="4"/>
  <c r="G36" i="4"/>
  <c r="I36" i="4"/>
  <c r="J36" i="4"/>
  <c r="G15" i="4"/>
  <c r="I15" i="4"/>
  <c r="J15" i="4"/>
  <c r="L25" i="8"/>
  <c r="L27" i="8"/>
  <c r="L28" i="8"/>
  <c r="L29" i="8"/>
  <c r="L24" i="8"/>
  <c r="L30" i="8"/>
  <c r="L31" i="8"/>
  <c r="I27" i="8"/>
  <c r="I28" i="8"/>
  <c r="I29" i="8"/>
  <c r="I30" i="8"/>
  <c r="I31" i="8"/>
  <c r="F27" i="8"/>
  <c r="F28" i="8"/>
  <c r="F29" i="8"/>
  <c r="F30" i="8"/>
  <c r="F31" i="8"/>
  <c r="B147" i="7"/>
  <c r="B149" i="3"/>
  <c r="B135" i="7"/>
  <c r="B139" i="7" s="1"/>
  <c r="B152" i="3"/>
  <c r="B95" i="4"/>
  <c r="B91" i="4"/>
  <c r="B93" i="4"/>
  <c r="B100" i="4"/>
  <c r="B96" i="4"/>
  <c r="B90" i="4"/>
  <c r="B143" i="7"/>
  <c r="B44" i="7"/>
  <c r="B138" i="7"/>
  <c r="B40" i="7"/>
  <c r="B55" i="7"/>
  <c r="B136" i="7"/>
  <c r="B140" i="7" s="1"/>
  <c r="B42" i="7"/>
  <c r="B46" i="7"/>
  <c r="B57" i="7"/>
  <c r="B49" i="7"/>
  <c r="B53" i="7"/>
  <c r="B60" i="7"/>
  <c r="B47" i="7"/>
  <c r="C60" i="7"/>
  <c r="C56" i="7"/>
  <c r="B50" i="7"/>
  <c r="B45" i="7"/>
  <c r="B58" i="7"/>
  <c r="B48" i="7"/>
  <c r="B41" i="7"/>
  <c r="B43" i="7"/>
  <c r="B56" i="7"/>
  <c r="B52" i="7"/>
  <c r="B61" i="7"/>
  <c r="B63" i="7"/>
  <c r="B51" i="7"/>
  <c r="B146" i="7"/>
  <c r="B137" i="7"/>
  <c r="B141" i="7" s="1"/>
  <c r="C144" i="7"/>
  <c r="C146" i="7"/>
  <c r="C147" i="7" s="1"/>
  <c r="C151" i="3"/>
  <c r="C152" i="3" s="1"/>
  <c r="B151" i="3"/>
  <c r="B142" i="3"/>
  <c r="B146" i="3" s="1"/>
  <c r="B140" i="3"/>
  <c r="B144" i="3" s="1"/>
  <c r="B148" i="3"/>
  <c r="B141" i="3"/>
  <c r="B145" i="3" s="1"/>
  <c r="H123" i="3"/>
  <c r="G123" i="3"/>
  <c r="F123" i="3"/>
  <c r="H122" i="3"/>
  <c r="H121" i="3"/>
  <c r="F121" i="3"/>
  <c r="H129" i="3"/>
  <c r="F129" i="3"/>
  <c r="H119" i="3"/>
  <c r="H118" i="3"/>
  <c r="H116" i="3"/>
  <c r="G60" i="3"/>
  <c r="G62" i="3"/>
  <c r="H45" i="3"/>
  <c r="H44" i="3"/>
  <c r="H43" i="3"/>
  <c r="F44" i="3"/>
  <c r="F45" i="3"/>
  <c r="F43" i="3"/>
  <c r="H30" i="3"/>
  <c r="H29" i="3"/>
  <c r="H28" i="3"/>
  <c r="H40" i="3"/>
  <c r="H39" i="3"/>
  <c r="H38" i="3"/>
  <c r="G40" i="3"/>
  <c r="G39" i="3"/>
  <c r="G38" i="3"/>
  <c r="H34" i="3"/>
  <c r="H35" i="3"/>
  <c r="H33" i="3"/>
  <c r="H32" i="3"/>
  <c r="H31" i="3"/>
  <c r="H27" i="3"/>
  <c r="H26" i="3"/>
  <c r="H25" i="3"/>
  <c r="G35" i="3"/>
  <c r="G34" i="3"/>
  <c r="G33" i="3"/>
  <c r="G32" i="3"/>
  <c r="G31" i="3"/>
  <c r="G30" i="3"/>
  <c r="G29" i="3"/>
  <c r="G28" i="3"/>
  <c r="G27" i="3"/>
  <c r="G26" i="3"/>
  <c r="G25" i="3"/>
  <c r="F33" i="3"/>
  <c r="F31" i="3"/>
  <c r="F34" i="3"/>
  <c r="G50" i="4"/>
  <c r="G147" i="4"/>
  <c r="G126" i="4"/>
  <c r="G125" i="4"/>
  <c r="G106" i="3"/>
  <c r="G86" i="3"/>
  <c r="J66" i="7"/>
  <c r="J13" i="3"/>
  <c r="J86" i="7"/>
  <c r="J103" i="4"/>
  <c r="J48" i="3"/>
  <c r="J13" i="4"/>
  <c r="J68" i="3"/>
  <c r="J34" i="4"/>
  <c r="J109" i="3"/>
  <c r="J40" i="5"/>
  <c r="J150" i="4"/>
  <c r="J13" i="6"/>
  <c r="J107" i="7"/>
  <c r="J13" i="5"/>
  <c r="J89" i="3"/>
  <c r="J55" i="4"/>
  <c r="J13" i="7"/>
  <c r="J129" i="4"/>
  <c r="C64" i="11"/>
  <c r="H170" i="3" a="1"/>
  <c r="B46" i="11" a="1"/>
  <c r="D42" i="11" a="1"/>
  <c r="E70" i="3" a="1"/>
  <c r="J16" i="3" a="1"/>
  <c r="E134" i="3" a="1"/>
  <c r="I109" i="7" a="1"/>
  <c r="C170" i="3" a="1"/>
  <c r="G46" i="11" a="1"/>
  <c r="I14" i="3" a="1"/>
  <c r="I88" i="7" a="1"/>
  <c r="F105" i="4" a="1"/>
  <c r="E111" i="3" a="1"/>
  <c r="J71" i="3" a="1"/>
  <c r="F15" i="4" a="1"/>
  <c r="E170" i="3" a="1"/>
  <c r="E46" i="11" a="1"/>
  <c r="J129" i="7" a="1"/>
  <c r="J88" i="7" a="1"/>
  <c r="J68" i="7" a="1"/>
  <c r="J134" i="3" a="1"/>
  <c r="I111" i="3" a="1"/>
  <c r="I110" i="7" a="1"/>
  <c r="I16" i="3" a="1"/>
  <c r="F44" i="11" a="1"/>
  <c r="F36" i="4" a="1"/>
  <c r="I91" i="3" a="1"/>
  <c r="J111" i="3" a="1"/>
  <c r="J34" i="7" a="1"/>
  <c r="D165" i="3" a="1"/>
  <c r="C46" i="11" a="1"/>
  <c r="I34" i="7" a="1"/>
  <c r="J91" i="3" a="1"/>
  <c r="F131" i="4" a="1"/>
  <c r="D163" i="3" a="1"/>
  <c r="D59" i="11" a="1"/>
  <c r="I134" i="3" a="1"/>
  <c r="E50" i="3" a="1"/>
  <c r="G134" i="3" a="1"/>
  <c r="F57" i="4" a="1"/>
  <c r="D162" i="3" a="1"/>
  <c r="D57" i="11" a="1"/>
  <c r="D44" i="11" a="1"/>
  <c r="J92" i="3" a="1"/>
  <c r="J109" i="7" a="1"/>
  <c r="I70" i="3" a="1"/>
  <c r="F81" i="4" a="1"/>
  <c r="D166" i="3" a="1"/>
  <c r="D56" i="11" a="1"/>
  <c r="D62" i="11" a="1"/>
  <c r="D41" i="11" a="1"/>
  <c r="G111" i="3" a="1"/>
  <c r="D164" i="3" a="1"/>
  <c r="D58" i="11" a="1"/>
  <c r="D46" i="11" a="1"/>
  <c r="I89" i="7" a="1"/>
  <c r="G16" i="3" a="1"/>
  <c r="D168" i="3" a="1"/>
  <c r="D170" i="3" a="1"/>
  <c r="D60" i="11" a="1"/>
  <c r="D39" i="11" a="1"/>
  <c r="F152" i="4" a="1"/>
  <c r="J110" i="7" a="1"/>
  <c r="I68" i="7" a="1"/>
  <c r="J89" i="7" a="1"/>
  <c r="F168" i="3" a="1"/>
  <c r="F170" i="3" a="1"/>
  <c r="G170" i="3" a="1"/>
  <c r="F46" i="11" a="1"/>
  <c r="F62" i="11" a="1"/>
  <c r="D38" i="11" a="1"/>
  <c r="I71" i="3" a="1"/>
  <c r="I92" i="3" a="1"/>
  <c r="I50" i="3" a="1"/>
  <c r="E91" i="3" a="1"/>
  <c r="I129" i="7" a="1"/>
  <c r="B170" i="3" a="1"/>
  <c r="H46" i="11" a="1"/>
  <c r="D40" i="11" a="1"/>
  <c r="J70" i="3" a="1"/>
  <c r="J50" i="3" a="1"/>
  <c r="F168" i="3" l="1"/>
  <c r="D170" i="3"/>
  <c r="D164" i="3"/>
  <c r="D166" i="3"/>
  <c r="D162" i="3"/>
  <c r="D163" i="3"/>
  <c r="D165" i="3"/>
  <c r="E170" i="3"/>
  <c r="C170" i="3"/>
  <c r="H170" i="3"/>
  <c r="B170" i="3"/>
  <c r="G170" i="3"/>
  <c r="F170" i="3"/>
  <c r="D168" i="3"/>
  <c r="C46" i="11"/>
  <c r="E46" i="11"/>
  <c r="G46" i="11"/>
  <c r="B46" i="11"/>
  <c r="H46" i="11"/>
  <c r="F46" i="11"/>
  <c r="F62" i="11"/>
  <c r="D62" i="11"/>
  <c r="D60" i="11"/>
  <c r="D58" i="11"/>
  <c r="D56" i="11"/>
  <c r="D57" i="11"/>
  <c r="D59" i="11"/>
  <c r="D42" i="11"/>
  <c r="D40" i="11"/>
  <c r="D38" i="11"/>
  <c r="D41" i="11"/>
  <c r="D39" i="11"/>
  <c r="D46" i="11"/>
  <c r="F44" i="11"/>
  <c r="D44" i="11"/>
  <c r="F105" i="4"/>
  <c r="F36" i="4"/>
  <c r="F57" i="4"/>
  <c r="F152" i="4"/>
  <c r="F81" i="4"/>
  <c r="F95" i="4" s="1"/>
  <c r="F131" i="4"/>
  <c r="F15" i="4"/>
  <c r="I34" i="7"/>
  <c r="F40" i="7" s="1"/>
  <c r="I89" i="7"/>
  <c r="I88" i="7"/>
  <c r="I129" i="7"/>
  <c r="F146" i="7" s="1"/>
  <c r="I110" i="7"/>
  <c r="I68" i="7"/>
  <c r="I109" i="7"/>
  <c r="J88" i="7"/>
  <c r="J34" i="7"/>
  <c r="G39" i="7" s="1"/>
  <c r="J129" i="7"/>
  <c r="G135" i="7" s="1"/>
  <c r="J110" i="7"/>
  <c r="J109" i="7"/>
  <c r="J89" i="7"/>
  <c r="J68" i="7"/>
  <c r="F98" i="4"/>
  <c r="E82" i="4"/>
  <c r="H82" i="4"/>
  <c r="H83" i="4" s="1"/>
  <c r="F93" i="4"/>
  <c r="G90" i="4"/>
  <c r="G92" i="4"/>
  <c r="G89" i="4"/>
  <c r="F96" i="4"/>
  <c r="F100" i="4"/>
  <c r="E134" i="3"/>
  <c r="E111" i="3"/>
  <c r="E91" i="3"/>
  <c r="E70" i="3"/>
  <c r="E50" i="3"/>
  <c r="G16" i="3"/>
  <c r="G134" i="3"/>
  <c r="G111" i="3"/>
  <c r="G129" i="3" s="1"/>
  <c r="I14" i="3"/>
  <c r="I134" i="3"/>
  <c r="I111" i="3"/>
  <c r="I92" i="3"/>
  <c r="I91" i="3"/>
  <c r="I71" i="3"/>
  <c r="I70" i="3"/>
  <c r="I50" i="3"/>
  <c r="I16" i="3"/>
  <c r="J134" i="3"/>
  <c r="G143" i="3" s="1"/>
  <c r="J111" i="3"/>
  <c r="J91" i="3"/>
  <c r="J92" i="3"/>
  <c r="J71" i="3"/>
  <c r="J70" i="3"/>
  <c r="J50" i="3"/>
  <c r="J16" i="3"/>
  <c r="C57" i="7"/>
  <c r="C61" i="7"/>
  <c r="H37" i="3"/>
  <c r="G18" i="6"/>
  <c r="B18" i="6"/>
  <c r="F123" i="4"/>
  <c r="F122" i="4"/>
  <c r="F74" i="4"/>
  <c r="C20" i="8"/>
  <c r="E3" i="10" a="1"/>
  <c r="G64" i="11" a="1"/>
  <c r="I42" i="11" a="1"/>
  <c r="F109" i="7" a="1"/>
  <c r="I15" i="7" a="1"/>
  <c r="F15" i="7" a="1"/>
  <c r="E129" i="7" a="1"/>
  <c r="I59" i="11" a="1"/>
  <c r="B64" i="11" a="1"/>
  <c r="I40" i="11" a="1"/>
  <c r="E15" i="7" a="1"/>
  <c r="I38" i="11" a="1"/>
  <c r="I32" i="7" a="1"/>
  <c r="F64" i="11" a="1"/>
  <c r="J15" i="7" a="1"/>
  <c r="F68" i="7" a="1"/>
  <c r="H64" i="11" a="1"/>
  <c r="I39" i="11" a="1"/>
  <c r="F88" i="7" a="1"/>
  <c r="I168" i="3" a="1"/>
  <c r="I41" i="11" a="1"/>
  <c r="E109" i="7" a="1"/>
  <c r="I170" i="3" a="1"/>
  <c r="E64" i="11" a="1"/>
  <c r="I46" i="11" a="1"/>
  <c r="G34" i="7" a="1"/>
  <c r="I56" i="11" a="1"/>
  <c r="D64" i="11" a="1"/>
  <c r="I57" i="11" a="1"/>
  <c r="I162" i="3" a="1"/>
  <c r="I62" i="11" a="1"/>
  <c r="I44" i="11" a="1"/>
  <c r="F129" i="7" a="1"/>
  <c r="I163" i="3" a="1"/>
  <c r="I164" i="3" a="1"/>
  <c r="I60" i="11" a="1"/>
  <c r="I166" i="3" a="1"/>
  <c r="I58" i="11" a="1"/>
  <c r="B34" i="7" a="1"/>
  <c r="E68" i="7" a="1"/>
  <c r="E88" i="7" a="1"/>
  <c r="I165" i="3" a="1"/>
  <c r="G129" i="7" a="1"/>
  <c r="I165" i="3" l="1"/>
  <c r="I163" i="3"/>
  <c r="I166" i="3"/>
  <c r="I164" i="3"/>
  <c r="I162" i="3"/>
  <c r="I168" i="3"/>
  <c r="I170" i="3"/>
  <c r="F64" i="11"/>
  <c r="E64" i="11"/>
  <c r="H64" i="11"/>
  <c r="B64" i="11"/>
  <c r="G64" i="11"/>
  <c r="D64" i="11"/>
  <c r="I59" i="11"/>
  <c r="I57" i="11"/>
  <c r="I56" i="11"/>
  <c r="I58" i="11"/>
  <c r="I60" i="11"/>
  <c r="I62" i="11"/>
  <c r="I44" i="11"/>
  <c r="I46" i="11"/>
  <c r="I39" i="11"/>
  <c r="I41" i="11"/>
  <c r="I38" i="11"/>
  <c r="I40" i="11"/>
  <c r="I42" i="11"/>
  <c r="E3" i="10"/>
  <c r="F140" i="3"/>
  <c r="G152" i="3"/>
  <c r="G40" i="7"/>
  <c r="G138" i="7"/>
  <c r="G134" i="7"/>
  <c r="F60" i="7"/>
  <c r="F82" i="4"/>
  <c r="F83" i="4" s="1"/>
  <c r="F129" i="7"/>
  <c r="F109" i="7"/>
  <c r="G124" i="7" s="1"/>
  <c r="B34" i="7"/>
  <c r="F88" i="7"/>
  <c r="G104" i="7" s="1"/>
  <c r="F68" i="7"/>
  <c r="G83" i="7" s="1"/>
  <c r="F15" i="7"/>
  <c r="B28" i="7" s="1"/>
  <c r="G34" i="7"/>
  <c r="F58" i="7" s="1"/>
  <c r="E129" i="7"/>
  <c r="E109" i="7"/>
  <c r="E68" i="7"/>
  <c r="E88" i="7"/>
  <c r="E15" i="7"/>
  <c r="G129" i="7"/>
  <c r="F140" i="7" s="1"/>
  <c r="I32" i="7"/>
  <c r="F135" i="7"/>
  <c r="F145" i="3"/>
  <c r="G140" i="3"/>
  <c r="G139" i="3"/>
  <c r="F40" i="3"/>
  <c r="J15" i="7"/>
  <c r="I15" i="7"/>
  <c r="G149" i="3"/>
  <c r="F148" i="3" s="1"/>
  <c r="F151" i="3"/>
  <c r="F122" i="3"/>
  <c r="G44" i="4"/>
  <c r="G47" i="4"/>
  <c r="G45" i="4"/>
  <c r="G122" i="4"/>
  <c r="G123" i="4"/>
  <c r="G68" i="4"/>
  <c r="G66" i="4"/>
  <c r="G65" i="4"/>
  <c r="C58" i="7"/>
  <c r="C63" i="7" s="1"/>
  <c r="C62" i="7"/>
  <c r="G44" i="3"/>
  <c r="G43" i="3"/>
  <c r="G45" i="3"/>
  <c r="F39" i="3"/>
  <c r="F37" i="3"/>
  <c r="F38" i="3"/>
  <c r="G126" i="3"/>
  <c r="F32" i="3"/>
  <c r="F35" i="3"/>
  <c r="C21" i="8"/>
  <c r="C19" i="8"/>
  <c r="H169" i="4"/>
  <c r="G169" i="4"/>
  <c r="F169" i="4"/>
  <c r="H167" i="4"/>
  <c r="F167" i="4"/>
  <c r="H166" i="4"/>
  <c r="H164" i="4"/>
  <c r="G164" i="4"/>
  <c r="F164" i="4"/>
  <c r="H163" i="4"/>
  <c r="G163" i="4"/>
  <c r="F163" i="4"/>
  <c r="H162" i="4"/>
  <c r="G162" i="4"/>
  <c r="F162" i="4"/>
  <c r="H161" i="4"/>
  <c r="G161" i="4"/>
  <c r="F161" i="4"/>
  <c r="C161" i="4"/>
  <c r="C162" i="4" s="1"/>
  <c r="C163" i="4" s="1"/>
  <c r="C164" i="4" s="1"/>
  <c r="C166" i="4" s="1"/>
  <c r="C167" i="4" s="1"/>
  <c r="C169" i="4" s="1"/>
  <c r="H160" i="4"/>
  <c r="G160" i="4"/>
  <c r="F160" i="4"/>
  <c r="C154" i="4"/>
  <c r="F153" i="4"/>
  <c r="F154" i="4" s="1"/>
  <c r="D153" i="4"/>
  <c r="C153" i="4"/>
  <c r="F166" i="4" s="1"/>
  <c r="B160" i="4"/>
  <c r="H128" i="3"/>
  <c r="G128" i="3"/>
  <c r="F128" i="3"/>
  <c r="H126" i="3"/>
  <c r="F126" i="3"/>
  <c r="H125" i="3"/>
  <c r="F125" i="3" s="1"/>
  <c r="H120" i="3"/>
  <c r="G120" i="3"/>
  <c r="F120" i="3"/>
  <c r="F119" i="3"/>
  <c r="F118" i="3"/>
  <c r="H117" i="3"/>
  <c r="G117" i="3"/>
  <c r="F117" i="3"/>
  <c r="C117" i="3"/>
  <c r="C118" i="3" s="1"/>
  <c r="C119" i="3" s="1"/>
  <c r="C120" i="3" s="1"/>
  <c r="G116" i="3"/>
  <c r="F116" i="3"/>
  <c r="B116" i="3"/>
  <c r="B138" i="4"/>
  <c r="B112" i="4"/>
  <c r="B120" i="4" s="1"/>
  <c r="B65" i="4"/>
  <c r="B44" i="4"/>
  <c r="B49" i="4" s="1"/>
  <c r="B115" i="7"/>
  <c r="B94" i="7"/>
  <c r="B73" i="7"/>
  <c r="B20" i="7"/>
  <c r="B97" i="3"/>
  <c r="B104" i="3" s="1"/>
  <c r="B80" i="3"/>
  <c r="B55" i="3"/>
  <c r="B57" i="3" s="1"/>
  <c r="B21" i="3"/>
  <c r="E38" i="6" a="1"/>
  <c r="F21" i="5" a="1"/>
  <c r="I64" i="11" a="1"/>
  <c r="F40" i="4" a="1"/>
  <c r="E14" i="6" a="1"/>
  <c r="F112" i="3" a="1"/>
  <c r="F134" i="4" a="1"/>
  <c r="F19" i="4" a="1"/>
  <c r="F61" i="4" a="1"/>
  <c r="F17" i="3" a="1"/>
  <c r="F85" i="4" a="1"/>
  <c r="F108" i="4" a="1"/>
  <c r="F72" i="3" a="1"/>
  <c r="F135" i="3" a="1"/>
  <c r="F93" i="3" a="1"/>
  <c r="E26" i="6" a="1"/>
  <c r="F156" i="4" a="1"/>
  <c r="F54" i="5" a="1"/>
  <c r="F51" i="3" a="1"/>
  <c r="I64" i="11" l="1"/>
  <c r="C121" i="3"/>
  <c r="C122" i="3" s="1"/>
  <c r="C123" i="3" s="1"/>
  <c r="C125" i="3" s="1"/>
  <c r="C126" i="3" s="1"/>
  <c r="C128" i="3" s="1"/>
  <c r="C129" i="3" s="1"/>
  <c r="H141" i="7"/>
  <c r="H140" i="7"/>
  <c r="G144" i="7"/>
  <c r="F143" i="7" s="1"/>
  <c r="F156" i="4"/>
  <c r="D166" i="4" s="1"/>
  <c r="I166" i="4" s="1"/>
  <c r="F108" i="4"/>
  <c r="D120" i="4" s="1"/>
  <c r="I120" i="4" s="1"/>
  <c r="F85" i="4"/>
  <c r="D96" i="4" s="1"/>
  <c r="I96" i="4" s="1"/>
  <c r="F19" i="4"/>
  <c r="D28" i="4" s="1"/>
  <c r="I28" i="4" s="1"/>
  <c r="F134" i="4"/>
  <c r="D145" i="4" s="1"/>
  <c r="I145" i="4" s="1"/>
  <c r="F61" i="4"/>
  <c r="D72" i="4" s="1"/>
  <c r="I72" i="4" s="1"/>
  <c r="F40" i="4"/>
  <c r="D49" i="4" s="1"/>
  <c r="I49" i="4" s="1"/>
  <c r="F54" i="5"/>
  <c r="D75" i="5" s="1"/>
  <c r="I75" i="5" s="1"/>
  <c r="F21" i="5"/>
  <c r="D31" i="5" s="1"/>
  <c r="I31" i="5" s="1"/>
  <c r="E38" i="6"/>
  <c r="E26" i="6"/>
  <c r="E14" i="6"/>
  <c r="E124" i="7"/>
  <c r="B124" i="7"/>
  <c r="H124" i="7"/>
  <c r="F124" i="7"/>
  <c r="C124" i="7"/>
  <c r="E104" i="7"/>
  <c r="F83" i="7"/>
  <c r="H83" i="7"/>
  <c r="B104" i="7"/>
  <c r="C104" i="7"/>
  <c r="E28" i="7"/>
  <c r="H104" i="7"/>
  <c r="F104" i="7"/>
  <c r="G28" i="7"/>
  <c r="H28" i="7"/>
  <c r="C28" i="7"/>
  <c r="E83" i="7"/>
  <c r="C83" i="7"/>
  <c r="B83" i="7"/>
  <c r="F55" i="7"/>
  <c r="F56" i="7"/>
  <c r="F57" i="7"/>
  <c r="F47" i="7"/>
  <c r="F53" i="7"/>
  <c r="G62" i="7"/>
  <c r="G63" i="7"/>
  <c r="F50" i="7"/>
  <c r="F44" i="7"/>
  <c r="G61" i="7"/>
  <c r="G147" i="7"/>
  <c r="F28" i="7"/>
  <c r="H139" i="7"/>
  <c r="H144" i="7"/>
  <c r="F135" i="3"/>
  <c r="D149" i="3" s="1"/>
  <c r="I149" i="3" s="1"/>
  <c r="F112" i="3"/>
  <c r="D125" i="3" s="1"/>
  <c r="I125" i="3" s="1"/>
  <c r="F93" i="3"/>
  <c r="D104" i="3" s="1"/>
  <c r="I104" i="3" s="1"/>
  <c r="F72" i="3"/>
  <c r="F51" i="3"/>
  <c r="F17" i="3"/>
  <c r="D38" i="3" s="1"/>
  <c r="I38" i="3" s="1"/>
  <c r="C155" i="4"/>
  <c r="G167" i="4"/>
  <c r="B45" i="3"/>
  <c r="B44" i="3"/>
  <c r="B43" i="3"/>
  <c r="B128" i="3"/>
  <c r="B129" i="3"/>
  <c r="B38" i="3"/>
  <c r="B40" i="3"/>
  <c r="B39" i="3"/>
  <c r="B34" i="3"/>
  <c r="B35" i="3"/>
  <c r="B23" i="3"/>
  <c r="B33" i="3"/>
  <c r="B31" i="3"/>
  <c r="B32" i="3"/>
  <c r="G14" i="3"/>
  <c r="B74" i="7"/>
  <c r="B23" i="7"/>
  <c r="B21" i="7"/>
  <c r="H153" i="4"/>
  <c r="H154" i="4" s="1"/>
  <c r="B22" i="7"/>
  <c r="B166" i="4"/>
  <c r="B161" i="4"/>
  <c r="B169" i="4"/>
  <c r="B50" i="4"/>
  <c r="B52" i="4"/>
  <c r="B162" i="4"/>
  <c r="B163" i="4"/>
  <c r="B164" i="4"/>
  <c r="B167" i="4"/>
  <c r="G166" i="4"/>
  <c r="B119" i="3"/>
  <c r="B123" i="3" s="1"/>
  <c r="G125" i="3"/>
  <c r="B118" i="3"/>
  <c r="B122" i="3" s="1"/>
  <c r="B120" i="3"/>
  <c r="B126" i="3"/>
  <c r="B117" i="3"/>
  <c r="B121" i="3" s="1"/>
  <c r="B125" i="3"/>
  <c r="B71" i="4"/>
  <c r="B72" i="4"/>
  <c r="B145" i="4"/>
  <c r="B147" i="4"/>
  <c r="B143" i="4"/>
  <c r="B139" i="4"/>
  <c r="B140" i="4"/>
  <c r="B141" i="4"/>
  <c r="B142" i="4"/>
  <c r="B126" i="4"/>
  <c r="B117" i="4"/>
  <c r="B123" i="4" s="1"/>
  <c r="B125" i="4"/>
  <c r="B113" i="4"/>
  <c r="B114" i="4"/>
  <c r="B115" i="4"/>
  <c r="B116" i="4"/>
  <c r="B122" i="4" s="1"/>
  <c r="B119" i="4"/>
  <c r="B76" i="4"/>
  <c r="B66" i="4"/>
  <c r="B67" i="4"/>
  <c r="B68" i="4"/>
  <c r="B74" i="4" s="1"/>
  <c r="B69" i="4"/>
  <c r="B45" i="4"/>
  <c r="B46" i="4"/>
  <c r="B47" i="4"/>
  <c r="B116" i="7"/>
  <c r="B118" i="7"/>
  <c r="B122" i="7"/>
  <c r="B117" i="7"/>
  <c r="B101" i="7"/>
  <c r="B102" i="7"/>
  <c r="B99" i="7"/>
  <c r="B81" i="7"/>
  <c r="B76" i="7"/>
  <c r="B75" i="7"/>
  <c r="B77" i="7"/>
  <c r="B78" i="7"/>
  <c r="B80" i="7"/>
  <c r="B95" i="7"/>
  <c r="B24" i="7"/>
  <c r="B119" i="7"/>
  <c r="B26" i="7"/>
  <c r="B120" i="7"/>
  <c r="B96" i="7"/>
  <c r="B97" i="7"/>
  <c r="B98" i="7"/>
  <c r="B37" i="3"/>
  <c r="B42" i="3"/>
  <c r="B99" i="3"/>
  <c r="B100" i="3"/>
  <c r="B29" i="3"/>
  <c r="B101" i="3"/>
  <c r="B30" i="3"/>
  <c r="B106" i="3"/>
  <c r="B59" i="3"/>
  <c r="B65" i="3"/>
  <c r="B26" i="3"/>
  <c r="B60" i="3"/>
  <c r="B62" i="3"/>
  <c r="B24" i="3"/>
  <c r="B63" i="3"/>
  <c r="B25" i="3"/>
  <c r="B27" i="3"/>
  <c r="B28" i="3"/>
  <c r="B98" i="3"/>
  <c r="B58" i="3"/>
  <c r="B83" i="3"/>
  <c r="B84" i="3"/>
  <c r="B81" i="3"/>
  <c r="B86" i="3"/>
  <c r="B76" i="3"/>
  <c r="B77" i="3"/>
  <c r="B78" i="3"/>
  <c r="B102" i="3"/>
  <c r="B22" i="3"/>
  <c r="B56" i="3"/>
  <c r="B79" i="3"/>
  <c r="D54" i="5" a="1"/>
  <c r="H21" i="5" a="1"/>
  <c r="D85" i="4" a="1"/>
  <c r="D112" i="3" a="1"/>
  <c r="H134" i="4" a="1"/>
  <c r="H112" i="3" a="1"/>
  <c r="F130" i="7" a="1"/>
  <c r="D72" i="3" a="1"/>
  <c r="H135" i="3" a="1"/>
  <c r="D19" i="4" a="1"/>
  <c r="D21" i="5" a="1"/>
  <c r="D40" i="4" a="1"/>
  <c r="D135" i="3" a="1"/>
  <c r="F111" i="7" a="1"/>
  <c r="H61" i="4" a="1"/>
  <c r="H54" i="5" a="1"/>
  <c r="H40" i="4" a="1"/>
  <c r="H17" i="3" a="1"/>
  <c r="F16" i="7" a="1"/>
  <c r="D51" i="3" a="1"/>
  <c r="D134" i="4" a="1"/>
  <c r="F69" i="7" a="1"/>
  <c r="H156" i="4" a="1"/>
  <c r="H51" i="3" a="1"/>
  <c r="F35" i="7" a="1"/>
  <c r="H85" i="4" a="1"/>
  <c r="H72" i="3" a="1"/>
  <c r="F90" i="7" a="1"/>
  <c r="D108" i="4" a="1"/>
  <c r="H108" i="4" a="1"/>
  <c r="D61" i="4" a="1"/>
  <c r="H19" i="4" a="1"/>
  <c r="D93" i="3" a="1"/>
  <c r="D156" i="4" a="1"/>
  <c r="H93" i="3" a="1"/>
  <c r="D80" i="5" l="1"/>
  <c r="I80" i="5" s="1"/>
  <c r="D79" i="5"/>
  <c r="I79" i="5" s="1"/>
  <c r="D78" i="5"/>
  <c r="I78" i="5" s="1"/>
  <c r="D81" i="5"/>
  <c r="I81" i="5" s="1"/>
  <c r="D82" i="5"/>
  <c r="I82" i="5" s="1"/>
  <c r="D95" i="4"/>
  <c r="I95" i="4" s="1"/>
  <c r="D119" i="4"/>
  <c r="I119" i="4" s="1"/>
  <c r="D71" i="4"/>
  <c r="I71" i="4" s="1"/>
  <c r="D76" i="5"/>
  <c r="I76" i="5" s="1"/>
  <c r="D77" i="5"/>
  <c r="I77" i="5" s="1"/>
  <c r="D74" i="5"/>
  <c r="I74" i="5" s="1"/>
  <c r="G32" i="7"/>
  <c r="D63" i="7" s="1"/>
  <c r="I63" i="7" s="1"/>
  <c r="D134" i="4"/>
  <c r="D147" i="4" s="1"/>
  <c r="I147" i="4" s="1"/>
  <c r="D61" i="4"/>
  <c r="D76" i="4" s="1"/>
  <c r="I76" i="4" s="1"/>
  <c r="D85" i="4"/>
  <c r="D100" i="4" s="1"/>
  <c r="I100" i="4" s="1"/>
  <c r="D19" i="4"/>
  <c r="D31" i="4" s="1"/>
  <c r="I31" i="4" s="1"/>
  <c r="D156" i="4"/>
  <c r="D169" i="4" s="1"/>
  <c r="I169" i="4" s="1"/>
  <c r="D108" i="4"/>
  <c r="D126" i="4" s="1"/>
  <c r="I126" i="4" s="1"/>
  <c r="D40" i="4"/>
  <c r="D52" i="4" s="1"/>
  <c r="I52" i="4" s="1"/>
  <c r="F111" i="7"/>
  <c r="D122" i="7" s="1"/>
  <c r="I122" i="7" s="1"/>
  <c r="F35" i="7"/>
  <c r="D55" i="7" s="1"/>
  <c r="I55" i="7" s="1"/>
  <c r="F69" i="7"/>
  <c r="D81" i="7" s="1"/>
  <c r="I81" i="7" s="1"/>
  <c r="F90" i="7"/>
  <c r="D102" i="7" s="1"/>
  <c r="I102" i="7" s="1"/>
  <c r="F16" i="7"/>
  <c r="D26" i="7" s="1"/>
  <c r="I26" i="7" s="1"/>
  <c r="F130" i="7"/>
  <c r="H85" i="4"/>
  <c r="D90" i="4" s="1"/>
  <c r="I90" i="4" s="1"/>
  <c r="H156" i="4"/>
  <c r="D164" i="4" s="1"/>
  <c r="I164" i="4" s="1"/>
  <c r="H134" i="4"/>
  <c r="D139" i="4" s="1"/>
  <c r="I139" i="4" s="1"/>
  <c r="H19" i="4"/>
  <c r="D23" i="4" s="1"/>
  <c r="I23" i="4" s="1"/>
  <c r="H61" i="4"/>
  <c r="D67" i="4" s="1"/>
  <c r="I67" i="4" s="1"/>
  <c r="H108" i="4"/>
  <c r="D115" i="4" s="1"/>
  <c r="I115" i="4" s="1"/>
  <c r="H40" i="4"/>
  <c r="D45" i="4" s="1"/>
  <c r="I45" i="4" s="1"/>
  <c r="D54" i="5"/>
  <c r="D89" i="5" s="1"/>
  <c r="I89" i="5" s="1"/>
  <c r="D21" i="5"/>
  <c r="D37" i="5" s="1"/>
  <c r="I37" i="5" s="1"/>
  <c r="H21" i="5"/>
  <c r="D26" i="5" s="1"/>
  <c r="I26" i="5" s="1"/>
  <c r="H54" i="5"/>
  <c r="D59" i="5" s="1"/>
  <c r="I59" i="5" s="1"/>
  <c r="D32" i="5"/>
  <c r="I32" i="5" s="1"/>
  <c r="D148" i="3"/>
  <c r="I148" i="3" s="1"/>
  <c r="D37" i="3"/>
  <c r="I37" i="3" s="1"/>
  <c r="D40" i="3"/>
  <c r="I40" i="3" s="1"/>
  <c r="D39" i="3"/>
  <c r="I39" i="3" s="1"/>
  <c r="H135" i="3"/>
  <c r="H112" i="3"/>
  <c r="H93" i="3"/>
  <c r="D100" i="3" s="1"/>
  <c r="I100" i="3" s="1"/>
  <c r="H72" i="3"/>
  <c r="D77" i="3" s="1"/>
  <c r="I77" i="3" s="1"/>
  <c r="H51" i="3"/>
  <c r="D58" i="3" s="1"/>
  <c r="I58" i="3" s="1"/>
  <c r="H17" i="3"/>
  <c r="D34" i="3" s="1"/>
  <c r="D135" i="3"/>
  <c r="D151" i="3" s="1"/>
  <c r="I151" i="3" s="1"/>
  <c r="D112" i="3"/>
  <c r="D128" i="3" s="1"/>
  <c r="I128" i="3" s="1"/>
  <c r="D93" i="3"/>
  <c r="D106" i="3" s="1"/>
  <c r="I106" i="3" s="1"/>
  <c r="D72" i="3"/>
  <c r="D86" i="3" s="1"/>
  <c r="I86" i="3" s="1"/>
  <c r="D51" i="3"/>
  <c r="D65" i="3" s="1"/>
  <c r="I65" i="3" s="1"/>
  <c r="D44" i="6"/>
  <c r="I44" i="6" s="1"/>
  <c r="D45" i="6"/>
  <c r="I45" i="6" s="1"/>
  <c r="D42" i="6"/>
  <c r="I42" i="6" s="1"/>
  <c r="D43" i="6"/>
  <c r="I43" i="6" s="1"/>
  <c r="D46" i="6"/>
  <c r="I46" i="6" s="1"/>
  <c r="D34" i="6"/>
  <c r="I34" i="6" s="1"/>
  <c r="D33" i="6"/>
  <c r="I33" i="6" s="1"/>
  <c r="D31" i="6"/>
  <c r="I31" i="6" s="1"/>
  <c r="D30" i="6"/>
  <c r="I30" i="6" s="1"/>
  <c r="D32" i="6"/>
  <c r="I32" i="6" s="1"/>
  <c r="D18" i="6"/>
  <c r="I18" i="6" s="1"/>
  <c r="D22" i="6"/>
  <c r="I22" i="6" s="1"/>
  <c r="D21" i="6"/>
  <c r="I21" i="6" s="1"/>
  <c r="D20" i="6"/>
  <c r="I20" i="6" s="1"/>
  <c r="D19" i="6"/>
  <c r="I19" i="6" s="1"/>
  <c r="D42" i="3"/>
  <c r="I42" i="3" s="1"/>
  <c r="D45" i="3"/>
  <c r="I45" i="3" s="1"/>
  <c r="D43" i="3"/>
  <c r="I43" i="3" s="1"/>
  <c r="D44" i="3"/>
  <c r="I44" i="3" s="1"/>
  <c r="D126" i="3"/>
  <c r="D62" i="3"/>
  <c r="I62" i="3" s="1"/>
  <c r="D63" i="3"/>
  <c r="I63" i="3" s="1"/>
  <c r="D83" i="3"/>
  <c r="I83" i="3" s="1"/>
  <c r="D84" i="3"/>
  <c r="I84" i="3" s="1"/>
  <c r="D69" i="7" a="1"/>
  <c r="H111" i="7" a="1"/>
  <c r="H35" i="7" a="1"/>
  <c r="H90" i="7" a="1"/>
  <c r="D16" i="7" a="1"/>
  <c r="H69" i="7" a="1"/>
  <c r="D111" i="7" a="1"/>
  <c r="H130" i="7" a="1"/>
  <c r="D130" i="7" a="1"/>
  <c r="H16" i="7" a="1"/>
  <c r="D90" i="7" a="1"/>
  <c r="D121" i="3" l="1"/>
  <c r="I121" i="3" s="1"/>
  <c r="D122" i="3"/>
  <c r="I122" i="3" s="1"/>
  <c r="D123" i="3"/>
  <c r="I123" i="3" s="1"/>
  <c r="D144" i="3"/>
  <c r="I144" i="3" s="1"/>
  <c r="D145" i="3"/>
  <c r="I145" i="3" s="1"/>
  <c r="D146" i="3"/>
  <c r="I146" i="3" s="1"/>
  <c r="D113" i="4"/>
  <c r="I113" i="4" s="1"/>
  <c r="D112" i="4"/>
  <c r="I112" i="4" s="1"/>
  <c r="D116" i="4"/>
  <c r="I116" i="4" s="1"/>
  <c r="D114" i="4"/>
  <c r="I114" i="4" s="1"/>
  <c r="D120" i="3"/>
  <c r="I120" i="3" s="1"/>
  <c r="D117" i="4"/>
  <c r="I117" i="4" s="1"/>
  <c r="D118" i="3"/>
  <c r="I118" i="3" s="1"/>
  <c r="D102" i="3"/>
  <c r="I102" i="3" s="1"/>
  <c r="D80" i="7"/>
  <c r="I80" i="7" s="1"/>
  <c r="D101" i="7"/>
  <c r="I101" i="7" s="1"/>
  <c r="D46" i="4"/>
  <c r="I46" i="4" s="1"/>
  <c r="D47" i="4"/>
  <c r="I47" i="4" s="1"/>
  <c r="D27" i="5"/>
  <c r="I27" i="5" s="1"/>
  <c r="D28" i="5"/>
  <c r="I28" i="5" s="1"/>
  <c r="D29" i="5"/>
  <c r="I29" i="5" s="1"/>
  <c r="D71" i="5"/>
  <c r="I71" i="5" s="1"/>
  <c r="D99" i="3"/>
  <c r="I99" i="3" s="1"/>
  <c r="D44" i="4"/>
  <c r="I44" i="4" s="1"/>
  <c r="D138" i="4"/>
  <c r="I138" i="4" s="1"/>
  <c r="D140" i="4"/>
  <c r="I140" i="4" s="1"/>
  <c r="D162" i="4"/>
  <c r="I162" i="4" s="1"/>
  <c r="D141" i="4"/>
  <c r="I141" i="4" s="1"/>
  <c r="D161" i="4"/>
  <c r="I161" i="4" s="1"/>
  <c r="D142" i="4"/>
  <c r="I142" i="4" s="1"/>
  <c r="D160" i="4"/>
  <c r="I160" i="4" s="1"/>
  <c r="D24" i="4"/>
  <c r="I24" i="4" s="1"/>
  <c r="D125" i="4"/>
  <c r="I125" i="4" s="1"/>
  <c r="D25" i="4"/>
  <c r="I25" i="4" s="1"/>
  <c r="D26" i="4"/>
  <c r="I26" i="4" s="1"/>
  <c r="D60" i="5"/>
  <c r="I60" i="5" s="1"/>
  <c r="D55" i="3"/>
  <c r="I55" i="3" s="1"/>
  <c r="D25" i="5"/>
  <c r="I25" i="5" s="1"/>
  <c r="D65" i="4"/>
  <c r="I65" i="4" s="1"/>
  <c r="D66" i="4"/>
  <c r="I66" i="4" s="1"/>
  <c r="D72" i="5"/>
  <c r="I72" i="5" s="1"/>
  <c r="D78" i="3"/>
  <c r="I78" i="3" s="1"/>
  <c r="D76" i="3"/>
  <c r="I76" i="3" s="1"/>
  <c r="D68" i="4"/>
  <c r="I68" i="4" s="1"/>
  <c r="D62" i="5"/>
  <c r="I62" i="5" s="1"/>
  <c r="D69" i="5"/>
  <c r="I69" i="5" s="1"/>
  <c r="D66" i="5"/>
  <c r="I66" i="5" s="1"/>
  <c r="D69" i="4"/>
  <c r="I69" i="4" s="1"/>
  <c r="D65" i="5"/>
  <c r="I65" i="5" s="1"/>
  <c r="D67" i="5"/>
  <c r="I67" i="5" s="1"/>
  <c r="D57" i="7"/>
  <c r="I57" i="7" s="1"/>
  <c r="D80" i="3"/>
  <c r="I80" i="3" s="1"/>
  <c r="D143" i="4"/>
  <c r="I143" i="4" s="1"/>
  <c r="D61" i="5"/>
  <c r="I61" i="5" s="1"/>
  <c r="D58" i="7"/>
  <c r="I58" i="7" s="1"/>
  <c r="D163" i="4"/>
  <c r="I163" i="4" s="1"/>
  <c r="D64" i="5"/>
  <c r="I64" i="5" s="1"/>
  <c r="D70" i="5"/>
  <c r="I70" i="5" s="1"/>
  <c r="D68" i="5"/>
  <c r="I68" i="5" s="1"/>
  <c r="D79" i="3"/>
  <c r="I79" i="3" s="1"/>
  <c r="D58" i="5"/>
  <c r="I58" i="5" s="1"/>
  <c r="D56" i="7"/>
  <c r="I56" i="7" s="1"/>
  <c r="D91" i="4"/>
  <c r="I91" i="4" s="1"/>
  <c r="D92" i="4"/>
  <c r="I92" i="4" s="1"/>
  <c r="D93" i="4"/>
  <c r="I93" i="4" s="1"/>
  <c r="H130" i="7"/>
  <c r="H35" i="7"/>
  <c r="H69" i="7"/>
  <c r="H90" i="7"/>
  <c r="H111" i="7"/>
  <c r="H16" i="7"/>
  <c r="D111" i="7"/>
  <c r="D124" i="7" s="1"/>
  <c r="I124" i="7" s="1"/>
  <c r="D130" i="7"/>
  <c r="D16" i="7"/>
  <c r="D28" i="7" s="1"/>
  <c r="I28" i="7" s="1"/>
  <c r="D69" i="7"/>
  <c r="D83" i="7" s="1"/>
  <c r="I83" i="7" s="1"/>
  <c r="D90" i="7"/>
  <c r="D104" i="7" s="1"/>
  <c r="I104" i="7" s="1"/>
  <c r="D89" i="4"/>
  <c r="I89" i="4" s="1"/>
  <c r="D143" i="7"/>
  <c r="I143" i="7" s="1"/>
  <c r="D144" i="7"/>
  <c r="I144" i="7" s="1"/>
  <c r="D24" i="3"/>
  <c r="I24" i="3" s="1"/>
  <c r="D81" i="3"/>
  <c r="I81" i="3" s="1"/>
  <c r="D30" i="3"/>
  <c r="I30" i="3" s="1"/>
  <c r="D97" i="3"/>
  <c r="I97" i="3" s="1"/>
  <c r="D101" i="3"/>
  <c r="I101" i="3" s="1"/>
  <c r="D98" i="3"/>
  <c r="I98" i="3" s="1"/>
  <c r="D23" i="3"/>
  <c r="I23" i="3" s="1"/>
  <c r="D143" i="3"/>
  <c r="I143" i="3" s="1"/>
  <c r="D139" i="3"/>
  <c r="I139" i="3" s="1"/>
  <c r="D141" i="3"/>
  <c r="I141" i="3" s="1"/>
  <c r="D142" i="3"/>
  <c r="I142" i="3" s="1"/>
  <c r="D140" i="3"/>
  <c r="I140" i="3" s="1"/>
  <c r="D27" i="3"/>
  <c r="I27" i="3" s="1"/>
  <c r="D22" i="3"/>
  <c r="I22" i="3" s="1"/>
  <c r="D28" i="3"/>
  <c r="I28" i="3" s="1"/>
  <c r="D21" i="3"/>
  <c r="I21" i="3" s="1"/>
  <c r="D29" i="3"/>
  <c r="I29" i="3" s="1"/>
  <c r="D26" i="3"/>
  <c r="I26" i="3" s="1"/>
  <c r="D25" i="3"/>
  <c r="I25" i="3" s="1"/>
  <c r="D56" i="3"/>
  <c r="I56" i="3" s="1"/>
  <c r="D60" i="3"/>
  <c r="I60" i="3" s="1"/>
  <c r="D59" i="3"/>
  <c r="I59" i="3" s="1"/>
  <c r="D57" i="3"/>
  <c r="I57" i="3" s="1"/>
  <c r="D129" i="3"/>
  <c r="I129" i="3" s="1"/>
  <c r="D31" i="3"/>
  <c r="I31" i="3" s="1"/>
  <c r="D32" i="3"/>
  <c r="I32" i="3" s="1"/>
  <c r="D33" i="3"/>
  <c r="I33" i="3" s="1"/>
  <c r="D35" i="3"/>
  <c r="D119" i="3"/>
  <c r="I119" i="3" s="1"/>
  <c r="D116" i="3"/>
  <c r="I116" i="3" s="1"/>
  <c r="D152" i="3"/>
  <c r="I152" i="3" s="1"/>
  <c r="D117" i="3"/>
  <c r="I117" i="3" s="1"/>
  <c r="D61" i="7"/>
  <c r="I61" i="7" s="1"/>
  <c r="D60" i="7"/>
  <c r="I60" i="7" s="1"/>
  <c r="D62" i="7"/>
  <c r="I62" i="7" s="1"/>
  <c r="I126" i="3"/>
  <c r="H126" i="4"/>
  <c r="H125" i="4"/>
  <c r="F126" i="4"/>
  <c r="G26" i="4"/>
  <c r="G24" i="4"/>
  <c r="G23" i="4"/>
  <c r="D139" i="7" l="1"/>
  <c r="I139" i="7" s="1"/>
  <c r="D140" i="7"/>
  <c r="I140" i="7" s="1"/>
  <c r="D141" i="7"/>
  <c r="I141" i="7" s="1"/>
  <c r="D147" i="7"/>
  <c r="I147" i="7" s="1"/>
  <c r="D146" i="7"/>
  <c r="I146" i="7" s="1"/>
  <c r="D22" i="7"/>
  <c r="I22" i="7" s="1"/>
  <c r="D21" i="7"/>
  <c r="I21" i="7" s="1"/>
  <c r="D20" i="7"/>
  <c r="I20" i="7" s="1"/>
  <c r="D24" i="7"/>
  <c r="I24" i="7" s="1"/>
  <c r="D23" i="7"/>
  <c r="I23" i="7" s="1"/>
  <c r="D120" i="7"/>
  <c r="I120" i="7" s="1"/>
  <c r="D119" i="7"/>
  <c r="I119" i="7" s="1"/>
  <c r="D115" i="7"/>
  <c r="I115" i="7" s="1"/>
  <c r="D118" i="7"/>
  <c r="I118" i="7" s="1"/>
  <c r="D117" i="7"/>
  <c r="I117" i="7" s="1"/>
  <c r="D116" i="7"/>
  <c r="I116" i="7" s="1"/>
  <c r="D96" i="7"/>
  <c r="I96" i="7" s="1"/>
  <c r="D97" i="7"/>
  <c r="I97" i="7" s="1"/>
  <c r="D94" i="7"/>
  <c r="I94" i="7" s="1"/>
  <c r="D98" i="7"/>
  <c r="I98" i="7" s="1"/>
  <c r="D95" i="7"/>
  <c r="I95" i="7" s="1"/>
  <c r="D99" i="7"/>
  <c r="I99" i="7" s="1"/>
  <c r="D75" i="7"/>
  <c r="I75" i="7" s="1"/>
  <c r="D74" i="7"/>
  <c r="I74" i="7" s="1"/>
  <c r="D73" i="7"/>
  <c r="I73" i="7" s="1"/>
  <c r="D78" i="7"/>
  <c r="I78" i="7" s="1"/>
  <c r="D77" i="7"/>
  <c r="I77" i="7" s="1"/>
  <c r="D76" i="7"/>
  <c r="I76" i="7" s="1"/>
  <c r="D44" i="7"/>
  <c r="I44" i="7" s="1"/>
  <c r="D43" i="7"/>
  <c r="I43" i="7" s="1"/>
  <c r="D52" i="7"/>
  <c r="I52" i="7" s="1"/>
  <c r="D47" i="7"/>
  <c r="I47" i="7" s="1"/>
  <c r="D50" i="7"/>
  <c r="I50" i="7" s="1"/>
  <c r="D53" i="7"/>
  <c r="I53" i="7" s="1"/>
  <c r="D49" i="7"/>
  <c r="I49" i="7" s="1"/>
  <c r="D40" i="7"/>
  <c r="I40" i="7" s="1"/>
  <c r="D45" i="7"/>
  <c r="I45" i="7" s="1"/>
  <c r="D48" i="7"/>
  <c r="I48" i="7" s="1"/>
  <c r="D46" i="7"/>
  <c r="I46" i="7" s="1"/>
  <c r="D42" i="7"/>
  <c r="I42" i="7" s="1"/>
  <c r="D41" i="7"/>
  <c r="I41" i="7" s="1"/>
  <c r="D39" i="7"/>
  <c r="I39" i="7" s="1"/>
  <c r="D51" i="7"/>
  <c r="I51" i="7" s="1"/>
  <c r="D134" i="7"/>
  <c r="I134" i="7" s="1"/>
  <c r="D136" i="7"/>
  <c r="I136" i="7" s="1"/>
  <c r="D137" i="7"/>
  <c r="I137" i="7" s="1"/>
  <c r="D135" i="7"/>
  <c r="I135" i="7" s="1"/>
  <c r="D138" i="7"/>
  <c r="I138" i="7" s="1"/>
  <c r="H122" i="7"/>
  <c r="G122" i="7"/>
  <c r="F122" i="7"/>
  <c r="H120" i="7"/>
  <c r="G120" i="7"/>
  <c r="F120" i="7"/>
  <c r="H119" i="7"/>
  <c r="H118" i="7"/>
  <c r="F118" i="7"/>
  <c r="H117" i="7"/>
  <c r="F117" i="7"/>
  <c r="H116" i="7"/>
  <c r="G116" i="7"/>
  <c r="F116" i="7"/>
  <c r="C116" i="7"/>
  <c r="H115" i="7"/>
  <c r="G115" i="7"/>
  <c r="F115" i="7"/>
  <c r="H102" i="7"/>
  <c r="G102" i="7"/>
  <c r="F102" i="7"/>
  <c r="H101" i="7"/>
  <c r="G101" i="7"/>
  <c r="F101" i="7"/>
  <c r="H99" i="7"/>
  <c r="G99" i="7"/>
  <c r="F99" i="7"/>
  <c r="H98" i="7"/>
  <c r="F98" i="7"/>
  <c r="H97" i="7"/>
  <c r="F97" i="7"/>
  <c r="H96" i="7"/>
  <c r="F96" i="7"/>
  <c r="H95" i="7"/>
  <c r="G95" i="7"/>
  <c r="F95" i="7"/>
  <c r="C95" i="7"/>
  <c r="H94" i="7"/>
  <c r="G94" i="7"/>
  <c r="F94" i="7"/>
  <c r="H81" i="7"/>
  <c r="F81" i="7"/>
  <c r="H80" i="7"/>
  <c r="G80" i="7"/>
  <c r="F80" i="7"/>
  <c r="H78" i="7"/>
  <c r="G78" i="7"/>
  <c r="F78" i="7"/>
  <c r="H77" i="7"/>
  <c r="G77" i="7"/>
  <c r="F77" i="7"/>
  <c r="H76" i="7"/>
  <c r="F76" i="7"/>
  <c r="H75" i="7"/>
  <c r="F75" i="7"/>
  <c r="G74" i="7"/>
  <c r="F74" i="7"/>
  <c r="C74" i="7"/>
  <c r="H73" i="7"/>
  <c r="G73" i="7"/>
  <c r="F73" i="7"/>
  <c r="H26" i="7"/>
  <c r="G26" i="7"/>
  <c r="F26" i="7"/>
  <c r="H24" i="7"/>
  <c r="G24" i="7"/>
  <c r="F24" i="7"/>
  <c r="H23" i="7"/>
  <c r="F23" i="7"/>
  <c r="H22" i="7"/>
  <c r="F22" i="7"/>
  <c r="H21" i="7"/>
  <c r="G21" i="7"/>
  <c r="F21" i="7"/>
  <c r="C21" i="7"/>
  <c r="H20" i="7"/>
  <c r="G20" i="7"/>
  <c r="F20" i="7"/>
  <c r="H87" i="5"/>
  <c r="F87" i="5" s="1"/>
  <c r="H86" i="5"/>
  <c r="F86" i="5" s="1"/>
  <c r="H82" i="5"/>
  <c r="F82" i="5" s="1"/>
  <c r="H81" i="5"/>
  <c r="H78" i="5"/>
  <c r="H77" i="5"/>
  <c r="G77" i="5" s="1"/>
  <c r="L78" i="5"/>
  <c r="L79" i="5"/>
  <c r="H76" i="5"/>
  <c r="L75" i="5" s="1"/>
  <c r="H75" i="5"/>
  <c r="H74" i="5"/>
  <c r="F74" i="5" s="1"/>
  <c r="F32" i="5"/>
  <c r="F31" i="5"/>
  <c r="H72" i="5"/>
  <c r="G72" i="5" s="1"/>
  <c r="H71" i="5"/>
  <c r="G71" i="5" s="1"/>
  <c r="H70" i="5"/>
  <c r="F70" i="5" s="1"/>
  <c r="H69" i="5"/>
  <c r="G69" i="5" s="1"/>
  <c r="H68" i="5"/>
  <c r="G68" i="5" s="1"/>
  <c r="H67" i="5"/>
  <c r="G67" i="5" s="1"/>
  <c r="H66" i="5"/>
  <c r="F66" i="5" s="1"/>
  <c r="H65" i="5"/>
  <c r="F65" i="5" s="1"/>
  <c r="H64" i="5"/>
  <c r="I52" i="5"/>
  <c r="I53" i="5" s="1"/>
  <c r="J52" i="5" s="1"/>
  <c r="H89" i="5"/>
  <c r="G89" i="5"/>
  <c r="F89" i="5"/>
  <c r="H85" i="5"/>
  <c r="G85" i="5" s="1"/>
  <c r="H62" i="5"/>
  <c r="G62" i="5"/>
  <c r="F62" i="5"/>
  <c r="H61" i="5"/>
  <c r="G61" i="5"/>
  <c r="F61" i="5"/>
  <c r="H60" i="5"/>
  <c r="G60" i="5"/>
  <c r="F60" i="5"/>
  <c r="H59" i="5"/>
  <c r="G59" i="5"/>
  <c r="F59" i="5"/>
  <c r="C59" i="5"/>
  <c r="C60" i="5" s="1"/>
  <c r="H58" i="5"/>
  <c r="G58" i="5"/>
  <c r="F58" i="5"/>
  <c r="C52" i="5"/>
  <c r="D51" i="5"/>
  <c r="C51" i="5"/>
  <c r="B58" i="5"/>
  <c r="H35" i="5"/>
  <c r="I19" i="5"/>
  <c r="I20" i="5" s="1"/>
  <c r="J19" i="5" s="1"/>
  <c r="F35" i="5"/>
  <c r="H32" i="5"/>
  <c r="H27" i="5"/>
  <c r="G27" i="5"/>
  <c r="G26" i="5"/>
  <c r="F27" i="5"/>
  <c r="H34" i="5"/>
  <c r="F34" i="5"/>
  <c r="F29" i="4"/>
  <c r="H29" i="4"/>
  <c r="H156" i="5"/>
  <c r="G156" i="5"/>
  <c r="F156" i="5"/>
  <c r="H153" i="5"/>
  <c r="G153" i="5"/>
  <c r="F153" i="5"/>
  <c r="H151" i="5"/>
  <c r="G151" i="5"/>
  <c r="F151" i="5"/>
  <c r="H150" i="5"/>
  <c r="F150" i="5"/>
  <c r="H149" i="5"/>
  <c r="G149" i="5"/>
  <c r="F149" i="5"/>
  <c r="H148" i="5"/>
  <c r="G148" i="5"/>
  <c r="F148" i="5"/>
  <c r="H147" i="5"/>
  <c r="G147" i="5"/>
  <c r="F147" i="5"/>
  <c r="C147" i="5"/>
  <c r="H146" i="5"/>
  <c r="G146" i="5"/>
  <c r="F146" i="5"/>
  <c r="F141" i="5"/>
  <c r="F142" i="5" s="1"/>
  <c r="B138" i="5"/>
  <c r="H136" i="5"/>
  <c r="G136" i="5"/>
  <c r="F136" i="5"/>
  <c r="H134" i="5"/>
  <c r="G134" i="5"/>
  <c r="F134" i="5"/>
  <c r="H133" i="5"/>
  <c r="G133" i="5"/>
  <c r="F133" i="5"/>
  <c r="H131" i="5"/>
  <c r="G131" i="5"/>
  <c r="F131" i="5"/>
  <c r="H130" i="5"/>
  <c r="F130" i="5"/>
  <c r="H129" i="5"/>
  <c r="G129" i="5"/>
  <c r="F129" i="5"/>
  <c r="H128" i="5"/>
  <c r="G128" i="5"/>
  <c r="F128" i="5"/>
  <c r="H127" i="5"/>
  <c r="G127" i="5"/>
  <c r="F127" i="5"/>
  <c r="C127" i="5"/>
  <c r="C128" i="5" s="1"/>
  <c r="H126" i="5"/>
  <c r="G126" i="5"/>
  <c r="F126" i="5"/>
  <c r="F121" i="5"/>
  <c r="F122" i="5" s="1"/>
  <c r="B118" i="5"/>
  <c r="H116" i="5"/>
  <c r="G116" i="5"/>
  <c r="F116" i="5"/>
  <c r="H113" i="5"/>
  <c r="F113" i="5"/>
  <c r="H112" i="5"/>
  <c r="G112" i="5"/>
  <c r="F112" i="5"/>
  <c r="H110" i="5"/>
  <c r="G110" i="5"/>
  <c r="F110" i="5"/>
  <c r="H109" i="5"/>
  <c r="G109" i="5"/>
  <c r="F109" i="5"/>
  <c r="H108" i="5"/>
  <c r="G108" i="5"/>
  <c r="F108" i="5"/>
  <c r="H107" i="5"/>
  <c r="G107" i="5"/>
  <c r="F107" i="5"/>
  <c r="C107" i="5"/>
  <c r="H106" i="5"/>
  <c r="G106" i="5"/>
  <c r="F106" i="5"/>
  <c r="C102" i="5"/>
  <c r="F101" i="5"/>
  <c r="F102" i="5" s="1"/>
  <c r="E101" i="5"/>
  <c r="D101" i="5"/>
  <c r="C101" i="5"/>
  <c r="B98" i="5"/>
  <c r="H37" i="5"/>
  <c r="G37" i="5"/>
  <c r="F37" i="5"/>
  <c r="H31" i="5"/>
  <c r="H29" i="5"/>
  <c r="G29" i="5"/>
  <c r="F29" i="5"/>
  <c r="H28" i="5"/>
  <c r="G28" i="5"/>
  <c r="F28" i="5"/>
  <c r="H26" i="5"/>
  <c r="F26" i="5"/>
  <c r="C26" i="5"/>
  <c r="C27" i="5" s="1"/>
  <c r="C28" i="5" s="1"/>
  <c r="H25" i="5"/>
  <c r="G25" i="5"/>
  <c r="F25" i="5"/>
  <c r="C19" i="5"/>
  <c r="C20" i="5" s="1"/>
  <c r="D18" i="5"/>
  <c r="C18" i="5"/>
  <c r="B25" i="5"/>
  <c r="I136" i="5"/>
  <c r="D126" i="5"/>
  <c r="D129" i="5" s="1"/>
  <c r="F145" i="4"/>
  <c r="F132" i="4"/>
  <c r="F133" i="4" s="1"/>
  <c r="F120" i="4"/>
  <c r="F119" i="4"/>
  <c r="F106" i="4"/>
  <c r="F107" i="4" s="1"/>
  <c r="H145" i="4"/>
  <c r="H143" i="4"/>
  <c r="G143" i="4"/>
  <c r="F143" i="4"/>
  <c r="H142" i="4"/>
  <c r="F142" i="4"/>
  <c r="H141" i="4"/>
  <c r="G141" i="4"/>
  <c r="F141" i="4"/>
  <c r="H140" i="4"/>
  <c r="G140" i="4"/>
  <c r="F140" i="4"/>
  <c r="H139" i="4"/>
  <c r="G139" i="4"/>
  <c r="F139" i="4"/>
  <c r="C139" i="4"/>
  <c r="C140" i="4" s="1"/>
  <c r="C141" i="4" s="1"/>
  <c r="C142" i="4" s="1"/>
  <c r="C143" i="4" s="1"/>
  <c r="H138" i="4"/>
  <c r="G138" i="4"/>
  <c r="F138" i="4"/>
  <c r="H147" i="4"/>
  <c r="F147" i="4"/>
  <c r="F125" i="4"/>
  <c r="H76" i="4"/>
  <c r="G76" i="4"/>
  <c r="F76" i="4"/>
  <c r="H52" i="4"/>
  <c r="G52" i="4"/>
  <c r="F52" i="4"/>
  <c r="H31" i="4"/>
  <c r="G31" i="4"/>
  <c r="F31" i="4"/>
  <c r="H120" i="4"/>
  <c r="H119" i="4"/>
  <c r="H117" i="4"/>
  <c r="H116" i="4"/>
  <c r="H115" i="4"/>
  <c r="H114" i="4"/>
  <c r="H113" i="4"/>
  <c r="H112" i="4"/>
  <c r="G120" i="4"/>
  <c r="G119" i="4"/>
  <c r="G81" i="5" l="1"/>
  <c r="F81" i="5"/>
  <c r="L77" i="5"/>
  <c r="G78" i="5"/>
  <c r="C117" i="7"/>
  <c r="C118" i="7" s="1"/>
  <c r="B85" i="5"/>
  <c r="B70" i="5"/>
  <c r="B80" i="5"/>
  <c r="B64" i="5"/>
  <c r="B79" i="5"/>
  <c r="B66" i="5"/>
  <c r="B78" i="5"/>
  <c r="B65" i="5"/>
  <c r="B77" i="5"/>
  <c r="B76" i="5"/>
  <c r="B62" i="5"/>
  <c r="B81" i="5"/>
  <c r="B75" i="5"/>
  <c r="B61" i="5"/>
  <c r="B82" i="5"/>
  <c r="B89" i="5"/>
  <c r="B74" i="5"/>
  <c r="B60" i="5"/>
  <c r="B68" i="5"/>
  <c r="B87" i="5"/>
  <c r="B72" i="5"/>
  <c r="B59" i="5"/>
  <c r="B69" i="5"/>
  <c r="B67" i="5"/>
  <c r="B86" i="5"/>
  <c r="B71" i="5"/>
  <c r="B35" i="5"/>
  <c r="B29" i="5"/>
  <c r="B28" i="5"/>
  <c r="B26" i="5"/>
  <c r="B34" i="5"/>
  <c r="B31" i="5"/>
  <c r="B27" i="5"/>
  <c r="B32" i="5"/>
  <c r="B37" i="5"/>
  <c r="C75" i="7"/>
  <c r="C22" i="7"/>
  <c r="C96" i="7"/>
  <c r="F67" i="5"/>
  <c r="D146" i="5"/>
  <c r="D151" i="5" s="1"/>
  <c r="F75" i="5"/>
  <c r="G82" i="5"/>
  <c r="G75" i="5"/>
  <c r="G86" i="5"/>
  <c r="C148" i="5"/>
  <c r="C149" i="5" s="1"/>
  <c r="G76" i="5"/>
  <c r="F76" i="5"/>
  <c r="D153" i="5"/>
  <c r="D154" i="5" s="1"/>
  <c r="G87" i="5"/>
  <c r="G34" i="5"/>
  <c r="I126" i="5"/>
  <c r="G35" i="5"/>
  <c r="F68" i="5"/>
  <c r="I153" i="5"/>
  <c r="F69" i="5"/>
  <c r="G32" i="5"/>
  <c r="C129" i="5"/>
  <c r="F85" i="5"/>
  <c r="F77" i="5"/>
  <c r="F78" i="5"/>
  <c r="F71" i="5"/>
  <c r="G70" i="5"/>
  <c r="G66" i="5"/>
  <c r="G65" i="5"/>
  <c r="G74" i="5"/>
  <c r="L73" i="5"/>
  <c r="F72" i="5"/>
  <c r="G64" i="5"/>
  <c r="F64" i="5"/>
  <c r="C53" i="5"/>
  <c r="C61" i="5"/>
  <c r="C62" i="5" s="1"/>
  <c r="G31" i="5"/>
  <c r="C29" i="5"/>
  <c r="D133" i="5"/>
  <c r="D112" i="5"/>
  <c r="D106" i="5"/>
  <c r="D108" i="5" s="1"/>
  <c r="C108" i="5"/>
  <c r="D127" i="5"/>
  <c r="D130" i="5"/>
  <c r="D128" i="5"/>
  <c r="J98" i="5"/>
  <c r="I116" i="5"/>
  <c r="D131" i="5"/>
  <c r="I156" i="5"/>
  <c r="C103" i="5"/>
  <c r="I101" i="5"/>
  <c r="I102" i="5" s="1"/>
  <c r="M30" i="5"/>
  <c r="F113" i="4"/>
  <c r="G113" i="4"/>
  <c r="F115" i="4"/>
  <c r="G115" i="4"/>
  <c r="F69" i="4"/>
  <c r="H72" i="4"/>
  <c r="H71" i="4"/>
  <c r="H69" i="4"/>
  <c r="H68" i="4"/>
  <c r="H67" i="4"/>
  <c r="H65" i="4"/>
  <c r="H66" i="4"/>
  <c r="F66" i="4"/>
  <c r="C66" i="4"/>
  <c r="E58" i="4"/>
  <c r="C60" i="4"/>
  <c r="F58" i="4"/>
  <c r="F59" i="4" s="1"/>
  <c r="D58" i="4"/>
  <c r="C58" i="4"/>
  <c r="H50" i="4"/>
  <c r="H49" i="4"/>
  <c r="H47" i="4"/>
  <c r="H46" i="4"/>
  <c r="H45" i="4"/>
  <c r="H44" i="4"/>
  <c r="H28" i="4"/>
  <c r="H26" i="4"/>
  <c r="H25" i="4"/>
  <c r="H24" i="4"/>
  <c r="H23" i="4"/>
  <c r="C119" i="7" l="1"/>
  <c r="C120" i="7" s="1"/>
  <c r="C76" i="7"/>
  <c r="C23" i="7"/>
  <c r="C97" i="7"/>
  <c r="D113" i="5"/>
  <c r="C64" i="5"/>
  <c r="C65" i="5" s="1"/>
  <c r="D149" i="5"/>
  <c r="D150" i="5"/>
  <c r="D148" i="5"/>
  <c r="C150" i="5"/>
  <c r="C151" i="5" s="1"/>
  <c r="D147" i="5"/>
  <c r="I146" i="5"/>
  <c r="I147" i="5" s="1"/>
  <c r="C130" i="5"/>
  <c r="C131" i="5" s="1"/>
  <c r="I112" i="5"/>
  <c r="I113" i="5" s="1"/>
  <c r="I133" i="5"/>
  <c r="I106" i="5"/>
  <c r="C31" i="5"/>
  <c r="C109" i="5"/>
  <c r="D134" i="5"/>
  <c r="D107" i="5"/>
  <c r="D109" i="5"/>
  <c r="D110" i="5"/>
  <c r="J118" i="5"/>
  <c r="I128" i="5"/>
  <c r="I129" i="5"/>
  <c r="I127" i="5"/>
  <c r="I131" i="5"/>
  <c r="I130" i="5"/>
  <c r="C67" i="4"/>
  <c r="H59" i="4"/>
  <c r="C77" i="7" l="1"/>
  <c r="C78" i="7" s="1"/>
  <c r="C24" i="7"/>
  <c r="C98" i="7"/>
  <c r="C122" i="7"/>
  <c r="D114" i="5"/>
  <c r="I148" i="5"/>
  <c r="I150" i="5"/>
  <c r="I149" i="5"/>
  <c r="I151" i="5"/>
  <c r="C32" i="5"/>
  <c r="I134" i="5"/>
  <c r="I109" i="5"/>
  <c r="I108" i="5"/>
  <c r="I107" i="5"/>
  <c r="I110" i="5"/>
  <c r="C66" i="5"/>
  <c r="C110" i="5"/>
  <c r="C153" i="5"/>
  <c r="C133" i="5"/>
  <c r="J138" i="5"/>
  <c r="C68" i="4"/>
  <c r="H106" i="3"/>
  <c r="H104" i="3"/>
  <c r="H102" i="3"/>
  <c r="H101" i="3"/>
  <c r="H100" i="3"/>
  <c r="H99" i="3"/>
  <c r="H98" i="3"/>
  <c r="H97" i="3"/>
  <c r="H86" i="3"/>
  <c r="H79" i="3"/>
  <c r="H78" i="3"/>
  <c r="H77" i="3"/>
  <c r="H84" i="3"/>
  <c r="H83" i="3"/>
  <c r="H81" i="3"/>
  <c r="H80" i="3"/>
  <c r="H76" i="3"/>
  <c r="H65" i="3"/>
  <c r="H63" i="3"/>
  <c r="H62" i="3"/>
  <c r="H59" i="3"/>
  <c r="H60" i="3"/>
  <c r="H58" i="3"/>
  <c r="H57" i="3"/>
  <c r="H55" i="3"/>
  <c r="H42" i="3"/>
  <c r="H24" i="3"/>
  <c r="H23" i="3"/>
  <c r="H22" i="3"/>
  <c r="H21" i="3"/>
  <c r="I34" i="3" l="1"/>
  <c r="I35" i="3"/>
  <c r="C26" i="7"/>
  <c r="C80" i="7"/>
  <c r="C99" i="7"/>
  <c r="C34" i="5"/>
  <c r="C35" i="5" s="1"/>
  <c r="C37" i="5" s="1"/>
  <c r="C67" i="5"/>
  <c r="C112" i="5"/>
  <c r="C154" i="5"/>
  <c r="C156" i="5" s="1"/>
  <c r="C134" i="5"/>
  <c r="F86" i="3"/>
  <c r="F106" i="3"/>
  <c r="G65" i="3"/>
  <c r="F65" i="3"/>
  <c r="G42" i="3"/>
  <c r="F42" i="3"/>
  <c r="C101" i="7" l="1"/>
  <c r="C81" i="7"/>
  <c r="C68" i="5"/>
  <c r="C113" i="5"/>
  <c r="C136" i="5"/>
  <c r="C102" i="7" l="1"/>
  <c r="C69" i="5"/>
  <c r="C114" i="5"/>
  <c r="C116" i="5" s="1"/>
  <c r="F16" i="4"/>
  <c r="F17" i="4" s="1"/>
  <c r="F37" i="4"/>
  <c r="F38" i="4" s="1"/>
  <c r="C38" i="4"/>
  <c r="D37" i="4"/>
  <c r="C37" i="4"/>
  <c r="C16" i="4"/>
  <c r="F28" i="4" s="1"/>
  <c r="D16" i="4"/>
  <c r="C17" i="4"/>
  <c r="G29" i="4" s="1"/>
  <c r="F47" i="4"/>
  <c r="F45" i="4"/>
  <c r="C45" i="4"/>
  <c r="G25" i="4"/>
  <c r="F25" i="4"/>
  <c r="F24" i="4"/>
  <c r="G145" i="4"/>
  <c r="G117" i="4"/>
  <c r="F117" i="4"/>
  <c r="F116" i="4"/>
  <c r="G114" i="4"/>
  <c r="F114" i="4"/>
  <c r="C113" i="4"/>
  <c r="G112" i="4"/>
  <c r="F112" i="4"/>
  <c r="F72" i="4"/>
  <c r="F71" i="4"/>
  <c r="F68" i="4"/>
  <c r="G67" i="4"/>
  <c r="F67" i="4"/>
  <c r="F65" i="4"/>
  <c r="G49" i="4"/>
  <c r="G46" i="4"/>
  <c r="F46" i="4"/>
  <c r="F44" i="4"/>
  <c r="F26" i="4"/>
  <c r="C24" i="4"/>
  <c r="F23" i="4"/>
  <c r="B23" i="4"/>
  <c r="B31" i="4" l="1"/>
  <c r="B28" i="4"/>
  <c r="B26" i="4"/>
  <c r="B29" i="4"/>
  <c r="B25" i="4"/>
  <c r="B24" i="4"/>
  <c r="C70" i="5"/>
  <c r="H16" i="4"/>
  <c r="H17" i="4" s="1"/>
  <c r="C46" i="4"/>
  <c r="C39" i="4"/>
  <c r="F50" i="4"/>
  <c r="F49" i="4"/>
  <c r="C18" i="4"/>
  <c r="I37" i="4"/>
  <c r="I38" i="4" s="1"/>
  <c r="G28" i="4"/>
  <c r="C25" i="4"/>
  <c r="C26" i="4" s="1"/>
  <c r="C114" i="4"/>
  <c r="F104" i="3"/>
  <c r="G104" i="3"/>
  <c r="F102" i="3"/>
  <c r="G102" i="3"/>
  <c r="F100" i="3"/>
  <c r="F99" i="3"/>
  <c r="F98" i="3"/>
  <c r="G98" i="3"/>
  <c r="C98" i="3"/>
  <c r="F97" i="3"/>
  <c r="G97" i="3"/>
  <c r="F84" i="3"/>
  <c r="G84" i="3"/>
  <c r="F83" i="3"/>
  <c r="G83" i="3"/>
  <c r="F81" i="3"/>
  <c r="G81" i="3"/>
  <c r="F80" i="3"/>
  <c r="F79" i="3"/>
  <c r="F78" i="3"/>
  <c r="F77" i="3"/>
  <c r="G77" i="3"/>
  <c r="C77" i="3"/>
  <c r="F76" i="3"/>
  <c r="G76" i="3"/>
  <c r="F63" i="3"/>
  <c r="F62" i="3"/>
  <c r="F60" i="3"/>
  <c r="F59" i="3"/>
  <c r="G59" i="3"/>
  <c r="F58" i="3"/>
  <c r="F57" i="3"/>
  <c r="F56" i="3"/>
  <c r="G56" i="3"/>
  <c r="C56" i="3"/>
  <c r="F55" i="3"/>
  <c r="G55" i="3"/>
  <c r="G37" i="3"/>
  <c r="F30" i="3"/>
  <c r="F29" i="3"/>
  <c r="F28" i="3"/>
  <c r="F27" i="3"/>
  <c r="F26" i="3"/>
  <c r="F25" i="3"/>
  <c r="F24" i="3"/>
  <c r="F23" i="3"/>
  <c r="F22" i="3"/>
  <c r="G22" i="3"/>
  <c r="C22" i="3"/>
  <c r="C23" i="3" s="1"/>
  <c r="C24" i="3" s="1"/>
  <c r="C25" i="3" s="1"/>
  <c r="C26" i="3" s="1"/>
  <c r="F21" i="3"/>
  <c r="G21" i="3"/>
  <c r="C71" i="5" l="1"/>
  <c r="C47" i="4"/>
  <c r="C27" i="3"/>
  <c r="C28" i="3" s="1"/>
  <c r="C29" i="3" s="1"/>
  <c r="C30" i="3" s="1"/>
  <c r="C115" i="4"/>
  <c r="C28" i="4"/>
  <c r="C29" i="4" s="1"/>
  <c r="C99" i="3"/>
  <c r="C78" i="3"/>
  <c r="C57" i="3"/>
  <c r="C31" i="3" l="1"/>
  <c r="C32" i="3" s="1"/>
  <c r="C33" i="3" s="1"/>
  <c r="C34" i="3" s="1"/>
  <c r="C35" i="3" s="1"/>
  <c r="C37" i="3" s="1"/>
  <c r="C38" i="3" s="1"/>
  <c r="C31" i="4"/>
  <c r="C72" i="5"/>
  <c r="C116" i="4"/>
  <c r="C49" i="4"/>
  <c r="C69" i="4"/>
  <c r="C100" i="3"/>
  <c r="C79" i="3"/>
  <c r="C58" i="3"/>
  <c r="C39" i="3" l="1"/>
  <c r="C43" i="3"/>
  <c r="C42" i="3"/>
  <c r="C74" i="5"/>
  <c r="C71" i="4"/>
  <c r="C117" i="4"/>
  <c r="C145" i="4"/>
  <c r="C147" i="4" s="1"/>
  <c r="C80" i="3"/>
  <c r="C101" i="3"/>
  <c r="C59" i="3"/>
  <c r="C40" i="3" l="1"/>
  <c r="C45" i="3" s="1"/>
  <c r="C44" i="3"/>
  <c r="C75" i="5"/>
  <c r="C119" i="4"/>
  <c r="C72" i="4"/>
  <c r="C74" i="4" s="1"/>
  <c r="C76" i="4" s="1"/>
  <c r="C102" i="3"/>
  <c r="C81" i="3"/>
  <c r="C60" i="3"/>
  <c r="C76" i="5" l="1"/>
  <c r="C120" i="4"/>
  <c r="C122" i="4" s="1"/>
  <c r="C123" i="4" s="1"/>
  <c r="C125" i="4" s="1"/>
  <c r="C104" i="3"/>
  <c r="C106" i="3" s="1"/>
  <c r="C83" i="3"/>
  <c r="C62" i="3"/>
  <c r="C126" i="4" l="1"/>
  <c r="C77" i="5"/>
  <c r="C50" i="4"/>
  <c r="C84" i="3"/>
  <c r="C86" i="3" s="1"/>
  <c r="C63" i="3"/>
  <c r="C65" i="3" s="1"/>
  <c r="C78" i="5" l="1"/>
  <c r="C52" i="4"/>
  <c r="C79" i="5" l="1"/>
  <c r="C80" i="5" l="1"/>
  <c r="C81" i="5" l="1"/>
  <c r="C82" i="5" l="1"/>
  <c r="C85" i="5"/>
  <c r="C86" i="5" s="1"/>
  <c r="C89" i="5" l="1"/>
  <c r="C87" i="5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<sst xmlns="http://schemas.openxmlformats.org/spreadsheetml/2006/main" count="1096" uniqueCount="186">
  <si>
    <t>وحدات سفلية</t>
  </si>
  <si>
    <t>عرض</t>
  </si>
  <si>
    <t xml:space="preserve">عمق </t>
  </si>
  <si>
    <t>ارتفاع</t>
  </si>
  <si>
    <t>م</t>
  </si>
  <si>
    <t>وصف</t>
  </si>
  <si>
    <t>عدد</t>
  </si>
  <si>
    <t xml:space="preserve">طول </t>
  </si>
  <si>
    <t>اتجاه القشرة</t>
  </si>
  <si>
    <t>خامة</t>
  </si>
  <si>
    <t>قاعدة</t>
  </si>
  <si>
    <t>أجناب</t>
  </si>
  <si>
    <t>عدد الدلف</t>
  </si>
  <si>
    <t>مرايا علوية 1</t>
  </si>
  <si>
    <t>مرايا علوية 2</t>
  </si>
  <si>
    <t xml:space="preserve">دلف </t>
  </si>
  <si>
    <t>مقبض بيلت ان</t>
  </si>
  <si>
    <t>رف</t>
  </si>
  <si>
    <t>عدد الارفف</t>
  </si>
  <si>
    <t>مجرى درج</t>
  </si>
  <si>
    <t>HPL</t>
  </si>
  <si>
    <t>وش درج داخلى</t>
  </si>
  <si>
    <t>طول</t>
  </si>
  <si>
    <t xml:space="preserve">وحدة سفلية  تلبيسة دلفة /دلفتين </t>
  </si>
  <si>
    <t>تلبيسة</t>
  </si>
  <si>
    <t>تلبييسة ثابتة</t>
  </si>
  <si>
    <t>وحدة سفلية  زاوية 90</t>
  </si>
  <si>
    <t>قائم خلفى</t>
  </si>
  <si>
    <t>دلف 1</t>
  </si>
  <si>
    <t>وحدة سفلية  ركنة 45</t>
  </si>
  <si>
    <t>رقم الوحدة</t>
  </si>
  <si>
    <t>علب المطبخ</t>
  </si>
  <si>
    <t>دلف المطبخ</t>
  </si>
  <si>
    <t>مواد</t>
  </si>
  <si>
    <t>يوفيلاك</t>
  </si>
  <si>
    <t>كونتر ميلامين</t>
  </si>
  <si>
    <t>PVC</t>
  </si>
  <si>
    <t>بولى بلس</t>
  </si>
  <si>
    <t>Lumber J</t>
  </si>
  <si>
    <t>CPL</t>
  </si>
  <si>
    <t>بوليلاك</t>
  </si>
  <si>
    <t>دلف 2</t>
  </si>
  <si>
    <t>تجاليد المطبخ</t>
  </si>
  <si>
    <t>وحدات علوية</t>
  </si>
  <si>
    <t xml:space="preserve">وحدة علوية دلفة /دلفتين </t>
  </si>
  <si>
    <t xml:space="preserve">وحدة علوية  تلبيسة دلفة /دلفتين </t>
  </si>
  <si>
    <t>وحدة علوية  زاوية 90</t>
  </si>
  <si>
    <t>وحدة علوية  ركنة 45</t>
  </si>
  <si>
    <t>مقبض مخفى</t>
  </si>
  <si>
    <t>قرصة</t>
  </si>
  <si>
    <t>وحدة علوية  قلاب / 2 قلاب</t>
  </si>
  <si>
    <t>قاطوع</t>
  </si>
  <si>
    <t>دلفه خشب</t>
  </si>
  <si>
    <t>دلفة زجاج</t>
  </si>
  <si>
    <t>دلف خشب</t>
  </si>
  <si>
    <t>دلف زجاج</t>
  </si>
  <si>
    <t>دلفة قلاب خشب</t>
  </si>
  <si>
    <t>دلفة قلاب زجاج</t>
  </si>
  <si>
    <t>ظهر</t>
  </si>
  <si>
    <t>عدد الوحدات</t>
  </si>
  <si>
    <t xml:space="preserve">خشبى </t>
  </si>
  <si>
    <t>سادة</t>
  </si>
  <si>
    <t>جنب 1</t>
  </si>
  <si>
    <t>جنب 2</t>
  </si>
  <si>
    <t>دواليب</t>
  </si>
  <si>
    <t xml:space="preserve">دواليب دلفة /دلفتين </t>
  </si>
  <si>
    <t xml:space="preserve">دواليب  تلبيسة دلفة /دلفتين </t>
  </si>
  <si>
    <t>دواليب  زاوية 90</t>
  </si>
  <si>
    <t>دواليب  ركنة 45</t>
  </si>
  <si>
    <t>دلف سفلية</t>
  </si>
  <si>
    <t>دلف علوية</t>
  </si>
  <si>
    <t>دلفة  زجاج</t>
  </si>
  <si>
    <t>دلف دولاب سفلية</t>
  </si>
  <si>
    <t>دلف دولاب علوية</t>
  </si>
  <si>
    <t>دلفة  زجاج سفلية</t>
  </si>
  <si>
    <t>دلفة  زجاج علوية</t>
  </si>
  <si>
    <t>دواليب منوع /فرن /أدراج</t>
  </si>
  <si>
    <t>درج 1</t>
  </si>
  <si>
    <t>درج 2</t>
  </si>
  <si>
    <t>درج 3</t>
  </si>
  <si>
    <t>فراغ فرن</t>
  </si>
  <si>
    <t>فراغ مايكروويف</t>
  </si>
  <si>
    <t>دلف علوية1</t>
  </si>
  <si>
    <t>دلف علوية 2</t>
  </si>
  <si>
    <t>وش درج 1 داخلى</t>
  </si>
  <si>
    <t>جنب درج 1 داخلى</t>
  </si>
  <si>
    <t>ظهر درج 1 داخلى</t>
  </si>
  <si>
    <t>وش درج 2 داخلى</t>
  </si>
  <si>
    <t>جنب درج 2 داخلى</t>
  </si>
  <si>
    <t>ظهر درج 2 داخلى</t>
  </si>
  <si>
    <t>وش درج 3 داخلى</t>
  </si>
  <si>
    <t>جنب درج 3 داخلى</t>
  </si>
  <si>
    <t>ظهر درج 3 داخلى</t>
  </si>
  <si>
    <t>دلف دولاب علوية 1</t>
  </si>
  <si>
    <t>دلف دولاب علوية 2</t>
  </si>
  <si>
    <t xml:space="preserve"> وش درج 1</t>
  </si>
  <si>
    <t xml:space="preserve"> وش درج 2</t>
  </si>
  <si>
    <t xml:space="preserve"> وش درج 3</t>
  </si>
  <si>
    <t>وش فرن</t>
  </si>
  <si>
    <t>تجاليد مايكروويف 1</t>
  </si>
  <si>
    <t>تجاليد مايكروويف 2</t>
  </si>
  <si>
    <t>دلفة  زجاج علوية 1</t>
  </si>
  <si>
    <t>دلفة  زجاج علوية2</t>
  </si>
  <si>
    <t>تجاليد</t>
  </si>
  <si>
    <t>بورديوم</t>
  </si>
  <si>
    <t xml:space="preserve">وحدة سفلية  فرن </t>
  </si>
  <si>
    <t>فراغ ثلاجة</t>
  </si>
  <si>
    <t>ظهر 1</t>
  </si>
  <si>
    <t>ظهر 2</t>
  </si>
  <si>
    <t xml:space="preserve">وحدة علوية ميكروويف دلفة /دلفتين </t>
  </si>
  <si>
    <t>فراغ ميكروويف</t>
  </si>
  <si>
    <t>الخامات</t>
  </si>
  <si>
    <t>خامات</t>
  </si>
  <si>
    <t>عمق</t>
  </si>
  <si>
    <t>يوجد ظهر؟</t>
  </si>
  <si>
    <t>مقبض مخفي</t>
  </si>
  <si>
    <t>وحدة سفلية دلفة /دلفتين (بورديوم)</t>
  </si>
  <si>
    <t>وحدة سفلية  زاوية 90 (بورديوم)</t>
  </si>
  <si>
    <t>وحدة سفلية  ركنة 45 (بورديوم)</t>
  </si>
  <si>
    <t>وحدة سفلية  تلبيسة دلفة /دلفتين (بورديوم)</t>
  </si>
  <si>
    <t>تجليدة</t>
  </si>
  <si>
    <t>الوحدة السفلية التي تود أن تضيفها</t>
  </si>
  <si>
    <t>الوحدة البورديوم التي تود أن تضيفها</t>
  </si>
  <si>
    <t>الوحدة العلوية التي تود أن تضيفها</t>
  </si>
  <si>
    <t>الدولاب الذي تود أن تضيفه</t>
  </si>
  <si>
    <t>التجليدة التي تود أن تضيفها</t>
  </si>
  <si>
    <t>مجموعة وحدات من الخيارات الآتية</t>
  </si>
  <si>
    <t>درج تربو</t>
  </si>
  <si>
    <t>أدراج 20</t>
  </si>
  <si>
    <t>أدراج 30</t>
  </si>
  <si>
    <t>درج داخلى A</t>
  </si>
  <si>
    <t>وش درج داخلى A</t>
  </si>
  <si>
    <t>جنب درج داخلى A</t>
  </si>
  <si>
    <t>ظهر درج داخلى A</t>
  </si>
  <si>
    <t>وش درج داخلى 20</t>
  </si>
  <si>
    <t>جنب درج داخلى 20</t>
  </si>
  <si>
    <t>ظهر درج داخلى 20</t>
  </si>
  <si>
    <t>جنب درج  تربو</t>
  </si>
  <si>
    <t>وش / ظهر درج  تربو</t>
  </si>
  <si>
    <t>وش درج داخلى 30</t>
  </si>
  <si>
    <t>جنب درج داخلى 30</t>
  </si>
  <si>
    <t>ظهر درج داخلى 30</t>
  </si>
  <si>
    <t xml:space="preserve">وحدة سفلية    أدراج </t>
  </si>
  <si>
    <t>أدراج خارجية</t>
  </si>
  <si>
    <t>وش درج خارجى2/3  متساوية</t>
  </si>
  <si>
    <t>وش درج خارجى 4 متساوية</t>
  </si>
  <si>
    <t>وش درج خارجى صغير- 3 مختلفة</t>
  </si>
  <si>
    <t>وش درج خارجى كبير- 3 مختلفة</t>
  </si>
  <si>
    <t>اربع أدراج متساوية / مختلفة (0,1)</t>
  </si>
  <si>
    <t>قعر درج  A</t>
  </si>
  <si>
    <t>قعر درج 20</t>
  </si>
  <si>
    <t>قعر درج  30</t>
  </si>
  <si>
    <t>وش درج فرن</t>
  </si>
  <si>
    <t xml:space="preserve">جنب درج داخلى </t>
  </si>
  <si>
    <t xml:space="preserve">ظهر درج داخلى </t>
  </si>
  <si>
    <t>A</t>
  </si>
  <si>
    <t>C</t>
  </si>
  <si>
    <t>E</t>
  </si>
  <si>
    <t>F</t>
  </si>
  <si>
    <t>G</t>
  </si>
  <si>
    <t>B</t>
  </si>
  <si>
    <t>D</t>
  </si>
  <si>
    <t>وحدة سفلية دلفة /دلفتين + درج</t>
  </si>
  <si>
    <t>أدراج</t>
  </si>
  <si>
    <t xml:space="preserve">قعر درج  </t>
  </si>
  <si>
    <t xml:space="preserve">وش درج </t>
  </si>
  <si>
    <t xml:space="preserve">تلبيسة </t>
  </si>
  <si>
    <t>تلبيسة خارجى</t>
  </si>
  <si>
    <t>وحدة علوية  تلبيسة دلفة /دلفتين قلاب</t>
  </si>
  <si>
    <t>دلف قلاب</t>
  </si>
  <si>
    <t>تجليدة سفلية</t>
  </si>
  <si>
    <t>تجليدة علوية</t>
  </si>
  <si>
    <t>تجليدة مختلفة</t>
  </si>
  <si>
    <t>الجميع</t>
  </si>
  <si>
    <t>lowerGlobal</t>
  </si>
  <si>
    <t>boardiumGlobal</t>
  </si>
  <si>
    <t>upperGlobal</t>
  </si>
  <si>
    <t>drawersGlobal</t>
  </si>
  <si>
    <t>segmantsGlobal</t>
  </si>
  <si>
    <t>global</t>
  </si>
  <si>
    <t>نموذجا لتبدأ به</t>
  </si>
  <si>
    <t>وحدة عادية</t>
  </si>
  <si>
    <t>وحدة سفلية</t>
  </si>
  <si>
    <t>وحدة سفلية ادراج</t>
  </si>
  <si>
    <t>وحدة سفلية دلفة/ دلفتين</t>
  </si>
  <si>
    <t>إظهار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</si>
</sst>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name val="Calibri"/>
      <family val="2"/>
      <scheme val="minor"/>
    </font>
    <font>
      <sz val="18"/>
      <color rgb="FF000000"/>
      <name val="Calibri"/>
      <family val="2"/>
    </font>
    <font>
      <sz val="18"/>
      <color rgb="FFFF0000"/>
      <name val="Calibri"/>
      <family val="2"/>
    </font>
    <font>
      <b/>
      <sz val="12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22">
    <xf numFmtId="0" fontId="0" fillId="0" borderId="0" xfId="0"/>
    <xf numFmtId="0" fontId="0" fillId="0" borderId="0" xfId="0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0" fontId="0" fillId="3" borderId="0" xfId="0" applyFill="1" applyAlignment="1">
      <alignment horizontal="center" vertical="center" wrapText="1"/>
    </xf>
    <xf numFmtId="0" fontId="1" fillId="3" borderId="0" xfId="0" applyFont="1" applyFill="1" applyAlignment="1">
      <alignment horizontal="center" vertical="center" wrapText="1"/>
    </xf>
    <xf numFmtId="0" fontId="2" fillId="6" borderId="1" xfId="0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164" fontId="0" fillId="4" borderId="1" xfId="0" applyNumberFormat="1" applyFill="1" applyBorder="1" applyAlignment="1">
      <alignment horizontal="center" vertical="center" wrapText="1"/>
    </xf>
    <xf numFmtId="0" fontId="6" fillId="3" borderId="1" xfId="0" applyFont="1" applyFill="1" applyBorder="1" applyAlignment="1">
      <alignment horizontal="center" vertical="center" wrapText="1"/>
    </xf>
    <xf numFmtId="0" fontId="0" fillId="7" borderId="1" xfId="0" applyFill="1" applyBorder="1" applyAlignment="1">
      <alignment horizontal="center" vertical="center" wrapText="1"/>
    </xf>
    <xf numFmtId="0" fontId="0" fillId="8" borderId="1" xfId="0" applyFill="1" applyBorder="1" applyAlignment="1">
      <alignment horizontal="center" vertical="center" wrapText="1"/>
    </xf>
    <xf numFmtId="0" fontId="4" fillId="0" borderId="0" xfId="0" applyFont="1" applyAlignment="1">
      <alignment horizontal="center" vertical="center" textRotation="90" wrapText="1"/>
    </xf>
    <xf numFmtId="0" fontId="1" fillId="6" borderId="1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 wrapText="1"/>
    </xf>
    <xf numFmtId="0" fontId="0" fillId="9" borderId="1" xfId="0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1" fillId="3" borderId="6" xfId="0" applyFont="1" applyFill="1" applyBorder="1" applyAlignment="1">
      <alignment horizontal="center" vertical="center" wrapText="1"/>
    </xf>
    <xf numFmtId="0" fontId="7" fillId="3" borderId="1" xfId="0" applyFont="1" applyFill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11" fillId="3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/>
    </xf>
    <xf numFmtId="0" fontId="0" fillId="11" borderId="1" xfId="0" applyFill="1" applyBorder="1" applyAlignment="1">
      <alignment horizontal="center" vertical="center" wrapText="1"/>
    </xf>
    <xf numFmtId="0" fontId="7" fillId="11" borderId="1" xfId="0" applyFont="1" applyFill="1" applyBorder="1" applyAlignment="1">
      <alignment horizontal="center" vertical="center" wrapText="1"/>
    </xf>
    <xf numFmtId="0" fontId="8" fillId="11" borderId="1" xfId="0" applyFont="1" applyFill="1" applyBorder="1" applyAlignment="1">
      <alignment horizontal="center" vertical="center" wrapText="1"/>
    </xf>
    <xf numFmtId="0" fontId="2" fillId="11" borderId="1" xfId="0" applyFont="1" applyFill="1" applyBorder="1" applyAlignment="1">
      <alignment horizontal="center" vertical="center" wrapText="1"/>
    </xf>
    <xf numFmtId="0" fontId="1" fillId="11" borderId="1" xfId="0" applyFont="1" applyFill="1" applyBorder="1" applyAlignment="1">
      <alignment horizontal="center" vertical="center" wrapText="1"/>
    </xf>
    <xf numFmtId="0" fontId="0" fillId="10" borderId="11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10" borderId="5" xfId="0" applyFill="1" applyBorder="1" applyAlignment="1">
      <alignment horizontal="center"/>
    </xf>
    <xf numFmtId="0" fontId="0" fillId="10" borderId="11" xfId="0" applyFill="1" applyBorder="1" applyAlignment="1">
      <alignment horizontal="center"/>
    </xf>
    <xf numFmtId="0" fontId="0" fillId="11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2" fillId="10" borderId="1" xfId="0" applyFont="1" applyFill="1" applyBorder="1" applyAlignment="1">
      <alignment horizontal="center"/>
    </xf>
    <xf numFmtId="0" fontId="12" fillId="11" borderId="1" xfId="0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 wrapText="1"/>
    </xf>
    <xf numFmtId="0" fontId="12" fillId="11" borderId="1" xfId="0" applyFont="1" applyFill="1" applyBorder="1" applyAlignment="1">
      <alignment horizontal="center" vertical="center" wrapText="1"/>
    </xf>
    <xf numFmtId="0" fontId="0" fillId="10" borderId="1" xfId="0" applyFill="1" applyBorder="1" applyAlignment="1">
      <alignment horizontal="center" vertical="center" wrapText="1"/>
    </xf>
    <xf numFmtId="0" fontId="7" fillId="11" borderId="5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/>
    </xf>
    <xf numFmtId="0" fontId="1" fillId="10" borderId="1" xfId="0" applyFont="1" applyFill="1" applyBorder="1" applyAlignment="1">
      <alignment horizontal="center" vertical="center" wrapText="1"/>
    </xf>
    <xf numFmtId="0" fontId="0" fillId="11" borderId="5" xfId="0" applyFill="1" applyBorder="1" applyAlignment="1">
      <alignment horizontal="center" vertical="center" wrapText="1"/>
    </xf>
    <xf numFmtId="0" fontId="8" fillId="11" borderId="5" xfId="0" applyFont="1" applyFill="1" applyBorder="1" applyAlignment="1">
      <alignment horizontal="center" vertical="center" wrapText="1"/>
    </xf>
    <xf numFmtId="0" fontId="2" fillId="11" borderId="5" xfId="0" applyFont="1" applyFill="1" applyBorder="1" applyAlignment="1">
      <alignment horizontal="center" vertical="center" wrapText="1"/>
    </xf>
    <xf numFmtId="0" fontId="17" fillId="13" borderId="1" xfId="0" applyFont="1" applyFill="1" applyBorder="1" applyAlignment="1">
      <alignment horizontal="center" vertical="center" wrapText="1"/>
    </xf>
    <xf numFmtId="0" fontId="16" fillId="12" borderId="1" xfId="0" applyFont="1" applyFill="1" applyBorder="1" applyAlignment="1">
      <alignment horizontal="center" vertical="center" wrapText="1"/>
    </xf>
    <xf numFmtId="0" fontId="17" fillId="12" borderId="1" xfId="0" applyFont="1" applyFill="1" applyBorder="1" applyAlignment="1">
      <alignment horizontal="center" vertical="center" wrapText="1"/>
    </xf>
    <xf numFmtId="0" fontId="1" fillId="14" borderId="1" xfId="0" applyFont="1" applyFill="1" applyBorder="1" applyAlignment="1">
      <alignment horizontal="center" vertical="center" wrapText="1"/>
    </xf>
    <xf numFmtId="0" fontId="1" fillId="15" borderId="1" xfId="0" applyFont="1" applyFill="1" applyBorder="1" applyAlignment="1">
      <alignment horizontal="center" vertical="center" wrapText="1"/>
    </xf>
    <xf numFmtId="0" fontId="18" fillId="0" borderId="0" xfId="0" applyFont="1" applyAlignment="1">
      <alignment horizontal="center" vertical="center"/>
    </xf>
    <xf numFmtId="0" fontId="18" fillId="0" borderId="5" xfId="0" applyFont="1" applyBorder="1" applyAlignment="1">
      <alignment horizontal="center" vertical="center" wrapText="1"/>
    </xf>
    <xf numFmtId="0" fontId="18" fillId="0" borderId="1" xfId="0" applyFont="1" applyBorder="1" applyAlignment="1">
      <alignment horizontal="center" vertical="center" wrapText="1"/>
    </xf>
    <xf numFmtId="0" fontId="18" fillId="0" borderId="4" xfId="0" applyFont="1" applyBorder="1" applyAlignment="1">
      <alignment horizontal="center" vertical="center" wrapText="1"/>
    </xf>
    <xf numFmtId="0" fontId="18" fillId="0" borderId="9" xfId="0" applyFont="1" applyBorder="1" applyAlignment="1">
      <alignment horizontal="center" vertical="center" wrapText="1"/>
    </xf>
    <xf numFmtId="0" fontId="18" fillId="0" borderId="6" xfId="0" applyFont="1" applyBorder="1" applyAlignment="1">
      <alignment horizontal="center" vertical="center" wrapText="1"/>
    </xf>
    <xf numFmtId="0" fontId="18" fillId="0" borderId="10" xfId="0" applyFont="1" applyBorder="1" applyAlignment="1">
      <alignment horizontal="center" vertical="center" wrapText="1"/>
    </xf>
    <xf numFmtId="0" fontId="18" fillId="0" borderId="0" xfId="0" applyFont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0" fontId="3" fillId="4" borderId="5" xfId="0" applyFont="1" applyFill="1" applyBorder="1" applyAlignment="1">
      <alignment horizontal="center" vertical="center" wrapText="1"/>
    </xf>
    <xf numFmtId="0" fontId="3" fillId="4" borderId="4" xfId="0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3" fillId="7" borderId="4" xfId="0" applyFont="1" applyFill="1" applyBorder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8" fillId="0" borderId="5" xfId="0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8" fillId="0" borderId="2" xfId="0" applyFont="1" applyBorder="1" applyAlignment="1">
      <alignment horizontal="center" vertical="center"/>
    </xf>
    <xf numFmtId="0" fontId="18" fillId="0" borderId="3" xfId="0" applyFont="1" applyBorder="1" applyAlignment="1">
      <alignment horizontal="center" vertical="center"/>
    </xf>
    <xf numFmtId="0" fontId="3" fillId="7" borderId="9" xfId="0" applyFont="1" applyFill="1" applyBorder="1" applyAlignment="1">
      <alignment horizontal="center" vertical="center" wrapText="1"/>
    </xf>
    <xf numFmtId="0" fontId="3" fillId="7" borderId="10" xfId="0" applyFont="1" applyFill="1" applyBorder="1" applyAlignment="1">
      <alignment horizontal="center" vertical="center" wrapText="1"/>
    </xf>
    <xf numFmtId="0" fontId="19" fillId="10" borderId="1" xfId="0" applyFont="1" applyFill="1" applyBorder="1" applyAlignment="1">
      <alignment horizontal="center" vertical="center"/>
    </xf>
    <xf numFmtId="0" fontId="18" fillId="10" borderId="1" xfId="0" applyFont="1" applyFill="1" applyBorder="1" applyAlignment="1">
      <alignment horizontal="center" vertical="center"/>
    </xf>
    <xf numFmtId="0" fontId="19" fillId="10" borderId="11" xfId="0" applyFont="1" applyFill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5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 wrapText="1"/>
    </xf>
    <xf numFmtId="0" fontId="5" fillId="0" borderId="5" xfId="0" applyFont="1" applyBorder="1" applyAlignment="1">
      <alignment horizontal="center" vertical="center" wrapText="1"/>
    </xf>
    <xf numFmtId="0" fontId="2" fillId="3" borderId="4" xfId="0" applyFont="1" applyFill="1" applyBorder="1" applyAlignment="1">
      <alignment horizontal="center" vertical="center" wrapText="1"/>
    </xf>
    <xf numFmtId="0" fontId="2" fillId="3" borderId="2" xfId="0" applyFont="1" applyFill="1" applyBorder="1" applyAlignment="1">
      <alignment horizontal="center" vertical="center" wrapText="1"/>
    </xf>
    <xf numFmtId="0" fontId="2" fillId="3" borderId="5" xfId="0" applyFont="1" applyFill="1" applyBorder="1" applyAlignment="1">
      <alignment horizontal="center" vertical="center" wrapText="1"/>
    </xf>
    <xf numFmtId="0" fontId="3" fillId="10" borderId="1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 vertical="center" wrapText="1"/>
    </xf>
    <xf numFmtId="0" fontId="5" fillId="11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0" fillId="3" borderId="4" xfId="0" applyFill="1" applyBorder="1" applyAlignment="1">
      <alignment horizontal="center" vertical="center" wrapText="1"/>
    </xf>
    <xf numFmtId="0" fontId="0" fillId="3" borderId="5" xfId="0" applyFill="1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5" fillId="11" borderId="4" xfId="0" applyFont="1" applyFill="1" applyBorder="1" applyAlignment="1">
      <alignment horizontal="center" vertical="center" wrapText="1"/>
    </xf>
    <xf numFmtId="0" fontId="5" fillId="11" borderId="2" xfId="0" applyFont="1" applyFill="1" applyBorder="1" applyAlignment="1">
      <alignment horizontal="center" vertical="center" wrapText="1"/>
    </xf>
    <xf numFmtId="0" fontId="5" fillId="11" borderId="5" xfId="0" applyFont="1" applyFill="1" applyBorder="1" applyAlignment="1">
      <alignment horizontal="center" vertical="center" wrapText="1"/>
    </xf>
  </cellXfs>
  <cellStyles count="1">
    <cellStyle name="Normal" xfId="0" builtinId="0"/>
  </cellStyles>
  <dxfs count="135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numFmt numFmtId="0" formatCode="General"/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b/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  <border diagonalUp="0" diagonalDown="0" outline="0">
        <left/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indent="0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/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</dxf>
    <dxf>
      <border outline="0"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259080</xdr:colOff>
          <xdr:row>5</xdr:row>
          <xdr:rowOff>60960</xdr:rowOff>
        </xdr:from>
        <xdr:to>
          <xdr:col>10</xdr:col>
          <xdr:colOff>754380</xdr:colOff>
          <xdr:row>7</xdr:row>
          <xdr:rowOff>53340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  <a:ext uri="{FF2B5EF4-FFF2-40B4-BE49-F238E27FC236}">
                  <a16:creationId xmlns:a16="http://schemas.microsoft.com/office/drawing/2014/main" id="{00000000-0008-0000-0100-000001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</xdr:colOff>
          <xdr:row>5</xdr:row>
          <xdr:rowOff>60960</xdr:rowOff>
        </xdr:from>
        <xdr:to>
          <xdr:col>5</xdr:col>
          <xdr:colOff>182880</xdr:colOff>
          <xdr:row>7</xdr:row>
          <xdr:rowOff>53340</xdr:rowOff>
        </xdr:to>
        <xdr:sp macro="" textlink="">
          <xdr:nvSpPr>
            <xdr:cNvPr id="12290" name="Button 2" hidden="1">
              <a:extLst>
                <a:ext uri="{63B3BB69-23CF-44E3-9099-C40C66FF867C}">
                  <a14:compatExt spid="_x0000_s12290"/>
                </a:ext>
                <a:ext uri="{FF2B5EF4-FFF2-40B4-BE49-F238E27FC236}">
                  <a16:creationId xmlns:a16="http://schemas.microsoft.com/office/drawing/2014/main" id="{00000000-0008-0000-0100-000002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320040</xdr:colOff>
          <xdr:row>5</xdr:row>
          <xdr:rowOff>60960</xdr:rowOff>
        </xdr:from>
        <xdr:to>
          <xdr:col>7</xdr:col>
          <xdr:colOff>868680</xdr:colOff>
          <xdr:row>7</xdr:row>
          <xdr:rowOff>53340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1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</xdr:colOff>
          <xdr:row>5</xdr:row>
          <xdr:rowOff>45720</xdr:rowOff>
        </xdr:from>
        <xdr:to>
          <xdr:col>14</xdr:col>
          <xdr:colOff>175260</xdr:colOff>
          <xdr:row>7</xdr:row>
          <xdr:rowOff>38100</xdr:rowOff>
        </xdr:to>
        <xdr:sp macro="" textlink="">
          <xdr:nvSpPr>
            <xdr:cNvPr id="12292" name="Button 4" hidden="1">
              <a:extLst>
                <a:ext uri="{63B3BB69-23CF-44E3-9099-C40C66FF867C}">
                  <a14:compatExt spid="_x0000_s12292"/>
                </a:ext>
                <a:ext uri="{FF2B5EF4-FFF2-40B4-BE49-F238E27FC236}">
                  <a16:creationId xmlns:a16="http://schemas.microsoft.com/office/drawing/2014/main" id="{00000000-0008-0000-0100-000004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صف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5</xdr:row>
          <xdr:rowOff>38100</xdr:rowOff>
        </xdr:from>
        <xdr:to>
          <xdr:col>4</xdr:col>
          <xdr:colOff>1882140</xdr:colOff>
          <xdr:row>7</xdr:row>
          <xdr:rowOff>22860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2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266700</xdr:colOff>
          <xdr:row>5</xdr:row>
          <xdr:rowOff>45720</xdr:rowOff>
        </xdr:from>
        <xdr:to>
          <xdr:col>7</xdr:col>
          <xdr:colOff>495300</xdr:colOff>
          <xdr:row>7</xdr:row>
          <xdr:rowOff>30480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2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وحدة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243840</xdr:colOff>
          <xdr:row>5</xdr:row>
          <xdr:rowOff>114300</xdr:rowOff>
        </xdr:from>
        <xdr:to>
          <xdr:col>1</xdr:col>
          <xdr:colOff>2011680</xdr:colOff>
          <xdr:row>7</xdr:row>
          <xdr:rowOff>99060</xdr:rowOff>
        </xdr:to>
        <xdr:sp macro="" textlink="">
          <xdr:nvSpPr>
            <xdr:cNvPr id="4101" name="Button 5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2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289560</xdr:colOff>
          <xdr:row>2</xdr:row>
          <xdr:rowOff>152400</xdr:rowOff>
        </xdr:from>
        <xdr:to>
          <xdr:col>1</xdr:col>
          <xdr:colOff>2057400</xdr:colOff>
          <xdr:row>4</xdr:row>
          <xdr:rowOff>137160</xdr:rowOff>
        </xdr:to>
        <xdr:sp macro="" textlink="">
          <xdr:nvSpPr>
            <xdr:cNvPr id="4102" name="Button 6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2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0</xdr:row>
          <xdr:rowOff>121920</xdr:rowOff>
        </xdr:from>
        <xdr:to>
          <xdr:col>1</xdr:col>
          <xdr:colOff>2034540</xdr:colOff>
          <xdr:row>2</xdr:row>
          <xdr:rowOff>15240</xdr:rowOff>
        </xdr:to>
        <xdr:sp macro="" textlink="">
          <xdr:nvSpPr>
            <xdr:cNvPr id="4103" name="Button 7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2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213360</xdr:colOff>
          <xdr:row>5</xdr:row>
          <xdr:rowOff>60960</xdr:rowOff>
        </xdr:from>
        <xdr:to>
          <xdr:col>10</xdr:col>
          <xdr:colOff>541020</xdr:colOff>
          <xdr:row>7</xdr:row>
          <xdr:rowOff>45720</xdr:rowOff>
        </xdr:to>
        <xdr:sp macro="" textlink="">
          <xdr:nvSpPr>
            <xdr:cNvPr id="4104" name="Button 8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2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5</xdr:row>
          <xdr:rowOff>167640</xdr:rowOff>
        </xdr:from>
        <xdr:to>
          <xdr:col>53</xdr:col>
          <xdr:colOff>1783080</xdr:colOff>
          <xdr:row>7</xdr:row>
          <xdr:rowOff>152400</xdr:rowOff>
        </xdr:to>
        <xdr:sp macro="" textlink="">
          <xdr:nvSpPr>
            <xdr:cNvPr id="4105" name="Button 9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2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الظهر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3</xdr:row>
          <xdr:rowOff>0</xdr:rowOff>
        </xdr:from>
        <xdr:to>
          <xdr:col>53</xdr:col>
          <xdr:colOff>1783080</xdr:colOff>
          <xdr:row>4</xdr:row>
          <xdr:rowOff>167640</xdr:rowOff>
        </xdr:to>
        <xdr:sp macro="" textlink="">
          <xdr:nvSpPr>
            <xdr:cNvPr id="4106" name="Button 10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2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الدلف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53</xdr:col>
          <xdr:colOff>15240</xdr:colOff>
          <xdr:row>0</xdr:row>
          <xdr:rowOff>152400</xdr:rowOff>
        </xdr:from>
        <xdr:to>
          <xdr:col>53</xdr:col>
          <xdr:colOff>1783080</xdr:colOff>
          <xdr:row>2</xdr:row>
          <xdr:rowOff>45720</xdr:rowOff>
        </xdr:to>
        <xdr:sp macro="" textlink="">
          <xdr:nvSpPr>
            <xdr:cNvPr id="4107" name="Button 11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2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إجمالي العلب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15240</xdr:colOff>
          <xdr:row>1</xdr:row>
          <xdr:rowOff>45720</xdr:rowOff>
        </xdr:from>
        <xdr:to>
          <xdr:col>57</xdr:col>
          <xdr:colOff>541020</xdr:colOff>
          <xdr:row>2</xdr:row>
          <xdr:rowOff>129540</xdr:rowOff>
        </xdr:to>
        <xdr:sp macro="" textlink="">
          <xdr:nvSpPr>
            <xdr:cNvPr id="4108" name="Button 12" hidden="1">
              <a:extLst>
                <a:ext uri="{63B3BB69-23CF-44E3-9099-C40C66FF867C}">
                  <a14:compatExt spid="_x0000_s4108"/>
                </a:ext>
                <a:ext uri="{FF2B5EF4-FFF2-40B4-BE49-F238E27FC236}">
                  <a16:creationId xmlns:a16="http://schemas.microsoft.com/office/drawing/2014/main" id="{00000000-0008-0000-0200-00000C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45720</xdr:rowOff>
        </xdr:from>
        <xdr:to>
          <xdr:col>11</xdr:col>
          <xdr:colOff>441960</xdr:colOff>
          <xdr:row>6</xdr:row>
          <xdr:rowOff>220980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693420</xdr:colOff>
          <xdr:row>5</xdr:row>
          <xdr:rowOff>45720</xdr:rowOff>
        </xdr:from>
        <xdr:to>
          <xdr:col>5</xdr:col>
          <xdr:colOff>274320</xdr:colOff>
          <xdr:row>6</xdr:row>
          <xdr:rowOff>220980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3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411480</xdr:colOff>
          <xdr:row>5</xdr:row>
          <xdr:rowOff>45720</xdr:rowOff>
        </xdr:from>
        <xdr:to>
          <xdr:col>8</xdr:col>
          <xdr:colOff>358140</xdr:colOff>
          <xdr:row>6</xdr:row>
          <xdr:rowOff>220980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3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11</xdr:col>
          <xdr:colOff>464820</xdr:colOff>
          <xdr:row>6</xdr:row>
          <xdr:rowOff>213360</xdr:rowOff>
        </xdr:to>
        <xdr:sp macro="" textlink="">
          <xdr:nvSpPr>
            <xdr:cNvPr id="7170" name="Button 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4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15240</xdr:colOff>
          <xdr:row>5</xdr:row>
          <xdr:rowOff>7620</xdr:rowOff>
        </xdr:from>
        <xdr:to>
          <xdr:col>4</xdr:col>
          <xdr:colOff>922020</xdr:colOff>
          <xdr:row>6</xdr:row>
          <xdr:rowOff>175260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4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1059180</xdr:colOff>
          <xdr:row>5</xdr:row>
          <xdr:rowOff>7620</xdr:rowOff>
        </xdr:from>
        <xdr:to>
          <xdr:col>8</xdr:col>
          <xdr:colOff>396240</xdr:colOff>
          <xdr:row>6</xdr:row>
          <xdr:rowOff>175260</xdr:rowOff>
        </xdr:to>
        <xdr:sp macro="" textlink="">
          <xdr:nvSpPr>
            <xdr:cNvPr id="7172" name="Button 4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4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</xdr:colOff>
          <xdr:row>5</xdr:row>
          <xdr:rowOff>7620</xdr:rowOff>
        </xdr:from>
        <xdr:to>
          <xdr:col>11</xdr:col>
          <xdr:colOff>464820</xdr:colOff>
          <xdr:row>7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5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274320</xdr:colOff>
          <xdr:row>4</xdr:row>
          <xdr:rowOff>121920</xdr:rowOff>
        </xdr:from>
        <xdr:to>
          <xdr:col>4</xdr:col>
          <xdr:colOff>960120</xdr:colOff>
          <xdr:row>6</xdr:row>
          <xdr:rowOff>121920</xdr:rowOff>
        </xdr:to>
        <xdr:sp macro="" textlink="">
          <xdr:nvSpPr>
            <xdr:cNvPr id="8196" name="Button 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5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1097280</xdr:colOff>
          <xdr:row>4</xdr:row>
          <xdr:rowOff>121920</xdr:rowOff>
        </xdr:from>
        <xdr:to>
          <xdr:col>8</xdr:col>
          <xdr:colOff>60960</xdr:colOff>
          <xdr:row>6</xdr:row>
          <xdr:rowOff>121920</xdr:rowOff>
        </xdr:to>
        <xdr:sp macro="" textlink="">
          <xdr:nvSpPr>
            <xdr:cNvPr id="8197" name="Button 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5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22860</xdr:colOff>
          <xdr:row>5</xdr:row>
          <xdr:rowOff>38100</xdr:rowOff>
        </xdr:from>
        <xdr:to>
          <xdr:col>12</xdr:col>
          <xdr:colOff>15240</xdr:colOff>
          <xdr:row>6</xdr:row>
          <xdr:rowOff>213360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6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403860</xdr:colOff>
          <xdr:row>5</xdr:row>
          <xdr:rowOff>7620</xdr:rowOff>
        </xdr:from>
        <xdr:to>
          <xdr:col>4</xdr:col>
          <xdr:colOff>1104900</xdr:colOff>
          <xdr:row>6</xdr:row>
          <xdr:rowOff>190500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6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121920</xdr:colOff>
          <xdr:row>5</xdr:row>
          <xdr:rowOff>7620</xdr:rowOff>
        </xdr:from>
        <xdr:to>
          <xdr:col>8</xdr:col>
          <xdr:colOff>220980</xdr:colOff>
          <xdr:row>6</xdr:row>
          <xdr:rowOff>190500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6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15240</xdr:colOff>
          <xdr:row>5</xdr:row>
          <xdr:rowOff>60960</xdr:rowOff>
        </xdr:from>
        <xdr:to>
          <xdr:col>11</xdr:col>
          <xdr:colOff>563880</xdr:colOff>
          <xdr:row>6</xdr:row>
          <xdr:rowOff>220980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7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إظهار/ إخفاء النتائج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228600</xdr:colOff>
          <xdr:row>4</xdr:row>
          <xdr:rowOff>182880</xdr:rowOff>
        </xdr:from>
        <xdr:to>
          <xdr:col>4</xdr:col>
          <xdr:colOff>373380</xdr:colOff>
          <xdr:row>6</xdr:row>
          <xdr:rowOff>152400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7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أضف نوع من الوحدات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4</xdr:row>
          <xdr:rowOff>182880</xdr:rowOff>
        </xdr:from>
        <xdr:to>
          <xdr:col>8</xdr:col>
          <xdr:colOff>60960</xdr:colOff>
          <xdr:row>6</xdr:row>
          <xdr:rowOff>152400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7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1">
                <a:defRPr sz="1000"/>
              </a:pPr>
              <a:r>
                <a:rPr lang="en-US" sz="1800" b="0" i="0" u="none" strike="noStrike" baseline="0">
                  <a:solidFill>
                    <a:srgbClr val="FF0000"/>
                  </a:solidFill>
                  <a:latin typeface="Calibri"/>
                  <a:ea typeface="Calibri"/>
                  <a:cs typeface="Calibri"/>
                </a:rPr>
                <a:t>امسح نوع من الوحدات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materials" displayName="materials" ref="C12:N14" headerRowCount="0" totalsRowShown="0" headerRowDxfId="134" dataDxfId="132" headerRowBorderDxfId="133" tableBorderDxfId="131" totalsRowBorderDxfId="130">
  <tableColumns count="12">
    <tableColumn id="1" xr3:uid="{00000000-0010-0000-0000-000001000000}" name="Column1" headerRowDxfId="129" dataDxfId="128"/>
    <tableColumn id="2" xr3:uid="{00000000-0010-0000-0000-000002000000}" name="Column2" headerRowDxfId="127" dataDxfId="126"/>
    <tableColumn id="3" xr3:uid="{00000000-0010-0000-0000-000003000000}" name="Column3" headerRowDxfId="125" dataDxfId="124"/>
    <tableColumn id="4" xr3:uid="{00000000-0010-0000-0000-000004000000}" name="Column4" headerRowDxfId="123" dataDxfId="122"/>
    <tableColumn id="5" xr3:uid="{00000000-0010-0000-0000-000005000000}" name="Column5" headerRowDxfId="121" dataDxfId="120"/>
    <tableColumn id="6" xr3:uid="{00000000-0010-0000-0000-000006000000}" name="Column6" headerRowDxfId="119" dataDxfId="118"/>
    <tableColumn id="7" xr3:uid="{00000000-0010-0000-0000-000007000000}" name="Column7" headerRowDxfId="117" dataDxfId="116"/>
    <tableColumn id="8" xr3:uid="{00000000-0010-0000-0000-000008000000}" name="Column8" headerRowDxfId="115" dataDxfId="114"/>
    <tableColumn id="9" xr3:uid="{00000000-0010-0000-0000-000009000000}" name="Column9" headerRowDxfId="113" dataDxfId="112"/>
    <tableColumn id="10" xr3:uid="{00000000-0010-0000-0000-00000A000000}" name="Column10" headerRowDxfId="111" dataDxfId="110"/>
    <tableColumn id="11" xr3:uid="{00000000-0010-0000-0000-00000B000000}" name="Column11" headerRowDxfId="109" dataDxfId="108"/>
    <tableColumn id="12" xr3:uid="{00000000-0010-0000-0000-00000C000000}" name="Column12" headerRowDxfId="107" dataDxfId="106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2000000}" name="global" displayName="global" ref="C19:D31" headerRowCount="0" totalsRowShown="0" headerRowDxfId="105" dataDxfId="103" headerRowBorderDxfId="104" tableBorderDxfId="102" totalsRowBorderDxfId="101">
  <tableColumns count="2">
    <tableColumn id="1" xr3:uid="{00000000-0010-0000-0200-000001000000}" name="Column1" headerRowDxfId="100" dataDxfId="99"/>
    <tableColumn id="2" xr3:uid="{00000000-0010-0000-0200-000002000000}" name="Column2" headerRowDxfId="98" dataDxfId="97"/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00000000-000C-0000-FFFF-FFFF03000000}" name="boardiumGlobal" displayName="boardiumGlobal" ref="I19:J31" headerRowCount="0" totalsRowShown="0" headerRowDxfId="96" dataDxfId="94" headerRowBorderDxfId="95" tableBorderDxfId="93" totalsRowBorderDxfId="92">
  <tableColumns count="2">
    <tableColumn id="1" xr3:uid="{00000000-0010-0000-0300-000001000000}" name="Column1" headerRowDxfId="91" dataDxfId="90">
      <calculatedColumnFormula array="1">defaultValue(J19,3)</calculatedColumnFormula>
    </tableColumn>
    <tableColumn id="2" xr3:uid="{00000000-0010-0000-0300-000002000000}" name="Column2" headerRowDxfId="89" dataDxfId="88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5ACCB416-8398-474C-B2C1-35B6B8B004E9}" name="lowerGlobal" displayName="lowerGlobal" ref="F19:G31" headerRowCount="0" totalsRowShown="0" headerRowDxfId="87" dataDxfId="85" headerRowBorderDxfId="86" tableBorderDxfId="84" totalsRowBorderDxfId="83">
  <tableColumns count="2">
    <tableColumn id="1" xr3:uid="{CD0B7C1C-6074-4B03-92D4-BC81F2EBB19C}" name="Column1" headerRowDxfId="82" dataDxfId="81">
      <calculatedColumnFormula array="1">defaultValue(G19,1)</calculatedColumnFormula>
    </tableColumn>
    <tableColumn id="2" xr3:uid="{EB8B2C46-B6A3-497A-AC36-E0E0DE2EA54A}" name="Column2" headerRowDxfId="80" dataDxfId="79"/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4B5F2747-4C6C-4E94-B76A-80FA70087E2E}" name="drawersGlobal" displayName="drawersGlobal" ref="O19:P31" headerRowCount="0" totalsRowShown="0" headerRowDxfId="78" dataDxfId="76" headerRowBorderDxfId="77" tableBorderDxfId="75" totalsRowBorderDxfId="74">
  <tableColumns count="2">
    <tableColumn id="1" xr3:uid="{250C44D2-47B1-42C2-8D2B-CAA1432FDA56}" name="Column1" headerRowDxfId="73" dataDxfId="72">
      <calculatedColumnFormula array="1">defaultValue(P19,C18)</calculatedColumnFormula>
    </tableColumn>
    <tableColumn id="2" xr3:uid="{E5D458B6-4695-4151-8C3A-36078280174C}" name="Column2" headerRowDxfId="71" dataDxfId="70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32B1050A-69EC-4044-8362-67CDB1FF2956}" name="upperGlobal" displayName="upperGlobal" ref="L19:M31" headerRowCount="0" totalsRowShown="0" headerRowDxfId="69" dataDxfId="67" headerRowBorderDxfId="68" tableBorderDxfId="66" totalsRowBorderDxfId="65">
  <tableColumns count="2">
    <tableColumn id="1" xr3:uid="{CDCD5A84-7D20-4E65-9944-DF64AFBDCF15}" name="Column1" headerRowDxfId="64" dataDxfId="63">
      <calculatedColumnFormula>INDEX(global[[#All],[Column1]],MATCH(M19,global[[#All],[Column2]],0))</calculatedColumnFormula>
    </tableColumn>
    <tableColumn id="2" xr3:uid="{6A1D9F36-66CC-4BFA-B363-3C22327FB984}" name="Column2" headerRowDxfId="62" dataDxfId="61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6D42FFA0-D5D5-40A2-B6D5-2A6869B8BB85}" name="segmantsGlobal" displayName="segmantsGlobal" ref="R19:S31" headerRowCount="0" totalsRowShown="0" headerRowDxfId="60" dataDxfId="58" headerRowBorderDxfId="59" tableBorderDxfId="57" totalsRowBorderDxfId="56">
  <tableColumns count="2">
    <tableColumn id="1" xr3:uid="{3DB08154-ACD6-41BF-8D18-EE97F412E9D9}" name="Column1" headerRowDxfId="55" dataDxfId="54">
      <calculatedColumnFormula array="1">defaultValue("دلف المطبخ",1)</calculatedColumnFormula>
    </tableColumn>
    <tableColumn id="2" xr3:uid="{E148ED46-BA14-4105-9B99-1191A0BF50F8}" name="Column2" headerRowDxfId="53" dataDxfId="52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7000000}" name="blocksFamilies" displayName="blocksFamilies" ref="R3:V4" totalsRowShown="0" headerRowDxfId="51" dataDxfId="49" headerRowBorderDxfId="50" tableBorderDxfId="48" totalsRowBorderDxfId="47">
  <autoFilter ref="R3:V4" xr:uid="{00000000-0009-0000-0100-000006000000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00000000-0010-0000-0700-000001000000}" name="وحدات سفلية" dataDxfId="46"/>
    <tableColumn id="2" xr3:uid="{00000000-0010-0000-0700-000002000000}" name="بورديوم" dataDxfId="45"/>
    <tableColumn id="3" xr3:uid="{00000000-0010-0000-0700-000003000000}" name="وحدات علوية" dataDxfId="44"/>
    <tableColumn id="4" xr3:uid="{00000000-0010-0000-0700-000004000000}" name="دواليب" dataDxfId="43"/>
    <tableColumn id="5" xr3:uid="{00000000-0010-0000-0700-000005000000}" name="تجاليد" dataDxfId="42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7" row="1">
    <wetp:webextensionref xmlns:r="http://schemas.openxmlformats.org/officeDocument/2006/relationships" r:id="rId1"/>
  </wetp:taskpane>
  <wetp:taskpane dockstate="right" visibility="0" width="438" row="4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1EAA7BD8-3CB0-4386-96F7-BEC6ADA10D1A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ebextensions/webextension2.xml><?xml version="1.0" encoding="utf-8"?>
<we:webextension xmlns:we="http://schemas.microsoft.com/office/webextensions/webextension/2010/11" id="{36DC2CC7-49EC-468D-B5D2-E57E924B9C63}">
  <we:reference id="wa200003696" version="1.3.0.0" store="en-US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.xml"/><Relationship Id="rId13" Type="http://schemas.openxmlformats.org/officeDocument/2006/relationships/table" Target="../tables/table8.xml"/><Relationship Id="rId3" Type="http://schemas.openxmlformats.org/officeDocument/2006/relationships/ctrlProp" Target="../ctrlProps/ctrlProp5.xml"/><Relationship Id="rId7" Type="http://schemas.openxmlformats.org/officeDocument/2006/relationships/ctrlProp" Target="../ctrlProps/ctrlProp9.xml"/><Relationship Id="rId12" Type="http://schemas.openxmlformats.org/officeDocument/2006/relationships/ctrlProp" Target="../ctrlProps/ctrlProp1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ctrlProp" Target="../ctrlProps/ctrlProp8.xml"/><Relationship Id="rId11" Type="http://schemas.openxmlformats.org/officeDocument/2006/relationships/ctrlProp" Target="../ctrlProps/ctrlProp13.xml"/><Relationship Id="rId5" Type="http://schemas.openxmlformats.org/officeDocument/2006/relationships/ctrlProp" Target="../ctrlProps/ctrlProp7.xml"/><Relationship Id="rId10" Type="http://schemas.openxmlformats.org/officeDocument/2006/relationships/ctrlProp" Target="../ctrlProps/ctrlProp12.xml"/><Relationship Id="rId4" Type="http://schemas.openxmlformats.org/officeDocument/2006/relationships/ctrlProp" Target="../ctrlProps/ctrlProp6.xml"/><Relationship Id="rId9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26.xml"/><Relationship Id="rId5" Type="http://schemas.openxmlformats.org/officeDocument/2006/relationships/ctrlProp" Target="../ctrlProps/ctrlProp25.xml"/><Relationship Id="rId4" Type="http://schemas.openxmlformats.org/officeDocument/2006/relationships/ctrlProp" Target="../ctrlProps/ctrlProp24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29.xml"/><Relationship Id="rId5" Type="http://schemas.openxmlformats.org/officeDocument/2006/relationships/ctrlProp" Target="../ctrlProps/ctrlProp28.xml"/><Relationship Id="rId4" Type="http://schemas.openxmlformats.org/officeDocument/2006/relationships/ctrlProp" Target="../ctrlProps/ctrlProp2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W31"/>
  <sheetViews>
    <sheetView zoomScale="55" zoomScaleNormal="55" workbookViewId="0">
      <selection activeCell="H27" sqref="H27"/>
    </sheetView>
  </sheetViews>
  <sheetFormatPr defaultRowHeight="21" customHeight="1" x14ac:dyDescent="0.3"/>
  <cols>
    <col min="1" max="1" width="8.88671875" style="90" customWidth="1"/>
    <col min="2" max="2" width="31.88671875" style="63" customWidth="1"/>
    <col min="3" max="3" width="8.88671875" style="63"/>
    <col min="4" max="4" width="17.6640625" style="63" customWidth="1"/>
    <col min="5" max="6" width="12.5546875" style="63" customWidth="1"/>
    <col min="7" max="7" width="15.77734375" style="63" customWidth="1"/>
    <col min="8" max="8" width="17.109375" style="83" bestFit="1" customWidth="1"/>
    <col min="9" max="10" width="15.77734375" style="63" customWidth="1"/>
    <col min="11" max="11" width="17.109375" style="83" bestFit="1" customWidth="1"/>
    <col min="12" max="13" width="15.77734375" style="63" customWidth="1"/>
    <col min="14" max="14" width="17.109375" style="83" bestFit="1" customWidth="1"/>
    <col min="15" max="16" width="15.77734375" style="63" customWidth="1"/>
    <col min="17" max="17" width="17.109375" style="83" bestFit="1" customWidth="1"/>
    <col min="18" max="19" width="15.77734375" style="63" customWidth="1"/>
    <col min="20" max="20" width="15.77734375" style="83" customWidth="1"/>
    <col min="21" max="22" width="15.77734375" style="63" customWidth="1"/>
    <col min="23" max="23" width="15.77734375" style="83" customWidth="1"/>
    <col min="24" max="28" width="15.77734375" style="63" customWidth="1"/>
    <col min="29" max="16384" width="8.88671875" style="63"/>
  </cols>
  <sheetData>
    <row r="1" spans="1:23" s="90" customFormat="1" ht="21" customHeight="1" x14ac:dyDescent="0.3">
      <c r="H1" s="92"/>
      <c r="K1" s="92"/>
      <c r="N1" s="92"/>
      <c r="Q1" s="92"/>
      <c r="T1" s="92"/>
      <c r="W1" s="92"/>
    </row>
    <row r="2" spans="1:23" s="90" customFormat="1" ht="21" customHeight="1" x14ac:dyDescent="0.3">
      <c r="H2" s="92"/>
      <c r="K2" s="92"/>
      <c r="N2" s="92"/>
      <c r="Q2" s="92"/>
      <c r="T2" s="92"/>
      <c r="W2" s="92"/>
    </row>
    <row r="3" spans="1:23" s="89" customFormat="1" ht="31.2" x14ac:dyDescent="0.3">
      <c r="B3" s="90" t="s">
        <v>179</v>
      </c>
    </row>
    <row r="4" spans="1:23" s="90" customFormat="1" ht="21" customHeight="1" x14ac:dyDescent="0.3">
      <c r="H4" s="92"/>
      <c r="K4" s="92"/>
      <c r="N4" s="92"/>
      <c r="Q4" s="92"/>
      <c r="T4" s="92"/>
      <c r="W4" s="92"/>
    </row>
    <row r="5" spans="1:23" s="90" customFormat="1" ht="21" customHeight="1" x14ac:dyDescent="0.3">
      <c r="H5" s="92"/>
      <c r="K5" s="92"/>
      <c r="N5" s="92"/>
      <c r="Q5" s="92"/>
      <c r="T5" s="92"/>
      <c r="W5" s="92"/>
    </row>
    <row r="6" spans="1:23" s="90" customFormat="1" ht="21" customHeight="1" x14ac:dyDescent="0.3">
      <c r="H6" s="92"/>
      <c r="K6" s="92"/>
      <c r="N6" s="92"/>
      <c r="Q6" s="92"/>
      <c r="T6" s="92"/>
      <c r="W6" s="92"/>
    </row>
    <row r="7" spans="1:23" s="90" customFormat="1" ht="21" customHeight="1" x14ac:dyDescent="0.3">
      <c r="H7" s="92"/>
      <c r="K7" s="92"/>
      <c r="N7" s="92"/>
      <c r="Q7" s="92"/>
      <c r="T7" s="92"/>
      <c r="W7" s="92"/>
    </row>
    <row r="8" spans="1:23" s="90" customFormat="1" ht="21" customHeight="1" x14ac:dyDescent="0.3">
      <c r="H8" s="92"/>
      <c r="K8" s="92"/>
      <c r="N8" s="92"/>
      <c r="Q8" s="92"/>
      <c r="T8" s="92"/>
      <c r="W8" s="92"/>
    </row>
    <row r="9" spans="1:23" s="84" customFormat="1" ht="31.2" x14ac:dyDescent="0.3">
      <c r="A9" s="91"/>
    </row>
    <row r="11" spans="1:23" ht="21" customHeight="1" x14ac:dyDescent="0.3">
      <c r="B11" s="70"/>
      <c r="C11" s="94" t="s">
        <v>111</v>
      </c>
      <c r="D11" s="95"/>
      <c r="E11" s="95"/>
      <c r="F11" s="95"/>
      <c r="G11" s="95"/>
      <c r="H11" s="95"/>
      <c r="I11" s="95"/>
      <c r="J11" s="95"/>
      <c r="K11" s="95"/>
      <c r="L11" s="95"/>
      <c r="M11" s="95"/>
      <c r="N11" s="96"/>
      <c r="O11" s="84"/>
      <c r="P11" s="83"/>
      <c r="Q11" s="84"/>
      <c r="R11" s="84"/>
      <c r="S11" s="83"/>
    </row>
    <row r="12" spans="1:23" ht="21" customHeight="1" x14ac:dyDescent="0.3">
      <c r="B12"/>
      <c r="C12" s="64"/>
      <c r="D12" s="65" t="s">
        <v>40</v>
      </c>
      <c r="E12" s="65" t="s">
        <v>38</v>
      </c>
      <c r="F12" s="65" t="s">
        <v>37</v>
      </c>
      <c r="G12" s="65" t="s">
        <v>36</v>
      </c>
      <c r="H12" s="65" t="s">
        <v>34</v>
      </c>
      <c r="I12" s="65" t="s">
        <v>104</v>
      </c>
      <c r="J12" s="65" t="s">
        <v>35</v>
      </c>
      <c r="K12" s="65" t="s">
        <v>20</v>
      </c>
      <c r="L12" s="65" t="s">
        <v>39</v>
      </c>
      <c r="M12" s="65" t="s">
        <v>58</v>
      </c>
      <c r="N12" s="66"/>
      <c r="P12" s="83"/>
      <c r="Q12" s="63"/>
      <c r="S12" s="83"/>
    </row>
    <row r="13" spans="1:23" x14ac:dyDescent="0.3">
      <c r="A13" s="54"/>
      <c r="B13"/>
      <c r="C13" s="64"/>
      <c r="D13" s="65">
        <v>4</v>
      </c>
      <c r="E13" s="65">
        <v>4</v>
      </c>
      <c r="F13" s="65">
        <v>4</v>
      </c>
      <c r="G13" s="65">
        <v>4</v>
      </c>
      <c r="H13" s="65">
        <v>6</v>
      </c>
      <c r="I13" s="65">
        <v>2</v>
      </c>
      <c r="J13" s="65">
        <v>2</v>
      </c>
      <c r="K13" s="65">
        <v>2</v>
      </c>
      <c r="L13" s="65">
        <v>2</v>
      </c>
      <c r="M13" s="65">
        <v>2</v>
      </c>
      <c r="N13" s="66" t="s">
        <v>60</v>
      </c>
      <c r="P13" s="83"/>
      <c r="Q13" s="63"/>
      <c r="S13" s="83"/>
    </row>
    <row r="14" spans="1:23" ht="21" customHeight="1" x14ac:dyDescent="0.3">
      <c r="A14" s="51"/>
      <c r="B14"/>
      <c r="C14" s="67"/>
      <c r="D14" s="68">
        <v>3</v>
      </c>
      <c r="E14" s="68">
        <v>3</v>
      </c>
      <c r="F14" s="68">
        <v>3</v>
      </c>
      <c r="G14" s="68">
        <v>3</v>
      </c>
      <c r="H14" s="68">
        <v>5</v>
      </c>
      <c r="I14" s="68">
        <v>1</v>
      </c>
      <c r="J14" s="68">
        <v>1</v>
      </c>
      <c r="K14" s="68">
        <v>1</v>
      </c>
      <c r="L14" s="68">
        <v>1</v>
      </c>
      <c r="M14" s="68">
        <v>1</v>
      </c>
      <c r="N14" s="69" t="s">
        <v>61</v>
      </c>
      <c r="P14" s="83"/>
      <c r="Q14" s="63"/>
      <c r="S14" s="83"/>
    </row>
    <row r="15" spans="1:23" ht="21" customHeight="1" x14ac:dyDescent="0.3">
      <c r="A15" s="51"/>
      <c r="B15"/>
      <c r="D15" s="83"/>
      <c r="G15" s="83"/>
      <c r="H15" s="63"/>
      <c r="J15" s="83"/>
      <c r="K15" s="63"/>
      <c r="M15" s="83"/>
      <c r="N15" s="63"/>
      <c r="P15" s="83"/>
      <c r="Q15" s="63"/>
      <c r="S15" s="83"/>
    </row>
    <row r="16" spans="1:23" ht="21" customHeight="1" x14ac:dyDescent="0.3">
      <c r="A16" s="51"/>
      <c r="B16"/>
      <c r="D16" s="83"/>
      <c r="G16" s="83"/>
      <c r="H16" s="63"/>
      <c r="J16" s="83"/>
      <c r="K16" s="63"/>
      <c r="M16" s="83"/>
      <c r="N16" s="63"/>
      <c r="P16" s="83"/>
      <c r="Q16" s="63"/>
      <c r="S16" s="83"/>
    </row>
    <row r="17" spans="1:19" ht="31.2" x14ac:dyDescent="0.3">
      <c r="A17" s="51"/>
      <c r="B17"/>
      <c r="C17" s="99" t="s">
        <v>173</v>
      </c>
      <c r="D17" s="100"/>
      <c r="E17" s="84"/>
      <c r="F17" s="99" t="s">
        <v>0</v>
      </c>
      <c r="G17" s="100"/>
      <c r="H17" s="84"/>
      <c r="I17" s="99" t="s">
        <v>104</v>
      </c>
      <c r="J17" s="100"/>
      <c r="K17" s="84"/>
      <c r="L17" s="99" t="s">
        <v>43</v>
      </c>
      <c r="M17" s="100"/>
      <c r="N17" s="84"/>
      <c r="O17" s="99" t="s">
        <v>64</v>
      </c>
      <c r="P17" s="100"/>
      <c r="Q17" s="84"/>
      <c r="R17" s="99" t="s">
        <v>103</v>
      </c>
      <c r="S17" s="100"/>
    </row>
    <row r="18" spans="1:19" ht="21" customHeight="1" x14ac:dyDescent="0.3">
      <c r="A18" s="51"/>
      <c r="B18"/>
      <c r="C18" s="97">
        <f ca="1">_xlfn.SHEET("إعدادات")</f>
        <v>1</v>
      </c>
      <c r="D18" s="98"/>
      <c r="F18" s="97">
        <f ca="1">_xlfn.SHEET("وحدات سفلية")</f>
        <v>4</v>
      </c>
      <c r="G18" s="98"/>
      <c r="H18" s="63"/>
      <c r="I18" s="97">
        <f ca="1">_xlfn.SHEET("بورديوم")</f>
        <v>5</v>
      </c>
      <c r="J18" s="98"/>
      <c r="K18" s="63"/>
      <c r="L18" s="97">
        <f ca="1">_xlfn.SHEET("وحدات علوية")</f>
        <v>6</v>
      </c>
      <c r="M18" s="98"/>
      <c r="N18" s="63"/>
      <c r="O18" s="97">
        <f ca="1">_xlfn.SHEET("دواليب")</f>
        <v>7</v>
      </c>
      <c r="P18" s="98"/>
      <c r="Q18" s="63"/>
      <c r="R18" s="97">
        <f ca="1">_xlfn.SHEET("تجاليد")</f>
        <v>8</v>
      </c>
      <c r="S18" s="98"/>
    </row>
    <row r="19" spans="1:19" ht="21" customHeight="1" x14ac:dyDescent="0.3">
      <c r="A19" s="51"/>
      <c r="B19"/>
      <c r="C19" s="71" t="str">
        <f>K12</f>
        <v>HPL</v>
      </c>
      <c r="D19" s="72" t="s">
        <v>31</v>
      </c>
      <c r="F19" s="71" t="str" cm="1">
        <f t="array" aca="1" ref="F19" ca="1">defaultValue(G19,C18)</f>
        <v>HPL</v>
      </c>
      <c r="G19" s="72" t="s">
        <v>31</v>
      </c>
      <c r="H19" s="63"/>
      <c r="I19" s="71" t="str">
        <f>I12</f>
        <v>بورديوم</v>
      </c>
      <c r="J19" s="72" t="s">
        <v>31</v>
      </c>
      <c r="K19" s="63"/>
      <c r="L19" s="71" t="str" cm="1">
        <f t="array" aca="1" ref="L19" ca="1">defaultValue(M19,C18)</f>
        <v>HPL</v>
      </c>
      <c r="M19" s="72" t="s">
        <v>31</v>
      </c>
      <c r="N19" s="63"/>
      <c r="O19" s="71" t="str" cm="1">
        <f t="array" aca="1" ref="O19" ca="1">defaultValue(P19,C18)</f>
        <v>HPL</v>
      </c>
      <c r="P19" s="72" t="s">
        <v>31</v>
      </c>
      <c r="Q19" s="63"/>
      <c r="R19" s="75" t="str" cm="1">
        <f t="array" aca="1" ref="R19" ca="1">defaultValue("دلف المطبخ",C18)</f>
        <v>يوفيلاك</v>
      </c>
      <c r="S19" s="75" t="s">
        <v>9</v>
      </c>
    </row>
    <row r="20" spans="1:19" ht="21" customHeight="1" x14ac:dyDescent="0.3">
      <c r="A20" s="51"/>
      <c r="B20"/>
      <c r="C20" s="73" t="str">
        <f>H12</f>
        <v>يوفيلاك</v>
      </c>
      <c r="D20" s="74" t="s">
        <v>32</v>
      </c>
      <c r="F20" s="73" t="str" cm="1">
        <f t="array" aca="1" ref="F20" ca="1">defaultValue(G20,C18)</f>
        <v>يوفيلاك</v>
      </c>
      <c r="G20" s="74" t="s">
        <v>32</v>
      </c>
      <c r="H20" s="63"/>
      <c r="I20" s="73" t="str" cm="1">
        <f t="array" aca="1" ref="I20" ca="1">defaultValue(J20,F18)</f>
        <v>يوفيلاك</v>
      </c>
      <c r="J20" s="74" t="s">
        <v>32</v>
      </c>
      <c r="K20" s="63"/>
      <c r="L20" s="73" t="str" cm="1">
        <f t="array" aca="1" ref="L20" ca="1">defaultValue(M20,C18)</f>
        <v>يوفيلاك</v>
      </c>
      <c r="M20" s="74" t="s">
        <v>32</v>
      </c>
      <c r="N20" s="63"/>
      <c r="O20" s="73" t="str" cm="1">
        <f t="array" aca="1" ref="O20" ca="1">defaultValue(P20,C18)</f>
        <v>يوفيلاك</v>
      </c>
      <c r="P20" s="74" t="s">
        <v>32</v>
      </c>
      <c r="Q20" s="63"/>
      <c r="R20" s="79" t="e" cm="1">
        <f t="array" ref="R20">defaultValue(S20,1)</f>
        <v>#N/A</v>
      </c>
      <c r="S20" s="81"/>
    </row>
    <row r="21" spans="1:19" ht="21" customHeight="1" x14ac:dyDescent="0.3">
      <c r="A21" s="51"/>
      <c r="B21"/>
      <c r="C21" s="76" t="str">
        <f>M12</f>
        <v>ظهر</v>
      </c>
      <c r="D21" s="77" t="s">
        <v>58</v>
      </c>
      <c r="F21" s="76" t="str" cm="1">
        <f t="array" aca="1" ref="F21" ca="1">defaultValue(G21,C18)</f>
        <v>ظهر</v>
      </c>
      <c r="G21" s="77" t="s">
        <v>58</v>
      </c>
      <c r="H21" s="63"/>
      <c r="I21" s="76" t="str" cm="1">
        <f t="array" aca="1" ref="I21" ca="1">defaultValue(J21,F18)</f>
        <v>ظهر</v>
      </c>
      <c r="J21" s="77" t="s">
        <v>58</v>
      </c>
      <c r="K21" s="63"/>
      <c r="L21" s="87" t="str" cm="1">
        <f t="array" aca="1" ref="L21" ca="1">defaultValue(M21,C18)</f>
        <v>ظهر</v>
      </c>
      <c r="M21" s="88" t="s">
        <v>58</v>
      </c>
      <c r="N21" s="63"/>
      <c r="O21" s="87" t="str" cm="1">
        <f t="array" aca="1" ref="O21" ca="1">defaultValue(P21,C18)</f>
        <v>ظهر</v>
      </c>
      <c r="P21" s="88" t="s">
        <v>58</v>
      </c>
      <c r="Q21" s="63"/>
      <c r="R21" s="79" t="e" cm="1">
        <f t="array" ref="R21">defaultValue(S21,1)</f>
        <v>#N/A</v>
      </c>
      <c r="S21" s="81"/>
    </row>
    <row r="22" spans="1:19" ht="21" customHeight="1" x14ac:dyDescent="0.3">
      <c r="A22" s="51"/>
      <c r="B22"/>
      <c r="C22" s="79">
        <v>45</v>
      </c>
      <c r="D22" s="81" t="s">
        <v>19</v>
      </c>
      <c r="F22" s="79">
        <v>56</v>
      </c>
      <c r="G22" s="81" t="s">
        <v>113</v>
      </c>
      <c r="H22" s="78"/>
      <c r="I22" s="79" cm="1">
        <f t="array" aca="1" ref="I22" ca="1">defaultValue(J22,F18)</f>
        <v>56</v>
      </c>
      <c r="J22" s="81" t="s">
        <v>113</v>
      </c>
      <c r="K22" s="63"/>
      <c r="L22" s="79">
        <v>30</v>
      </c>
      <c r="M22" s="81" t="s">
        <v>113</v>
      </c>
      <c r="N22" s="63"/>
      <c r="O22" s="79" t="e" cm="1">
        <f t="array" ref="O22">defaultValue(P22,C21)</f>
        <v>#VALUE!</v>
      </c>
      <c r="P22" s="81"/>
      <c r="Q22" s="63"/>
      <c r="R22" s="79" t="e" cm="1">
        <f t="array" ref="R22">defaultValue(S22,1)</f>
        <v>#N/A</v>
      </c>
      <c r="S22" s="81"/>
    </row>
    <row r="23" spans="1:19" ht="21" customHeight="1" x14ac:dyDescent="0.3">
      <c r="A23" s="51"/>
      <c r="B23"/>
      <c r="C23" s="80">
        <v>3.5</v>
      </c>
      <c r="D23" s="82" t="s">
        <v>16</v>
      </c>
      <c r="F23" s="79">
        <v>78</v>
      </c>
      <c r="G23" s="81" t="s">
        <v>3</v>
      </c>
      <c r="H23" s="63"/>
      <c r="I23" s="79" cm="1">
        <f t="array" aca="1" ref="I23" ca="1">defaultValue(J23,F18)</f>
        <v>78</v>
      </c>
      <c r="J23" s="81" t="s">
        <v>3</v>
      </c>
      <c r="K23" s="63"/>
      <c r="L23" s="79">
        <v>70</v>
      </c>
      <c r="M23" s="81" t="s">
        <v>3</v>
      </c>
      <c r="N23" s="63"/>
      <c r="O23" s="79" t="e" cm="1">
        <f t="array" ref="O23">defaultValue(P23,C22)</f>
        <v>#VALUE!</v>
      </c>
      <c r="P23" s="81"/>
      <c r="Q23" s="63"/>
      <c r="R23" s="79" t="e" cm="1">
        <f t="array" ref="R23">defaultValue(S23,1)</f>
        <v>#N/A</v>
      </c>
      <c r="S23" s="81"/>
    </row>
    <row r="24" spans="1:19" ht="21" customHeight="1" x14ac:dyDescent="0.3">
      <c r="A24" s="51"/>
      <c r="B24"/>
      <c r="C24" s="85" t="b">
        <v>1</v>
      </c>
      <c r="D24" s="81" t="s">
        <v>114</v>
      </c>
      <c r="F24" s="79" cm="1">
        <f t="array" aca="1" ref="F24" ca="1">defaultValue(G24,C18)</f>
        <v>45</v>
      </c>
      <c r="G24" s="81" t="s">
        <v>19</v>
      </c>
      <c r="H24" s="63"/>
      <c r="I24" s="79" cm="1">
        <f t="array" aca="1" ref="I24" ca="1">defaultValue(J24,F18)</f>
        <v>45</v>
      </c>
      <c r="J24" s="81" t="s">
        <v>19</v>
      </c>
      <c r="K24" s="63"/>
      <c r="L24" s="79" cm="1">
        <f t="array" ref="L24">defaultValue(M24,1)</f>
        <v>45</v>
      </c>
      <c r="M24" s="81" t="s">
        <v>19</v>
      </c>
      <c r="N24" s="63"/>
      <c r="O24" s="79" t="e" cm="1">
        <f t="array" ref="O24">defaultValue(P24,C23)</f>
        <v>#N/A</v>
      </c>
      <c r="P24" s="81"/>
      <c r="Q24" s="63"/>
      <c r="R24" s="79" t="e" cm="1">
        <f t="array" ref="R24">defaultValue(S24,1)</f>
        <v>#N/A</v>
      </c>
      <c r="S24" s="81"/>
    </row>
    <row r="25" spans="1:19" ht="21" customHeight="1" x14ac:dyDescent="0.3">
      <c r="A25" s="51"/>
      <c r="B25"/>
      <c r="C25" s="85"/>
      <c r="D25" s="81"/>
      <c r="F25" s="79" cm="1">
        <f t="array" aca="1" ref="F25" ca="1">defaultValue(G25,C18)</f>
        <v>3.5</v>
      </c>
      <c r="G25" s="81" t="s">
        <v>16</v>
      </c>
      <c r="H25" s="63"/>
      <c r="I25" s="79" cm="1">
        <f t="array" aca="1" ref="I25" ca="1">defaultValue(J25,F18)</f>
        <v>3.5</v>
      </c>
      <c r="J25" s="81" t="s">
        <v>16</v>
      </c>
      <c r="K25" s="63"/>
      <c r="L25" s="79" cm="1">
        <f t="array" ref="L25">defaultValue(M25,1)</f>
        <v>3.5</v>
      </c>
      <c r="M25" s="81" t="s">
        <v>16</v>
      </c>
      <c r="N25" s="63"/>
      <c r="O25" s="79" t="e" cm="1">
        <f t="array" ref="O25">defaultValue(P25,C24)</f>
        <v>#VALUE!</v>
      </c>
      <c r="P25" s="81"/>
      <c r="Q25" s="63"/>
      <c r="R25" s="79" t="e" cm="1">
        <f t="array" ref="R25">defaultValue(S25,1)</f>
        <v>#N/A</v>
      </c>
      <c r="S25" s="81"/>
    </row>
    <row r="26" spans="1:19" ht="21" customHeight="1" x14ac:dyDescent="0.3">
      <c r="A26" s="51"/>
      <c r="B26"/>
      <c r="C26" s="85"/>
      <c r="D26" s="81"/>
      <c r="F26" s="79" t="b" cm="1">
        <f t="array" aca="1" ref="F26" ca="1">defaultValue(G26,C18)</f>
        <v>1</v>
      </c>
      <c r="G26" s="81" t="s">
        <v>114</v>
      </c>
      <c r="H26" s="63"/>
      <c r="I26" s="79" t="b" cm="1">
        <f t="array" aca="1" ref="I26" ca="1">defaultValue(J26,F18)</f>
        <v>1</v>
      </c>
      <c r="J26" s="81" t="s">
        <v>114</v>
      </c>
      <c r="K26" s="63"/>
      <c r="L26" s="79">
        <v>0</v>
      </c>
      <c r="M26" s="81" t="s">
        <v>115</v>
      </c>
      <c r="N26" s="63"/>
      <c r="O26" s="79" t="e" cm="1">
        <f t="array" ref="O26">defaultValue(P26,C25)</f>
        <v>#VALUE!</v>
      </c>
      <c r="P26" s="81"/>
      <c r="Q26" s="63"/>
      <c r="R26" s="79" t="e" cm="1">
        <f t="array" ref="R26">defaultValue(S26,1)</f>
        <v>#N/A</v>
      </c>
      <c r="S26" s="82"/>
    </row>
    <row r="27" spans="1:19" ht="21" customHeight="1" x14ac:dyDescent="0.3">
      <c r="A27" s="51"/>
      <c r="B27"/>
      <c r="C27" s="86"/>
      <c r="D27" s="82"/>
      <c r="F27" s="80" t="e" cm="1">
        <f t="array" ref="F27">defaultValue(G27,1)</f>
        <v>#N/A</v>
      </c>
      <c r="G27" s="82"/>
      <c r="H27" s="63"/>
      <c r="I27" s="80" t="e" cm="1">
        <f t="array" ref="I27">defaultValue(J27,3)</f>
        <v>#VALUE!</v>
      </c>
      <c r="J27" s="82"/>
      <c r="K27" s="63"/>
      <c r="L27" s="80" t="e" cm="1">
        <f t="array" ref="L27">defaultValue(M27,1)</f>
        <v>#N/A</v>
      </c>
      <c r="M27" s="82"/>
      <c r="N27" s="63"/>
      <c r="O27" s="80" t="e" cm="1">
        <f t="array" ref="O27">defaultValue(P27,C26)</f>
        <v>#VALUE!</v>
      </c>
      <c r="P27" s="82"/>
      <c r="Q27" s="63"/>
      <c r="R27" s="79" t="e" cm="1">
        <f t="array" ref="R27">defaultValue(S27,1)</f>
        <v>#N/A</v>
      </c>
      <c r="S27" s="81"/>
    </row>
    <row r="28" spans="1:19" ht="21" customHeight="1" x14ac:dyDescent="0.3">
      <c r="A28" s="51"/>
      <c r="B28"/>
      <c r="C28" s="85"/>
      <c r="D28" s="81"/>
      <c r="F28" s="79" t="e" cm="1">
        <f t="array" ref="F28">defaultValue(G28,1)</f>
        <v>#N/A</v>
      </c>
      <c r="G28" s="81"/>
      <c r="H28" s="63"/>
      <c r="I28" s="79" t="e" cm="1">
        <f t="array" ref="I28">defaultValue(J28,3)</f>
        <v>#VALUE!</v>
      </c>
      <c r="J28" s="81"/>
      <c r="K28" s="63"/>
      <c r="L28" s="79" t="e" cm="1">
        <f t="array" ref="L28">defaultValue(M28,1)</f>
        <v>#N/A</v>
      </c>
      <c r="M28" s="81"/>
      <c r="N28" s="63"/>
      <c r="O28" s="79" t="e" cm="1">
        <f t="array" ref="O28">defaultValue(P28,C27)</f>
        <v>#VALUE!</v>
      </c>
      <c r="P28" s="81"/>
      <c r="Q28" s="63"/>
      <c r="R28" s="79" t="e" cm="1">
        <f t="array" ref="R28">defaultValue(S28,1)</f>
        <v>#N/A</v>
      </c>
      <c r="S28" s="81"/>
    </row>
    <row r="29" spans="1:19" ht="21" customHeight="1" x14ac:dyDescent="0.3">
      <c r="A29" s="51"/>
      <c r="B29"/>
      <c r="C29" s="85"/>
      <c r="D29" s="81"/>
      <c r="F29" s="79" t="e" cm="1">
        <f t="array" ref="F29">defaultValue(G29,1)</f>
        <v>#N/A</v>
      </c>
      <c r="G29" s="81"/>
      <c r="H29" s="63"/>
      <c r="I29" s="79" t="e" cm="1">
        <f t="array" ref="I29">defaultValue(J29,3)</f>
        <v>#VALUE!</v>
      </c>
      <c r="J29" s="81"/>
      <c r="K29" s="63"/>
      <c r="L29" s="79" t="e" cm="1">
        <f t="array" ref="L29">defaultValue(M29,1)</f>
        <v>#N/A</v>
      </c>
      <c r="M29" s="81"/>
      <c r="N29" s="63"/>
      <c r="O29" s="79" t="e" cm="1">
        <f t="array" ref="O29">defaultValue(P29,C28)</f>
        <v>#VALUE!</v>
      </c>
      <c r="P29" s="81"/>
      <c r="Q29" s="63"/>
      <c r="R29" s="79" t="e" cm="1">
        <f t="array" ref="R29">defaultValue(S29,1)</f>
        <v>#N/A</v>
      </c>
      <c r="S29" s="81"/>
    </row>
    <row r="30" spans="1:19" ht="21" customHeight="1" x14ac:dyDescent="0.3">
      <c r="A30" s="51"/>
      <c r="B30"/>
      <c r="C30" s="85"/>
      <c r="D30" s="81"/>
      <c r="F30" s="79" t="e" cm="1">
        <f t="array" ref="F30">defaultValue(G30,1)</f>
        <v>#N/A</v>
      </c>
      <c r="G30" s="81"/>
      <c r="H30" s="63"/>
      <c r="I30" s="79" t="e" cm="1">
        <f t="array" ref="I30">defaultValue(J30,3)</f>
        <v>#VALUE!</v>
      </c>
      <c r="J30" s="81"/>
      <c r="K30" s="63"/>
      <c r="L30" s="79" t="e" cm="1">
        <f t="array" ref="L30">defaultValue(M30,1)</f>
        <v>#N/A</v>
      </c>
      <c r="M30" s="81"/>
      <c r="N30" s="63"/>
      <c r="O30" s="79" t="e" cm="1">
        <f t="array" ref="O30">defaultValue(P30,C29)</f>
        <v>#VALUE!</v>
      </c>
      <c r="P30" s="81"/>
      <c r="Q30" s="63"/>
      <c r="R30" s="79" t="e" cm="1">
        <f t="array" ref="R30">defaultValue(S30,1)</f>
        <v>#N/A</v>
      </c>
      <c r="S30" s="82"/>
    </row>
    <row r="31" spans="1:19" ht="21" customHeight="1" x14ac:dyDescent="0.3">
      <c r="C31" s="86"/>
      <c r="D31" s="82"/>
      <c r="F31" s="80" t="e" cm="1">
        <f t="array" ref="F31">defaultValue(G31,1)</f>
        <v>#N/A</v>
      </c>
      <c r="G31" s="82"/>
      <c r="H31" s="63"/>
      <c r="I31" s="79" t="e" cm="1">
        <f t="array" ref="I31">defaultValue(J31,3)</f>
        <v>#VALUE!</v>
      </c>
      <c r="J31" s="82"/>
      <c r="K31" s="63"/>
      <c r="L31" s="79" t="e" cm="1">
        <f t="array" ref="L31">defaultValue(M31,1)</f>
        <v>#N/A</v>
      </c>
      <c r="M31" s="82"/>
      <c r="N31" s="63"/>
      <c r="O31" s="79" t="e" cm="1">
        <f t="array" ref="O31">defaultValue(P31,C30)</f>
        <v>#VALUE!</v>
      </c>
      <c r="P31" s="82"/>
      <c r="Q31" s="63"/>
      <c r="R31" s="79" t="e" cm="1">
        <f t="array" ref="R31">defaultValue(S31,1)</f>
        <v>#N/A</v>
      </c>
      <c r="S31" s="82"/>
    </row>
  </sheetData>
  <mergeCells count="13">
    <mergeCell ref="C11:N11"/>
    <mergeCell ref="O18:P18"/>
    <mergeCell ref="R18:S18"/>
    <mergeCell ref="C17:D17"/>
    <mergeCell ref="C18:D18"/>
    <mergeCell ref="F18:G18"/>
    <mergeCell ref="I18:J18"/>
    <mergeCell ref="L18:M18"/>
    <mergeCell ref="F17:G17"/>
    <mergeCell ref="I17:J17"/>
    <mergeCell ref="L17:M17"/>
    <mergeCell ref="O17:P17"/>
    <mergeCell ref="R17:S17"/>
  </mergeCells>
  <phoneticPr fontId="10" type="noConversion"/>
  <pageMargins left="0.7" right="0.7" top="0.75" bottom="0.75" header="0.3" footer="0.3"/>
  <pageSetup orientation="portrait" verticalDpi="0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46AF38-9BAF-47AD-8992-3C7D9EA3C026}">
  <sheetPr codeName="Sheet8"/>
  <dimension ref="A1:BJ67"/>
  <sheetViews>
    <sheetView tabSelected="1" zoomScale="85" zoomScaleNormal="85" workbookViewId="0">
      <pane ySplit="8" topLeftCell="A44" activePane="bottomLeft" state="frozen"/>
      <selection pane="bottomLeft" activeCell="L52" sqref="L52"/>
    </sheetView>
  </sheetViews>
  <sheetFormatPr defaultRowHeight="14.4" x14ac:dyDescent="0.3"/>
  <cols>
    <col min="1" max="1" width="8.88671875" style="34" customWidth="1"/>
    <col min="2" max="2" width="21.21875" style="1" customWidth="1"/>
    <col min="3" max="3" width="10.77734375" style="1" customWidth="1"/>
    <col min="4" max="4" width="14" style="1" customWidth="1"/>
    <col min="5" max="5" width="12.6640625" style="1" customWidth="1"/>
    <col min="6" max="6" width="10.6640625" style="1" customWidth="1"/>
    <col min="7" max="7" width="12.6640625" style="1" customWidth="1"/>
    <col min="8" max="8" width="13.77734375" style="1" customWidth="1"/>
    <col min="9" max="9" width="12.77734375" style="1" customWidth="1"/>
    <col min="10" max="10" width="11.88671875" style="1" customWidth="1"/>
    <col min="11" max="11" width="13.44140625" style="1" customWidth="1"/>
    <col min="12" max="16384" width="8.88671875" style="1"/>
  </cols>
  <sheetData>
    <row r="1" spans="1:62" s="34" customFormat="1" x14ac:dyDescent="0.3">
      <c r="B1" s="34">
        <v>3</v>
      </c>
    </row>
    <row r="2" spans="1:62" s="34" customFormat="1" x14ac:dyDescent="0.3">
      <c r="B2" s="34" t="s">
        <v>180</v>
      </c>
    </row>
    <row r="3" spans="1:62" s="34" customFormat="1" x14ac:dyDescent="0.3">
      <c r="B3" s="34" t="s">
        <v>179</v>
      </c>
    </row>
    <row r="4" spans="1:62" s="34" customFormat="1" x14ac:dyDescent="0.3"/>
    <row r="5" spans="1:62" s="34" customFormat="1" x14ac:dyDescent="0.3"/>
    <row r="6" spans="1:62" s="34" customFormat="1" x14ac:dyDescent="0.3"/>
    <row r="7" spans="1:62" s="34" customFormat="1" x14ac:dyDescent="0.3"/>
    <row r="8" spans="1:62" s="34" customFormat="1" x14ac:dyDescent="0.3"/>
    <row r="9" spans="1:62" x14ac:dyDescent="0.3">
      <c r="A9" s="40"/>
    </row>
    <row r="13" spans="1:62" ht="34.799999999999997" customHeight="1" x14ac:dyDescent="0.3">
      <c r="A13" s="54" t="s">
        <v>155</v>
      </c>
      <c r="B13" s="15"/>
      <c r="C13" s="14">
        <v>1</v>
      </c>
      <c r="D13" s="22" t="s">
        <v>59</v>
      </c>
      <c r="E13" s="101" t="s">
        <v>181</v>
      </c>
      <c r="F13" s="102"/>
      <c r="G13" s="102"/>
      <c r="H13" s="103"/>
      <c r="I13" s="2" t="s">
        <v>30</v>
      </c>
      <c r="J13" s="2">
        <f>letterToNumber(A13)</f>
        <v>1</v>
      </c>
      <c r="K13" s="27">
        <f ca="1">_xlfn.SHEET("نماذج")</f>
        <v>2</v>
      </c>
      <c r="BB13"/>
      <c r="BC13"/>
      <c r="BD13"/>
      <c r="BE13"/>
      <c r="BF13"/>
      <c r="BG13"/>
      <c r="BH13"/>
      <c r="BI13"/>
      <c r="BJ13"/>
    </row>
    <row r="14" spans="1:62" ht="21" x14ac:dyDescent="0.3">
      <c r="A14" s="51">
        <v>1</v>
      </c>
      <c r="B14" s="15"/>
      <c r="C14" s="8"/>
      <c r="D14" s="7"/>
      <c r="E14" s="27" t="str" cm="1">
        <f t="array" aca="1" ref="E14" ca="1">defaultValue(F14,K13)</f>
        <v>ظهر</v>
      </c>
      <c r="F14" s="7" t="s">
        <v>58</v>
      </c>
      <c r="G14" s="27" t="str" cm="1">
        <f t="array" aca="1" ref="G14" ca="1">defaultValue(H14,K13)</f>
        <v>يوفيلاك</v>
      </c>
      <c r="H14" s="7" t="s">
        <v>32</v>
      </c>
      <c r="I14" s="27" t="str" cm="1">
        <f t="array" aca="1" ref="I14" ca="1">defaultValue(J14,K13)</f>
        <v>HPL</v>
      </c>
      <c r="J14" s="7" t="s">
        <v>31</v>
      </c>
      <c r="K14" s="25" t="s">
        <v>111</v>
      </c>
      <c r="BB14"/>
      <c r="BC14"/>
      <c r="BD14"/>
      <c r="BE14"/>
      <c r="BF14"/>
      <c r="BG14"/>
      <c r="BH14"/>
      <c r="BI14"/>
      <c r="BJ14"/>
    </row>
    <row r="15" spans="1:62" ht="15.6" x14ac:dyDescent="0.3">
      <c r="A15" s="51">
        <v>1</v>
      </c>
      <c r="B15" s="15"/>
      <c r="C15" s="7"/>
      <c r="D15" s="18"/>
      <c r="E15" s="7"/>
      <c r="F15" s="7"/>
      <c r="G15" s="7" t="s">
        <v>16</v>
      </c>
      <c r="H15" s="7" t="s">
        <v>22</v>
      </c>
      <c r="I15" s="7" t="s">
        <v>3</v>
      </c>
      <c r="J15" s="7" t="s">
        <v>113</v>
      </c>
      <c r="K15" s="7"/>
      <c r="BB15"/>
      <c r="BC15"/>
      <c r="BD15"/>
      <c r="BE15"/>
      <c r="BF15"/>
      <c r="BG15"/>
      <c r="BH15"/>
      <c r="BI15"/>
      <c r="BJ15"/>
    </row>
    <row r="16" spans="1:62" ht="15.6" x14ac:dyDescent="0.3">
      <c r="A16" s="51">
        <v>1</v>
      </c>
      <c r="B16" s="15"/>
      <c r="C16" s="8"/>
      <c r="D16" s="8"/>
      <c r="E16" s="27"/>
      <c r="F16" s="7"/>
      <c r="G16" s="27" cm="1">
        <f t="array" aca="1" ref="G16" ca="1">defaultValue(G15,K13)</f>
        <v>3.5</v>
      </c>
      <c r="H16" s="8"/>
      <c r="I16" s="27"/>
      <c r="J16" s="27"/>
      <c r="K16" s="7"/>
      <c r="BB16"/>
      <c r="BC16"/>
      <c r="BD16"/>
      <c r="BE16"/>
      <c r="BF16"/>
      <c r="BG16"/>
      <c r="BH16"/>
      <c r="BI16"/>
      <c r="BJ16"/>
    </row>
    <row r="17" spans="1:62" ht="15.6" x14ac:dyDescent="0.3">
      <c r="A17" s="51">
        <v>0</v>
      </c>
      <c r="B17" s="15"/>
      <c r="C17" s="3"/>
      <c r="D17" s="3"/>
      <c r="E17" s="3"/>
      <c r="F17" s="3"/>
      <c r="G17" s="3"/>
      <c r="H17" s="3"/>
      <c r="I17" s="3"/>
      <c r="J17" s="3"/>
      <c r="K17" s="3"/>
      <c r="BB17"/>
      <c r="BC17"/>
      <c r="BD17"/>
      <c r="BE17"/>
      <c r="BF17"/>
      <c r="BG17"/>
      <c r="BH17"/>
      <c r="BI17"/>
      <c r="BJ17"/>
    </row>
    <row r="18" spans="1:62" ht="15.6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  <c r="BB18"/>
      <c r="BC18"/>
      <c r="BD18"/>
      <c r="BE18"/>
      <c r="BF18"/>
      <c r="BG18"/>
      <c r="BH18"/>
      <c r="BI18"/>
      <c r="BJ18"/>
    </row>
    <row r="19" spans="1:62" ht="15.6" x14ac:dyDescent="0.3">
      <c r="A19" s="51">
        <v>0</v>
      </c>
      <c r="B19" s="15"/>
      <c r="K19" s="3"/>
      <c r="BB19"/>
      <c r="BC19"/>
      <c r="BD19"/>
      <c r="BE19"/>
      <c r="BF19"/>
      <c r="BG19"/>
      <c r="BH19"/>
      <c r="BI19"/>
      <c r="BJ19"/>
    </row>
    <row r="20" spans="1:62" ht="15.6" x14ac:dyDescent="0.3">
      <c r="A20" s="51">
        <v>3</v>
      </c>
      <c r="B20" s="15" t="str" cm="1">
        <f t="array" ref="B20">visible(E13, K20)</f>
        <v>وحدة عادية</v>
      </c>
      <c r="C20" s="6" cm="1">
        <f t="array" ref="C20">visible((1),K20)</f>
        <v>1</v>
      </c>
      <c r="D20" s="6" t="str" cm="1">
        <f t="array" aca="1" ref="D20" ca="1">visible((I14),K20)</f>
        <v>HPL</v>
      </c>
      <c r="E20" s="6" t="str" cm="1">
        <f t="array" ref="E20">visible(("replace me"),K20)</f>
        <v>replace me</v>
      </c>
      <c r="F20" s="6" t="str" cm="1">
        <f t="array" ref="F20">visible(("replace me"),K20)</f>
        <v>replace me</v>
      </c>
      <c r="G20" s="6" t="str" cm="1">
        <f t="array" ref="G20">visible(("replace me"),K20)</f>
        <v>replace me</v>
      </c>
      <c r="H20" s="6" t="str" cm="1">
        <f t="array" ref="H20">visible(("replace me"),K20)</f>
        <v>replace me</v>
      </c>
      <c r="I20" s="6" cm="1">
        <f t="array" aca="1" ref="I20" ca="1">visible(materialNum(D20),K20)</f>
        <v>2</v>
      </c>
      <c r="J20" s="6" t="str" cm="1">
        <f t="array" ref="J20">visible((""),K20)</f>
        <v/>
      </c>
      <c r="K20" s="6" t="b">
        <v>1</v>
      </c>
      <c r="BB20"/>
      <c r="BC20"/>
      <c r="BD20"/>
      <c r="BE20"/>
      <c r="BF20"/>
      <c r="BG20"/>
      <c r="BH20"/>
      <c r="BI20"/>
      <c r="BJ20"/>
    </row>
    <row r="21" spans="1:62" ht="15.6" x14ac:dyDescent="0.3">
      <c r="A21" s="51">
        <v>3</v>
      </c>
      <c r="B21" s="15" t="str" cm="1">
        <f t="array" ref="B21">visible(E13, K21)</f>
        <v>وحدة عادية</v>
      </c>
      <c r="C21" s="6" cm="1">
        <f t="array" ref="C21">visible(2,K21)</f>
        <v>2</v>
      </c>
      <c r="D21" s="6" t="str" cm="1">
        <f t="array" aca="1" ref="D21" ca="1">visible((I14),K21)</f>
        <v>HPL</v>
      </c>
      <c r="E21" s="6" t="str" cm="1">
        <f t="array" ref="E21">visible(("replace me"),K21)</f>
        <v>replace me</v>
      </c>
      <c r="F21" s="6" t="str" cm="1">
        <f t="array" ref="F21">visible(("replace me"),K21)</f>
        <v>replace me</v>
      </c>
      <c r="G21" s="6" t="str" cm="1">
        <f t="array" ref="G21">visible(("replace me"),K21)</f>
        <v>replace me</v>
      </c>
      <c r="H21" s="6" t="str" cm="1">
        <f t="array" ref="H21">visible(("replace me"),K21)</f>
        <v>replace me</v>
      </c>
      <c r="I21" s="6" cm="1">
        <f t="array" aca="1" ref="I21" ca="1">visible(materialNum(D21),K21)</f>
        <v>2</v>
      </c>
      <c r="J21" s="6" t="str" cm="1">
        <f t="array" ref="J21">visible((""),K21)</f>
        <v/>
      </c>
      <c r="K21" s="6" t="b">
        <v>1</v>
      </c>
      <c r="BB21"/>
      <c r="BC21"/>
      <c r="BD21"/>
      <c r="BE21"/>
      <c r="BF21"/>
      <c r="BG21"/>
      <c r="BH21"/>
      <c r="BI21"/>
      <c r="BJ21"/>
    </row>
    <row r="22" spans="1:62" ht="15.6" x14ac:dyDescent="0.3">
      <c r="A22" s="51">
        <v>3</v>
      </c>
      <c r="B22" s="15" t="str" cm="1">
        <f t="array" ref="B22">visible(E13, K22)</f>
        <v>وحدة عادية</v>
      </c>
      <c r="C22" s="6" cm="1">
        <f t="array" ref="C22">visible(3,K22)</f>
        <v>3</v>
      </c>
      <c r="D22" s="6" t="str" cm="1">
        <f t="array" aca="1" ref="D22" ca="1">visible((I14),K22)</f>
        <v>HPL</v>
      </c>
      <c r="E22" s="6" t="str" cm="1">
        <f t="array" ref="E22">visible(("replace me"),K22)</f>
        <v>replace me</v>
      </c>
      <c r="F22" s="6" t="str" cm="1">
        <f t="array" ref="F22">visible(("replace me"),K22)</f>
        <v>replace me</v>
      </c>
      <c r="G22" s="6" t="str" cm="1">
        <f t="array" ref="G22">visible(("replace me"),K22)</f>
        <v>replace me</v>
      </c>
      <c r="H22" s="6" t="str" cm="1">
        <f t="array" ref="H22">visible(("replace me"),K22)</f>
        <v>replace me</v>
      </c>
      <c r="I22" s="6" cm="1">
        <f t="array" aca="1" ref="I22" ca="1">visible(materialNum(D22),K22)</f>
        <v>2</v>
      </c>
      <c r="J22" s="6" t="str" cm="1">
        <f t="array" ref="J22">visible((""),K22)</f>
        <v/>
      </c>
      <c r="K22" s="6" t="b">
        <v>1</v>
      </c>
      <c r="BB22"/>
      <c r="BC22"/>
      <c r="BD22"/>
      <c r="BE22"/>
      <c r="BF22"/>
      <c r="BG22"/>
      <c r="BH22"/>
      <c r="BI22"/>
      <c r="BJ22"/>
    </row>
    <row r="23" spans="1:62" ht="15.6" x14ac:dyDescent="0.3">
      <c r="A23" s="51">
        <v>3</v>
      </c>
      <c r="B23" s="15" t="str" cm="1">
        <f t="array" ref="B23">visible(E13, K23)</f>
        <v>وحدة عادية</v>
      </c>
      <c r="C23" s="6" cm="1">
        <f t="array" ref="C23">visible(4,K23)</f>
        <v>4</v>
      </c>
      <c r="D23" s="6" t="str" cm="1">
        <f t="array" aca="1" ref="D23" ca="1">visible((I14),K23)</f>
        <v>HPL</v>
      </c>
      <c r="E23" s="6" t="str" cm="1">
        <f t="array" ref="E23">visible(("replace me"),K23)</f>
        <v>replace me</v>
      </c>
      <c r="F23" s="6" t="str" cm="1">
        <f t="array" ref="F23">visible(("replace me"),K23)</f>
        <v>replace me</v>
      </c>
      <c r="G23" s="6" t="str" cm="1">
        <f t="array" ref="G23">visible(("replace me"),K23)</f>
        <v>replace me</v>
      </c>
      <c r="H23" s="6" t="str" cm="1">
        <f t="array" ref="H23">visible(("replace me"),K23)</f>
        <v>replace me</v>
      </c>
      <c r="I23" s="6" cm="1">
        <f t="array" aca="1" ref="I23" ca="1">visible(materialNum(D23),K23)</f>
        <v>2</v>
      </c>
      <c r="J23" s="6" t="str" cm="1">
        <f t="array" ref="J23">visible((""),K23)</f>
        <v/>
      </c>
      <c r="K23" s="6" t="b">
        <v>1</v>
      </c>
      <c r="BB23"/>
      <c r="BC23"/>
      <c r="BD23"/>
      <c r="BE23"/>
      <c r="BF23"/>
      <c r="BG23"/>
      <c r="BH23"/>
      <c r="BI23"/>
      <c r="BJ23"/>
    </row>
    <row r="24" spans="1:62" ht="15.6" x14ac:dyDescent="0.3">
      <c r="A24" s="51">
        <v>0</v>
      </c>
      <c r="B24" s="15"/>
      <c r="K24" s="3"/>
      <c r="BB24"/>
      <c r="BC24"/>
      <c r="BD24"/>
      <c r="BE24"/>
      <c r="BF24"/>
      <c r="BG24"/>
      <c r="BH24"/>
      <c r="BI24"/>
      <c r="BJ24"/>
    </row>
    <row r="25" spans="1:62" ht="15.6" x14ac:dyDescent="0.3">
      <c r="A25" s="51">
        <v>4</v>
      </c>
      <c r="B25" s="15" t="str" cm="1">
        <f t="array" ref="B25">visible(E13, K25)</f>
        <v>وحدة عادية</v>
      </c>
      <c r="C25" s="9" cm="1">
        <f t="array" ref="C25">visible(5,K25)</f>
        <v>5</v>
      </c>
      <c r="D25" s="9" t="str" cm="1">
        <f t="array" aca="1" ref="D25" ca="1">visible((G14),K25)</f>
        <v>يوفيلاك</v>
      </c>
      <c r="E25" s="9" t="str" cm="1">
        <f t="array" ref="E25">visible(("replace me"),K25)</f>
        <v>replace me</v>
      </c>
      <c r="F25" s="9" t="str" cm="1">
        <f t="array" ref="F25">visible(("replace me"),K25)</f>
        <v>replace me</v>
      </c>
      <c r="G25" s="9" t="str" cm="1">
        <f t="array" ref="G25">visible(("replace me"),K25)</f>
        <v>replace me</v>
      </c>
      <c r="H25" s="9" t="str" cm="1">
        <f t="array" ref="H25">visible(("replace me"),K25)</f>
        <v>replace me</v>
      </c>
      <c r="I25" s="9" cm="1">
        <f t="array" aca="1" ref="I25" ca="1">visible(materialNum(D25),K25)</f>
        <v>6</v>
      </c>
      <c r="J25" s="9" t="str" cm="1">
        <f t="array" ref="J25">visible((""),K25)</f>
        <v/>
      </c>
      <c r="K25" s="9" t="b">
        <v>1</v>
      </c>
      <c r="BB25"/>
      <c r="BC25"/>
      <c r="BD25"/>
      <c r="BE25"/>
      <c r="BF25"/>
      <c r="BG25"/>
      <c r="BH25"/>
      <c r="BI25"/>
      <c r="BJ25"/>
    </row>
    <row r="26" spans="1:62" ht="15.6" x14ac:dyDescent="0.3">
      <c r="A26" s="51">
        <v>4</v>
      </c>
      <c r="B26" s="15" t="str" cm="1">
        <f t="array" ref="B26">visible(E13, K26)</f>
        <v>وحدة عادية</v>
      </c>
      <c r="C26" s="9" cm="1">
        <f t="array" ref="C26">visible(6,K26)</f>
        <v>6</v>
      </c>
      <c r="D26" s="9" t="str" cm="1">
        <f t="array" aca="1" ref="D26" ca="1">visible((G14),K26)</f>
        <v>يوفيلاك</v>
      </c>
      <c r="E26" s="9" t="str" cm="1">
        <f t="array" ref="E26">visible(("replace me"),K26)</f>
        <v>replace me</v>
      </c>
      <c r="F26" s="9" t="str" cm="1">
        <f t="array" ref="F26">visible(("replace me"),K26)</f>
        <v>replace me</v>
      </c>
      <c r="G26" s="9" t="str" cm="1">
        <f t="array" ref="G26">visible(("replace me"),K26)</f>
        <v>replace me</v>
      </c>
      <c r="H26" s="9" t="str" cm="1">
        <f t="array" ref="H26">visible(("replace me"),K26)</f>
        <v>replace me</v>
      </c>
      <c r="I26" s="9" cm="1">
        <f t="array" aca="1" ref="I26" ca="1">visible(materialNum(D26),K26)</f>
        <v>6</v>
      </c>
      <c r="J26" s="9" t="str" cm="1">
        <f t="array" ref="J26">visible((""),K26)</f>
        <v/>
      </c>
      <c r="K26" s="9" t="b">
        <v>1</v>
      </c>
      <c r="BB26"/>
      <c r="BC26"/>
      <c r="BD26"/>
      <c r="BE26"/>
      <c r="BF26"/>
      <c r="BG26"/>
      <c r="BH26"/>
      <c r="BI26"/>
      <c r="BJ26"/>
    </row>
    <row r="27" spans="1:62" ht="15.6" x14ac:dyDescent="0.3">
      <c r="A27" s="51">
        <v>0</v>
      </c>
      <c r="B27" s="15"/>
      <c r="K27" s="3"/>
      <c r="BB27"/>
      <c r="BC27"/>
      <c r="BD27"/>
      <c r="BE27"/>
      <c r="BF27"/>
      <c r="BG27"/>
      <c r="BH27"/>
      <c r="BI27"/>
      <c r="BJ27"/>
    </row>
    <row r="28" spans="1:62" ht="15.6" x14ac:dyDescent="0.3">
      <c r="A28" s="51">
        <v>5</v>
      </c>
      <c r="B28" s="15" t="str" cm="1">
        <f t="array" ref="B28">visible(E13, K28)</f>
        <v>وحدة عادية</v>
      </c>
      <c r="C28" s="19" cm="1">
        <f t="array" ref="C28">visible(7,K28)</f>
        <v>7</v>
      </c>
      <c r="D28" s="19" t="str" cm="1">
        <f t="array" aca="1" ref="D28" ca="1">visible((E14),K28)</f>
        <v>ظهر</v>
      </c>
      <c r="E28" s="19" t="str" cm="1">
        <f t="array" ref="E28">visible(("replace me"),K28)</f>
        <v>replace me</v>
      </c>
      <c r="F28" s="19" t="str" cm="1">
        <f t="array" ref="F28">visible(("replace me"),K28)</f>
        <v>replace me</v>
      </c>
      <c r="G28" s="19" t="str" cm="1">
        <f t="array" ref="G28">visible(("replace me"),K28)</f>
        <v>replace me</v>
      </c>
      <c r="H28" s="19" t="str" cm="1">
        <f t="array" ref="H28">visible(("replace me"),K28)</f>
        <v>replace me</v>
      </c>
      <c r="I28" s="19" cm="1">
        <f t="array" aca="1" ref="I28" ca="1">visible(materialNum(D28),K28)</f>
        <v>2</v>
      </c>
      <c r="J28" s="19" t="str" cm="1">
        <f t="array" ref="J28">visible((""),K28)</f>
        <v/>
      </c>
      <c r="K28" s="19" t="b">
        <v>1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4">
        <v>255</v>
      </c>
      <c r="BB29"/>
      <c r="BC29"/>
      <c r="BD29"/>
      <c r="BE29"/>
      <c r="BF29"/>
      <c r="BG29"/>
      <c r="BH29"/>
      <c r="BI29"/>
      <c r="BJ29"/>
    </row>
    <row r="30" spans="1:62" x14ac:dyDescent="0.3">
      <c r="A30" s="34">
        <v>255</v>
      </c>
      <c r="BB30"/>
      <c r="BC30"/>
      <c r="BD30"/>
      <c r="BE30"/>
      <c r="BF30"/>
      <c r="BG30"/>
      <c r="BH30"/>
      <c r="BI30"/>
      <c r="BJ30"/>
    </row>
    <row r="31" spans="1:62" ht="37.200000000000003" customHeight="1" x14ac:dyDescent="0.3">
      <c r="A31" s="54" t="s">
        <v>160</v>
      </c>
      <c r="B31" s="15"/>
      <c r="C31" s="14">
        <v>1</v>
      </c>
      <c r="D31" s="22" t="s">
        <v>59</v>
      </c>
      <c r="E31" s="101" t="s">
        <v>182</v>
      </c>
      <c r="F31" s="102"/>
      <c r="G31" s="102"/>
      <c r="H31" s="103"/>
      <c r="I31" s="2" t="s">
        <v>30</v>
      </c>
      <c r="J31" s="2">
        <f>letterToNumber(A31)</f>
        <v>2</v>
      </c>
      <c r="K31" s="27">
        <f ca="1">_xlfn.SHEET("وحدات سفلية")</f>
        <v>4</v>
      </c>
      <c r="BB31"/>
      <c r="BC31"/>
      <c r="BD31"/>
      <c r="BE31"/>
      <c r="BF31"/>
      <c r="BG31"/>
      <c r="BH31"/>
      <c r="BI31"/>
      <c r="BJ31"/>
    </row>
    <row r="32" spans="1:62" ht="21" x14ac:dyDescent="0.3">
      <c r="A32" s="51">
        <v>1</v>
      </c>
      <c r="B32" s="15"/>
      <c r="C32" s="8"/>
      <c r="D32" s="7"/>
      <c r="E32" s="27" t="str" cm="1">
        <f t="array" aca="1" ref="E32" ca="1">defaultValue(F32,K31)</f>
        <v>ظهر</v>
      </c>
      <c r="F32" s="7" t="s">
        <v>58</v>
      </c>
      <c r="G32" s="27" t="str" cm="1">
        <f t="array" aca="1" ref="G32" ca="1">defaultValue(H32,K31)</f>
        <v>يوفيلاك</v>
      </c>
      <c r="H32" s="7" t="s">
        <v>32</v>
      </c>
      <c r="I32" s="27" t="str" cm="1">
        <f t="array" aca="1" ref="I32" ca="1">defaultValue(J32,K31)</f>
        <v>HPL</v>
      </c>
      <c r="J32" s="7" t="s">
        <v>31</v>
      </c>
      <c r="K32" s="25" t="s">
        <v>111</v>
      </c>
      <c r="BB32"/>
      <c r="BC32"/>
      <c r="BD32"/>
      <c r="BE32"/>
      <c r="BF32"/>
      <c r="BG32"/>
      <c r="BH32"/>
      <c r="BI32"/>
      <c r="BJ32"/>
    </row>
    <row r="33" spans="1:62" ht="15.6" x14ac:dyDescent="0.3">
      <c r="A33" s="51">
        <v>1</v>
      </c>
      <c r="B33" s="15"/>
      <c r="C33" s="7" t="s">
        <v>12</v>
      </c>
      <c r="D33" s="7" t="s">
        <v>18</v>
      </c>
      <c r="E33" s="93"/>
      <c r="F33" s="93" t="s">
        <v>114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BB33"/>
      <c r="BC33"/>
      <c r="BD33"/>
      <c r="BE33"/>
      <c r="BF33"/>
      <c r="BG33"/>
      <c r="BH33"/>
      <c r="BI33"/>
      <c r="BJ33"/>
    </row>
    <row r="34" spans="1:62" ht="15.6" x14ac:dyDescent="0.3">
      <c r="A34" s="51">
        <v>1</v>
      </c>
      <c r="B34" s="15"/>
      <c r="C34" s="27">
        <v>1</v>
      </c>
      <c r="D34" s="27">
        <v>5</v>
      </c>
      <c r="E34" s="46"/>
      <c r="F34" s="27" t="b" cm="1">
        <f t="array" aca="1" ref="F34" ca="1">defaultValue(F33,K31)</f>
        <v>1</v>
      </c>
      <c r="G34" s="27" cm="1">
        <f t="array" aca="1" ref="G34" ca="1">defaultValue(G33,K31)</f>
        <v>3.5</v>
      </c>
      <c r="H34" s="8"/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BB34"/>
      <c r="BC34"/>
      <c r="BD34"/>
      <c r="BE34"/>
      <c r="BF34"/>
      <c r="BG34"/>
      <c r="BH34"/>
      <c r="BI34"/>
      <c r="BJ34"/>
    </row>
    <row r="35" spans="1:62" ht="15.6" x14ac:dyDescent="0.3">
      <c r="A35" s="51">
        <v>0</v>
      </c>
      <c r="B35" s="15"/>
      <c r="C35" s="3"/>
      <c r="D35" s="3"/>
      <c r="E35" s="3"/>
      <c r="F35" s="3"/>
      <c r="G35" s="3"/>
      <c r="H35" s="3"/>
      <c r="I35" s="3"/>
      <c r="J35" s="3"/>
      <c r="K35" s="3"/>
      <c r="BB35"/>
      <c r="BC35"/>
      <c r="BD35"/>
      <c r="BE35"/>
      <c r="BF35"/>
      <c r="BG35"/>
      <c r="BH35"/>
      <c r="BI35"/>
      <c r="BJ35"/>
    </row>
    <row r="36" spans="1:62" ht="15.6" x14ac:dyDescent="0.3">
      <c r="A36" s="51">
        <v>2</v>
      </c>
      <c r="B36" s="15"/>
      <c r="C36" s="6" t="s">
        <v>4</v>
      </c>
      <c r="D36" s="6" t="s">
        <v>9</v>
      </c>
      <c r="E36" s="6" t="s">
        <v>5</v>
      </c>
      <c r="F36" s="6" t="s">
        <v>7</v>
      </c>
      <c r="G36" s="6" t="s">
        <v>1</v>
      </c>
      <c r="H36" s="6" t="s">
        <v>6</v>
      </c>
      <c r="I36" s="6" t="s">
        <v>33</v>
      </c>
      <c r="J36" s="6" t="s">
        <v>8</v>
      </c>
      <c r="K36" s="6" t="s">
        <v>185</v>
      </c>
      <c r="BB36"/>
      <c r="BC36"/>
      <c r="BD36"/>
      <c r="BE36"/>
      <c r="BF36"/>
      <c r="BG36"/>
      <c r="BH36"/>
      <c r="BI36"/>
      <c r="BJ36"/>
    </row>
    <row r="37" spans="1:62" ht="15.6" x14ac:dyDescent="0.3">
      <c r="A37" s="51">
        <v>0</v>
      </c>
      <c r="B37" s="15"/>
      <c r="K37" s="3"/>
      <c r="BB37"/>
      <c r="BC37"/>
      <c r="BD37"/>
      <c r="BE37"/>
      <c r="BF37"/>
      <c r="BG37"/>
      <c r="BH37"/>
      <c r="BI37"/>
      <c r="BJ37"/>
    </row>
    <row r="38" spans="1:62" ht="15.6" x14ac:dyDescent="0.3">
      <c r="A38" s="51">
        <v>3</v>
      </c>
      <c r="B38" s="15" t="str" cm="1">
        <f t="array" ref="B38">visible(E31, K38)</f>
        <v>وحدة سفلية</v>
      </c>
      <c r="C38" s="6" cm="1">
        <f t="array" ref="C38">visible((1),K38)</f>
        <v>1</v>
      </c>
      <c r="D38" s="6" t="str" cm="1">
        <f t="array" aca="1" ref="D38" ca="1">visible((I32),K38)</f>
        <v>HPL</v>
      </c>
      <c r="E38" s="6" t="str" cm="1">
        <f t="array" ref="E38">visible(("قاعدة"),K38)</f>
        <v>قاعدة</v>
      </c>
      <c r="F38" s="6" cm="1">
        <f t="array" ref="F38">visible((H34 -3.6),K38)</f>
        <v>-3.6</v>
      </c>
      <c r="G38" s="6" cm="1">
        <f t="array" aca="1" ref="G38" ca="1">visible((J34),K38)</f>
        <v>56</v>
      </c>
      <c r="H38" s="6" cm="1">
        <f t="array" ref="H38">visible((C31),K38)</f>
        <v>1</v>
      </c>
      <c r="I38" s="6" cm="1">
        <f t="array" aca="1" ref="I38" ca="1">visible(materialNum(D38),K38)</f>
        <v>2</v>
      </c>
      <c r="J38" s="6" t="str" cm="1">
        <f t="array" ref="J38">visible((""),M38)</f>
        <v/>
      </c>
      <c r="K38" s="6" t="b">
        <v>1</v>
      </c>
      <c r="BB38"/>
      <c r="BC38"/>
      <c r="BD38"/>
      <c r="BE38"/>
      <c r="BF38"/>
      <c r="BG38"/>
      <c r="BH38"/>
      <c r="BI38"/>
      <c r="BJ38"/>
    </row>
    <row r="39" spans="1:62" ht="15.6" x14ac:dyDescent="0.3">
      <c r="A39" s="51">
        <v>3</v>
      </c>
      <c r="B39" s="15" t="str" cm="1">
        <f t="array" ref="B39">visible(E31, K39)</f>
        <v>وحدة سفلية</v>
      </c>
      <c r="C39" s="6" cm="1">
        <f t="array" ref="C39">visible(2,K39)</f>
        <v>2</v>
      </c>
      <c r="D39" s="6" t="str" cm="1">
        <f t="array" aca="1" ref="D39" ca="1">visible((I32),K39)</f>
        <v>HPL</v>
      </c>
      <c r="E39" s="6" t="str" cm="1">
        <f t="array" ref="E39">visible(("أجناب"),K39)</f>
        <v>أجناب</v>
      </c>
      <c r="F39" s="6" cm="1">
        <f t="array" aca="1" ref="F39" ca="1">visible((I34),K39)</f>
        <v>78</v>
      </c>
      <c r="G39" s="6" cm="1">
        <f t="array" aca="1" ref="G39" ca="1">visible((J34),K39)</f>
        <v>56</v>
      </c>
      <c r="H39" s="6" cm="1">
        <f t="array" ref="H39">visible((2 *C31),K39)</f>
        <v>2</v>
      </c>
      <c r="I39" s="6" cm="1">
        <f t="array" aca="1" ref="I39" ca="1">visible(materialNum(D39),K39)</f>
        <v>2</v>
      </c>
      <c r="J39" s="6" t="str" cm="1">
        <f t="array" ref="J39">visible((""),M39)</f>
        <v/>
      </c>
      <c r="K39" s="6" t="b">
        <v>1</v>
      </c>
      <c r="BB39"/>
      <c r="BC39"/>
      <c r="BD39"/>
      <c r="BE39"/>
      <c r="BF39"/>
      <c r="BG39"/>
      <c r="BH39"/>
      <c r="BI39"/>
      <c r="BJ39"/>
    </row>
    <row r="40" spans="1:62" ht="15.6" x14ac:dyDescent="0.3">
      <c r="A40" s="51">
        <v>3</v>
      </c>
      <c r="B40" s="15" t="str" cm="1">
        <f t="array" ref="B40">visible(E31, K40)</f>
        <v>وحدة سفلية</v>
      </c>
      <c r="C40" s="6" cm="1">
        <f t="array" ref="C40">visible(3,K40)</f>
        <v>3</v>
      </c>
      <c r="D40" s="6" t="str" cm="1">
        <f t="array" aca="1" ref="D40" ca="1">visible((I32),K40)</f>
        <v>HPL</v>
      </c>
      <c r="E40" s="6" t="str" cm="1">
        <f t="array" ref="E40">visible(("مرايا علوية 1"),K40)</f>
        <v>مرايا علوية 1</v>
      </c>
      <c r="F40" s="6" cm="1">
        <f t="array" ref="F40">visible((H34-3.6),K40)</f>
        <v>-3.6</v>
      </c>
      <c r="G40" s="6" cm="1">
        <f t="array" ref="G40">visible((10),K40)</f>
        <v>10</v>
      </c>
      <c r="H40" s="6" cm="1">
        <f t="array" ref="H40">visible((C31),K40)</f>
        <v>1</v>
      </c>
      <c r="I40" s="6" cm="1">
        <f t="array" aca="1" ref="I40" ca="1">visible(materialNum(D40),K40)</f>
        <v>2</v>
      </c>
      <c r="J40" s="6" t="str" cm="1">
        <f t="array" ref="J40">visible((""),M40)</f>
        <v/>
      </c>
      <c r="K40" s="6" t="b">
        <v>1</v>
      </c>
      <c r="BB40"/>
      <c r="BC40"/>
      <c r="BD40"/>
      <c r="BE40"/>
      <c r="BF40"/>
      <c r="BG40"/>
      <c r="BH40"/>
      <c r="BI40"/>
      <c r="BJ40"/>
    </row>
    <row r="41" spans="1:62" ht="15.6" x14ac:dyDescent="0.3">
      <c r="A41" s="51">
        <v>3</v>
      </c>
      <c r="B41" s="15" t="str" cm="1">
        <f t="array" ref="B41">visible(E31, K41)</f>
        <v>وحدة سفلية</v>
      </c>
      <c r="C41" s="6" cm="1">
        <f t="array" ref="C41">visible(4,K41)</f>
        <v>4</v>
      </c>
      <c r="D41" s="6" t="str" cm="1">
        <f t="array" aca="1" ref="D41" ca="1">visible((I32),K41)</f>
        <v>HPL</v>
      </c>
      <c r="E41" s="6" t="str" cm="1">
        <f t="array" ref="E41">visible(("مرايا علوية 2"),K41)</f>
        <v>مرايا علوية 2</v>
      </c>
      <c r="F41" s="6" cm="1">
        <f t="array" ref="F41">visible((H34-3.6),K41)</f>
        <v>-3.6</v>
      </c>
      <c r="G41" s="6" cm="1">
        <f t="array" ref="G41">visible((7),K41)</f>
        <v>7</v>
      </c>
      <c r="H41" s="6" cm="1">
        <f t="array" ref="H41">visible((C31),K41)</f>
        <v>1</v>
      </c>
      <c r="I41" s="6" cm="1">
        <f t="array" aca="1" ref="I41" ca="1">visible(materialNum(D41),K41)</f>
        <v>2</v>
      </c>
      <c r="J41" s="6" t="str" cm="1">
        <f t="array" ref="J41">visible((""),M41)</f>
        <v/>
      </c>
      <c r="K41" s="6" t="b">
        <v>1</v>
      </c>
      <c r="BB41"/>
      <c r="BC41"/>
      <c r="BD41"/>
      <c r="BE41"/>
      <c r="BF41"/>
      <c r="BG41"/>
      <c r="BH41"/>
      <c r="BI41"/>
      <c r="BJ41"/>
    </row>
    <row r="42" spans="1:62" ht="15.6" x14ac:dyDescent="0.3">
      <c r="A42" s="51">
        <v>3</v>
      </c>
      <c r="B42" s="15" t="str" cm="1">
        <f t="array" ref="B42">visible(E31, K42)</f>
        <v>وحدة سفلية</v>
      </c>
      <c r="C42" s="6" cm="1">
        <f t="array" ref="C42">visible(5,K42)</f>
        <v>5</v>
      </c>
      <c r="D42" s="6" t="str" cm="1">
        <f t="array" aca="1" ref="D42" ca="1">visible((I32),K42)</f>
        <v>HPL</v>
      </c>
      <c r="E42" s="6" t="str" cm="1">
        <f t="array" ref="E42">visible(("رف"),K42)</f>
        <v>رف</v>
      </c>
      <c r="F42" s="6" cm="1">
        <f t="array" ref="F42">visible((H35-3.8),K42)</f>
        <v>-3.8</v>
      </c>
      <c r="G42" s="6" cm="1">
        <f t="array" aca="1" ref="G42" ca="1">visible((J34-6),K42)</f>
        <v>50</v>
      </c>
      <c r="H42" s="6" cm="1">
        <f t="array" ref="H42">visible((D34*C31),K42)</f>
        <v>5</v>
      </c>
      <c r="I42" s="6" cm="1">
        <f t="array" aca="1" ref="I42" ca="1">visible(materialNum(D42),K42)</f>
        <v>2</v>
      </c>
      <c r="J42" s="6" t="str" cm="1">
        <f t="array" ref="J42">visible((""),M42)</f>
        <v/>
      </c>
      <c r="K42" s="6" t="b">
        <v>1</v>
      </c>
      <c r="BB42"/>
      <c r="BC42"/>
      <c r="BD42"/>
      <c r="BE42"/>
      <c r="BF42"/>
      <c r="BG42"/>
      <c r="BH42"/>
      <c r="BI42"/>
      <c r="BJ42"/>
    </row>
    <row r="43" spans="1:62" ht="15.6" x14ac:dyDescent="0.3">
      <c r="A43" s="51">
        <v>0</v>
      </c>
      <c r="B43" s="15"/>
      <c r="C43" s="3"/>
      <c r="D43" s="3"/>
      <c r="E43" s="3"/>
      <c r="F43" s="3"/>
      <c r="G43" s="3"/>
      <c r="H43" s="3"/>
      <c r="I43" s="3"/>
      <c r="J43" s="3"/>
      <c r="K43" s="3"/>
      <c r="BB43"/>
      <c r="BC43"/>
      <c r="BD43"/>
      <c r="BE43"/>
      <c r="BF43"/>
      <c r="BG43"/>
      <c r="BH43"/>
      <c r="BI43"/>
      <c r="BJ43"/>
    </row>
    <row r="44" spans="1:62" ht="15.6" x14ac:dyDescent="0.3">
      <c r="A44" s="51">
        <v>4</v>
      </c>
      <c r="B44" s="15" t="str" cm="1">
        <f t="array" ref="B44">visible(E31, K44)</f>
        <v>وحدة سفلية</v>
      </c>
      <c r="C44" s="9" cm="1">
        <f t="array" ref="C44">visible(6,K44)</f>
        <v>6</v>
      </c>
      <c r="D44" s="9" t="str" cm="1">
        <f t="array" aca="1" ref="D44" ca="1">visible((G32),K44)</f>
        <v>يوفيلاك</v>
      </c>
      <c r="E44" s="9" t="str" cm="1">
        <f t="array" ref="E44">visible(("دلف"),K44)</f>
        <v>دلف</v>
      </c>
      <c r="F44" s="9" cm="1">
        <f t="array" aca="1" ref="F44" ca="1">visible((I34-0.5-G34),K44)</f>
        <v>74</v>
      </c>
      <c r="G44" s="9" cm="1">
        <f t="array" ref="G44">visible(((H34/C34)-0.5),K44)</f>
        <v>-0.5</v>
      </c>
      <c r="H44" s="9" cm="1">
        <f t="array" ref="H44">visible((C34*C31),K44)</f>
        <v>1</v>
      </c>
      <c r="I44" s="9" cm="1">
        <f t="array" aca="1" ref="I44" ca="1">visible(materialNum(D44),K44)</f>
        <v>6</v>
      </c>
      <c r="J44" s="9" t="str" cm="1">
        <f t="array" ref="J44">visible((""),M44)</f>
        <v/>
      </c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ht="15.6" x14ac:dyDescent="0.3">
      <c r="A45" s="51">
        <v>0</v>
      </c>
      <c r="B45" s="15"/>
      <c r="K45" s="3"/>
      <c r="BB45"/>
      <c r="BC45"/>
      <c r="BD45"/>
      <c r="BE45"/>
      <c r="BF45"/>
      <c r="BG45"/>
      <c r="BH45"/>
      <c r="BI45"/>
      <c r="BJ45"/>
    </row>
    <row r="46" spans="1:62" ht="15.6" x14ac:dyDescent="0.3">
      <c r="A46" s="51">
        <v>5</v>
      </c>
      <c r="B46" s="15" t="str" cm="1">
        <f t="array" aca="1" ref="B46" ca="1">visible(E31, K46)</f>
        <v>وحدة سفلية</v>
      </c>
      <c r="C46" s="19" cm="1">
        <f t="array" aca="1" ref="C46" ca="1">visible(7,K46)</f>
        <v>7</v>
      </c>
      <c r="D46" s="19" t="str" cm="1">
        <f t="array" aca="1" ref="D46" ca="1">visible((E32),K46)</f>
        <v>ظهر</v>
      </c>
      <c r="E46" s="19" t="str" cm="1">
        <f t="array" aca="1" ref="E46" ca="1">visible(("ظهر"),K46)</f>
        <v>ظهر</v>
      </c>
      <c r="F46" s="19" cm="1">
        <f t="array" aca="1" ref="F46" ca="1">visible((I34-2),K46)</f>
        <v>76</v>
      </c>
      <c r="G46" s="19" cm="1">
        <f t="array" aca="1" ref="G46" ca="1">visible((H34-2),K46)</f>
        <v>-2</v>
      </c>
      <c r="H46" s="19" cm="1">
        <f t="array" aca="1" ref="H46" ca="1">visible((C31),K46)</f>
        <v>1</v>
      </c>
      <c r="I46" s="19" cm="1">
        <f t="array" aca="1" ref="I46" ca="1">visible(materialNum(D46),K46)</f>
        <v>2</v>
      </c>
      <c r="J46" s="19" t="str" cm="1">
        <f t="array" ref="J46">visible((""),M46)</f>
        <v/>
      </c>
      <c r="K46" s="19" t="b">
        <f ca="1">F34</f>
        <v>1</v>
      </c>
      <c r="BB46"/>
      <c r="BC46"/>
      <c r="BD46"/>
      <c r="BE46"/>
      <c r="BF46"/>
      <c r="BG46"/>
      <c r="BH46"/>
      <c r="BI46"/>
      <c r="BJ46"/>
    </row>
    <row r="47" spans="1:62" ht="15.6" x14ac:dyDescent="0.3">
      <c r="A47" s="51">
        <v>255</v>
      </c>
      <c r="B47" s="15"/>
      <c r="C47"/>
      <c r="D47"/>
      <c r="E47"/>
      <c r="F47"/>
      <c r="G47"/>
      <c r="H47"/>
      <c r="I47"/>
      <c r="J47"/>
      <c r="K47"/>
      <c r="BB47"/>
      <c r="BC47"/>
      <c r="BD47"/>
      <c r="BE47"/>
      <c r="BF47"/>
      <c r="BG47"/>
      <c r="BH47"/>
      <c r="BI47"/>
      <c r="BJ47"/>
    </row>
    <row r="48" spans="1:62" ht="15.6" x14ac:dyDescent="0.3">
      <c r="A48" s="51">
        <v>255</v>
      </c>
      <c r="B48" s="15"/>
      <c r="C48"/>
      <c r="D48"/>
      <c r="E48"/>
      <c r="F48"/>
      <c r="G48"/>
      <c r="H48"/>
      <c r="I48"/>
      <c r="J48"/>
      <c r="K48"/>
      <c r="BB48"/>
      <c r="BC48"/>
      <c r="BD48"/>
      <c r="BE48"/>
      <c r="BF48"/>
      <c r="BG48"/>
      <c r="BH48"/>
      <c r="BI48"/>
      <c r="BJ48"/>
    </row>
    <row r="49" spans="1:62" ht="35.4" customHeight="1" x14ac:dyDescent="0.3">
      <c r="A49" s="54" t="s">
        <v>156</v>
      </c>
      <c r="B49" s="15"/>
      <c r="C49" s="14">
        <v>1</v>
      </c>
      <c r="D49" s="22" t="s">
        <v>59</v>
      </c>
      <c r="E49" s="101" t="s">
        <v>183</v>
      </c>
      <c r="F49" s="102"/>
      <c r="G49" s="102"/>
      <c r="H49" s="103"/>
      <c r="I49" s="2" t="s">
        <v>30</v>
      </c>
      <c r="J49" s="2">
        <f>letterToNumber(A49)</f>
        <v>3</v>
      </c>
      <c r="K49" s="27">
        <f ca="1">_xlfn.SHEET("وحدات سفلية")</f>
        <v>4</v>
      </c>
      <c r="BB49"/>
      <c r="BC49"/>
      <c r="BD49"/>
      <c r="BE49"/>
      <c r="BF49"/>
      <c r="BG49"/>
      <c r="BH49"/>
      <c r="BI49"/>
      <c r="BJ49"/>
    </row>
    <row r="50" spans="1:62" ht="21" x14ac:dyDescent="0.3">
      <c r="A50" s="51">
        <v>1</v>
      </c>
      <c r="B50" s="15"/>
      <c r="C50" s="8"/>
      <c r="D50" s="7"/>
      <c r="E50" s="27" t="str" cm="1">
        <f t="array" aca="1" ref="E50" ca="1">defaultValue(F50,K49)</f>
        <v>ظهر</v>
      </c>
      <c r="F50" s="7" t="s">
        <v>58</v>
      </c>
      <c r="G50" s="27" t="str" cm="1">
        <f t="array" aca="1" ref="G50" ca="1">defaultValue(H50,K49)</f>
        <v>يوفيلاك</v>
      </c>
      <c r="H50" s="7" t="s">
        <v>32</v>
      </c>
      <c r="I50" s="27" t="str" cm="1">
        <f t="array" aca="1" ref="I50" ca="1">defaultValue(J50,K49)</f>
        <v>HPL</v>
      </c>
      <c r="J50" s="7" t="s">
        <v>31</v>
      </c>
      <c r="K50" s="25" t="s">
        <v>111</v>
      </c>
      <c r="BB50"/>
      <c r="BC50"/>
      <c r="BD50"/>
      <c r="BE50"/>
      <c r="BF50"/>
      <c r="BG50"/>
      <c r="BH50"/>
      <c r="BI50"/>
      <c r="BJ50"/>
    </row>
    <row r="51" spans="1:62" ht="15.6" x14ac:dyDescent="0.3">
      <c r="A51" s="51">
        <v>1</v>
      </c>
      <c r="B51" s="15"/>
      <c r="C51" s="7" t="s">
        <v>12</v>
      </c>
      <c r="D51" s="7" t="s">
        <v>18</v>
      </c>
      <c r="E51" s="93"/>
      <c r="F51" s="93" t="s">
        <v>114</v>
      </c>
      <c r="G51" s="7" t="s">
        <v>16</v>
      </c>
      <c r="H51" s="7" t="s">
        <v>22</v>
      </c>
      <c r="I51" s="7" t="s">
        <v>3</v>
      </c>
      <c r="J51" s="7" t="s">
        <v>113</v>
      </c>
      <c r="K51" s="7"/>
      <c r="BB51"/>
      <c r="BC51"/>
      <c r="BD51"/>
      <c r="BE51"/>
      <c r="BF51"/>
      <c r="BG51"/>
      <c r="BH51"/>
      <c r="BI51"/>
      <c r="BJ51"/>
    </row>
    <row r="52" spans="1:62" ht="15.6" x14ac:dyDescent="0.3">
      <c r="A52" s="51">
        <v>1</v>
      </c>
      <c r="B52" s="15"/>
      <c r="C52" s="27">
        <v>1</v>
      </c>
      <c r="D52" s="27">
        <v>5</v>
      </c>
      <c r="E52" s="46"/>
      <c r="F52" s="27" t="b" cm="1">
        <f t="array" aca="1" ref="F52" ca="1">defaultValue(F51,K49)</f>
        <v>1</v>
      </c>
      <c r="G52" s="27" cm="1">
        <f t="array" aca="1" ref="G52" ca="1">defaultValue(G51,K49)</f>
        <v>3.5</v>
      </c>
      <c r="H52" s="8"/>
      <c r="I52" s="27" cm="1">
        <f t="array" aca="1" ref="I52" ca="1">defaultValue(I51,K49)</f>
        <v>78</v>
      </c>
      <c r="J52" s="27" cm="1">
        <f t="array" aca="1" ref="J52" ca="1">defaultValue(J51,K49)</f>
        <v>56</v>
      </c>
      <c r="K52" s="7"/>
      <c r="BB52"/>
      <c r="BC52"/>
      <c r="BD52"/>
      <c r="BE52"/>
      <c r="BF52"/>
      <c r="BG52"/>
      <c r="BH52"/>
      <c r="BI52"/>
      <c r="BJ52"/>
    </row>
    <row r="53" spans="1:62" ht="15.6" x14ac:dyDescent="0.3">
      <c r="A53" s="51">
        <v>0</v>
      </c>
      <c r="B53" s="15"/>
      <c r="C53" s="3"/>
      <c r="D53" s="3"/>
      <c r="E53" s="3"/>
      <c r="F53" s="3"/>
      <c r="G53" s="3"/>
      <c r="H53" s="3"/>
      <c r="I53" s="3"/>
      <c r="J53" s="3"/>
      <c r="K53" s="3"/>
      <c r="BB53"/>
      <c r="BC53"/>
      <c r="BD53"/>
      <c r="BE53"/>
      <c r="BF53"/>
      <c r="BG53"/>
      <c r="BH53"/>
      <c r="BI53"/>
      <c r="BJ53"/>
    </row>
    <row r="54" spans="1:62" ht="15.6" x14ac:dyDescent="0.3">
      <c r="A54" s="51">
        <v>2</v>
      </c>
      <c r="B54" s="15"/>
      <c r="C54" s="6" t="s">
        <v>4</v>
      </c>
      <c r="D54" s="6" t="s">
        <v>9</v>
      </c>
      <c r="E54" s="6" t="s">
        <v>5</v>
      </c>
      <c r="F54" s="6" t="s">
        <v>7</v>
      </c>
      <c r="G54" s="6" t="s">
        <v>1</v>
      </c>
      <c r="H54" s="6" t="s">
        <v>6</v>
      </c>
      <c r="I54" s="6" t="s">
        <v>33</v>
      </c>
      <c r="J54" s="6" t="s">
        <v>8</v>
      </c>
      <c r="K54" s="6" t="s">
        <v>185</v>
      </c>
      <c r="BB54"/>
      <c r="BC54"/>
      <c r="BD54"/>
      <c r="BE54"/>
      <c r="BF54"/>
      <c r="BG54"/>
      <c r="BH54"/>
      <c r="BI54"/>
      <c r="BJ54"/>
    </row>
    <row r="55" spans="1:62" ht="15.6" x14ac:dyDescent="0.3">
      <c r="A55" s="51">
        <v>0</v>
      </c>
      <c r="B55" s="15"/>
      <c r="K55" s="3"/>
      <c r="BB55"/>
      <c r="BC55"/>
      <c r="BD55"/>
      <c r="BE55"/>
      <c r="BF55"/>
      <c r="BG55"/>
      <c r="BH55"/>
      <c r="BI55"/>
      <c r="BJ55"/>
    </row>
    <row r="56" spans="1:62" ht="15.6" x14ac:dyDescent="0.3">
      <c r="A56" s="51">
        <v>3</v>
      </c>
      <c r="B56" s="15" t="str" cm="1">
        <f t="array" ref="B56">visible(E49, K56)</f>
        <v>وحدة سفلية ادراج</v>
      </c>
      <c r="C56" s="6">
        <f>visible(1,K56)</f>
        <v>1</v>
      </c>
      <c r="D56" s="6" t="str" cm="1">
        <f t="array" aca="1" ref="D56" ca="1">visible((I50),K56)</f>
        <v>HPL</v>
      </c>
      <c r="E56" s="6" t="str" cm="1">
        <f t="array" ref="E56">visible(("قاعدة"),K56)</f>
        <v>قاعدة</v>
      </c>
      <c r="F56" s="6" cm="1">
        <f t="array" ref="F56">visible((H52 -3.6),K56)</f>
        <v>-3.6</v>
      </c>
      <c r="G56" s="6" cm="1">
        <f t="array" aca="1" ref="G56" ca="1">visible((J52),K56)</f>
        <v>56</v>
      </c>
      <c r="H56" s="6" cm="1">
        <f t="array" ref="H56">visible((C49),K56)</f>
        <v>1</v>
      </c>
      <c r="I56" s="6" cm="1">
        <f t="array" aca="1" ref="I56" ca="1">visible(materialNum(D56),K56)</f>
        <v>2</v>
      </c>
      <c r="J56" s="6" t="str" cm="1">
        <f t="array" ref="J56">visible((""),M56)</f>
        <v/>
      </c>
      <c r="K56" s="6" t="b">
        <v>1</v>
      </c>
      <c r="BB56"/>
      <c r="BC56"/>
      <c r="BD56"/>
      <c r="BE56"/>
      <c r="BF56"/>
      <c r="BG56"/>
      <c r="BH56"/>
      <c r="BI56"/>
      <c r="BJ56"/>
    </row>
    <row r="57" spans="1:62" ht="15.6" x14ac:dyDescent="0.3">
      <c r="A57" s="51">
        <v>3</v>
      </c>
      <c r="B57" s="15" t="str" cm="1">
        <f t="array" ref="B57">visible(E49, K57)</f>
        <v>وحدة سفلية ادراج</v>
      </c>
      <c r="C57" s="6">
        <f>visible(2,K57)</f>
        <v>2</v>
      </c>
      <c r="D57" s="6" t="str" cm="1">
        <f t="array" aca="1" ref="D57" ca="1">visible((I50),K57)</f>
        <v>HPL</v>
      </c>
      <c r="E57" s="6" t="str" cm="1">
        <f t="array" ref="E57">visible(("أجناب"),K57)</f>
        <v>أجناب</v>
      </c>
      <c r="F57" s="6" cm="1">
        <f t="array" aca="1" ref="F57" ca="1">visible((I52),K57)</f>
        <v>78</v>
      </c>
      <c r="G57" s="6" cm="1">
        <f t="array" aca="1" ref="G57" ca="1">visible((J52),K57)</f>
        <v>56</v>
      </c>
      <c r="H57" s="6" cm="1">
        <f t="array" ref="H57">visible((2 *C49),K57)</f>
        <v>2</v>
      </c>
      <c r="I57" s="6" cm="1">
        <f t="array" aca="1" ref="I57" ca="1">visible(materialNum(D57),K57)</f>
        <v>2</v>
      </c>
      <c r="J57" s="6" t="str" cm="1">
        <f t="array" ref="J57">visible((""),M57)</f>
        <v/>
      </c>
      <c r="K57" s="6" t="b">
        <v>1</v>
      </c>
      <c r="BB57"/>
      <c r="BC57"/>
      <c r="BD57"/>
      <c r="BE57"/>
      <c r="BF57"/>
      <c r="BG57"/>
      <c r="BH57"/>
      <c r="BI57"/>
      <c r="BJ57"/>
    </row>
    <row r="58" spans="1:62" ht="15.6" x14ac:dyDescent="0.3">
      <c r="A58" s="51">
        <v>3</v>
      </c>
      <c r="B58" s="15" t="str" cm="1">
        <f t="array" ref="B58">visible(E49, K58)</f>
        <v>وحدة سفلية ادراج</v>
      </c>
      <c r="C58" s="6">
        <f>visible(3,K58)</f>
        <v>3</v>
      </c>
      <c r="D58" s="6" t="str" cm="1">
        <f t="array" aca="1" ref="D58" ca="1">visible((I50),K58)</f>
        <v>HPL</v>
      </c>
      <c r="E58" s="6" t="str" cm="1">
        <f t="array" ref="E58">visible(("مرايا علوية 1"),K58)</f>
        <v>مرايا علوية 1</v>
      </c>
      <c r="F58" s="6" cm="1">
        <f t="array" ref="F58">visible((H52-3.6),K58)</f>
        <v>-3.6</v>
      </c>
      <c r="G58" s="6" cm="1">
        <f t="array" ref="G58">visible((10),K58)</f>
        <v>10</v>
      </c>
      <c r="H58" s="6" cm="1">
        <f t="array" ref="H58">visible((C49),K58)</f>
        <v>1</v>
      </c>
      <c r="I58" s="6" cm="1">
        <f t="array" aca="1" ref="I58" ca="1">visible(materialNum(D58),K58)</f>
        <v>2</v>
      </c>
      <c r="J58" s="6" t="str" cm="1">
        <f t="array" ref="J58">visible((""),M58)</f>
        <v/>
      </c>
      <c r="K58" s="6" t="b">
        <v>1</v>
      </c>
      <c r="BB58"/>
      <c r="BC58"/>
      <c r="BD58"/>
      <c r="BE58"/>
      <c r="BF58"/>
      <c r="BG58"/>
      <c r="BH58"/>
      <c r="BI58"/>
      <c r="BJ58"/>
    </row>
    <row r="59" spans="1:62" ht="15.6" x14ac:dyDescent="0.3">
      <c r="A59" s="51">
        <v>3</v>
      </c>
      <c r="B59" s="15" t="str" cm="1">
        <f t="array" ref="B59">visible(E49, K59)</f>
        <v>وحدة سفلية ادراج</v>
      </c>
      <c r="C59" s="6">
        <f>visible(4,K59)</f>
        <v>4</v>
      </c>
      <c r="D59" s="6" t="str" cm="1">
        <f t="array" aca="1" ref="D59" ca="1">visible((I50),K59)</f>
        <v>HPL</v>
      </c>
      <c r="E59" s="6" t="str" cm="1">
        <f t="array" ref="E59">visible(("مرايا علوية 2"),K59)</f>
        <v>مرايا علوية 2</v>
      </c>
      <c r="F59" s="6" cm="1">
        <f t="array" ref="F59">visible((H52-3.6),K59)</f>
        <v>-3.6</v>
      </c>
      <c r="G59" s="6" cm="1">
        <f t="array" ref="G59">visible((7),K59)</f>
        <v>7</v>
      </c>
      <c r="H59" s="6" cm="1">
        <f t="array" ref="H59">visible((C49),K59)</f>
        <v>1</v>
      </c>
      <c r="I59" s="6" cm="1">
        <f t="array" aca="1" ref="I59" ca="1">visible(materialNum(D59),K59)</f>
        <v>2</v>
      </c>
      <c r="J59" s="6" t="str" cm="1">
        <f t="array" ref="J59">visible((""),M59)</f>
        <v/>
      </c>
      <c r="K59" s="6" t="b">
        <v>1</v>
      </c>
      <c r="BB59"/>
      <c r="BC59"/>
      <c r="BD59"/>
      <c r="BE59"/>
      <c r="BF59"/>
      <c r="BG59"/>
      <c r="BH59"/>
      <c r="BI59"/>
      <c r="BJ59"/>
    </row>
    <row r="60" spans="1:62" ht="15.6" x14ac:dyDescent="0.3">
      <c r="A60" s="51">
        <v>3</v>
      </c>
      <c r="B60" s="15" t="str" cm="1">
        <f t="array" ref="B60">visible(E49, K60)</f>
        <v>وحدة سفلية ادراج</v>
      </c>
      <c r="C60" s="6">
        <f>visible(5,K60)</f>
        <v>5</v>
      </c>
      <c r="D60" s="6" t="str" cm="1">
        <f t="array" aca="1" ref="D60" ca="1">visible((I50),K60)</f>
        <v>HPL</v>
      </c>
      <c r="E60" s="6" t="str" cm="1">
        <f t="array" ref="E60">visible(("رف"),K60)</f>
        <v>رف</v>
      </c>
      <c r="F60" s="6" cm="1">
        <f t="array" ref="F60">visible((H53-3.8),K60)</f>
        <v>-3.8</v>
      </c>
      <c r="G60" s="6" cm="1">
        <f t="array" aca="1" ref="G60" ca="1">visible((J52-6),K60)</f>
        <v>50</v>
      </c>
      <c r="H60" s="6" cm="1">
        <f t="array" ref="H60">visible((D52*C49),K60)</f>
        <v>5</v>
      </c>
      <c r="I60" s="6" cm="1">
        <f t="array" aca="1" ref="I60" ca="1">visible(materialNum(D60),K60)</f>
        <v>2</v>
      </c>
      <c r="J60" s="6" t="str" cm="1">
        <f t="array" ref="J60">visible((""),M60)</f>
        <v/>
      </c>
      <c r="K60" s="6" t="b">
        <v>1</v>
      </c>
      <c r="BB60"/>
      <c r="BC60"/>
      <c r="BD60"/>
      <c r="BE60"/>
      <c r="BF60"/>
      <c r="BG60"/>
      <c r="BH60"/>
      <c r="BI60"/>
      <c r="BJ60"/>
    </row>
    <row r="61" spans="1:62" ht="15.6" x14ac:dyDescent="0.3">
      <c r="A61" s="51">
        <v>0</v>
      </c>
      <c r="B61" s="15"/>
      <c r="C61" s="3"/>
      <c r="D61" s="3"/>
      <c r="E61" s="3"/>
      <c r="F61" s="3"/>
      <c r="G61" s="3"/>
      <c r="H61" s="3"/>
      <c r="I61" s="3"/>
      <c r="J61" s="3"/>
      <c r="K61" s="3"/>
      <c r="BB61"/>
      <c r="BC61"/>
      <c r="BD61"/>
      <c r="BE61"/>
      <c r="BF61"/>
      <c r="BG61"/>
      <c r="BH61"/>
      <c r="BI61"/>
      <c r="BJ61"/>
    </row>
    <row r="62" spans="1:62" ht="15.6" x14ac:dyDescent="0.3">
      <c r="A62" s="51">
        <v>4</v>
      </c>
      <c r="B62" s="15" t="str" cm="1">
        <f t="array" ref="B62">visible(E49, K62)</f>
        <v>وحدة سفلية ادراج</v>
      </c>
      <c r="C62" s="9">
        <f>visible(6,K62)</f>
        <v>6</v>
      </c>
      <c r="D62" s="9" t="str" cm="1">
        <f t="array" aca="1" ref="D62" ca="1">visible((G50),K62)</f>
        <v>يوفيلاك</v>
      </c>
      <c r="E62" s="9" t="str" cm="1">
        <f t="array" ref="E62">visible(("دلف"),K62)</f>
        <v>دلف</v>
      </c>
      <c r="F62" s="9" cm="1">
        <f t="array" aca="1" ref="F62" ca="1">visible((I52-0.5-G52),K62)</f>
        <v>74</v>
      </c>
      <c r="G62" s="9" cm="1">
        <f t="array" ref="G62">visible(((H52/C52)-0.5),K62)</f>
        <v>-0.5</v>
      </c>
      <c r="H62" s="9" cm="1">
        <f t="array" ref="H62">visible((C52*C49),K62)</f>
        <v>1</v>
      </c>
      <c r="I62" s="9" cm="1">
        <f t="array" aca="1" ref="I62" ca="1">visible(materialNum(D62),K62)</f>
        <v>6</v>
      </c>
      <c r="J62" s="9" t="str" cm="1">
        <f t="array" ref="J62">visible((""),M62)</f>
        <v/>
      </c>
      <c r="K62" s="9" t="b">
        <v>1</v>
      </c>
      <c r="BB62"/>
      <c r="BC62"/>
      <c r="BD62"/>
      <c r="BE62"/>
      <c r="BF62"/>
      <c r="BG62"/>
      <c r="BH62"/>
      <c r="BI62"/>
      <c r="BJ62"/>
    </row>
    <row r="63" spans="1:62" ht="15.6" x14ac:dyDescent="0.3">
      <c r="A63" s="51">
        <v>0</v>
      </c>
      <c r="B63" s="15"/>
      <c r="K63" s="3"/>
      <c r="BB63"/>
      <c r="BC63"/>
      <c r="BD63"/>
      <c r="BE63"/>
      <c r="BF63"/>
      <c r="BG63"/>
      <c r="BH63"/>
      <c r="BI63"/>
      <c r="BJ63"/>
    </row>
    <row r="64" spans="1:62" ht="15.6" x14ac:dyDescent="0.3">
      <c r="A64" s="51">
        <v>5</v>
      </c>
      <c r="B64" s="15" t="str" cm="1">
        <f t="array" aca="1" ref="B64" ca="1">visible(E49, K64)</f>
        <v>وحدة سفلية ادراج</v>
      </c>
      <c r="C64" s="19">
        <f ca="1">visible(7,K64)</f>
        <v>7</v>
      </c>
      <c r="D64" s="19" t="str" cm="1">
        <f t="array" aca="1" ref="D64" ca="1">visible((E50),K64)</f>
        <v>ظهر</v>
      </c>
      <c r="E64" s="19" t="str" cm="1">
        <f t="array" aca="1" ref="E64" ca="1">visible(("ظهر"),K64)</f>
        <v>ظهر</v>
      </c>
      <c r="F64" s="19" cm="1">
        <f t="array" aca="1" ref="F64" ca="1">visible((I52-2),K64)</f>
        <v>76</v>
      </c>
      <c r="G64" s="19" cm="1">
        <f t="array" aca="1" ref="G64" ca="1">visible((H52-2),K64)</f>
        <v>-2</v>
      </c>
      <c r="H64" s="19" cm="1">
        <f t="array" aca="1" ref="H64" ca="1">visible((C49),K64)</f>
        <v>1</v>
      </c>
      <c r="I64" s="19" cm="1">
        <f t="array" aca="1" ref="I64" ca="1">visible(materialNum(D64),K64)</f>
        <v>2</v>
      </c>
      <c r="J64" s="19" t="str" cm="1">
        <f t="array" ref="J64">visible((""),M64)</f>
        <v/>
      </c>
      <c r="K64" s="19" t="b">
        <f ca="1">F52</f>
        <v>1</v>
      </c>
      <c r="BB64"/>
      <c r="BC64"/>
      <c r="BD64"/>
      <c r="BE64"/>
      <c r="BF64"/>
      <c r="BG64"/>
      <c r="BH64"/>
      <c r="BI64"/>
      <c r="BJ64"/>
    </row>
    <row r="65" spans="1:62" ht="15.6" x14ac:dyDescent="0.3">
      <c r="A65" s="51">
        <v>255</v>
      </c>
      <c r="B65" s="15"/>
      <c r="C65"/>
      <c r="D65"/>
      <c r="E65"/>
      <c r="F65"/>
      <c r="G65"/>
      <c r="H65"/>
      <c r="I65"/>
      <c r="J65"/>
      <c r="K65"/>
      <c r="BB65"/>
      <c r="BC65"/>
      <c r="BD65"/>
      <c r="BE65"/>
      <c r="BF65"/>
      <c r="BG65"/>
      <c r="BH65"/>
      <c r="BI65"/>
      <c r="BJ65"/>
    </row>
    <row r="66" spans="1:62" ht="15.6" x14ac:dyDescent="0.3">
      <c r="A66" s="51">
        <v>255</v>
      </c>
      <c r="B66" s="15"/>
      <c r="C66"/>
      <c r="D66"/>
      <c r="E66"/>
      <c r="F66"/>
      <c r="G66"/>
      <c r="H66"/>
      <c r="I66"/>
      <c r="J66"/>
      <c r="K66"/>
      <c r="BB66"/>
      <c r="BC66"/>
      <c r="BD66"/>
      <c r="BE66"/>
      <c r="BF66"/>
      <c r="BG66"/>
      <c r="BH66"/>
      <c r="BI66"/>
      <c r="BJ66"/>
    </row>
    <row r="67" spans="1:62" x14ac:dyDescent="0.3">
      <c r="BB67"/>
      <c r="BC67"/>
      <c r="BD67"/>
      <c r="BE67"/>
      <c r="BF67"/>
      <c r="BG67"/>
      <c r="BH67"/>
      <c r="BI67"/>
      <c r="BJ67"/>
    </row>
  </sheetData>
  <mergeCells count="3">
    <mergeCell ref="E13:H13"/>
    <mergeCell ref="E31:H31"/>
    <mergeCell ref="E49:H49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3" name="Button 1">
              <controlPr defaultSize="0" print="0" autoFill="0" autoPict="0" macro="[0]!toggleOutputVisibility">
                <anchor moveWithCells="1" sizeWithCells="1">
                  <from>
                    <xdr:col>8</xdr:col>
                    <xdr:colOff>259080</xdr:colOff>
                    <xdr:row>5</xdr:row>
                    <xdr:rowOff>60960</xdr:rowOff>
                  </from>
                  <to>
                    <xdr:col>10</xdr:col>
                    <xdr:colOff>754380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0" r:id="rId4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15240</xdr:colOff>
                    <xdr:row>5</xdr:row>
                    <xdr:rowOff>60960</xdr:rowOff>
                  </from>
                  <to>
                    <xdr:col>5</xdr:col>
                    <xdr:colOff>182880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1" r:id="rId5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320040</xdr:colOff>
                    <xdr:row>5</xdr:row>
                    <xdr:rowOff>60960</xdr:rowOff>
                  </from>
                  <to>
                    <xdr:col>7</xdr:col>
                    <xdr:colOff>868680</xdr:colOff>
                    <xdr:row>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2" r:id="rId6" name="Button 4">
              <controlPr defaultSize="0" print="0" autoFill="0" autoPict="0" macro="[0]!modifyBlock">
                <anchor moveWithCells="1" sizeWithCells="1">
                  <from>
                    <xdr:col>11</xdr:col>
                    <xdr:colOff>7620</xdr:colOff>
                    <xdr:row>5</xdr:row>
                    <xdr:rowOff>45720</xdr:rowOff>
                  </from>
                  <to>
                    <xdr:col>14</xdr:col>
                    <xdr:colOff>175260</xdr:colOff>
                    <xdr:row>7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K13"/>
  <sheetViews>
    <sheetView zoomScale="70" zoomScaleNormal="70" workbookViewId="0">
      <pane ySplit="8" topLeftCell="A9" activePane="bottomLeft" state="frozen"/>
      <selection pane="bottomLeft"/>
    </sheetView>
  </sheetViews>
  <sheetFormatPr defaultRowHeight="14.4" x14ac:dyDescent="0.3"/>
  <cols>
    <col min="1" max="1" width="10.77734375" style="41" customWidth="1"/>
    <col min="2" max="2" width="34.44140625" style="42" customWidth="1"/>
    <col min="3" max="3" width="8.88671875" style="42" customWidth="1"/>
    <col min="4" max="4" width="11.6640625" style="42" customWidth="1"/>
    <col min="5" max="5" width="27.6640625" style="42" customWidth="1"/>
    <col min="6" max="6" width="8.88671875" style="42" customWidth="1"/>
    <col min="7" max="7" width="12.5546875" style="42" customWidth="1"/>
    <col min="8" max="8" width="8.88671875" style="42" customWidth="1"/>
    <col min="9" max="9" width="13.109375" style="42" customWidth="1"/>
    <col min="10" max="10" width="11.21875" style="42" customWidth="1"/>
    <col min="11" max="11" width="8.88671875" style="42"/>
    <col min="12" max="12" width="12.33203125" style="42" customWidth="1"/>
    <col min="13" max="13" width="10.21875" style="42" customWidth="1"/>
    <col min="14" max="14" width="8.88671875" style="42" customWidth="1"/>
    <col min="15" max="17" width="8.88671875" style="42"/>
    <col min="18" max="22" width="10.6640625" style="42" hidden="1" customWidth="1"/>
    <col min="23" max="52" width="0" style="42" hidden="1" customWidth="1"/>
    <col min="53" max="53" width="8.88671875" style="1" customWidth="1"/>
    <col min="54" max="54" width="30.6640625" style="1" customWidth="1"/>
    <col min="55" max="55" width="8.88671875" style="1" customWidth="1"/>
    <col min="56" max="56" width="10.33203125" style="1" customWidth="1"/>
    <col min="57" max="57" width="25.6640625" style="1" customWidth="1"/>
    <col min="58" max="58" width="12.33203125" style="1" customWidth="1"/>
    <col min="59" max="59" width="11.109375" style="1" customWidth="1"/>
    <col min="60" max="60" width="11.5546875" style="1" customWidth="1"/>
    <col min="61" max="61" width="11" style="1" customWidth="1"/>
    <col min="62" max="62" width="11.44140625" style="1" customWidth="1"/>
    <col min="63" max="63" width="8.88671875" style="1"/>
    <col min="64" max="16384" width="8.88671875" style="42"/>
  </cols>
  <sheetData>
    <row r="1" spans="2:63" s="41" customFormat="1" x14ac:dyDescent="0.3">
      <c r="B1" s="43">
        <v>1</v>
      </c>
      <c r="BA1" s="34"/>
      <c r="BB1" s="34"/>
      <c r="BC1" s="34"/>
      <c r="BD1" s="34"/>
      <c r="BE1" s="34"/>
      <c r="BF1" s="34"/>
      <c r="BG1" s="34"/>
      <c r="BH1" s="34"/>
      <c r="BI1" s="34"/>
      <c r="BJ1" s="34"/>
      <c r="BK1" s="34"/>
    </row>
    <row r="2" spans="2:63" s="41" customFormat="1" ht="21" x14ac:dyDescent="0.4">
      <c r="B2" s="47" t="s">
        <v>126</v>
      </c>
      <c r="E2" s="104" t="s">
        <v>112</v>
      </c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BA2" s="34"/>
      <c r="BB2" s="34"/>
      <c r="BC2" s="34"/>
      <c r="BD2" s="34"/>
      <c r="BE2" s="34"/>
      <c r="BF2" s="34"/>
      <c r="BG2" s="34"/>
      <c r="BH2" s="34"/>
      <c r="BI2" s="34"/>
      <c r="BJ2" s="34"/>
      <c r="BK2" s="34"/>
    </row>
    <row r="3" spans="2:63" s="41" customFormat="1" x14ac:dyDescent="0.3">
      <c r="B3" s="43"/>
      <c r="E3" s="41" cm="1">
        <f t="array" ref="E3:P5">materials[]</f>
        <v>0</v>
      </c>
      <c r="F3" s="41" t="str">
        <v>بوليلاك</v>
      </c>
      <c r="G3" s="41" t="str">
        <v>Lumber J</v>
      </c>
      <c r="H3" s="41" t="str">
        <v>بولى بلس</v>
      </c>
      <c r="I3" s="41" t="str">
        <v>PVC</v>
      </c>
      <c r="J3" s="41" t="str">
        <v>يوفيلاك</v>
      </c>
      <c r="K3" s="41" t="str">
        <v>بورديوم</v>
      </c>
      <c r="L3" s="41" t="str">
        <v>كونتر ميلامين</v>
      </c>
      <c r="M3" s="41" t="str">
        <v>HPL</v>
      </c>
      <c r="N3" s="41" t="str">
        <v>CPL</v>
      </c>
      <c r="O3" s="41" t="str">
        <v>ظهر</v>
      </c>
      <c r="P3" s="41">
        <v>0</v>
      </c>
      <c r="R3" s="41" t="s">
        <v>0</v>
      </c>
      <c r="S3" s="41" t="s">
        <v>104</v>
      </c>
      <c r="T3" s="41" t="s">
        <v>43</v>
      </c>
      <c r="U3" s="41" t="s">
        <v>64</v>
      </c>
      <c r="V3" s="44" t="s">
        <v>103</v>
      </c>
      <c r="BA3" s="34"/>
      <c r="BB3" s="34"/>
      <c r="BC3" s="34"/>
      <c r="BD3" s="34"/>
      <c r="BE3" s="34"/>
      <c r="BF3" s="34"/>
      <c r="BG3" s="34"/>
      <c r="BH3" s="34"/>
      <c r="BI3" s="34"/>
      <c r="BJ3" s="34"/>
      <c r="BK3" s="34"/>
    </row>
    <row r="4" spans="2:63" s="41" customFormat="1" x14ac:dyDescent="0.3">
      <c r="B4" s="43"/>
      <c r="E4" s="41">
        <v>0</v>
      </c>
      <c r="F4" s="41">
        <v>4</v>
      </c>
      <c r="G4" s="41">
        <v>4</v>
      </c>
      <c r="H4" s="41">
        <v>4</v>
      </c>
      <c r="I4" s="41">
        <v>4</v>
      </c>
      <c r="J4" s="41">
        <v>6</v>
      </c>
      <c r="K4" s="41">
        <v>2</v>
      </c>
      <c r="L4" s="41">
        <v>2</v>
      </c>
      <c r="M4" s="41">
        <v>2</v>
      </c>
      <c r="N4" s="41">
        <v>2</v>
      </c>
      <c r="O4" s="41">
        <v>2</v>
      </c>
      <c r="P4" s="41" t="str">
        <v xml:space="preserve">خشبى </v>
      </c>
      <c r="R4" s="41">
        <v>1</v>
      </c>
      <c r="S4" s="41">
        <v>2</v>
      </c>
      <c r="T4" s="41">
        <v>3</v>
      </c>
      <c r="U4" s="41">
        <v>4</v>
      </c>
      <c r="V4" s="41">
        <v>5</v>
      </c>
      <c r="BA4" s="34"/>
      <c r="BB4" s="34"/>
      <c r="BC4" s="34"/>
      <c r="BD4" s="34"/>
      <c r="BE4" s="34"/>
      <c r="BF4" s="34"/>
      <c r="BG4" s="34"/>
      <c r="BH4" s="34"/>
      <c r="BI4" s="34"/>
      <c r="BJ4" s="34"/>
      <c r="BK4" s="34"/>
    </row>
    <row r="5" spans="2:63" s="41" customFormat="1" x14ac:dyDescent="0.3">
      <c r="B5" s="43"/>
      <c r="E5" s="41">
        <v>0</v>
      </c>
      <c r="F5" s="41">
        <v>3</v>
      </c>
      <c r="G5" s="41">
        <v>3</v>
      </c>
      <c r="H5" s="41">
        <v>3</v>
      </c>
      <c r="I5" s="41">
        <v>3</v>
      </c>
      <c r="J5" s="41">
        <v>5</v>
      </c>
      <c r="K5" s="41">
        <v>1</v>
      </c>
      <c r="L5" s="41">
        <v>1</v>
      </c>
      <c r="M5" s="41">
        <v>1</v>
      </c>
      <c r="N5" s="41">
        <v>1</v>
      </c>
      <c r="O5" s="41">
        <v>1</v>
      </c>
      <c r="P5" s="41" t="str">
        <v>سادة</v>
      </c>
      <c r="BA5" s="34"/>
      <c r="BB5" s="34"/>
      <c r="BC5" s="34"/>
      <c r="BD5" s="34"/>
      <c r="BE5" s="34"/>
      <c r="BF5" s="34"/>
      <c r="BG5" s="34"/>
      <c r="BH5" s="34"/>
      <c r="BI5" s="34"/>
      <c r="BJ5" s="34"/>
      <c r="BK5" s="34"/>
    </row>
    <row r="6" spans="2:63" s="41" customFormat="1" x14ac:dyDescent="0.3">
      <c r="B6" s="43"/>
      <c r="BA6" s="34"/>
      <c r="BB6" s="34"/>
      <c r="BC6" s="34"/>
      <c r="BD6" s="34"/>
      <c r="BE6" s="34"/>
      <c r="BF6" s="34"/>
      <c r="BG6" s="34"/>
      <c r="BH6" s="34"/>
      <c r="BI6" s="34"/>
      <c r="BJ6" s="34"/>
      <c r="BK6" s="34"/>
    </row>
    <row r="7" spans="2:63" s="41" customFormat="1" x14ac:dyDescent="0.3">
      <c r="B7" s="43"/>
      <c r="BA7" s="34"/>
      <c r="BB7" s="34"/>
      <c r="BC7" s="34"/>
      <c r="BD7" s="34"/>
      <c r="BE7" s="34"/>
      <c r="BF7" s="34"/>
      <c r="BG7" s="34"/>
      <c r="BH7" s="34"/>
      <c r="BI7" s="34"/>
      <c r="BJ7" s="34"/>
      <c r="BK7" s="34"/>
    </row>
    <row r="8" spans="2:63" s="41" customFormat="1" x14ac:dyDescent="0.3">
      <c r="B8" s="43"/>
      <c r="BA8" s="34"/>
      <c r="BB8" s="34"/>
      <c r="BC8" s="34"/>
      <c r="BD8" s="34"/>
      <c r="BE8" s="34"/>
      <c r="BF8" s="34"/>
      <c r="BG8" s="34"/>
      <c r="BH8" s="34"/>
      <c r="BI8" s="34"/>
      <c r="BJ8" s="34"/>
      <c r="BK8" s="34"/>
    </row>
    <row r="9" spans="2:63" x14ac:dyDescent="0.3">
      <c r="BD9"/>
    </row>
    <row r="13" spans="2:63" x14ac:dyDescent="0.3">
      <c r="BB13"/>
      <c r="BC13"/>
      <c r="BD13"/>
      <c r="BE13"/>
      <c r="BF13"/>
      <c r="BG13"/>
      <c r="BH13"/>
      <c r="BI13"/>
      <c r="BJ13"/>
    </row>
  </sheetData>
  <mergeCells count="1">
    <mergeCell ref="E2:P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insertBlock">
                <anchor moveWithCells="1" sizeWithCells="1">
                  <from>
                    <xdr:col>4</xdr:col>
                    <xdr:colOff>7620</xdr:colOff>
                    <xdr:row>5</xdr:row>
                    <xdr:rowOff>38100</xdr:rowOff>
                  </from>
                  <to>
                    <xdr:col>4</xdr:col>
                    <xdr:colOff>1882140</xdr:colOff>
                    <xdr:row>7</xdr:row>
                    <xdr:rowOff>22860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4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266700</xdr:colOff>
                    <xdr:row>5</xdr:row>
                    <xdr:rowOff>45720</xdr:rowOff>
                  </from>
                  <to>
                    <xdr:col>7</xdr:col>
                    <xdr:colOff>495300</xdr:colOff>
                    <xdr:row>7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r:id="rId5" name="Button 5">
              <controlPr defaultSize="0" print="0" autoFill="0" autoPict="0" macro="[0]!OBack">
                <anchor moveWithCells="1" sizeWithCells="1">
                  <from>
                    <xdr:col>1</xdr:col>
                    <xdr:colOff>243840</xdr:colOff>
                    <xdr:row>5</xdr:row>
                    <xdr:rowOff>114300</xdr:rowOff>
                  </from>
                  <to>
                    <xdr:col>1</xdr:col>
                    <xdr:colOff>2011680</xdr:colOff>
                    <xdr:row>7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2" r:id="rId6" name="Button 6">
              <controlPr defaultSize="0" print="0" autoFill="0" autoPict="0" macro="[0]!OVisible">
                <anchor moveWithCells="1" sizeWithCells="1">
                  <from>
                    <xdr:col>1</xdr:col>
                    <xdr:colOff>289560</xdr:colOff>
                    <xdr:row>2</xdr:row>
                    <xdr:rowOff>152400</xdr:rowOff>
                  </from>
                  <to>
                    <xdr:col>1</xdr:col>
                    <xdr:colOff>2057400</xdr:colOff>
                    <xdr:row>4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r:id="rId7" name="Button 7">
              <controlPr defaultSize="0" print="0" autoFill="0" autoPict="0" macro="[0]!ONormals">
                <anchor moveWithCells="1" sizeWithCells="1">
                  <from>
                    <xdr:col>1</xdr:col>
                    <xdr:colOff>266700</xdr:colOff>
                    <xdr:row>0</xdr:row>
                    <xdr:rowOff>121920</xdr:rowOff>
                  </from>
                  <to>
                    <xdr:col>1</xdr:col>
                    <xdr:colOff>2034540</xdr:colOff>
                    <xdr:row>2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r:id="rId8" name="Button 8">
              <controlPr defaultSize="0" print="0" autoFill="0" autoPict="0" macro="[0]!toggleOutputVisibility">
                <anchor moveWithCells="1" sizeWithCells="1">
                  <from>
                    <xdr:col>8</xdr:col>
                    <xdr:colOff>213360</xdr:colOff>
                    <xdr:row>5</xdr:row>
                    <xdr:rowOff>60960</xdr:rowOff>
                  </from>
                  <to>
                    <xdr:col>10</xdr:col>
                    <xdr:colOff>541020</xdr:colOff>
                    <xdr:row>7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5" r:id="rId9" name="Button 9">
              <controlPr defaultSize="0" print="0" autoFill="0" autoPict="0" macro="[0]!OBack">
                <anchor moveWithCells="1" sizeWithCells="1">
                  <from>
                    <xdr:col>53</xdr:col>
                    <xdr:colOff>15240</xdr:colOff>
                    <xdr:row>5</xdr:row>
                    <xdr:rowOff>167640</xdr:rowOff>
                  </from>
                  <to>
                    <xdr:col>53</xdr:col>
                    <xdr:colOff>1783080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r:id="rId10" name="Button 10">
              <controlPr defaultSize="0" print="0" autoFill="0" autoPict="0" macro="[0]!OVisible">
                <anchor moveWithCells="1" sizeWithCells="1">
                  <from>
                    <xdr:col>53</xdr:col>
                    <xdr:colOff>15240</xdr:colOff>
                    <xdr:row>3</xdr:row>
                    <xdr:rowOff>0</xdr:rowOff>
                  </from>
                  <to>
                    <xdr:col>53</xdr:col>
                    <xdr:colOff>1783080</xdr:colOff>
                    <xdr:row>4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r:id="rId11" name="Button 11">
              <controlPr defaultSize="0" print="0" autoFill="0" autoPict="0" macro="[0]!ONormals">
                <anchor moveWithCells="1" sizeWithCells="1">
                  <from>
                    <xdr:col>53</xdr:col>
                    <xdr:colOff>15240</xdr:colOff>
                    <xdr:row>0</xdr:row>
                    <xdr:rowOff>152400</xdr:rowOff>
                  </from>
                  <to>
                    <xdr:col>53</xdr:col>
                    <xdr:colOff>1783080</xdr:colOff>
                    <xdr:row>2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r:id="rId12" name="Button 12">
              <controlPr defaultSize="0" print="0" autoFill="0" autoPict="0" macro="[0]!toggleOutputVisibility">
                <anchor moveWithCells="1" sizeWithCells="1">
                  <from>
                    <xdr:col>55</xdr:col>
                    <xdr:colOff>15240</xdr:colOff>
                    <xdr:row>1</xdr:row>
                    <xdr:rowOff>45720</xdr:rowOff>
                  </from>
                  <to>
                    <xdr:col>57</xdr:col>
                    <xdr:colOff>541020</xdr:colOff>
                    <xdr:row>2</xdr:row>
                    <xdr:rowOff>129540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A172"/>
  <sheetViews>
    <sheetView topLeftCell="A149" zoomScale="85" zoomScaleNormal="85" workbookViewId="0">
      <selection activeCell="C164" sqref="C164"/>
    </sheetView>
  </sheetViews>
  <sheetFormatPr defaultRowHeight="15.6" x14ac:dyDescent="0.3"/>
  <cols>
    <col min="1" max="1" width="8.21875" style="51" customWidth="1"/>
    <col min="2" max="2" width="26.88671875" style="15" customWidth="1"/>
    <col min="3" max="3" width="8.109375" style="3" bestFit="1" customWidth="1"/>
    <col min="4" max="4" width="10.21875" style="3" customWidth="1"/>
    <col min="5" max="5" width="25.109375" style="3" bestFit="1" customWidth="1"/>
    <col min="6" max="6" width="10.6640625" style="3" customWidth="1"/>
    <col min="7" max="7" width="10.21875" style="3" customWidth="1"/>
    <col min="8" max="8" width="11.21875" style="3" customWidth="1"/>
    <col min="9" max="9" width="9.77734375" style="3" customWidth="1"/>
    <col min="10" max="10" width="14" style="3" customWidth="1"/>
    <col min="11" max="11" width="11.77734375" style="3" customWidth="1"/>
    <col min="12" max="17" width="8.88671875" style="3" customWidth="1"/>
    <col min="18" max="18" width="19.33203125" style="3" customWidth="1"/>
    <col min="19" max="19" width="21.6640625" style="3" customWidth="1"/>
    <col min="20" max="20" width="20.33203125" style="3" customWidth="1"/>
    <col min="21" max="21" width="19.109375" style="3" customWidth="1"/>
    <col min="22" max="22" width="23.77734375" style="3" customWidth="1"/>
    <col min="23" max="23" width="15.5546875" style="3" customWidth="1"/>
    <col min="24" max="24" width="15.21875" style="3" customWidth="1"/>
    <col min="25" max="25" width="12.88671875" style="3" customWidth="1"/>
    <col min="26" max="26" width="9.33203125" style="3" customWidth="1"/>
    <col min="27" max="27" width="12.88671875" style="3" customWidth="1"/>
    <col min="28" max="28" width="10.6640625" style="3" customWidth="1"/>
    <col min="29" max="29" width="18.21875" style="3" customWidth="1"/>
    <col min="30" max="30" width="8.88671875" style="3" customWidth="1"/>
    <col min="31" max="31" width="16" style="3" customWidth="1"/>
    <col min="32" max="32" width="31.6640625" style="3" customWidth="1"/>
    <col min="33" max="33" width="8.88671875" style="3" customWidth="1"/>
    <col min="34" max="34" width="10.21875" style="3" customWidth="1"/>
    <col min="35" max="35" width="11.88671875" style="3" customWidth="1"/>
    <col min="36" max="36" width="10.6640625" style="3" customWidth="1"/>
    <col min="37" max="37" width="10.21875" style="3" customWidth="1"/>
    <col min="38" max="38" width="8.88671875" style="3" customWidth="1"/>
    <col min="39" max="39" width="9.77734375" style="3" customWidth="1"/>
    <col min="40" max="40" width="21.33203125" style="3" customWidth="1"/>
    <col min="41" max="41" width="9.33203125" style="3" customWidth="1"/>
    <col min="42" max="42" width="12.88671875" style="3" customWidth="1"/>
    <col min="43" max="43" width="10.6640625" style="3" customWidth="1"/>
    <col min="44" max="44" width="18.21875" style="3" customWidth="1"/>
    <col min="45" max="45" width="8.88671875" style="3" customWidth="1"/>
    <col min="46" max="46" width="16" style="3" customWidth="1"/>
    <col min="47" max="47" width="31.6640625" style="3" customWidth="1"/>
    <col min="48" max="48" width="8.88671875" style="3" customWidth="1"/>
    <col min="49" max="49" width="10.21875" style="3" customWidth="1"/>
    <col min="50" max="50" width="13.77734375" style="3" customWidth="1"/>
    <col min="51" max="51" width="10.6640625" style="3" customWidth="1"/>
    <col min="52" max="52" width="10.21875" style="3" customWidth="1"/>
    <col min="53" max="53" width="8.88671875" style="3"/>
    <col min="54" max="54" width="9.77734375" style="3" customWidth="1"/>
    <col min="55" max="55" width="21.33203125" style="3" customWidth="1"/>
    <col min="56" max="56" width="9.33203125" style="3" customWidth="1"/>
    <col min="57" max="57" width="12.88671875" style="3" customWidth="1"/>
    <col min="58" max="58" width="10.6640625" style="3" customWidth="1"/>
    <col min="59" max="59" width="18.21875" style="3" customWidth="1"/>
    <col min="60" max="60" width="8.88671875" style="3"/>
    <col min="61" max="61" width="16" style="3" customWidth="1"/>
    <col min="62" max="62" width="31.6640625" style="3" customWidth="1"/>
    <col min="63" max="63" width="8.88671875" style="3"/>
    <col min="64" max="64" width="10.21875" style="3" customWidth="1"/>
    <col min="65" max="65" width="11.88671875" style="3" customWidth="1"/>
    <col min="66" max="66" width="10.6640625" style="3" customWidth="1"/>
    <col min="67" max="67" width="10.21875" style="3" customWidth="1"/>
    <col min="68" max="68" width="8.88671875" style="3"/>
    <col min="69" max="69" width="9.77734375" style="3" customWidth="1"/>
    <col min="70" max="70" width="21.33203125" style="3" customWidth="1"/>
    <col min="71" max="71" width="9.33203125" style="3" customWidth="1"/>
    <col min="72" max="72" width="12.88671875" style="3" customWidth="1"/>
    <col min="73" max="73" width="10.6640625" style="3" customWidth="1"/>
    <col min="74" max="74" width="18.21875" style="3" customWidth="1"/>
    <col min="75" max="16384" width="8.88671875" style="3"/>
  </cols>
  <sheetData>
    <row r="1" spans="1:75" s="35" customFormat="1" x14ac:dyDescent="0.3">
      <c r="A1" s="51">
        <v>13</v>
      </c>
      <c r="B1" s="52">
        <v>7</v>
      </c>
    </row>
    <row r="2" spans="1:75" s="35" customFormat="1" ht="37.200000000000003" customHeight="1" x14ac:dyDescent="0.3">
      <c r="A2" s="51">
        <v>30</v>
      </c>
      <c r="B2" s="48" t="s">
        <v>121</v>
      </c>
      <c r="C2" s="106" t="s">
        <v>0</v>
      </c>
      <c r="D2" s="106"/>
      <c r="E2" s="106"/>
      <c r="F2" s="106"/>
      <c r="G2" s="106"/>
      <c r="H2" s="106"/>
      <c r="I2" s="106"/>
      <c r="J2" s="106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</row>
    <row r="3" spans="1:75" s="35" customFormat="1" ht="18" customHeight="1" x14ac:dyDescent="0.3">
      <c r="A3" s="51"/>
      <c r="B3" s="53" t="s">
        <v>174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Q3" s="45"/>
      <c r="R3" s="34"/>
      <c r="S3" s="34"/>
      <c r="T3" s="34"/>
      <c r="U3" s="34"/>
      <c r="V3" s="40"/>
      <c r="W3" s="40"/>
      <c r="X3" s="40"/>
      <c r="Y3" s="40"/>
      <c r="Z3" s="40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</row>
    <row r="4" spans="1:75" s="35" customFormat="1" ht="14.4" x14ac:dyDescent="0.3">
      <c r="A4" s="51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Q4" s="45"/>
      <c r="R4" s="34"/>
      <c r="S4" s="34"/>
      <c r="T4" s="34"/>
      <c r="U4" s="34"/>
      <c r="V4" s="34"/>
      <c r="W4" s="34"/>
      <c r="X4" s="34"/>
      <c r="Y4" s="34"/>
      <c r="Z4" s="34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</row>
    <row r="5" spans="1:75" s="35" customFormat="1" ht="14.4" x14ac:dyDescent="0.3">
      <c r="A5" s="51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</row>
    <row r="6" spans="1:75" s="35" customFormat="1" ht="14.4" x14ac:dyDescent="0.3">
      <c r="A6" s="51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</row>
    <row r="7" spans="1:75" s="37" customFormat="1" ht="18" x14ac:dyDescent="0.3">
      <c r="A7" s="51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</row>
    <row r="8" spans="1:75" s="38" customFormat="1" ht="18" x14ac:dyDescent="0.3">
      <c r="A8" s="51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</row>
    <row r="9" spans="1:75" customFormat="1" ht="14.4" x14ac:dyDescent="0.3">
      <c r="A9" s="51"/>
      <c r="K9" s="1"/>
    </row>
    <row r="10" spans="1:75" customFormat="1" ht="14.4" x14ac:dyDescent="0.3">
      <c r="A10" s="51"/>
      <c r="K10" s="1"/>
    </row>
    <row r="11" spans="1:75" x14ac:dyDescent="0.3"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</row>
    <row r="12" spans="1:75" x14ac:dyDescent="0.3"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</row>
    <row r="13" spans="1:75" ht="36" x14ac:dyDescent="0.3">
      <c r="A13" s="51" t="s">
        <v>155</v>
      </c>
      <c r="C13" s="14">
        <v>1</v>
      </c>
      <c r="D13" s="22" t="s">
        <v>59</v>
      </c>
      <c r="E13" s="101" t="s">
        <v>142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سفلية")</f>
        <v>4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</row>
    <row r="14" spans="1:75" ht="40.799999999999997" customHeight="1" x14ac:dyDescent="0.3">
      <c r="A14" s="51">
        <v>1</v>
      </c>
      <c r="C14" s="7" t="s">
        <v>129</v>
      </c>
      <c r="D14" s="7" t="s">
        <v>128</v>
      </c>
      <c r="E14" s="7" t="s">
        <v>130</v>
      </c>
      <c r="F14" s="7" t="s">
        <v>127</v>
      </c>
      <c r="G14" s="27" t="str">
        <f>INDEX(global[[#All],[Column1]],MATCH(H14,global[[#All],[Column2]],0))</f>
        <v>ظهر</v>
      </c>
      <c r="H14" s="7" t="s">
        <v>58</v>
      </c>
      <c r="I14" s="9" cm="1">
        <f t="array" aca="1" ref="I14" ca="1">defaultValue(J14,K13)</f>
        <v>45</v>
      </c>
      <c r="J14" s="16" t="s">
        <v>19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</row>
    <row r="15" spans="1:75" ht="31.2" x14ac:dyDescent="0.3">
      <c r="A15" s="51">
        <v>1</v>
      </c>
      <c r="C15" s="8">
        <v>0</v>
      </c>
      <c r="D15" s="8">
        <v>0</v>
      </c>
      <c r="E15" s="7">
        <v>0</v>
      </c>
      <c r="F15" s="7">
        <v>0</v>
      </c>
      <c r="G15" s="7" t="s">
        <v>16</v>
      </c>
      <c r="H15" s="7" t="s">
        <v>22</v>
      </c>
      <c r="I15" s="7" t="s">
        <v>3</v>
      </c>
      <c r="J15" s="7" t="s">
        <v>113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</row>
    <row r="16" spans="1:75" x14ac:dyDescent="0.3">
      <c r="A16" s="51">
        <v>1</v>
      </c>
      <c r="C16" s="8">
        <v>30</v>
      </c>
      <c r="D16" s="8">
        <v>20</v>
      </c>
      <c r="E16" s="7">
        <v>10</v>
      </c>
      <c r="F16" s="7">
        <v>7</v>
      </c>
      <c r="G16" s="27" cm="1">
        <f t="array" aca="1" ref="G16" ca="1">defaultValue(G15,K13)</f>
        <v>3.5</v>
      </c>
      <c r="H16" s="8">
        <v>60</v>
      </c>
      <c r="I16" s="27" cm="1">
        <f t="array" aca="1" ref="I16" ca="1">defaultValue(I15,K13)</f>
        <v>78</v>
      </c>
      <c r="J16" s="27" cm="1">
        <f t="array" aca="1" ref="J16" ca="1">defaultValue(J15,K13)</f>
        <v>56</v>
      </c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</row>
    <row r="17" spans="1:75" ht="31.2" x14ac:dyDescent="0.3">
      <c r="A17" s="51">
        <v>1</v>
      </c>
      <c r="B17" s="59" t="s">
        <v>148</v>
      </c>
      <c r="C17" s="60">
        <v>0</v>
      </c>
      <c r="D17" s="58">
        <v>4</v>
      </c>
      <c r="E17" s="58" t="s">
        <v>143</v>
      </c>
      <c r="F17" s="27" t="str" cm="1">
        <f t="array" aca="1" ref="F17" ca="1">defaultValue(G17,K13)</f>
        <v>يوفيلاك</v>
      </c>
      <c r="G17" s="7" t="s">
        <v>32</v>
      </c>
      <c r="H17" s="27" t="str" cm="1">
        <f t="array" aca="1" ref="H17" ca="1">defaultValue(I17,K13)</f>
        <v>HPL</v>
      </c>
      <c r="I17" s="7" t="s">
        <v>31</v>
      </c>
      <c r="J17" s="25" t="s">
        <v>111</v>
      </c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</row>
    <row r="18" spans="1:75" ht="14.4" x14ac:dyDescent="0.3">
      <c r="A18" s="51">
        <v>0</v>
      </c>
      <c r="B18"/>
      <c r="C18"/>
      <c r="D18"/>
      <c r="E18"/>
      <c r="F18"/>
      <c r="G18"/>
      <c r="H18"/>
      <c r="I18"/>
      <c r="J18"/>
      <c r="K18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</row>
    <row r="19" spans="1:75" x14ac:dyDescent="0.3">
      <c r="A19" s="51">
        <v>2</v>
      </c>
      <c r="C19" s="6" t="s">
        <v>4</v>
      </c>
      <c r="D19" s="6" t="s">
        <v>9</v>
      </c>
      <c r="E19" s="6" t="s">
        <v>5</v>
      </c>
      <c r="F19" s="6" t="s">
        <v>7</v>
      </c>
      <c r="G19" s="6" t="s">
        <v>1</v>
      </c>
      <c r="H19" s="6" t="s">
        <v>6</v>
      </c>
      <c r="I19" s="6" t="s">
        <v>33</v>
      </c>
      <c r="J19" s="6" t="s">
        <v>8</v>
      </c>
      <c r="K19" s="6" t="s">
        <v>185</v>
      </c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</row>
    <row r="20" spans="1:75" ht="14.4" x14ac:dyDescent="0.3">
      <c r="A20" s="51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</row>
    <row r="21" spans="1:75" x14ac:dyDescent="0.3">
      <c r="A21" s="51">
        <v>3</v>
      </c>
      <c r="B21" s="15" t="str">
        <f>E13</f>
        <v xml:space="preserve">وحدة سفلية    أدراج </v>
      </c>
      <c r="C21" s="6">
        <v>1</v>
      </c>
      <c r="D21" s="6" t="str">
        <f ca="1">H17</f>
        <v>HPL</v>
      </c>
      <c r="E21" s="6" t="s">
        <v>10</v>
      </c>
      <c r="F21" s="6">
        <f>H16-3.6</f>
        <v>56.4</v>
      </c>
      <c r="G21" s="6">
        <f ca="1">J16</f>
        <v>56</v>
      </c>
      <c r="H21" s="6">
        <f>1*C13</f>
        <v>1</v>
      </c>
      <c r="I21" s="6">
        <f ca="1">HLOOKUP(D21, materials[], 2,FALSE)</f>
        <v>2</v>
      </c>
      <c r="J21" s="6"/>
      <c r="K21" s="6" t="b">
        <v>1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</row>
    <row r="22" spans="1:75" x14ac:dyDescent="0.3">
      <c r="A22" s="51">
        <v>3</v>
      </c>
      <c r="B22" s="15" t="str">
        <f>B21</f>
        <v xml:space="preserve">وحدة سفلية    أدراج </v>
      </c>
      <c r="C22" s="6">
        <f>C21+1</f>
        <v>2</v>
      </c>
      <c r="D22" s="6" t="str">
        <f ca="1">H17</f>
        <v>HPL</v>
      </c>
      <c r="E22" s="6" t="s">
        <v>11</v>
      </c>
      <c r="F22" s="6">
        <f ca="1">I16</f>
        <v>78</v>
      </c>
      <c r="G22" s="6">
        <f ca="1">J16</f>
        <v>56</v>
      </c>
      <c r="H22" s="6">
        <f>2*C13</f>
        <v>2</v>
      </c>
      <c r="I22" s="6">
        <f ca="1">HLOOKUP(D22, materials[], 2,FALSE)</f>
        <v>2</v>
      </c>
      <c r="J22" s="6"/>
      <c r="K22" s="6" t="b">
        <v>1</v>
      </c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</row>
    <row r="23" spans="1:75" x14ac:dyDescent="0.3">
      <c r="A23" s="51">
        <v>3</v>
      </c>
      <c r="B23" s="15" t="str">
        <f>B21</f>
        <v xml:space="preserve">وحدة سفلية    أدراج </v>
      </c>
      <c r="C23" s="6">
        <f t="shared" ref="C23:C35" si="0">C22+1</f>
        <v>3</v>
      </c>
      <c r="D23" s="6" t="str">
        <f ca="1">H17</f>
        <v>HPL</v>
      </c>
      <c r="E23" s="6" t="s">
        <v>13</v>
      </c>
      <c r="F23" s="6">
        <f>H16-3.6</f>
        <v>56.4</v>
      </c>
      <c r="G23" s="6">
        <v>10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</row>
    <row r="24" spans="1:75" x14ac:dyDescent="0.3">
      <c r="A24" s="51">
        <v>3</v>
      </c>
      <c r="B24" s="15" t="str">
        <f>B21</f>
        <v xml:space="preserve">وحدة سفلية    أدراج </v>
      </c>
      <c r="C24" s="6">
        <f t="shared" si="0"/>
        <v>4</v>
      </c>
      <c r="D24" s="6" t="str">
        <f ca="1">H17</f>
        <v>HPL</v>
      </c>
      <c r="E24" s="6" t="s">
        <v>14</v>
      </c>
      <c r="F24" s="6">
        <f>H16-3.6</f>
        <v>56.4</v>
      </c>
      <c r="G24" s="6">
        <v>7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</row>
    <row r="25" spans="1:75" x14ac:dyDescent="0.3">
      <c r="A25" s="51">
        <v>3</v>
      </c>
      <c r="B25" s="15" t="str">
        <f>B21</f>
        <v xml:space="preserve">وحدة سفلية    أدراج </v>
      </c>
      <c r="C25" s="10">
        <f t="shared" si="0"/>
        <v>5</v>
      </c>
      <c r="D25" s="10" t="str">
        <f ca="1">H17</f>
        <v>HPL</v>
      </c>
      <c r="E25" s="10" t="s">
        <v>131</v>
      </c>
      <c r="F25" s="10">
        <f>H16-3.6-3.6-2.5</f>
        <v>50.3</v>
      </c>
      <c r="G25" s="10">
        <f>E16</f>
        <v>10</v>
      </c>
      <c r="H25" s="10">
        <f>E15*C13</f>
        <v>0</v>
      </c>
      <c r="I25" s="10">
        <f ca="1">HLOOKUP(D25, materials[], 2,FALSE)</f>
        <v>2</v>
      </c>
      <c r="J25" s="10"/>
      <c r="K25" s="10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</row>
    <row r="26" spans="1:75" x14ac:dyDescent="0.3">
      <c r="A26" s="51">
        <v>3</v>
      </c>
      <c r="B26" s="15" t="str">
        <f>B21</f>
        <v xml:space="preserve">وحدة سفلية    أدراج </v>
      </c>
      <c r="C26" s="10">
        <f t="shared" si="0"/>
        <v>6</v>
      </c>
      <c r="D26" s="10" t="str">
        <f ca="1">H17</f>
        <v>HPL</v>
      </c>
      <c r="E26" s="10" t="s">
        <v>132</v>
      </c>
      <c r="F26" s="10">
        <f ca="1">I14</f>
        <v>45</v>
      </c>
      <c r="G26" s="10">
        <f>E16</f>
        <v>10</v>
      </c>
      <c r="H26" s="10">
        <f>E15*2*C13</f>
        <v>0</v>
      </c>
      <c r="I26" s="10">
        <f ca="1">HLOOKUP(D26, materials[], 2,FALSE)</f>
        <v>2</v>
      </c>
      <c r="J26" s="10"/>
      <c r="K26" s="10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</row>
    <row r="27" spans="1:75" x14ac:dyDescent="0.3">
      <c r="A27" s="51">
        <v>3</v>
      </c>
      <c r="B27" s="15" t="str">
        <f>B21</f>
        <v xml:space="preserve">وحدة سفلية    أدراج </v>
      </c>
      <c r="C27" s="10">
        <f t="shared" si="0"/>
        <v>7</v>
      </c>
      <c r="D27" s="10" t="str">
        <f ca="1">H17</f>
        <v>HPL</v>
      </c>
      <c r="E27" s="10" t="s">
        <v>133</v>
      </c>
      <c r="F27" s="10">
        <f>H16-3.6-3.6-2.5</f>
        <v>50.3</v>
      </c>
      <c r="G27" s="10">
        <f>E16-3</f>
        <v>7</v>
      </c>
      <c r="H27" s="10">
        <f>E15*C13</f>
        <v>0</v>
      </c>
      <c r="I27" s="10">
        <f ca="1">HLOOKUP(D27, materials[], 2,FALSE)</f>
        <v>2</v>
      </c>
      <c r="J27" s="10"/>
      <c r="K27" s="10" t="b">
        <v>1</v>
      </c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</row>
    <row r="28" spans="1:75" x14ac:dyDescent="0.3">
      <c r="A28" s="51">
        <v>3</v>
      </c>
      <c r="B28" s="15" t="str">
        <f>B21</f>
        <v xml:space="preserve">وحدة سفلية    أدراج </v>
      </c>
      <c r="C28" s="11">
        <f t="shared" si="0"/>
        <v>8</v>
      </c>
      <c r="D28" s="11" t="str">
        <f ca="1">H17</f>
        <v>HPL</v>
      </c>
      <c r="E28" s="11" t="s">
        <v>134</v>
      </c>
      <c r="F28" s="11">
        <f>H16-3.6-3.6-2.5</f>
        <v>50.3</v>
      </c>
      <c r="G28" s="11">
        <f>D16</f>
        <v>20</v>
      </c>
      <c r="H28" s="11">
        <f>(D15*C13)</f>
        <v>0</v>
      </c>
      <c r="I28" s="11">
        <f ca="1">HLOOKUP(D28, materials[], 2,FALSE)</f>
        <v>2</v>
      </c>
      <c r="J28" s="11"/>
      <c r="K28" s="11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</row>
    <row r="29" spans="1:75" x14ac:dyDescent="0.3">
      <c r="A29" s="51">
        <v>3</v>
      </c>
      <c r="B29" s="15" t="str">
        <f>B21</f>
        <v xml:space="preserve">وحدة سفلية    أدراج </v>
      </c>
      <c r="C29" s="11">
        <f t="shared" si="0"/>
        <v>9</v>
      </c>
      <c r="D29" s="11" t="str">
        <f ca="1">H17</f>
        <v>HPL</v>
      </c>
      <c r="E29" s="11" t="s">
        <v>135</v>
      </c>
      <c r="F29" s="11">
        <f ca="1">I14</f>
        <v>45</v>
      </c>
      <c r="G29" s="11">
        <f>D16</f>
        <v>20</v>
      </c>
      <c r="H29" s="11">
        <f>(D15)*2*C13</f>
        <v>0</v>
      </c>
      <c r="I29" s="11">
        <f ca="1">HLOOKUP(D29, materials[], 2,FALSE)</f>
        <v>2</v>
      </c>
      <c r="J29" s="11"/>
      <c r="K29" s="11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</row>
    <row r="30" spans="1:75" x14ac:dyDescent="0.3">
      <c r="A30" s="51">
        <v>3</v>
      </c>
      <c r="B30" s="15" t="str">
        <f>B21</f>
        <v xml:space="preserve">وحدة سفلية    أدراج </v>
      </c>
      <c r="C30" s="11">
        <f t="shared" si="0"/>
        <v>10</v>
      </c>
      <c r="D30" s="11" t="str">
        <f ca="1">H17</f>
        <v>HPL</v>
      </c>
      <c r="E30" s="11" t="s">
        <v>136</v>
      </c>
      <c r="F30" s="11">
        <f>H16-3.6-3.6-2.5</f>
        <v>50.3</v>
      </c>
      <c r="G30" s="11">
        <f>D16-3</f>
        <v>17</v>
      </c>
      <c r="H30" s="11">
        <f>(D15)*C13</f>
        <v>0</v>
      </c>
      <c r="I30" s="11">
        <f ca="1">HLOOKUP(D30, materials[], 2,FALSE)</f>
        <v>2</v>
      </c>
      <c r="J30" s="11"/>
      <c r="K30" s="11" t="b">
        <v>1</v>
      </c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</row>
    <row r="31" spans="1:75" x14ac:dyDescent="0.3">
      <c r="A31" s="51">
        <v>3</v>
      </c>
      <c r="B31" s="15" t="str">
        <f>B21</f>
        <v xml:space="preserve">وحدة سفلية    أدراج </v>
      </c>
      <c r="C31" s="10">
        <f t="shared" si="0"/>
        <v>11</v>
      </c>
      <c r="D31" s="10" t="str">
        <f ca="1">H17</f>
        <v>HPL</v>
      </c>
      <c r="E31" s="10" t="s">
        <v>139</v>
      </c>
      <c r="F31" s="10">
        <f>H16-3.6-3.6-2.5</f>
        <v>50.3</v>
      </c>
      <c r="G31" s="10">
        <f>C16</f>
        <v>30</v>
      </c>
      <c r="H31" s="10">
        <f>C15*C13</f>
        <v>0</v>
      </c>
      <c r="I31" s="10">
        <f ca="1">HLOOKUP(D31, materials[], 2,FALSE)</f>
        <v>2</v>
      </c>
      <c r="J31" s="10"/>
      <c r="K31" s="10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x14ac:dyDescent="0.3">
      <c r="A32" s="51">
        <v>3</v>
      </c>
      <c r="B32" s="15" t="str">
        <f>B21</f>
        <v xml:space="preserve">وحدة سفلية    أدراج </v>
      </c>
      <c r="C32" s="10">
        <f t="shared" si="0"/>
        <v>12</v>
      </c>
      <c r="D32" s="10" t="str">
        <f ca="1">H17</f>
        <v>HPL</v>
      </c>
      <c r="E32" s="10" t="s">
        <v>140</v>
      </c>
      <c r="F32" s="10">
        <f ca="1">I14</f>
        <v>45</v>
      </c>
      <c r="G32" s="10">
        <f>C16</f>
        <v>30</v>
      </c>
      <c r="H32" s="10">
        <f>C15*2*C13</f>
        <v>0</v>
      </c>
      <c r="I32" s="10">
        <f ca="1">HLOOKUP(D32, materials[], 2,FALSE)</f>
        <v>2</v>
      </c>
      <c r="J32" s="10"/>
      <c r="K32" s="10" t="b">
        <v>1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x14ac:dyDescent="0.3">
      <c r="A33" s="51">
        <v>3</v>
      </c>
      <c r="B33" s="15" t="str">
        <f>B21</f>
        <v xml:space="preserve">وحدة سفلية    أدراج </v>
      </c>
      <c r="C33" s="10">
        <f t="shared" si="0"/>
        <v>13</v>
      </c>
      <c r="D33" s="10" t="str">
        <f ca="1">H17</f>
        <v>HPL</v>
      </c>
      <c r="E33" s="10" t="s">
        <v>141</v>
      </c>
      <c r="F33" s="10">
        <f>H16-3.6-3.6-2.5</f>
        <v>50.3</v>
      </c>
      <c r="G33" s="10">
        <f>C16-3</f>
        <v>27</v>
      </c>
      <c r="H33" s="10">
        <f>C15*C13</f>
        <v>0</v>
      </c>
      <c r="I33" s="10">
        <f ca="1">HLOOKUP(D33, materials[], 2,FALSE)</f>
        <v>2</v>
      </c>
      <c r="J33" s="10"/>
      <c r="K33" s="10" t="b">
        <v>1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3</v>
      </c>
      <c r="B34" s="15" t="str">
        <f>B21</f>
        <v xml:space="preserve">وحدة سفلية    أدراج </v>
      </c>
      <c r="C34" s="11">
        <f t="shared" si="0"/>
        <v>14</v>
      </c>
      <c r="D34" s="11" t="str">
        <f ca="1">H17</f>
        <v>HPL</v>
      </c>
      <c r="E34" s="11" t="s">
        <v>138</v>
      </c>
      <c r="F34" s="11">
        <f>H16-3.6-3.6-2.5</f>
        <v>50.3</v>
      </c>
      <c r="G34" s="11">
        <f>F16</f>
        <v>7</v>
      </c>
      <c r="H34" s="11">
        <f>C13*F15*2</f>
        <v>0</v>
      </c>
      <c r="I34" s="11">
        <f ca="1">HLOOKUP(D34, materials[], 2,FALSE)</f>
        <v>2</v>
      </c>
      <c r="J34" s="11"/>
      <c r="K34" s="11" t="b">
        <v>1</v>
      </c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x14ac:dyDescent="0.3">
      <c r="A35" s="51">
        <v>3</v>
      </c>
      <c r="B35" s="15" t="str">
        <f>B21</f>
        <v xml:space="preserve">وحدة سفلية    أدراج </v>
      </c>
      <c r="C35" s="11">
        <f t="shared" si="0"/>
        <v>15</v>
      </c>
      <c r="D35" s="11" t="str">
        <f ca="1">H17</f>
        <v>HPL</v>
      </c>
      <c r="E35" s="11" t="s">
        <v>137</v>
      </c>
      <c r="F35" s="11">
        <f ca="1">I14</f>
        <v>45</v>
      </c>
      <c r="G35" s="11">
        <f>F16</f>
        <v>7</v>
      </c>
      <c r="H35" s="11">
        <f>C13*F15*2</f>
        <v>0</v>
      </c>
      <c r="I35" s="11">
        <f ca="1">HLOOKUP(D35, materials[], 2,FALSE)</f>
        <v>2</v>
      </c>
      <c r="J35" s="11"/>
      <c r="K35" s="11" t="b">
        <v>1</v>
      </c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4</v>
      </c>
      <c r="B37" s="15" t="str">
        <f>B21</f>
        <v xml:space="preserve">وحدة سفلية    أدراج </v>
      </c>
      <c r="C37" s="9">
        <f>C35+1</f>
        <v>16</v>
      </c>
      <c r="D37" s="9" t="str">
        <f ca="1">F17</f>
        <v>يوفيلاك</v>
      </c>
      <c r="E37" s="9" t="s">
        <v>144</v>
      </c>
      <c r="F37" s="9">
        <f ca="1">((I16/D17)-0.5-G16)</f>
        <v>15.5</v>
      </c>
      <c r="G37" s="9">
        <f>H16-0.5</f>
        <v>59.5</v>
      </c>
      <c r="H37" s="9" t="str">
        <f>IF(D17&gt;3,"",(D17*C13))</f>
        <v/>
      </c>
      <c r="I37" s="9">
        <f ca="1">HLOOKUP(D37, materials[], 2,FALSE)</f>
        <v>6</v>
      </c>
      <c r="J37" s="9"/>
      <c r="K37" s="9" t="b">
        <v>1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x14ac:dyDescent="0.3">
      <c r="A38" s="51">
        <v>4</v>
      </c>
      <c r="B38" s="15" t="str">
        <f>B21</f>
        <v xml:space="preserve">وحدة سفلية    أدراج </v>
      </c>
      <c r="C38" s="9">
        <f>C37+1</f>
        <v>17</v>
      </c>
      <c r="D38" s="9" t="str">
        <f ca="1">F17</f>
        <v>يوفيلاك</v>
      </c>
      <c r="E38" s="9" t="s">
        <v>145</v>
      </c>
      <c r="F38" s="9">
        <f ca="1">((I16/D17)-0.5-G16)</f>
        <v>15.5</v>
      </c>
      <c r="G38" s="9">
        <f>H16-0.5</f>
        <v>59.5</v>
      </c>
      <c r="H38" s="9" t="str">
        <f>IF(AND(D17=4,C17),(D17*C13),"")</f>
        <v/>
      </c>
      <c r="I38" s="9">
        <f ca="1">HLOOKUP(D38, materials[], 2,FALSE)</f>
        <v>6</v>
      </c>
      <c r="J38" s="9"/>
      <c r="K38" s="9" t="b">
        <v>1</v>
      </c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4</v>
      </c>
      <c r="B39" s="15" t="str">
        <f>B21</f>
        <v xml:space="preserve">وحدة سفلية    أدراج </v>
      </c>
      <c r="C39" s="9">
        <f>C38+1</f>
        <v>18</v>
      </c>
      <c r="D39" s="9" t="str">
        <f ca="1">F17</f>
        <v>يوفيلاك</v>
      </c>
      <c r="E39" s="9" t="s">
        <v>146</v>
      </c>
      <c r="F39" s="9">
        <f ca="1">((I16/D17)-0.5-G16)</f>
        <v>15.5</v>
      </c>
      <c r="G39" s="9">
        <f>H16-0.5</f>
        <v>59.5</v>
      </c>
      <c r="H39" s="9">
        <f>IF(AND(D17=4,NOT(C17)),(D17*C13),"")</f>
        <v>4</v>
      </c>
      <c r="I39" s="9">
        <f ca="1">HLOOKUP(D39, materials[], 2,FALSE)</f>
        <v>6</v>
      </c>
      <c r="J39" s="9"/>
      <c r="K39" s="9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4</v>
      </c>
      <c r="B40" s="15" t="str">
        <f>B21</f>
        <v xml:space="preserve">وحدة سفلية    أدراج </v>
      </c>
      <c r="C40" s="9">
        <f>C39+1</f>
        <v>19</v>
      </c>
      <c r="D40" s="9" t="str">
        <f ca="1">F17</f>
        <v>يوفيلاك</v>
      </c>
      <c r="E40" s="9" t="s">
        <v>147</v>
      </c>
      <c r="F40" s="9">
        <f ca="1">((I16/D17)*2)-G16-0.5</f>
        <v>35</v>
      </c>
      <c r="G40" s="9">
        <f>H16-0.5</f>
        <v>59.5</v>
      </c>
      <c r="H40" s="9">
        <f>IF(AND(D17=4,NOT(C17)),(D17*C13),"")</f>
        <v>4</v>
      </c>
      <c r="I40" s="9">
        <f ca="1">HLOOKUP(D40, materials[], 2,FALSE)</f>
        <v>6</v>
      </c>
      <c r="J40" s="9"/>
      <c r="K40" s="9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ht="14.4" x14ac:dyDescent="0.3">
      <c r="A41" s="51">
        <v>0</v>
      </c>
      <c r="B41"/>
      <c r="C41"/>
      <c r="D41"/>
      <c r="E41"/>
      <c r="F41"/>
      <c r="G41"/>
      <c r="H41"/>
      <c r="I41"/>
      <c r="J41"/>
      <c r="K4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5</v>
      </c>
      <c r="B42" s="15" t="str">
        <f>B21</f>
        <v xml:space="preserve">وحدة سفلية    أدراج </v>
      </c>
      <c r="C42" s="19">
        <f>C37+1</f>
        <v>17</v>
      </c>
      <c r="D42" s="19" t="str">
        <f>G14</f>
        <v>ظهر</v>
      </c>
      <c r="E42" s="19" t="s">
        <v>58</v>
      </c>
      <c r="F42" s="19">
        <f ca="1">I16-2</f>
        <v>76</v>
      </c>
      <c r="G42" s="19">
        <f>H16-2</f>
        <v>58</v>
      </c>
      <c r="H42" s="19">
        <f>1*C13</f>
        <v>1</v>
      </c>
      <c r="I42" s="19">
        <f>HLOOKUP(D42, materials[], 2,FALSE)</f>
        <v>2</v>
      </c>
      <c r="J42" s="19"/>
      <c r="K42" s="19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5</v>
      </c>
      <c r="B43" s="15" t="str">
        <f>B21</f>
        <v xml:space="preserve">وحدة سفلية    أدراج </v>
      </c>
      <c r="C43" s="19">
        <f>C38+1</f>
        <v>18</v>
      </c>
      <c r="D43" s="19" t="str">
        <f>G14</f>
        <v>ظهر</v>
      </c>
      <c r="E43" s="19" t="s">
        <v>149</v>
      </c>
      <c r="F43" s="19">
        <f>H16-3.6-3.6-2.5+2</f>
        <v>52.3</v>
      </c>
      <c r="G43" s="19">
        <f ca="1">I14-1</f>
        <v>44</v>
      </c>
      <c r="H43" s="19">
        <f>E15*C13</f>
        <v>0</v>
      </c>
      <c r="I43" s="19">
        <f>HLOOKUP(D43, materials[], 2,FALSE)</f>
        <v>2</v>
      </c>
      <c r="J43" s="19"/>
      <c r="K43" s="19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5</v>
      </c>
      <c r="B44" s="15" t="str">
        <f>B21</f>
        <v xml:space="preserve">وحدة سفلية    أدراج </v>
      </c>
      <c r="C44" s="19">
        <f>C39+1</f>
        <v>19</v>
      </c>
      <c r="D44" s="19" t="str">
        <f>G14</f>
        <v>ظهر</v>
      </c>
      <c r="E44" s="19" t="s">
        <v>150</v>
      </c>
      <c r="F44" s="19">
        <f>H16-3.6-3.6-2.5+2</f>
        <v>52.3</v>
      </c>
      <c r="G44" s="19">
        <f ca="1">I14-1</f>
        <v>44</v>
      </c>
      <c r="H44" s="19">
        <f>(D15*C13)</f>
        <v>0</v>
      </c>
      <c r="I44" s="19">
        <f>HLOOKUP(D44, materials[], 2,FALSE)</f>
        <v>2</v>
      </c>
      <c r="J44" s="19"/>
      <c r="K44" s="19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5</v>
      </c>
      <c r="B45" s="15" t="str">
        <f>B21</f>
        <v xml:space="preserve">وحدة سفلية    أدراج </v>
      </c>
      <c r="C45" s="19">
        <f>C40+1</f>
        <v>20</v>
      </c>
      <c r="D45" s="19" t="str">
        <f>G14</f>
        <v>ظهر</v>
      </c>
      <c r="E45" s="19" t="s">
        <v>151</v>
      </c>
      <c r="F45" s="19">
        <f>H16-3.6-3.6-2.5+2</f>
        <v>52.3</v>
      </c>
      <c r="G45" s="19">
        <f ca="1">I14-1</f>
        <v>44</v>
      </c>
      <c r="H45" s="19">
        <f>C15*C13</f>
        <v>0</v>
      </c>
      <c r="I45" s="19">
        <f>HLOOKUP(D45, materials[], 2,FALSE)</f>
        <v>2</v>
      </c>
      <c r="J45" s="19"/>
      <c r="K45" s="19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255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255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ht="36" x14ac:dyDescent="0.3">
      <c r="A48" s="51" t="s">
        <v>160</v>
      </c>
      <c r="C48" s="14">
        <v>1</v>
      </c>
      <c r="D48" s="22" t="s">
        <v>59</v>
      </c>
      <c r="E48" s="101" t="s">
        <v>23</v>
      </c>
      <c r="F48" s="102"/>
      <c r="G48" s="102"/>
      <c r="H48" s="103"/>
      <c r="I48" s="2" t="s">
        <v>30</v>
      </c>
      <c r="J48" s="2">
        <f>letterToNumber(A48)</f>
        <v>2</v>
      </c>
      <c r="K48" s="7">
        <f ca="1">_xlfn.SHEET("وحدات سفلية")</f>
        <v>4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ht="31.2" x14ac:dyDescent="0.3">
      <c r="A49" s="51">
        <v>1</v>
      </c>
      <c r="C49" s="7" t="s">
        <v>12</v>
      </c>
      <c r="D49" s="7" t="s">
        <v>18</v>
      </c>
      <c r="E49" s="7" t="s">
        <v>16</v>
      </c>
      <c r="F49" s="105"/>
      <c r="G49" s="7" t="s">
        <v>24</v>
      </c>
      <c r="H49" s="7" t="s">
        <v>22</v>
      </c>
      <c r="I49" s="7" t="s">
        <v>3</v>
      </c>
      <c r="J49" s="7" t="s">
        <v>113</v>
      </c>
      <c r="K49" s="7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1</v>
      </c>
      <c r="C50" s="8">
        <v>1</v>
      </c>
      <c r="D50" s="8">
        <v>1</v>
      </c>
      <c r="E50" s="27" cm="1">
        <f t="array" aca="1" ref="E50" ca="1">defaultValue(E49,K48)</f>
        <v>3.5</v>
      </c>
      <c r="F50" s="105"/>
      <c r="G50" s="27">
        <v>56</v>
      </c>
      <c r="H50" s="8">
        <v>105</v>
      </c>
      <c r="I50" s="27" cm="1">
        <f t="array" aca="1" ref="I50" ca="1">defaultValue(I49,K48)</f>
        <v>78</v>
      </c>
      <c r="J50" s="27" cm="1">
        <f t="array" aca="1" ref="J50" ca="1">defaultValue(J49,K48)</f>
        <v>56</v>
      </c>
      <c r="K50" s="7"/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ht="31.2" x14ac:dyDescent="0.3">
      <c r="A51" s="51">
        <v>1</v>
      </c>
      <c r="C51" s="8"/>
      <c r="D51" s="27" t="str" cm="1">
        <f t="array" aca="1" ref="D51" ca="1">defaultValue(E51,K48)</f>
        <v>ظهر</v>
      </c>
      <c r="E51" s="7" t="s">
        <v>58</v>
      </c>
      <c r="F51" s="27" t="str" cm="1">
        <f t="array" aca="1" ref="F51" ca="1">defaultValue(G51,K48)</f>
        <v>يوفيلاك</v>
      </c>
      <c r="G51" s="7" t="s">
        <v>32</v>
      </c>
      <c r="H51" s="27" t="str" cm="1">
        <f t="array" aca="1" ref="H51" ca="1">defaultValue(I51,K48)</f>
        <v>HPL</v>
      </c>
      <c r="I51" s="7" t="s">
        <v>31</v>
      </c>
      <c r="J51" s="25" t="s">
        <v>111</v>
      </c>
      <c r="K51" s="7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ht="14.4" x14ac:dyDescent="0.3">
      <c r="A52" s="51">
        <v>0</v>
      </c>
      <c r="B52"/>
      <c r="C52"/>
      <c r="D52"/>
      <c r="E52"/>
      <c r="F52"/>
      <c r="G52"/>
      <c r="H52"/>
      <c r="I52"/>
      <c r="J52"/>
      <c r="K52"/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2</v>
      </c>
      <c r="C53" s="6" t="s">
        <v>4</v>
      </c>
      <c r="D53" s="6" t="s">
        <v>9</v>
      </c>
      <c r="E53" s="6" t="s">
        <v>5</v>
      </c>
      <c r="F53" s="6" t="s">
        <v>7</v>
      </c>
      <c r="G53" s="6" t="s">
        <v>1</v>
      </c>
      <c r="H53" s="6" t="s">
        <v>6</v>
      </c>
      <c r="I53" s="6" t="s">
        <v>33</v>
      </c>
      <c r="J53" s="6" t="s">
        <v>8</v>
      </c>
      <c r="K53" s="6" t="s">
        <v>185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x14ac:dyDescent="0.3">
      <c r="A55" s="51">
        <v>3</v>
      </c>
      <c r="B55" s="15" t="str">
        <f>E48</f>
        <v xml:space="preserve">وحدة سفلية  تلبيسة دلفة /دلفتين </v>
      </c>
      <c r="C55" s="6">
        <v>1</v>
      </c>
      <c r="D55" s="6" t="str">
        <f ca="1">H51</f>
        <v>HPL</v>
      </c>
      <c r="E55" s="6" t="s">
        <v>10</v>
      </c>
      <c r="F55" s="6">
        <f>H50-3.6</f>
        <v>101.4</v>
      </c>
      <c r="G55" s="6">
        <f ca="1">J50</f>
        <v>56</v>
      </c>
      <c r="H55" s="6">
        <f>1*C48</f>
        <v>1</v>
      </c>
      <c r="I55" s="6">
        <f ca="1">HLOOKUP(D55, materials[], 2,FALSE)</f>
        <v>2</v>
      </c>
      <c r="J55" s="6"/>
      <c r="K55" s="6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x14ac:dyDescent="0.3">
      <c r="A56" s="51">
        <v>3</v>
      </c>
      <c r="B56" s="15" t="str">
        <f>B55</f>
        <v xml:space="preserve">وحدة سفلية  تلبيسة دلفة /دلفتين </v>
      </c>
      <c r="C56" s="6">
        <f>C55+1</f>
        <v>2</v>
      </c>
      <c r="D56" s="6" t="str">
        <f ca="1">H51</f>
        <v>HPL</v>
      </c>
      <c r="E56" s="6" t="s">
        <v>11</v>
      </c>
      <c r="F56" s="6">
        <f ca="1">I50</f>
        <v>78</v>
      </c>
      <c r="G56" s="6">
        <f ca="1">J50</f>
        <v>56</v>
      </c>
      <c r="H56" s="6">
        <v>2</v>
      </c>
      <c r="I56" s="6">
        <f ca="1">HLOOKUP(D56, materials[], 2,FALSE)</f>
        <v>2</v>
      </c>
      <c r="J56" s="6"/>
      <c r="K56" s="6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x14ac:dyDescent="0.3">
      <c r="A57" s="51">
        <v>3</v>
      </c>
      <c r="B57" s="15" t="str">
        <f>B55</f>
        <v xml:space="preserve">وحدة سفلية  تلبيسة دلفة /دلفتين </v>
      </c>
      <c r="C57" s="6">
        <f t="shared" ref="C57:C60" si="1">C56+1</f>
        <v>3</v>
      </c>
      <c r="D57" s="6" t="str">
        <f ca="1">H51</f>
        <v>HPL</v>
      </c>
      <c r="E57" s="6" t="s">
        <v>13</v>
      </c>
      <c r="F57" s="6">
        <f>H50-3.6</f>
        <v>101.4</v>
      </c>
      <c r="G57" s="6">
        <v>10</v>
      </c>
      <c r="H57" s="6">
        <f>1*C48</f>
        <v>1</v>
      </c>
      <c r="I57" s="6">
        <f ca="1">HLOOKUP(D57, materials[], 2,FALSE)</f>
        <v>2</v>
      </c>
      <c r="J57" s="6"/>
      <c r="K57" s="6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x14ac:dyDescent="0.3">
      <c r="A58" s="51">
        <v>3</v>
      </c>
      <c r="B58" s="15" t="str">
        <f>B55</f>
        <v xml:space="preserve">وحدة سفلية  تلبيسة دلفة /دلفتين </v>
      </c>
      <c r="C58" s="6">
        <f t="shared" si="1"/>
        <v>4</v>
      </c>
      <c r="D58" s="6" t="str">
        <f ca="1">H51</f>
        <v>HPL</v>
      </c>
      <c r="E58" s="6" t="s">
        <v>14</v>
      </c>
      <c r="F58" s="6">
        <f>H50-3.6</f>
        <v>101.4</v>
      </c>
      <c r="G58" s="6">
        <v>7</v>
      </c>
      <c r="H58" s="6">
        <f>1*C48</f>
        <v>1</v>
      </c>
      <c r="I58" s="6">
        <f ca="1">HLOOKUP(D58, materials[], 2,FALSE)</f>
        <v>2</v>
      </c>
      <c r="J58" s="6"/>
      <c r="K58" s="6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x14ac:dyDescent="0.3">
      <c r="A59" s="51">
        <v>3</v>
      </c>
      <c r="B59" s="15" t="str">
        <f>B55</f>
        <v xml:space="preserve">وحدة سفلية  تلبيسة دلفة /دلفتين </v>
      </c>
      <c r="C59" s="6">
        <f t="shared" si="1"/>
        <v>5</v>
      </c>
      <c r="D59" s="6" t="str">
        <f ca="1">H51</f>
        <v>HPL</v>
      </c>
      <c r="E59" s="6" t="s">
        <v>17</v>
      </c>
      <c r="F59" s="6">
        <f>H50-3.8</f>
        <v>101.2</v>
      </c>
      <c r="G59" s="6">
        <f ca="1">J50-6</f>
        <v>50</v>
      </c>
      <c r="H59" s="6">
        <f>D50*C48</f>
        <v>1</v>
      </c>
      <c r="I59" s="6">
        <f ca="1">HLOOKUP(D59, materials[], 2,FALSE)</f>
        <v>2</v>
      </c>
      <c r="J59" s="6"/>
      <c r="K59" s="6" t="b">
        <v>1</v>
      </c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3</v>
      </c>
      <c r="B60" s="15" t="str">
        <f>B55</f>
        <v xml:space="preserve">وحدة سفلية  تلبيسة دلفة /دلفتين </v>
      </c>
      <c r="C60" s="6">
        <f t="shared" si="1"/>
        <v>6</v>
      </c>
      <c r="D60" s="6" t="str">
        <f ca="1">H51</f>
        <v>HPL</v>
      </c>
      <c r="E60" s="6" t="s">
        <v>24</v>
      </c>
      <c r="F60" s="6">
        <f ca="1">I50</f>
        <v>78</v>
      </c>
      <c r="G60" s="6">
        <f>G50</f>
        <v>56</v>
      </c>
      <c r="H60" s="6">
        <f>1*C48</f>
        <v>1</v>
      </c>
      <c r="I60" s="6">
        <f ca="1">HLOOKUP(D60, materials[], 2,FALSE)</f>
        <v>2</v>
      </c>
      <c r="J60" s="6"/>
      <c r="K60" s="6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ht="14.4" x14ac:dyDescent="0.3">
      <c r="A61" s="51">
        <v>0</v>
      </c>
      <c r="B61"/>
      <c r="C61"/>
      <c r="D61"/>
      <c r="E61"/>
      <c r="F61"/>
      <c r="G61"/>
      <c r="H61"/>
      <c r="I61"/>
      <c r="J61"/>
      <c r="K61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4</v>
      </c>
      <c r="B62" s="15" t="str">
        <f>B55</f>
        <v xml:space="preserve">وحدة سفلية  تلبيسة دلفة /دلفتين </v>
      </c>
      <c r="C62" s="9">
        <f>C60+1</f>
        <v>7</v>
      </c>
      <c r="D62" s="9" t="str">
        <f ca="1">F51</f>
        <v>يوفيلاك</v>
      </c>
      <c r="E62" s="9" t="s">
        <v>15</v>
      </c>
      <c r="F62" s="9">
        <f ca="1">I50-0.5-E50</f>
        <v>74</v>
      </c>
      <c r="G62" s="9">
        <f>(H50-G50-G63)/C50-0.5</f>
        <v>44.5</v>
      </c>
      <c r="H62" s="9">
        <f>C50*C48</f>
        <v>1</v>
      </c>
      <c r="I62" s="9">
        <f ca="1">HLOOKUP(D62, materials[], 2,FALSE)</f>
        <v>6</v>
      </c>
      <c r="J62" s="9"/>
      <c r="K62" s="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4</v>
      </c>
      <c r="B63" s="15" t="str">
        <f>B55</f>
        <v xml:space="preserve">وحدة سفلية  تلبيسة دلفة /دلفتين </v>
      </c>
      <c r="C63" s="9">
        <f t="shared" ref="C63" si="2">C62+1</f>
        <v>8</v>
      </c>
      <c r="D63" s="9" t="str">
        <f ca="1">F51</f>
        <v>يوفيلاك</v>
      </c>
      <c r="E63" s="9" t="s">
        <v>25</v>
      </c>
      <c r="F63" s="9">
        <f ca="1">I50</f>
        <v>78</v>
      </c>
      <c r="G63" s="9">
        <v>4</v>
      </c>
      <c r="H63" s="9">
        <f>1*C48</f>
        <v>1</v>
      </c>
      <c r="I63" s="9">
        <f ca="1">HLOOKUP(D63, materials[], 2,FALSE)</f>
        <v>6</v>
      </c>
      <c r="J63" s="9"/>
      <c r="K63" s="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ht="14.4" x14ac:dyDescent="0.3">
      <c r="A64" s="51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5</v>
      </c>
      <c r="B65" s="15" t="str">
        <f>B55</f>
        <v xml:space="preserve">وحدة سفلية  تلبيسة دلفة /دلفتين </v>
      </c>
      <c r="C65" s="19">
        <f>C63+1</f>
        <v>9</v>
      </c>
      <c r="D65" s="19" t="str">
        <f ca="1">D51</f>
        <v>ظهر</v>
      </c>
      <c r="E65" s="19" t="s">
        <v>58</v>
      </c>
      <c r="F65" s="19">
        <f ca="1">I50-2</f>
        <v>76</v>
      </c>
      <c r="G65" s="19">
        <f>H50-2</f>
        <v>103</v>
      </c>
      <c r="H65" s="19">
        <f>1*C48</f>
        <v>1</v>
      </c>
      <c r="I65" s="19">
        <f ca="1">HLOOKUP(D65, materials[], 2,FALSE)</f>
        <v>2</v>
      </c>
      <c r="J65" s="19"/>
      <c r="K65" s="19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x14ac:dyDescent="0.3">
      <c r="A66" s="51">
        <v>255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</row>
    <row r="67" spans="1:75" x14ac:dyDescent="0.3">
      <c r="A67" s="51">
        <v>255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</row>
    <row r="68" spans="1:75" ht="36" x14ac:dyDescent="0.3">
      <c r="A68" s="51" t="s">
        <v>156</v>
      </c>
      <c r="C68" s="14">
        <v>1</v>
      </c>
      <c r="D68" s="22" t="s">
        <v>59</v>
      </c>
      <c r="E68" s="101" t="s">
        <v>26</v>
      </c>
      <c r="F68" s="102"/>
      <c r="G68" s="102"/>
      <c r="H68" s="103"/>
      <c r="I68" s="2" t="s">
        <v>30</v>
      </c>
      <c r="J68" s="2">
        <f>letterToNumber(A68)</f>
        <v>3</v>
      </c>
      <c r="K68" s="7">
        <f ca="1">_xlfn.SHEET("وحدات سفلية")</f>
        <v>4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</row>
    <row r="69" spans="1:75" x14ac:dyDescent="0.3">
      <c r="A69" s="51">
        <v>1</v>
      </c>
      <c r="C69" s="7"/>
      <c r="D69" s="7" t="s">
        <v>18</v>
      </c>
      <c r="E69" s="7" t="s">
        <v>16</v>
      </c>
      <c r="F69" s="105"/>
      <c r="G69" s="7"/>
      <c r="H69" s="7" t="s">
        <v>22</v>
      </c>
      <c r="I69" s="7" t="s">
        <v>3</v>
      </c>
      <c r="J69" s="7" t="s">
        <v>113</v>
      </c>
      <c r="K69" s="7"/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</row>
    <row r="70" spans="1:75" x14ac:dyDescent="0.3">
      <c r="A70" s="51">
        <v>1</v>
      </c>
      <c r="C70" s="8"/>
      <c r="D70" s="8">
        <v>1</v>
      </c>
      <c r="E70" s="27" cm="1">
        <f t="array" aca="1" ref="E70" ca="1">defaultValue(E69,K68)</f>
        <v>3.5</v>
      </c>
      <c r="F70" s="105"/>
      <c r="G70" s="7"/>
      <c r="H70" s="8"/>
      <c r="I70" s="27" cm="1">
        <f t="array" aca="1" ref="I70" ca="1">defaultValue(I69,K68)</f>
        <v>78</v>
      </c>
      <c r="J70" s="27" cm="1">
        <f t="array" aca="1" ref="J70" ca="1">defaultValue(J69,K68)</f>
        <v>56</v>
      </c>
      <c r="K70" s="7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</row>
    <row r="71" spans="1:75" x14ac:dyDescent="0.3">
      <c r="A71" s="51">
        <v>1</v>
      </c>
      <c r="C71" s="28"/>
      <c r="D71" s="12"/>
      <c r="E71" s="12"/>
      <c r="F71" s="13"/>
      <c r="G71" s="7"/>
      <c r="H71" s="8"/>
      <c r="I71" s="27" cm="1">
        <f t="array" aca="1" ref="I71" ca="1">defaultValue(I69,K68)</f>
        <v>78</v>
      </c>
      <c r="J71" s="27" cm="1">
        <f t="array" aca="1" ref="J71" ca="1">defaultValue(J69,K68)</f>
        <v>56</v>
      </c>
      <c r="K71" s="7"/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</row>
    <row r="72" spans="1:75" ht="31.2" x14ac:dyDescent="0.3">
      <c r="A72" s="51">
        <v>1</v>
      </c>
      <c r="C72" s="8"/>
      <c r="D72" s="27" t="str" cm="1">
        <f t="array" aca="1" ref="D72" ca="1">defaultValue(E72,K68)</f>
        <v>ظهر</v>
      </c>
      <c r="E72" s="7" t="s">
        <v>58</v>
      </c>
      <c r="F72" s="27" t="str" cm="1">
        <f t="array" aca="1" ref="F72" ca="1">defaultValue(G72,K68)</f>
        <v>يوفيلاك</v>
      </c>
      <c r="G72" s="7" t="s">
        <v>32</v>
      </c>
      <c r="H72" s="27" t="str" cm="1">
        <f t="array" aca="1" ref="H72" ca="1">defaultValue(I72,K68)</f>
        <v>HPL</v>
      </c>
      <c r="I72" s="7" t="s">
        <v>31</v>
      </c>
      <c r="J72" s="25" t="s">
        <v>111</v>
      </c>
      <c r="K72" s="7"/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</row>
    <row r="73" spans="1:75" ht="14.4" x14ac:dyDescent="0.3">
      <c r="A73" s="51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</row>
    <row r="74" spans="1:75" x14ac:dyDescent="0.3">
      <c r="A74" s="51">
        <v>2</v>
      </c>
      <c r="C74" s="6" t="s">
        <v>4</v>
      </c>
      <c r="D74" s="6" t="s">
        <v>9</v>
      </c>
      <c r="E74" s="6" t="s">
        <v>5</v>
      </c>
      <c r="F74" s="6" t="s">
        <v>7</v>
      </c>
      <c r="G74" s="6" t="s">
        <v>1</v>
      </c>
      <c r="H74" s="6" t="s">
        <v>6</v>
      </c>
      <c r="I74" s="6" t="s">
        <v>33</v>
      </c>
      <c r="J74" s="6" t="s">
        <v>8</v>
      </c>
      <c r="K74" s="6" t="s">
        <v>185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</row>
    <row r="75" spans="1:75" ht="14.4" x14ac:dyDescent="0.3">
      <c r="A75" s="51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</row>
    <row r="76" spans="1:75" x14ac:dyDescent="0.3">
      <c r="A76" s="51">
        <v>3</v>
      </c>
      <c r="B76" s="15">
        <f>B75</f>
        <v>0</v>
      </c>
      <c r="C76" s="6">
        <v>1</v>
      </c>
      <c r="D76" s="6" t="str">
        <f ca="1">H72</f>
        <v>HPL</v>
      </c>
      <c r="E76" s="6" t="s">
        <v>10</v>
      </c>
      <c r="F76" s="6">
        <f>H70-1.8</f>
        <v>-1.8</v>
      </c>
      <c r="G76" s="6">
        <f>H71-1.8</f>
        <v>-1.8</v>
      </c>
      <c r="H76" s="6">
        <f>1*C68</f>
        <v>1</v>
      </c>
      <c r="I76" s="6">
        <f ca="1">HLOOKUP(D76, materials[], 2,FALSE)</f>
        <v>2</v>
      </c>
      <c r="J76" s="6"/>
      <c r="K76" s="6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</row>
    <row r="77" spans="1:75" x14ac:dyDescent="0.3">
      <c r="A77" s="51">
        <v>3</v>
      </c>
      <c r="B77" s="15">
        <f>B75</f>
        <v>0</v>
      </c>
      <c r="C77" s="6">
        <f>C76+1</f>
        <v>2</v>
      </c>
      <c r="D77" s="6" t="str">
        <f ca="1">H72</f>
        <v>HPL</v>
      </c>
      <c r="E77" s="6" t="s">
        <v>11</v>
      </c>
      <c r="F77" s="6">
        <f ca="1">I70</f>
        <v>78</v>
      </c>
      <c r="G77" s="6">
        <f ca="1">J70</f>
        <v>56</v>
      </c>
      <c r="H77" s="6">
        <f>2*C68</f>
        <v>2</v>
      </c>
      <c r="I77" s="6">
        <f ca="1">HLOOKUP(D77, materials[], 2,FALSE)</f>
        <v>2</v>
      </c>
      <c r="J77" s="6"/>
      <c r="K77" s="6" t="b">
        <v>1</v>
      </c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</row>
    <row r="78" spans="1:75" x14ac:dyDescent="0.3">
      <c r="A78" s="51">
        <v>3</v>
      </c>
      <c r="B78" s="15">
        <f>B75</f>
        <v>0</v>
      </c>
      <c r="C78" s="6">
        <f t="shared" ref="C78:C81" si="3">C77+1</f>
        <v>3</v>
      </c>
      <c r="D78" s="6" t="str">
        <f ca="1">H72</f>
        <v>HPL</v>
      </c>
      <c r="E78" s="6" t="s">
        <v>13</v>
      </c>
      <c r="F78" s="6">
        <f>H70-1.8</f>
        <v>-1.8</v>
      </c>
      <c r="G78" s="6">
        <v>10</v>
      </c>
      <c r="H78" s="6">
        <f>2*C68</f>
        <v>2</v>
      </c>
      <c r="I78" s="6">
        <f ca="1">HLOOKUP(D78, materials[], 2,FALSE)</f>
        <v>2</v>
      </c>
      <c r="J78" s="6"/>
      <c r="K78" s="6" t="b">
        <v>1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</row>
    <row r="79" spans="1:75" x14ac:dyDescent="0.3">
      <c r="A79" s="51">
        <v>3</v>
      </c>
      <c r="B79" s="15">
        <f>B75</f>
        <v>0</v>
      </c>
      <c r="C79" s="6">
        <f t="shared" si="3"/>
        <v>4</v>
      </c>
      <c r="D79" s="6" t="str">
        <f ca="1">H72</f>
        <v>HPL</v>
      </c>
      <c r="E79" s="6" t="s">
        <v>14</v>
      </c>
      <c r="F79" s="6">
        <f>H70-1.8</f>
        <v>-1.8</v>
      </c>
      <c r="G79" s="6">
        <v>7</v>
      </c>
      <c r="H79" s="6">
        <f>2*C68</f>
        <v>2</v>
      </c>
      <c r="I79" s="6">
        <f ca="1">HLOOKUP(D79, materials[], 2,FALSE)</f>
        <v>2</v>
      </c>
      <c r="J79" s="6"/>
      <c r="K79" s="6" t="b">
        <v>1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</row>
    <row r="80" spans="1:75" x14ac:dyDescent="0.3">
      <c r="A80" s="51">
        <v>3</v>
      </c>
      <c r="B80" s="15">
        <f>B75</f>
        <v>0</v>
      </c>
      <c r="C80" s="6">
        <f t="shared" si="3"/>
        <v>5</v>
      </c>
      <c r="D80" s="6" t="str">
        <f ca="1">H72</f>
        <v>HPL</v>
      </c>
      <c r="E80" s="6" t="s">
        <v>27</v>
      </c>
      <c r="F80" s="6">
        <f ca="1">I70</f>
        <v>78</v>
      </c>
      <c r="G80" s="6">
        <v>10</v>
      </c>
      <c r="H80" s="6">
        <f>1*C68</f>
        <v>1</v>
      </c>
      <c r="I80" s="6">
        <f ca="1">HLOOKUP(D80, materials[], 2,FALSE)</f>
        <v>2</v>
      </c>
      <c r="J80" s="6"/>
      <c r="K80" s="6" t="b">
        <v>1</v>
      </c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</row>
    <row r="81" spans="1:75" x14ac:dyDescent="0.3">
      <c r="A81" s="51">
        <v>3</v>
      </c>
      <c r="B81" s="15">
        <f>B75</f>
        <v>0</v>
      </c>
      <c r="C81" s="6">
        <f t="shared" si="3"/>
        <v>6</v>
      </c>
      <c r="D81" s="6" t="str">
        <f ca="1">H72</f>
        <v>HPL</v>
      </c>
      <c r="E81" s="6" t="s">
        <v>17</v>
      </c>
      <c r="F81" s="6">
        <f>H70-3.8</f>
        <v>-3.8</v>
      </c>
      <c r="G81" s="6">
        <f>H71-3.8</f>
        <v>-3.8</v>
      </c>
      <c r="H81" s="6">
        <f>D70*C68</f>
        <v>1</v>
      </c>
      <c r="I81" s="6">
        <f ca="1">HLOOKUP(D81, materials[], 2,FALSE)</f>
        <v>2</v>
      </c>
      <c r="J81" s="6"/>
      <c r="K81" s="6" t="b">
        <v>1</v>
      </c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</row>
    <row r="82" spans="1:75" ht="14.4" x14ac:dyDescent="0.3">
      <c r="A82" s="51">
        <v>0</v>
      </c>
      <c r="B82"/>
      <c r="C82"/>
      <c r="D82"/>
      <c r="E82"/>
      <c r="F82"/>
      <c r="G82"/>
      <c r="H82"/>
      <c r="I82"/>
      <c r="J82"/>
      <c r="K82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</row>
    <row r="83" spans="1:75" x14ac:dyDescent="0.3">
      <c r="A83" s="51">
        <v>4</v>
      </c>
      <c r="B83" s="15">
        <f>B75</f>
        <v>0</v>
      </c>
      <c r="C83" s="9">
        <f>C81+1</f>
        <v>7</v>
      </c>
      <c r="D83" s="9" t="str">
        <f ca="1">F72</f>
        <v>يوفيلاك</v>
      </c>
      <c r="E83" s="9" t="s">
        <v>28</v>
      </c>
      <c r="F83" s="9">
        <f ca="1">I70-0.5-E70</f>
        <v>74</v>
      </c>
      <c r="G83" s="9">
        <f>H70-56-3</f>
        <v>-59</v>
      </c>
      <c r="H83" s="9">
        <f>1*C68</f>
        <v>1</v>
      </c>
      <c r="I83" s="9">
        <f ca="1">HLOOKUP(D83, materials[], 2,FALSE)</f>
        <v>6</v>
      </c>
      <c r="J83" s="9"/>
      <c r="K83" s="9" t="b">
        <v>1</v>
      </c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</row>
    <row r="84" spans="1:75" x14ac:dyDescent="0.3">
      <c r="A84" s="51">
        <v>4</v>
      </c>
      <c r="B84" s="15">
        <f>B75</f>
        <v>0</v>
      </c>
      <c r="C84" s="9">
        <f t="shared" ref="C84" si="4">C83+1</f>
        <v>8</v>
      </c>
      <c r="D84" s="9" t="str">
        <f ca="1">F72</f>
        <v>يوفيلاك</v>
      </c>
      <c r="E84" s="9" t="s">
        <v>41</v>
      </c>
      <c r="F84" s="9">
        <f ca="1">I71-0.5-E70</f>
        <v>74</v>
      </c>
      <c r="G84" s="9">
        <f>H71-56-3</f>
        <v>-59</v>
      </c>
      <c r="H84" s="9">
        <f>1*C68</f>
        <v>1</v>
      </c>
      <c r="I84" s="9">
        <f ca="1">HLOOKUP(D84, materials[], 2,FALSE)</f>
        <v>6</v>
      </c>
      <c r="J84" s="9"/>
      <c r="K84" s="9" t="b">
        <v>1</v>
      </c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</row>
    <row r="85" spans="1:75" ht="14.4" x14ac:dyDescent="0.3">
      <c r="A85" s="51">
        <v>0</v>
      </c>
      <c r="B85"/>
      <c r="C85"/>
      <c r="D85"/>
      <c r="E85"/>
      <c r="F85"/>
      <c r="G85"/>
      <c r="H85"/>
      <c r="I85"/>
      <c r="J85"/>
      <c r="K85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</row>
    <row r="86" spans="1:75" x14ac:dyDescent="0.3">
      <c r="A86" s="51">
        <v>5</v>
      </c>
      <c r="B86" s="15">
        <f>B75</f>
        <v>0</v>
      </c>
      <c r="C86" s="19">
        <f>C84+1</f>
        <v>9</v>
      </c>
      <c r="D86" s="19" t="str">
        <f ca="1">D72</f>
        <v>ظهر</v>
      </c>
      <c r="E86" s="19" t="s">
        <v>58</v>
      </c>
      <c r="F86" s="19">
        <f ca="1">I71-1</f>
        <v>77</v>
      </c>
      <c r="G86" s="19">
        <f>H71-1</f>
        <v>-1</v>
      </c>
      <c r="H86" s="19">
        <f>2*C68</f>
        <v>2</v>
      </c>
      <c r="I86" s="19">
        <f ca="1">HLOOKUP(D86, materials[], 2,FALSE)</f>
        <v>2</v>
      </c>
      <c r="J86" s="19"/>
      <c r="K86" s="19" t="b">
        <v>1</v>
      </c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</row>
    <row r="87" spans="1:75" x14ac:dyDescent="0.3">
      <c r="A87" s="51">
        <v>255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</row>
    <row r="88" spans="1:75" x14ac:dyDescent="0.3">
      <c r="A88" s="51">
        <v>255</v>
      </c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</row>
    <row r="89" spans="1:75" ht="36" x14ac:dyDescent="0.3">
      <c r="A89" s="51" t="s">
        <v>161</v>
      </c>
      <c r="C89" s="14">
        <v>1</v>
      </c>
      <c r="D89" s="22" t="s">
        <v>59</v>
      </c>
      <c r="E89" s="101" t="s">
        <v>29</v>
      </c>
      <c r="F89" s="102"/>
      <c r="G89" s="102"/>
      <c r="H89" s="103"/>
      <c r="I89" s="2" t="s">
        <v>30</v>
      </c>
      <c r="J89" s="2">
        <f>letterToNumber(A89)</f>
        <v>4</v>
      </c>
      <c r="K89" s="7">
        <f ca="1">_xlfn.SHEET("وحدات سفلية")</f>
        <v>4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</row>
    <row r="90" spans="1:75" x14ac:dyDescent="0.3">
      <c r="A90" s="51">
        <v>1</v>
      </c>
      <c r="C90" s="7"/>
      <c r="D90" s="7" t="s">
        <v>18</v>
      </c>
      <c r="E90" s="7" t="s">
        <v>16</v>
      </c>
      <c r="F90" s="105"/>
      <c r="G90" s="7"/>
      <c r="H90" s="7" t="s">
        <v>22</v>
      </c>
      <c r="I90" s="7" t="s">
        <v>3</v>
      </c>
      <c r="J90" s="7" t="s">
        <v>113</v>
      </c>
      <c r="K90" s="7"/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</row>
    <row r="91" spans="1:75" x14ac:dyDescent="0.3">
      <c r="A91" s="51">
        <v>1</v>
      </c>
      <c r="C91" s="8"/>
      <c r="D91" s="8">
        <v>1</v>
      </c>
      <c r="E91" s="27" cm="1">
        <f t="array" aca="1" ref="E91" ca="1">defaultValue(E90,K89)</f>
        <v>3.5</v>
      </c>
      <c r="F91" s="105"/>
      <c r="G91" s="7"/>
      <c r="H91" s="8"/>
      <c r="I91" s="27" cm="1">
        <f t="array" aca="1" ref="I91" ca="1">defaultValue(I90,K89)</f>
        <v>78</v>
      </c>
      <c r="J91" s="27" cm="1">
        <f t="array" aca="1" ref="J91" ca="1">defaultValue(J90,K89)</f>
        <v>56</v>
      </c>
      <c r="K91" s="7"/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</row>
    <row r="92" spans="1:75" x14ac:dyDescent="0.3">
      <c r="A92" s="51">
        <v>1</v>
      </c>
      <c r="C92" s="28"/>
      <c r="D92" s="12"/>
      <c r="E92" s="12"/>
      <c r="F92" s="13"/>
      <c r="G92" s="7"/>
      <c r="H92" s="8"/>
      <c r="I92" s="27" cm="1">
        <f t="array" aca="1" ref="I92" ca="1">defaultValue(I90,K89)</f>
        <v>78</v>
      </c>
      <c r="J92" s="27" cm="1">
        <f t="array" aca="1" ref="J92" ca="1">defaultValue(J90,K89)</f>
        <v>56</v>
      </c>
      <c r="K92" s="7"/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</row>
    <row r="93" spans="1:75" ht="31.2" x14ac:dyDescent="0.3">
      <c r="A93" s="51">
        <v>1</v>
      </c>
      <c r="C93" s="8"/>
      <c r="D93" s="27" t="str" cm="1">
        <f t="array" aca="1" ref="D93" ca="1">defaultValue(E93,K89)</f>
        <v>ظهر</v>
      </c>
      <c r="E93" s="7" t="s">
        <v>58</v>
      </c>
      <c r="F93" s="27" t="str" cm="1">
        <f t="array" aca="1" ref="F93" ca="1">defaultValue(G93,K89)</f>
        <v>يوفيلاك</v>
      </c>
      <c r="G93" s="7" t="s">
        <v>32</v>
      </c>
      <c r="H93" s="27" t="str" cm="1">
        <f t="array" aca="1" ref="H93" ca="1">defaultValue(I93,K89)</f>
        <v>HPL</v>
      </c>
      <c r="I93" s="7" t="s">
        <v>31</v>
      </c>
      <c r="J93" s="25" t="s">
        <v>111</v>
      </c>
      <c r="K93" s="7"/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</row>
    <row r="94" spans="1:75" ht="14.4" x14ac:dyDescent="0.3">
      <c r="A94" s="51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</row>
    <row r="95" spans="1:75" x14ac:dyDescent="0.3">
      <c r="A95" s="51">
        <v>2</v>
      </c>
      <c r="C95" s="6" t="s">
        <v>4</v>
      </c>
      <c r="D95" s="6" t="s">
        <v>9</v>
      </c>
      <c r="E95" s="6" t="s">
        <v>5</v>
      </c>
      <c r="F95" s="6" t="s">
        <v>7</v>
      </c>
      <c r="G95" s="6" t="s">
        <v>1</v>
      </c>
      <c r="H95" s="6" t="s">
        <v>6</v>
      </c>
      <c r="I95" s="6" t="s">
        <v>33</v>
      </c>
      <c r="J95" s="6" t="s">
        <v>8</v>
      </c>
      <c r="K95" s="6" t="s">
        <v>185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</row>
    <row r="96" spans="1:75" ht="14.4" x14ac:dyDescent="0.3">
      <c r="A96" s="51">
        <v>0</v>
      </c>
      <c r="B96"/>
      <c r="C96"/>
      <c r="D96"/>
      <c r="E96"/>
      <c r="F96"/>
      <c r="G96"/>
      <c r="H96"/>
      <c r="I96"/>
      <c r="J96"/>
      <c r="K96"/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</row>
    <row r="97" spans="1:79" x14ac:dyDescent="0.3">
      <c r="A97" s="51">
        <v>3</v>
      </c>
      <c r="B97" s="15" t="str">
        <f>E89</f>
        <v>وحدة سفلية  ركنة 45</v>
      </c>
      <c r="C97" s="6">
        <v>1</v>
      </c>
      <c r="D97" s="6" t="str">
        <f ca="1">H93</f>
        <v>HPL</v>
      </c>
      <c r="E97" s="6" t="s">
        <v>10</v>
      </c>
      <c r="F97" s="6">
        <f>H91-1.8</f>
        <v>-1.8</v>
      </c>
      <c r="G97" s="6">
        <f>H92-1.8</f>
        <v>-1.8</v>
      </c>
      <c r="H97" s="6">
        <f>1*C89</f>
        <v>1</v>
      </c>
      <c r="I97" s="6">
        <f ca="1">HLOOKUP(D97, materials[], 2,FALSE)</f>
        <v>2</v>
      </c>
      <c r="J97" s="6"/>
      <c r="K97" s="6" t="b">
        <v>1</v>
      </c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</row>
    <row r="98" spans="1:79" x14ac:dyDescent="0.3">
      <c r="A98" s="51">
        <v>3</v>
      </c>
      <c r="B98" s="15" t="str">
        <f>B97</f>
        <v>وحدة سفلية  ركنة 45</v>
      </c>
      <c r="C98" s="6">
        <f>C97+1</f>
        <v>2</v>
      </c>
      <c r="D98" s="6" t="str">
        <f ca="1">H93</f>
        <v>HPL</v>
      </c>
      <c r="E98" s="6" t="s">
        <v>11</v>
      </c>
      <c r="F98" s="6">
        <f ca="1">I91</f>
        <v>78</v>
      </c>
      <c r="G98" s="6">
        <f ca="1">J91</f>
        <v>56</v>
      </c>
      <c r="H98" s="6">
        <f>2*C89</f>
        <v>2</v>
      </c>
      <c r="I98" s="6">
        <f ca="1">HLOOKUP(D98, materials[], 2,FALSE)</f>
        <v>2</v>
      </c>
      <c r="J98" s="6"/>
      <c r="K98" s="6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</row>
    <row r="99" spans="1:79" x14ac:dyDescent="0.3">
      <c r="A99" s="51">
        <v>3</v>
      </c>
      <c r="B99" s="15" t="str">
        <f>B97</f>
        <v>وحدة سفلية  ركنة 45</v>
      </c>
      <c r="C99" s="6">
        <f t="shared" ref="C99:C102" si="5">C98+1</f>
        <v>3</v>
      </c>
      <c r="D99" s="6" t="str">
        <f ca="1">H93</f>
        <v>HPL</v>
      </c>
      <c r="E99" s="6" t="s">
        <v>13</v>
      </c>
      <c r="F99" s="6">
        <f>H91-1.8</f>
        <v>-1.8</v>
      </c>
      <c r="G99" s="6">
        <v>10</v>
      </c>
      <c r="H99" s="6">
        <f>3*C89</f>
        <v>3</v>
      </c>
      <c r="I99" s="6">
        <f ca="1">HLOOKUP(D99, materials[], 2,FALSE)</f>
        <v>2</v>
      </c>
      <c r="J99" s="6"/>
      <c r="K99" s="6" t="b">
        <v>1</v>
      </c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</row>
    <row r="100" spans="1:79" x14ac:dyDescent="0.3">
      <c r="A100" s="51">
        <v>3</v>
      </c>
      <c r="B100" s="15" t="str">
        <f>B97</f>
        <v>وحدة سفلية  ركنة 45</v>
      </c>
      <c r="C100" s="6">
        <f t="shared" si="5"/>
        <v>4</v>
      </c>
      <c r="D100" s="6" t="str">
        <f ca="1">H93</f>
        <v>HPL</v>
      </c>
      <c r="E100" s="6" t="s">
        <v>14</v>
      </c>
      <c r="F100" s="6">
        <f>H91-1.8</f>
        <v>-1.8</v>
      </c>
      <c r="G100" s="6">
        <v>7</v>
      </c>
      <c r="H100" s="6">
        <f>2*C89</f>
        <v>2</v>
      </c>
      <c r="I100" s="6">
        <f ca="1">HLOOKUP(D100, materials[], 2,FALSE)</f>
        <v>2</v>
      </c>
      <c r="J100" s="6"/>
      <c r="K100" s="6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</row>
    <row r="101" spans="1:79" x14ac:dyDescent="0.3">
      <c r="A101" s="51">
        <v>3</v>
      </c>
      <c r="B101" s="15" t="str">
        <f>B97</f>
        <v>وحدة سفلية  ركنة 45</v>
      </c>
      <c r="C101" s="6">
        <f t="shared" si="5"/>
        <v>5</v>
      </c>
      <c r="D101" s="6" t="str">
        <f ca="1">H93</f>
        <v>HPL</v>
      </c>
      <c r="E101" s="6" t="s">
        <v>27</v>
      </c>
      <c r="F101" s="6">
        <v>70</v>
      </c>
      <c r="G101" s="6">
        <v>10</v>
      </c>
      <c r="H101" s="6">
        <f>1*C89</f>
        <v>1</v>
      </c>
      <c r="I101" s="6">
        <f ca="1">HLOOKUP(D101, materials[], 2,FALSE)</f>
        <v>2</v>
      </c>
      <c r="J101" s="6"/>
      <c r="K101" s="6" t="b">
        <v>1</v>
      </c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</row>
    <row r="102" spans="1:79" x14ac:dyDescent="0.3">
      <c r="A102" s="51">
        <v>3</v>
      </c>
      <c r="B102" s="15" t="str">
        <f>B97</f>
        <v>وحدة سفلية  ركنة 45</v>
      </c>
      <c r="C102" s="6">
        <f t="shared" si="5"/>
        <v>6</v>
      </c>
      <c r="D102" s="6" t="str">
        <f ca="1">H93</f>
        <v>HPL</v>
      </c>
      <c r="E102" s="6" t="s">
        <v>17</v>
      </c>
      <c r="F102" s="6">
        <f>H91-3.8</f>
        <v>-3.8</v>
      </c>
      <c r="G102" s="6">
        <f>H92-3.8</f>
        <v>-3.8</v>
      </c>
      <c r="H102" s="6">
        <f>D91*C89</f>
        <v>1</v>
      </c>
      <c r="I102" s="6">
        <f ca="1">HLOOKUP(D102, materials[], 2,FALSE)</f>
        <v>2</v>
      </c>
      <c r="J102" s="6"/>
      <c r="K102" s="6" t="b">
        <v>1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</row>
    <row r="103" spans="1:79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</row>
    <row r="104" spans="1:79" x14ac:dyDescent="0.3">
      <c r="A104" s="51">
        <v>4</v>
      </c>
      <c r="B104" s="15" t="str">
        <f>B97</f>
        <v>وحدة سفلية  ركنة 45</v>
      </c>
      <c r="C104" s="9">
        <f>C102+1</f>
        <v>7</v>
      </c>
      <c r="D104" s="9" t="str">
        <f ca="1">F93</f>
        <v>يوفيلاك</v>
      </c>
      <c r="E104" s="9" t="s">
        <v>28</v>
      </c>
      <c r="F104" s="9">
        <f ca="1">I91-0.5-E91</f>
        <v>74</v>
      </c>
      <c r="G104" s="17">
        <f ca="1">(SQRT((H91-J91)^2+(H92-J92)^2))-2</f>
        <v>77.195959492893323</v>
      </c>
      <c r="H104" s="9">
        <f>1*C89</f>
        <v>1</v>
      </c>
      <c r="I104" s="9">
        <f ca="1">HLOOKUP(D104, materials[], 2,FALSE)</f>
        <v>6</v>
      </c>
      <c r="J104" s="9"/>
      <c r="K104" s="9" t="b">
        <v>1</v>
      </c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</row>
    <row r="105" spans="1:79" ht="14.4" x14ac:dyDescent="0.3">
      <c r="A105" s="51">
        <v>0</v>
      </c>
      <c r="B105"/>
      <c r="C105"/>
      <c r="D105"/>
      <c r="E105"/>
      <c r="F105"/>
      <c r="G105"/>
      <c r="H105"/>
      <c r="I105"/>
      <c r="J105"/>
      <c r="K105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</row>
    <row r="106" spans="1:79" x14ac:dyDescent="0.3">
      <c r="A106" s="51">
        <v>5</v>
      </c>
      <c r="B106" s="15" t="str">
        <f>B97</f>
        <v>وحدة سفلية  ركنة 45</v>
      </c>
      <c r="C106" s="19">
        <f>C104+1</f>
        <v>8</v>
      </c>
      <c r="D106" s="19" t="str">
        <f ca="1">D93</f>
        <v>ظهر</v>
      </c>
      <c r="E106" s="19" t="s">
        <v>58</v>
      </c>
      <c r="F106" s="19">
        <f ca="1">I91-1</f>
        <v>77</v>
      </c>
      <c r="G106" s="19">
        <f>H91-1</f>
        <v>-1</v>
      </c>
      <c r="H106" s="19">
        <f>1*C89</f>
        <v>1</v>
      </c>
      <c r="I106" s="19">
        <f ca="1">HLOOKUP(D106, materials[], 2,FALSE)</f>
        <v>2</v>
      </c>
      <c r="J106" s="19"/>
      <c r="K106" s="19" t="b">
        <v>1</v>
      </c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</row>
    <row r="107" spans="1:79" x14ac:dyDescent="0.3">
      <c r="A107" s="51">
        <v>255</v>
      </c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</row>
    <row r="108" spans="1:79" x14ac:dyDescent="0.3">
      <c r="A108" s="51">
        <v>255</v>
      </c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</row>
    <row r="109" spans="1:79" ht="36" x14ac:dyDescent="0.3">
      <c r="A109" s="51" t="s">
        <v>157</v>
      </c>
      <c r="B109" s="3"/>
      <c r="C109" s="14">
        <v>1</v>
      </c>
      <c r="D109" s="22" t="s">
        <v>59</v>
      </c>
      <c r="E109" s="101" t="s">
        <v>105</v>
      </c>
      <c r="F109" s="102"/>
      <c r="G109" s="102"/>
      <c r="H109" s="103"/>
      <c r="I109" s="2" t="s">
        <v>30</v>
      </c>
      <c r="J109" s="2">
        <f>letterToNumber(A109)</f>
        <v>5</v>
      </c>
      <c r="K109" s="7">
        <f ca="1">_xlfn.SHEET("وحدات سفلية")</f>
        <v>4</v>
      </c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</row>
    <row r="110" spans="1:79" ht="31.2" x14ac:dyDescent="0.3">
      <c r="A110" s="51">
        <v>1</v>
      </c>
      <c r="B110" s="21"/>
      <c r="C110" s="7" t="s">
        <v>12</v>
      </c>
      <c r="D110" s="7" t="s">
        <v>18</v>
      </c>
      <c r="E110" s="7" t="s">
        <v>16</v>
      </c>
      <c r="F110" s="105"/>
      <c r="G110" s="16" t="s">
        <v>19</v>
      </c>
      <c r="H110" s="7" t="s">
        <v>22</v>
      </c>
      <c r="I110" s="7" t="s">
        <v>3</v>
      </c>
      <c r="J110" s="7" t="s">
        <v>113</v>
      </c>
      <c r="K110" s="7"/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</row>
    <row r="111" spans="1:79" x14ac:dyDescent="0.3">
      <c r="A111" s="51">
        <v>1</v>
      </c>
      <c r="B111" s="21"/>
      <c r="C111" s="8"/>
      <c r="D111" s="8">
        <v>0</v>
      </c>
      <c r="E111" s="27" cm="1">
        <f t="array" aca="1" ref="E111" ca="1">defaultValue(E110,K109)</f>
        <v>3.5</v>
      </c>
      <c r="F111" s="105"/>
      <c r="G111" s="27" cm="1">
        <f t="array" aca="1" ref="G111" ca="1">defaultValue(G110,K109)</f>
        <v>45</v>
      </c>
      <c r="H111" s="8">
        <v>60</v>
      </c>
      <c r="I111" s="27" cm="1">
        <f t="array" aca="1" ref="I111" ca="1">defaultValue(I110,K109)</f>
        <v>78</v>
      </c>
      <c r="J111" s="27" cm="1">
        <f t="array" aca="1" ref="J111" ca="1">defaultValue(J110,K109)</f>
        <v>56</v>
      </c>
      <c r="K111" s="7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</row>
    <row r="112" spans="1:79" ht="31.2" x14ac:dyDescent="0.3">
      <c r="A112" s="51">
        <v>1</v>
      </c>
      <c r="B112" s="21"/>
      <c r="C112" s="8"/>
      <c r="D112" s="27" t="str" cm="1">
        <f t="array" aca="1" ref="D112" ca="1">defaultValue(E112,K109)</f>
        <v>ظهر</v>
      </c>
      <c r="E112" s="7" t="s">
        <v>58</v>
      </c>
      <c r="F112" s="27" t="str" cm="1">
        <f t="array" aca="1" ref="F112" ca="1">defaultValue(G112,K109)</f>
        <v>يوفيلاك</v>
      </c>
      <c r="G112" s="7" t="s">
        <v>32</v>
      </c>
      <c r="H112" s="27" t="str" cm="1">
        <f t="array" aca="1" ref="H112" ca="1">defaultValue(I112,K109)</f>
        <v>HPL</v>
      </c>
      <c r="I112" s="7" t="s">
        <v>31</v>
      </c>
      <c r="J112" s="25" t="s">
        <v>111</v>
      </c>
      <c r="K112" s="7"/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</row>
    <row r="113" spans="1:79" ht="14.4" x14ac:dyDescent="0.3">
      <c r="A113" s="51">
        <v>0</v>
      </c>
      <c r="B113"/>
      <c r="C113"/>
      <c r="D113"/>
      <c r="E113"/>
      <c r="F113"/>
      <c r="G113"/>
      <c r="H113"/>
      <c r="I113"/>
      <c r="J113"/>
      <c r="K113"/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</row>
    <row r="114" spans="1:79" ht="14.4" x14ac:dyDescent="0.3">
      <c r="A114" s="51">
        <v>2</v>
      </c>
      <c r="B114" s="21"/>
      <c r="C114" s="6" t="s">
        <v>4</v>
      </c>
      <c r="D114" s="6" t="s">
        <v>9</v>
      </c>
      <c r="E114" s="6" t="s">
        <v>5</v>
      </c>
      <c r="F114" s="6" t="s">
        <v>7</v>
      </c>
      <c r="G114" s="6" t="s">
        <v>1</v>
      </c>
      <c r="H114" s="6" t="s">
        <v>6</v>
      </c>
      <c r="I114" s="6" t="s">
        <v>33</v>
      </c>
      <c r="J114" s="6" t="s">
        <v>8</v>
      </c>
      <c r="K114" s="6" t="s">
        <v>185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</row>
    <row r="115" spans="1:79" ht="14.4" x14ac:dyDescent="0.3">
      <c r="A115" s="51">
        <v>0</v>
      </c>
      <c r="B115"/>
      <c r="C115"/>
      <c r="D115"/>
      <c r="E115"/>
      <c r="F115"/>
      <c r="G115"/>
      <c r="H115"/>
      <c r="I115"/>
      <c r="J115"/>
      <c r="K115"/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</row>
    <row r="116" spans="1:79" x14ac:dyDescent="0.3">
      <c r="A116" s="51">
        <v>3</v>
      </c>
      <c r="B116" s="15" t="str">
        <f>E109</f>
        <v xml:space="preserve">وحدة سفلية  فرن </v>
      </c>
      <c r="C116" s="6">
        <v>1</v>
      </c>
      <c r="D116" s="6" t="str">
        <f ca="1">H112</f>
        <v>HPL</v>
      </c>
      <c r="E116" s="6" t="s">
        <v>10</v>
      </c>
      <c r="F116" s="6">
        <f>H111-3.6</f>
        <v>56.4</v>
      </c>
      <c r="G116" s="6">
        <f ca="1">J111</f>
        <v>56</v>
      </c>
      <c r="H116" s="6">
        <f>2*C109</f>
        <v>2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</row>
    <row r="117" spans="1:79" x14ac:dyDescent="0.3">
      <c r="A117" s="51">
        <v>3</v>
      </c>
      <c r="B117" s="15" t="str">
        <f>B116</f>
        <v xml:space="preserve">وحدة سفلية  فرن </v>
      </c>
      <c r="C117" s="6">
        <f>C116+1</f>
        <v>2</v>
      </c>
      <c r="D117" s="6" t="str">
        <f ca="1">H112</f>
        <v>HPL</v>
      </c>
      <c r="E117" s="6" t="s">
        <v>11</v>
      </c>
      <c r="F117" s="6">
        <f ca="1">I111</f>
        <v>78</v>
      </c>
      <c r="G117" s="6">
        <f ca="1">J111</f>
        <v>56</v>
      </c>
      <c r="H117" s="6">
        <f>2*C109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</row>
    <row r="118" spans="1:79" x14ac:dyDescent="0.3">
      <c r="A118" s="51">
        <v>3</v>
      </c>
      <c r="B118" s="15" t="str">
        <f>B116</f>
        <v xml:space="preserve">وحدة سفلية  فرن </v>
      </c>
      <c r="C118" s="6">
        <f t="shared" ref="C118:C123" si="6">C117+1</f>
        <v>3</v>
      </c>
      <c r="D118" s="6" t="str">
        <f ca="1">H112</f>
        <v>HPL</v>
      </c>
      <c r="E118" s="6" t="s">
        <v>13</v>
      </c>
      <c r="F118" s="6">
        <f>H111-3.6</f>
        <v>56.4</v>
      </c>
      <c r="G118" s="6">
        <v>10</v>
      </c>
      <c r="H118" s="6">
        <f>2*C109</f>
        <v>2</v>
      </c>
      <c r="I118" s="6">
        <f ca="1">HLOOKUP(D118, materials[], 2,FALSE)</f>
        <v>2</v>
      </c>
      <c r="J118" s="6"/>
      <c r="K118" s="6" t="b">
        <v>1</v>
      </c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</row>
    <row r="119" spans="1:79" x14ac:dyDescent="0.3">
      <c r="A119" s="51">
        <v>3</v>
      </c>
      <c r="B119" s="15" t="str">
        <f>B116</f>
        <v xml:space="preserve">وحدة سفلية  فرن </v>
      </c>
      <c r="C119" s="6">
        <f t="shared" si="6"/>
        <v>4</v>
      </c>
      <c r="D119" s="6" t="str">
        <f ca="1">H112</f>
        <v>HPL</v>
      </c>
      <c r="E119" s="6" t="s">
        <v>14</v>
      </c>
      <c r="F119" s="6">
        <f>H111-3.6</f>
        <v>56.4</v>
      </c>
      <c r="G119" s="6">
        <v>7</v>
      </c>
      <c r="H119" s="6">
        <f>2*C109</f>
        <v>2</v>
      </c>
      <c r="I119" s="6">
        <f ca="1">HLOOKUP(D119, materials[], 2,FALSE)</f>
        <v>2</v>
      </c>
      <c r="J119" s="6"/>
      <c r="K119" s="6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</row>
    <row r="120" spans="1:79" x14ac:dyDescent="0.3">
      <c r="A120" s="51">
        <v>3</v>
      </c>
      <c r="B120" s="15" t="str">
        <f>B116</f>
        <v xml:space="preserve">وحدة سفلية  فرن </v>
      </c>
      <c r="C120" s="6">
        <f t="shared" si="6"/>
        <v>5</v>
      </c>
      <c r="D120" s="6" t="str">
        <f ca="1">H112</f>
        <v>HPL</v>
      </c>
      <c r="E120" s="6" t="s">
        <v>17</v>
      </c>
      <c r="F120" s="6">
        <f>H111-3.8</f>
        <v>56.2</v>
      </c>
      <c r="G120" s="6">
        <f ca="1">J111-6</f>
        <v>50</v>
      </c>
      <c r="H120" s="6">
        <f>D111*C109</f>
        <v>0</v>
      </c>
      <c r="I120" s="6">
        <f ca="1">HLOOKUP(D120, materials[], 2,FALSE)</f>
        <v>2</v>
      </c>
      <c r="J120" s="6"/>
      <c r="K120" s="6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</row>
    <row r="121" spans="1:79" x14ac:dyDescent="0.3">
      <c r="A121" s="51">
        <v>3</v>
      </c>
      <c r="B121" s="15" t="str">
        <f>B117</f>
        <v xml:space="preserve">وحدة سفلية  فرن </v>
      </c>
      <c r="C121" s="10">
        <f t="shared" si="6"/>
        <v>6</v>
      </c>
      <c r="D121" s="10" t="str">
        <f ca="1">H112</f>
        <v>HPL</v>
      </c>
      <c r="E121" s="10" t="s">
        <v>21</v>
      </c>
      <c r="F121" s="10">
        <f>H111-3.6-3.6-2.5</f>
        <v>50.3</v>
      </c>
      <c r="G121" s="10">
        <v>10</v>
      </c>
      <c r="H121" s="10">
        <f>1*C109</f>
        <v>1</v>
      </c>
      <c r="I121" s="10">
        <f ca="1">HLOOKUP(D121, materials[], 2,FALSE)</f>
        <v>2</v>
      </c>
      <c r="J121" s="10"/>
      <c r="K121" s="10" t="b">
        <v>1</v>
      </c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</row>
    <row r="122" spans="1:79" x14ac:dyDescent="0.3">
      <c r="A122" s="51">
        <v>3</v>
      </c>
      <c r="B122" s="15" t="str">
        <f>B118</f>
        <v xml:space="preserve">وحدة سفلية  فرن </v>
      </c>
      <c r="C122" s="10">
        <f t="shared" si="6"/>
        <v>7</v>
      </c>
      <c r="D122" s="10" t="str">
        <f ca="1">H112</f>
        <v>HPL</v>
      </c>
      <c r="E122" s="10" t="s">
        <v>153</v>
      </c>
      <c r="F122" s="10">
        <f ca="1">G111</f>
        <v>45</v>
      </c>
      <c r="G122" s="10">
        <v>10</v>
      </c>
      <c r="H122" s="10">
        <f>2*C109</f>
        <v>2</v>
      </c>
      <c r="I122" s="10">
        <f ca="1">HLOOKUP(D122, materials[], 2,FALSE)</f>
        <v>2</v>
      </c>
      <c r="J122" s="10"/>
      <c r="K122" s="10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</row>
    <row r="123" spans="1:79" x14ac:dyDescent="0.3">
      <c r="A123" s="51">
        <v>3</v>
      </c>
      <c r="B123" s="15" t="str">
        <f>B119</f>
        <v xml:space="preserve">وحدة سفلية  فرن </v>
      </c>
      <c r="C123" s="10">
        <f t="shared" si="6"/>
        <v>8</v>
      </c>
      <c r="D123" s="10" t="str">
        <f ca="1">H112</f>
        <v>HPL</v>
      </c>
      <c r="E123" s="10" t="s">
        <v>154</v>
      </c>
      <c r="F123" s="10">
        <f>H111-3.6-3.6-2.5</f>
        <v>50.3</v>
      </c>
      <c r="G123" s="10">
        <f>10-3</f>
        <v>7</v>
      </c>
      <c r="H123" s="10">
        <f>1*C109</f>
        <v>1</v>
      </c>
      <c r="I123" s="10">
        <f ca="1">HLOOKUP(D123, materials[], 2,FALSE)</f>
        <v>2</v>
      </c>
      <c r="J123" s="10"/>
      <c r="K123" s="10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</row>
    <row r="124" spans="1:79" ht="14.4" x14ac:dyDescent="0.3">
      <c r="A124" s="51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</row>
    <row r="125" spans="1:79" x14ac:dyDescent="0.3">
      <c r="A125" s="51">
        <v>4</v>
      </c>
      <c r="B125" s="15" t="str">
        <f>B116</f>
        <v xml:space="preserve">وحدة سفلية  فرن </v>
      </c>
      <c r="C125" s="9">
        <f>C123+1</f>
        <v>9</v>
      </c>
      <c r="D125" s="9" t="str">
        <f ca="1">F112</f>
        <v>يوفيلاك</v>
      </c>
      <c r="E125" s="9" t="s">
        <v>15</v>
      </c>
      <c r="F125" s="9" t="str">
        <f>IF(H125=0,"",(I111-0.5-E111))</f>
        <v/>
      </c>
      <c r="G125" s="9" t="str">
        <f>IF(H125=0, "",(H111/C111)-0.5)</f>
        <v/>
      </c>
      <c r="H125" s="9">
        <f>C111*C109</f>
        <v>0</v>
      </c>
      <c r="I125" s="9">
        <f ca="1">HLOOKUP(D125, materials[], 2,FALSE)</f>
        <v>6</v>
      </c>
      <c r="J125" s="9"/>
      <c r="K125" s="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</row>
    <row r="126" spans="1:79" x14ac:dyDescent="0.3">
      <c r="A126" s="51">
        <v>4</v>
      </c>
      <c r="B126" s="15" t="str">
        <f>B116</f>
        <v xml:space="preserve">وحدة سفلية  فرن </v>
      </c>
      <c r="C126" s="9">
        <f>C125+1</f>
        <v>10</v>
      </c>
      <c r="D126" s="9" t="str">
        <f ca="1">F112</f>
        <v>يوفيلاك</v>
      </c>
      <c r="E126" s="9" t="s">
        <v>152</v>
      </c>
      <c r="F126" s="9">
        <f>H111-0.5</f>
        <v>59.5</v>
      </c>
      <c r="G126" s="9">
        <f ca="1">I111-E111-60.5</f>
        <v>14</v>
      </c>
      <c r="H126" s="9">
        <f>1*C109</f>
        <v>1</v>
      </c>
      <c r="I126" s="9">
        <f ca="1">HLOOKUP(D126, materials[], 2,FALSE)</f>
        <v>6</v>
      </c>
      <c r="J126" s="9"/>
      <c r="K126" s="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</row>
    <row r="127" spans="1:79" ht="14.4" x14ac:dyDescent="0.3">
      <c r="A127" s="51">
        <v>0</v>
      </c>
      <c r="B127"/>
      <c r="C127"/>
      <c r="D127"/>
      <c r="E127"/>
      <c r="F127"/>
      <c r="G127"/>
      <c r="H127"/>
      <c r="I127"/>
      <c r="J127"/>
      <c r="K127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</row>
    <row r="128" spans="1:79" x14ac:dyDescent="0.3">
      <c r="A128" s="51">
        <v>5</v>
      </c>
      <c r="B128" s="15" t="str">
        <f>B116</f>
        <v xml:space="preserve">وحدة سفلية  فرن </v>
      </c>
      <c r="C128" s="19">
        <f>C126+1</f>
        <v>11</v>
      </c>
      <c r="D128" s="19" t="str">
        <f ca="1">D112</f>
        <v>ظهر</v>
      </c>
      <c r="E128" s="19" t="s">
        <v>58</v>
      </c>
      <c r="F128" s="19">
        <f ca="1">I111-2</f>
        <v>76</v>
      </c>
      <c r="G128" s="19">
        <f>H111-2</f>
        <v>58</v>
      </c>
      <c r="H128" s="19">
        <f>1*C109</f>
        <v>1</v>
      </c>
      <c r="I128" s="19">
        <f ca="1">HLOOKUP(D128, materials[], 2,FALSE)</f>
        <v>2</v>
      </c>
      <c r="J128" s="19"/>
      <c r="K128" s="19" t="b">
        <v>1</v>
      </c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</row>
    <row r="129" spans="1:79" x14ac:dyDescent="0.3">
      <c r="A129" s="51">
        <v>5</v>
      </c>
      <c r="B129" s="15" t="str">
        <f>B116</f>
        <v xml:space="preserve">وحدة سفلية  فرن </v>
      </c>
      <c r="C129" s="19">
        <f>C128+1</f>
        <v>12</v>
      </c>
      <c r="D129" s="19" t="str">
        <f ca="1">D112</f>
        <v>ظهر</v>
      </c>
      <c r="E129" s="19" t="s">
        <v>149</v>
      </c>
      <c r="F129" s="19">
        <f>H111-3.6-3.6-2.5+2</f>
        <v>52.3</v>
      </c>
      <c r="G129" s="19">
        <f ca="1">G111-1</f>
        <v>44</v>
      </c>
      <c r="H129" s="19">
        <f>1*C109</f>
        <v>1</v>
      </c>
      <c r="I129" s="19">
        <f ca="1">HLOOKUP(D129, materials[], 2,FALSE)</f>
        <v>2</v>
      </c>
      <c r="J129" s="19"/>
      <c r="K129" s="19" t="b">
        <v>1</v>
      </c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</row>
    <row r="130" spans="1:79" x14ac:dyDescent="0.3">
      <c r="A130" s="51">
        <v>255</v>
      </c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</row>
    <row r="131" spans="1:79" x14ac:dyDescent="0.3">
      <c r="A131" s="51">
        <v>255</v>
      </c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</row>
    <row r="132" spans="1:79" ht="36" x14ac:dyDescent="0.3">
      <c r="A132" s="54" t="s">
        <v>158</v>
      </c>
      <c r="C132" s="14">
        <v>1</v>
      </c>
      <c r="D132" s="22" t="s">
        <v>59</v>
      </c>
      <c r="E132" s="101" t="s">
        <v>162</v>
      </c>
      <c r="F132" s="102"/>
      <c r="G132" s="102"/>
      <c r="H132" s="103"/>
      <c r="I132" s="2" t="s">
        <v>30</v>
      </c>
      <c r="J132" s="2">
        <f>letterToNumber(A132)</f>
        <v>6</v>
      </c>
      <c r="K132" s="7">
        <f ca="1">_xlfn.SHEET("وحدات سفلية")</f>
        <v>4</v>
      </c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</row>
    <row r="133" spans="1:79" ht="31.2" x14ac:dyDescent="0.3">
      <c r="A133" s="51">
        <v>1</v>
      </c>
      <c r="C133" s="7" t="s">
        <v>12</v>
      </c>
      <c r="D133" s="18" t="s">
        <v>18</v>
      </c>
      <c r="E133" s="7" t="s">
        <v>16</v>
      </c>
      <c r="F133" s="18" t="s">
        <v>163</v>
      </c>
      <c r="G133" s="16" t="s">
        <v>19</v>
      </c>
      <c r="H133" s="7" t="s">
        <v>22</v>
      </c>
      <c r="I133" s="7" t="s">
        <v>3</v>
      </c>
      <c r="J133" s="7" t="s">
        <v>113</v>
      </c>
      <c r="K133" s="7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</row>
    <row r="134" spans="1:79" x14ac:dyDescent="0.3">
      <c r="A134" s="51">
        <v>1</v>
      </c>
      <c r="C134" s="8">
        <v>2</v>
      </c>
      <c r="D134" s="8">
        <v>1</v>
      </c>
      <c r="E134" s="27" cm="1">
        <f t="array" aca="1" ref="E134" ca="1">defaultValue(E133,K132)</f>
        <v>3.5</v>
      </c>
      <c r="F134" s="8">
        <v>1</v>
      </c>
      <c r="G134" s="27" cm="1">
        <f t="array" aca="1" ref="G134" ca="1">defaultValue(G133,K132)</f>
        <v>45</v>
      </c>
      <c r="H134" s="8">
        <v>60</v>
      </c>
      <c r="I134" s="27" cm="1">
        <f t="array" aca="1" ref="I134" ca="1">defaultValue(I133,K132)</f>
        <v>78</v>
      </c>
      <c r="J134" s="27" cm="1">
        <f t="array" aca="1" ref="J134" ca="1">defaultValue(J133,K132)</f>
        <v>56</v>
      </c>
      <c r="K134" s="7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</row>
    <row r="135" spans="1:79" ht="31.2" x14ac:dyDescent="0.3">
      <c r="A135" s="51">
        <v>1</v>
      </c>
      <c r="C135" s="8"/>
      <c r="D135" s="27" t="str" cm="1">
        <f t="array" aca="1" ref="D135" ca="1">defaultValue(E135,K132)</f>
        <v>ظهر</v>
      </c>
      <c r="E135" s="7" t="s">
        <v>58</v>
      </c>
      <c r="F135" s="27" t="str" cm="1">
        <f t="array" aca="1" ref="F135" ca="1">defaultValue(G135,K132)</f>
        <v>يوفيلاك</v>
      </c>
      <c r="G135" s="7" t="s">
        <v>32</v>
      </c>
      <c r="H135" s="27" t="str" cm="1">
        <f t="array" aca="1" ref="H135" ca="1">defaultValue(I135,K132)</f>
        <v>HPL</v>
      </c>
      <c r="I135" s="7" t="s">
        <v>31</v>
      </c>
      <c r="J135" s="25" t="s">
        <v>111</v>
      </c>
      <c r="K135" s="7"/>
      <c r="BB135"/>
      <c r="BC135"/>
      <c r="BD135"/>
      <c r="BE135"/>
      <c r="BF135"/>
      <c r="BG135"/>
      <c r="BH135"/>
      <c r="BI135"/>
      <c r="BJ135"/>
    </row>
    <row r="136" spans="1:79" ht="14.4" x14ac:dyDescent="0.3">
      <c r="A136" s="51">
        <v>0</v>
      </c>
      <c r="B136"/>
      <c r="C136"/>
      <c r="D136"/>
      <c r="E136"/>
      <c r="F136"/>
      <c r="G136"/>
      <c r="H136"/>
      <c r="I136"/>
      <c r="J136"/>
      <c r="K136"/>
      <c r="BB136"/>
      <c r="BC136"/>
      <c r="BD136"/>
      <c r="BE136"/>
      <c r="BF136"/>
      <c r="BG136"/>
      <c r="BH136"/>
      <c r="BI136"/>
      <c r="BJ136"/>
    </row>
    <row r="137" spans="1:79" x14ac:dyDescent="0.3">
      <c r="A137" s="51">
        <v>2</v>
      </c>
      <c r="C137" s="6" t="s">
        <v>4</v>
      </c>
      <c r="D137" s="6" t="s">
        <v>9</v>
      </c>
      <c r="E137" s="6" t="s">
        <v>5</v>
      </c>
      <c r="F137" s="6" t="s">
        <v>7</v>
      </c>
      <c r="G137" s="6" t="s">
        <v>1</v>
      </c>
      <c r="H137" s="6" t="s">
        <v>6</v>
      </c>
      <c r="I137" s="6" t="s">
        <v>33</v>
      </c>
      <c r="J137" s="6" t="s">
        <v>8</v>
      </c>
      <c r="K137" s="6" t="s">
        <v>185</v>
      </c>
      <c r="BB137"/>
      <c r="BC137"/>
      <c r="BD137"/>
      <c r="BE137"/>
      <c r="BF137"/>
      <c r="BG137"/>
      <c r="BH137"/>
      <c r="BI137"/>
      <c r="BJ137"/>
    </row>
    <row r="138" spans="1:79" ht="14.4" x14ac:dyDescent="0.3">
      <c r="A138" s="51">
        <v>0</v>
      </c>
      <c r="B138"/>
      <c r="C138"/>
      <c r="D138"/>
      <c r="E138"/>
      <c r="F138"/>
      <c r="G138"/>
      <c r="H138"/>
      <c r="I138"/>
      <c r="J138"/>
      <c r="K138"/>
      <c r="BB138"/>
      <c r="BC138"/>
      <c r="BD138"/>
      <c r="BE138"/>
      <c r="BF138"/>
      <c r="BG138"/>
      <c r="BH138"/>
      <c r="BI138"/>
      <c r="BJ138"/>
    </row>
    <row r="139" spans="1:79" x14ac:dyDescent="0.3">
      <c r="A139" s="51">
        <v>3</v>
      </c>
      <c r="B139" s="15" t="str">
        <f>E132</f>
        <v>وحدة سفلية دلفة /دلفتين + درج</v>
      </c>
      <c r="C139" s="6">
        <v>1</v>
      </c>
      <c r="D139" s="6" t="str">
        <f ca="1">H135</f>
        <v>HPL</v>
      </c>
      <c r="E139" s="6" t="s">
        <v>10</v>
      </c>
      <c r="F139" s="6">
        <f>H134-3.6</f>
        <v>56.4</v>
      </c>
      <c r="G139" s="6">
        <f ca="1">J134</f>
        <v>56</v>
      </c>
      <c r="H139" s="6">
        <f>1*C132</f>
        <v>1</v>
      </c>
      <c r="I139" s="6">
        <f ca="1">HLOOKUP(D139, materials[], 2,FALSE)</f>
        <v>2</v>
      </c>
      <c r="J139" s="6"/>
      <c r="K139" s="6" t="b">
        <v>1</v>
      </c>
      <c r="BB139"/>
      <c r="BC139"/>
      <c r="BD139"/>
      <c r="BE139"/>
      <c r="BF139"/>
      <c r="BG139"/>
      <c r="BH139"/>
      <c r="BI139"/>
      <c r="BJ139"/>
    </row>
    <row r="140" spans="1:79" x14ac:dyDescent="0.3">
      <c r="A140" s="51">
        <v>3</v>
      </c>
      <c r="B140" s="15" t="str">
        <f>B139</f>
        <v>وحدة سفلية دلفة /دلفتين + درج</v>
      </c>
      <c r="C140" s="6">
        <f>C139+1</f>
        <v>2</v>
      </c>
      <c r="D140" s="6" t="str">
        <f ca="1">H135</f>
        <v>HPL</v>
      </c>
      <c r="E140" s="6" t="s">
        <v>11</v>
      </c>
      <c r="F140" s="6">
        <f ca="1">I134</f>
        <v>78</v>
      </c>
      <c r="G140" s="6">
        <f ca="1">J134</f>
        <v>56</v>
      </c>
      <c r="H140" s="6">
        <f>2*C132</f>
        <v>2</v>
      </c>
      <c r="I140" s="6">
        <f ca="1">HLOOKUP(D140, materials[], 2,FALSE)</f>
        <v>2</v>
      </c>
      <c r="J140" s="6"/>
      <c r="K140" s="6" t="b">
        <v>1</v>
      </c>
      <c r="BB140"/>
      <c r="BC140"/>
      <c r="BD140"/>
      <c r="BE140"/>
      <c r="BF140"/>
      <c r="BG140"/>
      <c r="BH140"/>
      <c r="BI140"/>
      <c r="BJ140"/>
    </row>
    <row r="141" spans="1:79" x14ac:dyDescent="0.3">
      <c r="A141" s="51">
        <v>3</v>
      </c>
      <c r="B141" s="15" t="str">
        <f>B139</f>
        <v>وحدة سفلية دلفة /دلفتين + درج</v>
      </c>
      <c r="C141" s="6">
        <f t="shared" ref="C141:C146" si="7">C140+1</f>
        <v>3</v>
      </c>
      <c r="D141" s="6" t="str">
        <f ca="1">H135</f>
        <v>HPL</v>
      </c>
      <c r="E141" s="6" t="s">
        <v>13</v>
      </c>
      <c r="F141" s="6">
        <f>H134-3.6</f>
        <v>56.4</v>
      </c>
      <c r="G141" s="6">
        <f>10</f>
        <v>10</v>
      </c>
      <c r="H141" s="6">
        <f>1*C132</f>
        <v>1</v>
      </c>
      <c r="I141" s="6">
        <f ca="1">HLOOKUP(D141, materials[], 2,FALSE)</f>
        <v>2</v>
      </c>
      <c r="J141" s="6"/>
      <c r="K141" s="6" t="b">
        <v>1</v>
      </c>
      <c r="BB141"/>
      <c r="BC141"/>
      <c r="BD141"/>
      <c r="BE141"/>
      <c r="BF141"/>
      <c r="BG141"/>
      <c r="BH141"/>
      <c r="BI141"/>
      <c r="BJ141"/>
    </row>
    <row r="142" spans="1:79" x14ac:dyDescent="0.3">
      <c r="A142" s="51">
        <v>3</v>
      </c>
      <c r="B142" s="15" t="str">
        <f>B139</f>
        <v>وحدة سفلية دلفة /دلفتين + درج</v>
      </c>
      <c r="C142" s="6">
        <f t="shared" si="7"/>
        <v>4</v>
      </c>
      <c r="D142" s="6" t="str">
        <f ca="1">H135</f>
        <v>HPL</v>
      </c>
      <c r="E142" s="6" t="s">
        <v>14</v>
      </c>
      <c r="F142" s="6">
        <f>H134-3.6</f>
        <v>56.4</v>
      </c>
      <c r="G142" s="6">
        <f>7</f>
        <v>7</v>
      </c>
      <c r="H142" s="6">
        <f>1*C132</f>
        <v>1</v>
      </c>
      <c r="I142" s="6">
        <f ca="1">HLOOKUP(D142, materials[], 2,FALSE)</f>
        <v>2</v>
      </c>
      <c r="J142" s="6"/>
      <c r="K142" s="6" t="b">
        <v>1</v>
      </c>
      <c r="BB142"/>
      <c r="BC142"/>
      <c r="BD142"/>
      <c r="BE142"/>
      <c r="BF142"/>
      <c r="BG142"/>
      <c r="BH142"/>
      <c r="BI142"/>
      <c r="BJ142"/>
    </row>
    <row r="143" spans="1:79" x14ac:dyDescent="0.3">
      <c r="A143" s="51">
        <v>3</v>
      </c>
      <c r="B143" s="15" t="str">
        <f>B139</f>
        <v>وحدة سفلية دلفة /دلفتين + درج</v>
      </c>
      <c r="C143" s="6">
        <f t="shared" si="7"/>
        <v>5</v>
      </c>
      <c r="D143" s="6" t="str">
        <f ca="1">H135</f>
        <v>HPL</v>
      </c>
      <c r="E143" s="6" t="s">
        <v>17</v>
      </c>
      <c r="F143" s="6">
        <f>H134-3.8</f>
        <v>56.2</v>
      </c>
      <c r="G143" s="6">
        <f ca="1">J134-6</f>
        <v>50</v>
      </c>
      <c r="H143" s="6">
        <f>D134*C132</f>
        <v>1</v>
      </c>
      <c r="I143" s="6">
        <f ca="1">HLOOKUP(D143, materials[], 2,FALSE)</f>
        <v>2</v>
      </c>
      <c r="J143" s="6"/>
      <c r="K143" s="6" t="b">
        <v>1</v>
      </c>
      <c r="BB143"/>
      <c r="BC143"/>
      <c r="BD143"/>
      <c r="BE143"/>
      <c r="BF143"/>
      <c r="BG143"/>
      <c r="BH143"/>
      <c r="BI143"/>
      <c r="BJ143"/>
    </row>
    <row r="144" spans="1:79" x14ac:dyDescent="0.3">
      <c r="A144" s="51">
        <v>3</v>
      </c>
      <c r="B144" s="15" t="str">
        <f>B140</f>
        <v>وحدة سفلية دلفة /دلفتين + درج</v>
      </c>
      <c r="C144" s="10">
        <f t="shared" si="7"/>
        <v>6</v>
      </c>
      <c r="D144" s="10" t="str">
        <f ca="1">H135</f>
        <v>HPL</v>
      </c>
      <c r="E144" s="10" t="s">
        <v>21</v>
      </c>
      <c r="F144" s="10">
        <f>H134-3.6-3.6-2.5</f>
        <v>50.3</v>
      </c>
      <c r="G144" s="10">
        <v>10</v>
      </c>
      <c r="H144" s="10">
        <f>F134*C132</f>
        <v>1</v>
      </c>
      <c r="I144" s="10">
        <f ca="1">HLOOKUP(D144, materials[], 2,FALSE)</f>
        <v>2</v>
      </c>
      <c r="J144" s="10"/>
      <c r="K144" s="10" t="b">
        <v>1</v>
      </c>
      <c r="BB144"/>
      <c r="BC144"/>
      <c r="BD144"/>
      <c r="BE144"/>
      <c r="BF144"/>
      <c r="BG144"/>
      <c r="BH144"/>
      <c r="BI144"/>
      <c r="BJ144"/>
    </row>
    <row r="145" spans="1:62" x14ac:dyDescent="0.3">
      <c r="A145" s="51">
        <v>3</v>
      </c>
      <c r="B145" s="15" t="str">
        <f>B141</f>
        <v>وحدة سفلية دلفة /دلفتين + درج</v>
      </c>
      <c r="C145" s="10">
        <f t="shared" si="7"/>
        <v>7</v>
      </c>
      <c r="D145" s="10" t="str">
        <f ca="1">H135</f>
        <v>HPL</v>
      </c>
      <c r="E145" s="10" t="s">
        <v>153</v>
      </c>
      <c r="F145" s="10">
        <f ca="1">G134</f>
        <v>45</v>
      </c>
      <c r="G145" s="10">
        <v>10</v>
      </c>
      <c r="H145" s="10">
        <f>2*C132*F134</f>
        <v>2</v>
      </c>
      <c r="I145" s="10">
        <f ca="1">HLOOKUP(D145, materials[], 2,FALSE)</f>
        <v>2</v>
      </c>
      <c r="J145" s="10"/>
      <c r="K145" s="10" t="b">
        <v>1</v>
      </c>
      <c r="BB145"/>
      <c r="BC145"/>
      <c r="BD145"/>
      <c r="BE145"/>
      <c r="BF145"/>
      <c r="BG145"/>
      <c r="BH145"/>
      <c r="BI145"/>
      <c r="BJ145"/>
    </row>
    <row r="146" spans="1:62" x14ac:dyDescent="0.3">
      <c r="A146" s="51">
        <v>3</v>
      </c>
      <c r="B146" s="15" t="str">
        <f>B142</f>
        <v>وحدة سفلية دلفة /دلفتين + درج</v>
      </c>
      <c r="C146" s="10">
        <f t="shared" si="7"/>
        <v>8</v>
      </c>
      <c r="D146" s="10" t="str">
        <f ca="1">H135</f>
        <v>HPL</v>
      </c>
      <c r="E146" s="10" t="s">
        <v>154</v>
      </c>
      <c r="F146" s="10">
        <f>H134-3.6-3.6-2.5</f>
        <v>50.3</v>
      </c>
      <c r="G146" s="10">
        <f>10-3</f>
        <v>7</v>
      </c>
      <c r="H146" s="10">
        <f>F134*C132</f>
        <v>1</v>
      </c>
      <c r="I146" s="10">
        <f ca="1">HLOOKUP(D146, materials[], 2,FALSE)</f>
        <v>2</v>
      </c>
      <c r="J146" s="10"/>
      <c r="K146" s="10" t="b">
        <v>1</v>
      </c>
      <c r="BB146"/>
      <c r="BC146"/>
      <c r="BD146"/>
      <c r="BE146"/>
      <c r="BF146"/>
      <c r="BG146"/>
      <c r="BH146"/>
      <c r="BI146"/>
      <c r="BJ146"/>
    </row>
    <row r="147" spans="1:62" ht="14.4" x14ac:dyDescent="0.3">
      <c r="A147" s="51">
        <v>0</v>
      </c>
      <c r="B147"/>
      <c r="C147"/>
      <c r="D147"/>
      <c r="E147"/>
      <c r="F147"/>
      <c r="G147"/>
      <c r="H147"/>
      <c r="I147"/>
      <c r="J147"/>
      <c r="K147"/>
      <c r="BB147"/>
      <c r="BC147"/>
      <c r="BD147"/>
      <c r="BE147"/>
      <c r="BF147"/>
      <c r="BG147"/>
      <c r="BH147"/>
      <c r="BI147"/>
      <c r="BJ147"/>
    </row>
    <row r="148" spans="1:62" x14ac:dyDescent="0.3">
      <c r="A148" s="51">
        <v>4</v>
      </c>
      <c r="B148" s="15" t="str">
        <f>B139</f>
        <v>وحدة سفلية دلفة /دلفتين + درج</v>
      </c>
      <c r="C148" s="9">
        <f>C146+1</f>
        <v>9</v>
      </c>
      <c r="D148" s="9" t="str">
        <f ca="1">F135</f>
        <v>يوفيلاك</v>
      </c>
      <c r="E148" s="9" t="s">
        <v>15</v>
      </c>
      <c r="F148" s="9">
        <f ca="1">I134-0.5-E134-G149</f>
        <v>59</v>
      </c>
      <c r="G148" s="9">
        <f>(H134/C134)-0.5</f>
        <v>29.5</v>
      </c>
      <c r="H148" s="9">
        <f>C134*C132</f>
        <v>2</v>
      </c>
      <c r="I148" s="9">
        <f ca="1">HLOOKUP(D148, materials[], 2,FALSE)</f>
        <v>6</v>
      </c>
      <c r="J148" s="9"/>
      <c r="K148" s="9" t="b">
        <v>1</v>
      </c>
      <c r="BB148"/>
      <c r="BC148"/>
      <c r="BD148"/>
      <c r="BE148"/>
      <c r="BF148"/>
      <c r="BG148"/>
      <c r="BH148"/>
      <c r="BI148"/>
      <c r="BJ148"/>
    </row>
    <row r="149" spans="1:62" x14ac:dyDescent="0.3">
      <c r="A149" s="51">
        <v>4</v>
      </c>
      <c r="B149" s="15" t="str">
        <f>B139</f>
        <v>وحدة سفلية دلفة /دلفتين + درج</v>
      </c>
      <c r="C149" s="9">
        <f>C148+1</f>
        <v>10</v>
      </c>
      <c r="D149" s="9" t="str">
        <f ca="1">F135</f>
        <v>يوفيلاك</v>
      </c>
      <c r="E149" s="9" t="s">
        <v>165</v>
      </c>
      <c r="F149" s="9">
        <f>H134-0.5</f>
        <v>59.5</v>
      </c>
      <c r="G149" s="9">
        <f ca="1">I134-E134-59.5</f>
        <v>15</v>
      </c>
      <c r="H149" s="9">
        <f>F134*C132</f>
        <v>1</v>
      </c>
      <c r="I149" s="9">
        <f ca="1">HLOOKUP(D149, materials[], 2,FALSE)</f>
        <v>6</v>
      </c>
      <c r="J149" s="9"/>
      <c r="K149" s="9" t="b">
        <v>1</v>
      </c>
      <c r="BB149"/>
      <c r="BC149"/>
      <c r="BD149"/>
      <c r="BE149"/>
      <c r="BF149"/>
      <c r="BG149"/>
      <c r="BH149"/>
      <c r="BI149"/>
      <c r="BJ149"/>
    </row>
    <row r="150" spans="1:62" ht="14.4" x14ac:dyDescent="0.3">
      <c r="A150" s="51">
        <v>0</v>
      </c>
      <c r="B150"/>
      <c r="C150"/>
      <c r="D150"/>
      <c r="E150"/>
      <c r="F150"/>
      <c r="G150"/>
      <c r="H150"/>
      <c r="I150"/>
      <c r="J150"/>
      <c r="K150"/>
      <c r="BB150"/>
      <c r="BC150"/>
      <c r="BD150"/>
      <c r="BE150"/>
      <c r="BF150"/>
      <c r="BG150"/>
      <c r="BH150"/>
      <c r="BI150"/>
      <c r="BJ150"/>
    </row>
    <row r="151" spans="1:62" x14ac:dyDescent="0.3">
      <c r="A151" s="51">
        <v>5</v>
      </c>
      <c r="B151" s="15" t="str">
        <f>B139</f>
        <v>وحدة سفلية دلفة /دلفتين + درج</v>
      </c>
      <c r="C151" s="19">
        <f>C148+1</f>
        <v>10</v>
      </c>
      <c r="D151" s="19" t="str">
        <f ca="1">D135</f>
        <v>ظهر</v>
      </c>
      <c r="E151" s="19" t="s">
        <v>58</v>
      </c>
      <c r="F151" s="19">
        <f ca="1">I134-2</f>
        <v>76</v>
      </c>
      <c r="G151" s="19">
        <f>H134-2</f>
        <v>58</v>
      </c>
      <c r="H151" s="19">
        <f>1*C132</f>
        <v>1</v>
      </c>
      <c r="I151" s="19">
        <f ca="1">HLOOKUP(D151, materials[], 2,FALSE)</f>
        <v>2</v>
      </c>
      <c r="J151" s="19"/>
      <c r="K151" s="19" t="b">
        <v>1</v>
      </c>
      <c r="BB151"/>
      <c r="BC151"/>
      <c r="BD151"/>
      <c r="BE151"/>
      <c r="BF151"/>
      <c r="BG151"/>
      <c r="BH151"/>
      <c r="BI151"/>
      <c r="BJ151"/>
    </row>
    <row r="152" spans="1:62" x14ac:dyDescent="0.3">
      <c r="A152" s="51">
        <v>5</v>
      </c>
      <c r="B152" s="15" t="str">
        <f>B139</f>
        <v>وحدة سفلية دلفة /دلفتين + درج</v>
      </c>
      <c r="C152" s="19">
        <f>C151+1</f>
        <v>11</v>
      </c>
      <c r="D152" s="19" t="str">
        <f ca="1">D135</f>
        <v>ظهر</v>
      </c>
      <c r="E152" s="19" t="s">
        <v>164</v>
      </c>
      <c r="F152" s="19">
        <f>H134-3.6-3.6-2.5+2</f>
        <v>52.3</v>
      </c>
      <c r="G152" s="19">
        <f ca="1">G134-1</f>
        <v>44</v>
      </c>
      <c r="H152" s="19">
        <f>1*C132</f>
        <v>1</v>
      </c>
      <c r="I152" s="19">
        <f ca="1">HLOOKUP(D152, materials[], 2,FALSE)</f>
        <v>2</v>
      </c>
      <c r="J152" s="19"/>
      <c r="K152" s="19" t="b">
        <v>1</v>
      </c>
      <c r="BB152"/>
      <c r="BC152"/>
      <c r="BD152"/>
      <c r="BE152"/>
      <c r="BF152"/>
      <c r="BG152"/>
      <c r="BH152"/>
      <c r="BI152"/>
      <c r="BJ152"/>
    </row>
    <row r="153" spans="1:62" x14ac:dyDescent="0.3">
      <c r="A153" s="51">
        <v>255</v>
      </c>
      <c r="BB153"/>
      <c r="BC153"/>
      <c r="BD153"/>
      <c r="BE153"/>
      <c r="BF153"/>
      <c r="BG153"/>
      <c r="BH153"/>
      <c r="BI153"/>
      <c r="BJ153"/>
    </row>
    <row r="154" spans="1:62" x14ac:dyDescent="0.3">
      <c r="A154" s="51">
        <v>255</v>
      </c>
      <c r="BB154"/>
      <c r="BC154"/>
      <c r="BD154"/>
      <c r="BE154"/>
      <c r="BF154"/>
      <c r="BG154"/>
      <c r="BH154"/>
      <c r="BI154"/>
      <c r="BJ154"/>
    </row>
    <row r="155" spans="1:62" ht="36" x14ac:dyDescent="0.3">
      <c r="A155" s="54" t="s">
        <v>159</v>
      </c>
      <c r="C155" s="14">
        <v>1</v>
      </c>
      <c r="D155" s="22" t="s">
        <v>59</v>
      </c>
      <c r="E155" s="101" t="s">
        <v>184</v>
      </c>
      <c r="F155" s="102"/>
      <c r="G155" s="102"/>
      <c r="H155" s="103"/>
      <c r="I155" s="2" t="s">
        <v>30</v>
      </c>
      <c r="J155" s="2">
        <f>letterToNumber(A155)</f>
        <v>7</v>
      </c>
      <c r="K155" s="27">
        <f ca="1">_xlfn.SHEET("وحدات سفلية")</f>
        <v>4</v>
      </c>
    </row>
    <row r="156" spans="1:62" ht="21" x14ac:dyDescent="0.3">
      <c r="A156" s="51">
        <v>1</v>
      </c>
      <c r="C156" s="8"/>
      <c r="D156" s="7"/>
      <c r="E156" s="27" t="str" cm="1">
        <f t="array" aca="1" ref="E156" ca="1">defaultValue(F156,K155)</f>
        <v>ظهر</v>
      </c>
      <c r="F156" s="7" t="s">
        <v>58</v>
      </c>
      <c r="G156" s="27" t="str" cm="1">
        <f t="array" aca="1" ref="G156" ca="1">defaultValue(H156,K155)</f>
        <v>يوفيلاك</v>
      </c>
      <c r="H156" s="7" t="s">
        <v>32</v>
      </c>
      <c r="I156" s="27" t="str" cm="1">
        <f t="array" aca="1" ref="I156" ca="1">defaultValue(J156,K155)</f>
        <v>HPL</v>
      </c>
      <c r="J156" s="7" t="s">
        <v>31</v>
      </c>
      <c r="K156" s="25" t="s">
        <v>111</v>
      </c>
    </row>
    <row r="157" spans="1:62" ht="31.2" x14ac:dyDescent="0.3">
      <c r="A157" s="51">
        <v>1</v>
      </c>
      <c r="C157" s="7" t="s">
        <v>12</v>
      </c>
      <c r="D157" s="7" t="s">
        <v>18</v>
      </c>
      <c r="E157" s="93"/>
      <c r="F157" s="93" t="s">
        <v>114</v>
      </c>
      <c r="G157" s="7" t="s">
        <v>16</v>
      </c>
      <c r="H157" s="7" t="s">
        <v>22</v>
      </c>
      <c r="I157" s="7" t="s">
        <v>3</v>
      </c>
      <c r="J157" s="7" t="s">
        <v>113</v>
      </c>
      <c r="K157" s="7"/>
    </row>
    <row r="158" spans="1:62" x14ac:dyDescent="0.3">
      <c r="A158" s="51">
        <v>1</v>
      </c>
      <c r="C158" s="27">
        <v>1</v>
      </c>
      <c r="D158" s="27">
        <v>5</v>
      </c>
      <c r="E158" s="46"/>
      <c r="F158" s="27" t="b" cm="1">
        <f t="array" aca="1" ref="F158" ca="1">defaultValue(F157,K155)</f>
        <v>1</v>
      </c>
      <c r="G158" s="27" cm="1">
        <f t="array" aca="1" ref="G158" ca="1">defaultValue(G157,K155)</f>
        <v>3.5</v>
      </c>
      <c r="H158" s="8"/>
      <c r="I158" s="27" cm="1">
        <f t="array" aca="1" ref="I158" ca="1">defaultValue(I157,K155)</f>
        <v>78</v>
      </c>
      <c r="J158" s="27" cm="1">
        <f t="array" aca="1" ref="J158" ca="1">defaultValue(J157,K155)</f>
        <v>56</v>
      </c>
      <c r="K158" s="7"/>
    </row>
    <row r="159" spans="1:62" x14ac:dyDescent="0.3">
      <c r="A159" s="51">
        <v>0</v>
      </c>
    </row>
    <row r="160" spans="1:62" x14ac:dyDescent="0.3">
      <c r="A160" s="51">
        <v>2</v>
      </c>
      <c r="C160" s="6" t="s">
        <v>4</v>
      </c>
      <c r="D160" s="6" t="s">
        <v>9</v>
      </c>
      <c r="E160" s="6" t="s">
        <v>5</v>
      </c>
      <c r="F160" s="6" t="s">
        <v>7</v>
      </c>
      <c r="G160" s="6" t="s">
        <v>1</v>
      </c>
      <c r="H160" s="6" t="s">
        <v>6</v>
      </c>
      <c r="I160" s="6" t="s">
        <v>33</v>
      </c>
      <c r="J160" s="6" t="s">
        <v>8</v>
      </c>
      <c r="K160" s="6" t="s">
        <v>185</v>
      </c>
    </row>
    <row r="161" spans="1:11" x14ac:dyDescent="0.3">
      <c r="A161" s="51">
        <v>0</v>
      </c>
      <c r="C161" s="1"/>
      <c r="D161" s="1"/>
      <c r="E161" s="1"/>
      <c r="F161" s="1"/>
      <c r="G161" s="1"/>
      <c r="H161" s="1"/>
      <c r="I161" s="1"/>
      <c r="J161" s="1"/>
    </row>
    <row r="162" spans="1:11" x14ac:dyDescent="0.3">
      <c r="A162" s="51">
        <v>3</v>
      </c>
      <c r="B162" s="15" t="str" cm="1">
        <f t="array" ref="B162">visible(E155, K162)</f>
        <v>وحدة سفلية دلفة/ دلفتين</v>
      </c>
      <c r="C162" s="6" cm="1">
        <f t="array" ref="C162">visible((1),K162)</f>
        <v>1</v>
      </c>
      <c r="D162" s="6" t="str" cm="1">
        <f t="array" aca="1" ref="D162" ca="1">visible((I156),K162)</f>
        <v>HPL</v>
      </c>
      <c r="E162" s="6" t="str" cm="1">
        <f t="array" ref="E162">visible(("قاعدة"),K162)</f>
        <v>قاعدة</v>
      </c>
      <c r="F162" s="6" cm="1">
        <f t="array" ref="F162">visible((H158 -3.6),K162)</f>
        <v>-3.6</v>
      </c>
      <c r="G162" s="6" cm="1">
        <f t="array" aca="1" ref="G162" ca="1">visible((J158),K162)</f>
        <v>56</v>
      </c>
      <c r="H162" s="6" cm="1">
        <f t="array" ref="H162">visible((C155),K162)</f>
        <v>1</v>
      </c>
      <c r="I162" s="6" cm="1">
        <f t="array" aca="1" ref="I162" ca="1">visible(materialNum(D162),K162)</f>
        <v>2</v>
      </c>
      <c r="J162" s="6" t="str" cm="1">
        <f t="array" ref="J162">visible((""),M162)</f>
        <v/>
      </c>
      <c r="K162" s="6" t="b">
        <v>1</v>
      </c>
    </row>
    <row r="163" spans="1:11" x14ac:dyDescent="0.3">
      <c r="A163" s="51">
        <v>3</v>
      </c>
      <c r="B163" s="15" t="str" cm="1">
        <f t="array" ref="B163">visible(E155, K163)</f>
        <v>وحدة سفلية دلفة/ دلفتين</v>
      </c>
      <c r="C163" s="6" cm="1">
        <f t="array" ref="C163">visible(2,K163)</f>
        <v>2</v>
      </c>
      <c r="D163" s="6" t="str" cm="1">
        <f t="array" aca="1" ref="D163" ca="1">visible((I156),K163)</f>
        <v>HPL</v>
      </c>
      <c r="E163" s="6" t="str" cm="1">
        <f t="array" ref="E163">visible(("أجناب"),K163)</f>
        <v>أجناب</v>
      </c>
      <c r="F163" s="6" cm="1">
        <f t="array" aca="1" ref="F163" ca="1">visible((I158),K163)</f>
        <v>78</v>
      </c>
      <c r="G163" s="6" cm="1">
        <f t="array" aca="1" ref="G163" ca="1">visible((J158),K163)</f>
        <v>56</v>
      </c>
      <c r="H163" s="6" cm="1">
        <f t="array" ref="H163">visible((2 *C155),K163)</f>
        <v>2</v>
      </c>
      <c r="I163" s="6" cm="1">
        <f t="array" aca="1" ref="I163" ca="1">visible(materialNum(D163),K163)</f>
        <v>2</v>
      </c>
      <c r="J163" s="6" t="str" cm="1">
        <f t="array" ref="J163">visible((""),M163)</f>
        <v/>
      </c>
      <c r="K163" s="6" t="b">
        <v>1</v>
      </c>
    </row>
    <row r="164" spans="1:11" x14ac:dyDescent="0.3">
      <c r="A164" s="51">
        <v>3</v>
      </c>
      <c r="B164" s="15" t="str" cm="1">
        <f t="array" ref="B164">visible(E155, K164)</f>
        <v>وحدة سفلية دلفة/ دلفتين</v>
      </c>
      <c r="C164" s="6" cm="1">
        <f t="array" ref="C164">visible(3,K164)</f>
        <v>3</v>
      </c>
      <c r="D164" s="6" t="str" cm="1">
        <f t="array" aca="1" ref="D164" ca="1">visible((I156),K164)</f>
        <v>HPL</v>
      </c>
      <c r="E164" s="6" t="str" cm="1">
        <f t="array" ref="E164">visible(("مرايا علوية 1"),K164)</f>
        <v>مرايا علوية 1</v>
      </c>
      <c r="F164" s="6" cm="1">
        <f t="array" ref="F164">visible((H158-3.6),K164)</f>
        <v>-3.6</v>
      </c>
      <c r="G164" s="6" cm="1">
        <f t="array" ref="G164">visible((10),K164)</f>
        <v>10</v>
      </c>
      <c r="H164" s="6" cm="1">
        <f t="array" ref="H164">visible((C155),K164)</f>
        <v>1</v>
      </c>
      <c r="I164" s="6" cm="1">
        <f t="array" aca="1" ref="I164" ca="1">visible(materialNum(D164),K164)</f>
        <v>2</v>
      </c>
      <c r="J164" s="6" t="str" cm="1">
        <f t="array" ref="J164">visible((""),M164)</f>
        <v/>
      </c>
      <c r="K164" s="6" t="b">
        <v>1</v>
      </c>
    </row>
    <row r="165" spans="1:11" x14ac:dyDescent="0.3">
      <c r="A165" s="51">
        <v>3</v>
      </c>
      <c r="B165" s="15" t="str" cm="1">
        <f t="array" ref="B165">visible(E155, K165)</f>
        <v>وحدة سفلية دلفة/ دلفتين</v>
      </c>
      <c r="C165" s="6" cm="1">
        <f t="array" ref="C165">visible(4,K165)</f>
        <v>4</v>
      </c>
      <c r="D165" s="6" t="str" cm="1">
        <f t="array" aca="1" ref="D165" ca="1">visible((I156),K165)</f>
        <v>HPL</v>
      </c>
      <c r="E165" s="6" t="str" cm="1">
        <f t="array" ref="E165">visible(("مرايا علوية 2"),K165)</f>
        <v>مرايا علوية 2</v>
      </c>
      <c r="F165" s="6" cm="1">
        <f t="array" ref="F165">visible((H158-3.6),K165)</f>
        <v>-3.6</v>
      </c>
      <c r="G165" s="6" cm="1">
        <f t="array" ref="G165">visible((7),K165)</f>
        <v>7</v>
      </c>
      <c r="H165" s="6" cm="1">
        <f t="array" ref="H165">visible((C155),K165)</f>
        <v>1</v>
      </c>
      <c r="I165" s="6" cm="1">
        <f t="array" aca="1" ref="I165" ca="1">visible(materialNum(D165),K165)</f>
        <v>2</v>
      </c>
      <c r="J165" s="6" t="str" cm="1">
        <f t="array" ref="J165">visible((""),M165)</f>
        <v/>
      </c>
      <c r="K165" s="6" t="b">
        <v>1</v>
      </c>
    </row>
    <row r="166" spans="1:11" x14ac:dyDescent="0.3">
      <c r="A166" s="51">
        <v>3</v>
      </c>
      <c r="B166" s="15" t="str" cm="1">
        <f t="array" ref="B166">visible(E155, K166)</f>
        <v>وحدة سفلية دلفة/ دلفتين</v>
      </c>
      <c r="C166" s="6" cm="1">
        <f t="array" ref="C166">visible(5,K166)</f>
        <v>5</v>
      </c>
      <c r="D166" s="6" t="str" cm="1">
        <f t="array" aca="1" ref="D166" ca="1">visible((I156),K166)</f>
        <v>HPL</v>
      </c>
      <c r="E166" s="6" t="str" cm="1">
        <f t="array" ref="E166">visible(("رف"),K166)</f>
        <v>رف</v>
      </c>
      <c r="F166" s="6" cm="1">
        <f t="array" ref="F166">visible((H159-3.8),K166)</f>
        <v>-3.8</v>
      </c>
      <c r="G166" s="6" cm="1">
        <f t="array" aca="1" ref="G166" ca="1">visible((J158-6),K166)</f>
        <v>50</v>
      </c>
      <c r="H166" s="6" cm="1">
        <f t="array" ref="H166">visible((D158*C155),K166)</f>
        <v>5</v>
      </c>
      <c r="I166" s="6" cm="1">
        <f t="array" aca="1" ref="I166" ca="1">visible(materialNum(D166),K166)</f>
        <v>2</v>
      </c>
      <c r="J166" s="6" t="str" cm="1">
        <f t="array" ref="J166">visible((""),M166)</f>
        <v/>
      </c>
      <c r="K166" s="6" t="b">
        <v>1</v>
      </c>
    </row>
    <row r="167" spans="1:11" x14ac:dyDescent="0.3">
      <c r="A167" s="51">
        <v>0</v>
      </c>
    </row>
    <row r="168" spans="1:11" x14ac:dyDescent="0.3">
      <c r="A168" s="51">
        <v>4</v>
      </c>
      <c r="B168" s="15" t="str" cm="1">
        <f t="array" ref="B168">visible(E155, K168)</f>
        <v>وحدة سفلية دلفة/ دلفتين</v>
      </c>
      <c r="C168" s="9" cm="1">
        <f t="array" ref="C168">visible(6,K168)</f>
        <v>6</v>
      </c>
      <c r="D168" s="9" t="str" cm="1">
        <f t="array" aca="1" ref="D168" ca="1">visible((G156),K168)</f>
        <v>يوفيلاك</v>
      </c>
      <c r="E168" s="9" t="str" cm="1">
        <f t="array" ref="E168">visible(("دلف"),K168)</f>
        <v>دلف</v>
      </c>
      <c r="F168" s="9" cm="1">
        <f t="array" aca="1" ref="F168" ca="1">visible((I158-0.5-G158),K168)</f>
        <v>74</v>
      </c>
      <c r="G168" s="9" cm="1">
        <f t="array" ref="G168">visible(((H158/C158)-0.5),K168)</f>
        <v>-0.5</v>
      </c>
      <c r="H168" s="9" cm="1">
        <f t="array" ref="H168">visible((C158*C155),K168)</f>
        <v>1</v>
      </c>
      <c r="I168" s="9" cm="1">
        <f t="array" aca="1" ref="I168" ca="1">visible(materialNum(D168),K168)</f>
        <v>6</v>
      </c>
      <c r="J168" s="9" t="str" cm="1">
        <f t="array" ref="J168">visible((""),M168)</f>
        <v/>
      </c>
      <c r="K168" s="9" t="b">
        <v>1</v>
      </c>
    </row>
    <row r="169" spans="1:11" x14ac:dyDescent="0.3">
      <c r="A169" s="51">
        <v>0</v>
      </c>
      <c r="C169" s="1"/>
      <c r="D169" s="1"/>
      <c r="E169" s="1"/>
      <c r="F169" s="1"/>
      <c r="G169" s="1"/>
      <c r="H169" s="1"/>
      <c r="I169" s="1"/>
      <c r="J169" s="1"/>
    </row>
    <row r="170" spans="1:11" x14ac:dyDescent="0.3">
      <c r="A170" s="51">
        <v>5</v>
      </c>
      <c r="B170" s="15" t="str" cm="1">
        <f t="array" aca="1" ref="B170" ca="1">visible(E155, K170)</f>
        <v>وحدة سفلية دلفة/ دلفتين</v>
      </c>
      <c r="C170" s="19" cm="1">
        <f t="array" aca="1" ref="C170" ca="1">visible(7,K170)</f>
        <v>7</v>
      </c>
      <c r="D170" s="19" t="str" cm="1">
        <f t="array" aca="1" ref="D170" ca="1">visible((E156),K170)</f>
        <v>ظهر</v>
      </c>
      <c r="E170" s="19" t="str" cm="1">
        <f t="array" aca="1" ref="E170" ca="1">visible(("ظهر"),K170)</f>
        <v>ظهر</v>
      </c>
      <c r="F170" s="19" cm="1">
        <f t="array" aca="1" ref="F170" ca="1">visible((I158-2),K170)</f>
        <v>76</v>
      </c>
      <c r="G170" s="19" cm="1">
        <f t="array" aca="1" ref="G170" ca="1">visible((H158-2),K170)</f>
        <v>-2</v>
      </c>
      <c r="H170" s="19" cm="1">
        <f t="array" aca="1" ref="H170" ca="1">visible((C155),K170)</f>
        <v>1</v>
      </c>
      <c r="I170" s="19" cm="1">
        <f t="array" aca="1" ref="I170" ca="1">visible(materialNum(D170),K170)</f>
        <v>2</v>
      </c>
      <c r="J170" s="19" t="str" cm="1">
        <f t="array" ref="J170">visible((""),M170)</f>
        <v/>
      </c>
      <c r="K170" s="19" t="b">
        <f ca="1">F158</f>
        <v>1</v>
      </c>
    </row>
    <row r="171" spans="1:11" x14ac:dyDescent="0.3">
      <c r="A171" s="51">
        <v>255</v>
      </c>
      <c r="C171"/>
      <c r="D171"/>
      <c r="E171"/>
      <c r="F171"/>
      <c r="G171"/>
      <c r="H171"/>
      <c r="I171"/>
      <c r="J171"/>
      <c r="K171"/>
    </row>
    <row r="172" spans="1:11" x14ac:dyDescent="0.3">
      <c r="A172" s="51">
        <v>255</v>
      </c>
      <c r="C172"/>
      <c r="D172"/>
      <c r="E172"/>
      <c r="F172"/>
      <c r="G172"/>
      <c r="H172"/>
      <c r="I172"/>
      <c r="J172"/>
      <c r="K172"/>
    </row>
  </sheetData>
  <mergeCells count="12">
    <mergeCell ref="E155:H155"/>
    <mergeCell ref="E132:H132"/>
    <mergeCell ref="E109:H109"/>
    <mergeCell ref="F110:F111"/>
    <mergeCell ref="E89:H89"/>
    <mergeCell ref="E48:H48"/>
    <mergeCell ref="F90:F91"/>
    <mergeCell ref="F69:F70"/>
    <mergeCell ref="E68:H68"/>
    <mergeCell ref="C2:J2"/>
    <mergeCell ref="F49:F50"/>
    <mergeCell ref="E13:H13"/>
  </mergeCells>
  <phoneticPr fontId="10" type="noConversion"/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45720</xdr:rowOff>
                  </from>
                  <to>
                    <xdr:col>11</xdr:col>
                    <xdr:colOff>441960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0]!insertBlock">
                <anchor moveWithCells="1" sizeWithCells="1">
                  <from>
                    <xdr:col>3</xdr:col>
                    <xdr:colOff>693420</xdr:colOff>
                    <xdr:row>5</xdr:row>
                    <xdr:rowOff>45720</xdr:rowOff>
                  </from>
                  <to>
                    <xdr:col>5</xdr:col>
                    <xdr:colOff>274320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411480</xdr:colOff>
                    <xdr:row>5</xdr:row>
                    <xdr:rowOff>45720</xdr:rowOff>
                  </from>
                  <to>
                    <xdr:col>8</xdr:col>
                    <xdr:colOff>358140</xdr:colOff>
                    <xdr:row>6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W149"/>
  <sheetViews>
    <sheetView topLeftCell="B1" zoomScale="86" zoomScaleNormal="70" workbookViewId="0">
      <selection activeCell="G12" sqref="G12"/>
    </sheetView>
  </sheetViews>
  <sheetFormatPr defaultRowHeight="15.6" x14ac:dyDescent="0.3"/>
  <cols>
    <col min="1" max="1" width="7.44140625" style="36" hidden="1" customWidth="1"/>
    <col min="2" max="2" width="34" style="3" customWidth="1"/>
    <col min="3" max="3" width="8.109375" style="3" customWidth="1"/>
    <col min="4" max="4" width="8" style="3" customWidth="1"/>
    <col min="5" max="5" width="17.109375" style="3" customWidth="1"/>
    <col min="6" max="6" width="7.77734375" style="3" customWidth="1"/>
    <col min="7" max="7" width="7.88671875" style="3" customWidth="1"/>
    <col min="8" max="8" width="8.33203125" style="3" customWidth="1"/>
    <col min="9" max="9" width="8.21875" style="3" customWidth="1"/>
    <col min="10" max="10" width="13.6640625" style="3" customWidth="1"/>
    <col min="11" max="17" width="8.88671875" style="3" customWidth="1"/>
    <col min="18" max="18" width="24.33203125" style="3" customWidth="1"/>
    <col min="19" max="19" width="28.77734375" style="3" customWidth="1"/>
    <col min="20" max="20" width="28.44140625" style="3" customWidth="1"/>
    <col min="21" max="21" width="27.21875" style="3" customWidth="1"/>
    <col min="22" max="22" width="28.77734375" style="3" customWidth="1"/>
    <col min="23" max="23" width="23.33203125" style="3" customWidth="1"/>
    <col min="24" max="24" width="22.88671875" style="3" customWidth="1"/>
    <col min="25" max="52" width="8.88671875" style="3" customWidth="1"/>
    <col min="53" max="16384" width="8.88671875" style="3"/>
  </cols>
  <sheetData>
    <row r="1" spans="1:25" s="35" customFormat="1" x14ac:dyDescent="0.3">
      <c r="A1" s="36">
        <v>74</v>
      </c>
      <c r="B1" s="55">
        <v>6</v>
      </c>
    </row>
    <row r="2" spans="1:25" s="35" customFormat="1" ht="31.2" x14ac:dyDescent="0.3">
      <c r="A2" s="36">
        <v>96</v>
      </c>
      <c r="B2" s="48" t="s">
        <v>122</v>
      </c>
      <c r="C2" s="106" t="s">
        <v>104</v>
      </c>
      <c r="D2" s="106"/>
      <c r="E2" s="106"/>
      <c r="F2" s="106"/>
      <c r="G2" s="106"/>
      <c r="H2" s="106"/>
      <c r="I2" s="106"/>
      <c r="J2" s="106"/>
    </row>
    <row r="3" spans="1:25" s="35" customFormat="1" ht="14.4" x14ac:dyDescent="0.3">
      <c r="A3" s="45"/>
      <c r="B3" s="53" t="s">
        <v>175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O3" s="45"/>
      <c r="P3" s="45"/>
      <c r="Q3" s="45"/>
      <c r="R3" s="34"/>
      <c r="S3" s="34"/>
      <c r="T3" s="34"/>
      <c r="U3" s="34"/>
      <c r="V3" s="40"/>
      <c r="W3" s="40"/>
      <c r="X3" s="40"/>
      <c r="Y3" s="40"/>
    </row>
    <row r="4" spans="1:25" s="35" customFormat="1" ht="14.4" x14ac:dyDescent="0.3">
      <c r="A4" s="45"/>
      <c r="B4" s="53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O4" s="45"/>
      <c r="P4" s="45"/>
      <c r="Q4" s="45"/>
      <c r="R4" s="34"/>
      <c r="S4" s="34"/>
      <c r="T4" s="34"/>
      <c r="U4" s="34"/>
      <c r="V4" s="34"/>
      <c r="W4" s="34"/>
      <c r="X4" s="34"/>
      <c r="Y4" s="34"/>
    </row>
    <row r="5" spans="1:25" s="35" customFormat="1" ht="14.4" x14ac:dyDescent="0.3">
      <c r="A5" s="45"/>
      <c r="B5" s="53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O5" s="45"/>
      <c r="P5" s="45"/>
      <c r="Q5" s="45"/>
      <c r="R5" s="45"/>
      <c r="S5" s="45"/>
      <c r="T5" s="45"/>
      <c r="U5" s="45"/>
      <c r="V5" s="45"/>
    </row>
    <row r="6" spans="1:25" s="35" customFormat="1" ht="14.4" x14ac:dyDescent="0.3">
      <c r="A6" s="45"/>
      <c r="B6" s="53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O6" s="45"/>
      <c r="P6" s="45"/>
      <c r="Q6" s="45"/>
      <c r="R6" s="45"/>
      <c r="S6" s="45"/>
      <c r="T6" s="45"/>
      <c r="U6" s="45"/>
      <c r="V6" s="45"/>
    </row>
    <row r="7" spans="1:25" s="37" customFormat="1" ht="18" x14ac:dyDescent="0.3">
      <c r="A7" s="45"/>
      <c r="B7" s="53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O7" s="45"/>
      <c r="P7" s="45"/>
      <c r="Q7" s="45"/>
      <c r="R7" s="45"/>
      <c r="S7" s="45"/>
      <c r="T7" s="45"/>
      <c r="U7" s="45"/>
      <c r="V7" s="45"/>
    </row>
    <row r="8" spans="1:25" s="38" customFormat="1" ht="18" x14ac:dyDescent="0.3">
      <c r="A8" s="45"/>
      <c r="B8" s="53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  <c r="P8" s="45"/>
      <c r="Q8" s="45"/>
      <c r="R8" s="45"/>
      <c r="S8" s="45"/>
      <c r="T8" s="45"/>
      <c r="U8" s="45"/>
      <c r="V8" s="45"/>
    </row>
    <row r="9" spans="1:25" customFormat="1" ht="14.4" x14ac:dyDescent="0.3">
      <c r="A9" s="45"/>
    </row>
    <row r="10" spans="1:25" customFormat="1" ht="14.4" x14ac:dyDescent="0.3">
      <c r="A10" s="45"/>
    </row>
    <row r="12" spans="1:25" ht="14.4" x14ac:dyDescent="0.3">
      <c r="A12" s="35"/>
    </row>
    <row r="13" spans="1:25" s="4" customFormat="1" ht="36" x14ac:dyDescent="0.3">
      <c r="A13" s="39" t="s">
        <v>155</v>
      </c>
      <c r="B13" s="15"/>
      <c r="C13" s="14">
        <v>1</v>
      </c>
      <c r="D13" s="22" t="s">
        <v>59</v>
      </c>
      <c r="E13" s="101" t="s">
        <v>116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_xlfn.SHEET("بورديوم")</f>
        <v>5</v>
      </c>
    </row>
    <row r="14" spans="1:25" ht="31.2" x14ac:dyDescent="0.3">
      <c r="A14" s="35">
        <v>1</v>
      </c>
      <c r="B14" s="15"/>
      <c r="C14" s="7" t="s">
        <v>12</v>
      </c>
      <c r="D14" s="18" t="s">
        <v>18</v>
      </c>
      <c r="E14" s="7" t="s">
        <v>16</v>
      </c>
      <c r="F14" s="29" t="s">
        <v>114</v>
      </c>
      <c r="G14" s="105"/>
      <c r="H14" s="7" t="s">
        <v>22</v>
      </c>
      <c r="I14" s="7" t="s">
        <v>3</v>
      </c>
      <c r="J14" s="7" t="s">
        <v>113</v>
      </c>
      <c r="K14" s="7"/>
    </row>
    <row r="15" spans="1:25" x14ac:dyDescent="0.3">
      <c r="A15" s="35">
        <v>1</v>
      </c>
      <c r="B15" s="15"/>
      <c r="C15" s="8">
        <v>1</v>
      </c>
      <c r="D15" s="8">
        <v>1</v>
      </c>
      <c r="E15" s="27" cm="1">
        <f t="array" aca="1" ref="E15" ca="1">defaultValue(E14,K13)</f>
        <v>3.5</v>
      </c>
      <c r="F15" s="27" t="b" cm="1">
        <f t="array" aca="1" ref="F15" ca="1">defaultValue(F14,K13)</f>
        <v>1</v>
      </c>
      <c r="G15" s="105"/>
      <c r="H15" s="8"/>
      <c r="I15" s="27" cm="1">
        <f t="array" aca="1" ref="I15" ca="1">defaultValue(I14,K13)</f>
        <v>78</v>
      </c>
      <c r="J15" s="27" cm="1">
        <f t="array" aca="1" ref="J15" ca="1">defaultValue(J14,K13)</f>
        <v>56</v>
      </c>
      <c r="K15" s="7"/>
    </row>
    <row r="16" spans="1:25" ht="31.2" x14ac:dyDescent="0.3">
      <c r="A16" s="35">
        <v>1</v>
      </c>
      <c r="B16" s="15"/>
      <c r="C16" s="8"/>
      <c r="D16" s="27" t="str" cm="1">
        <f t="array" aca="1" ref="D16" ca="1">defaultValue(E16,K13)</f>
        <v>ظهر</v>
      </c>
      <c r="E16" s="7" t="s">
        <v>58</v>
      </c>
      <c r="F16" s="27" t="str" cm="1">
        <f t="array" aca="1" ref="F16" ca="1">defaultValue(G16,K13)</f>
        <v>يوفيلاك</v>
      </c>
      <c r="G16" s="7" t="s">
        <v>32</v>
      </c>
      <c r="H16" s="27" t="str" cm="1">
        <f t="array" aca="1" ref="H16" ca="1">defaultValue(I16,K13)</f>
        <v>بورديوم</v>
      </c>
      <c r="I16" s="7" t="s">
        <v>31</v>
      </c>
      <c r="J16" s="25" t="s">
        <v>111</v>
      </c>
      <c r="K16" s="7"/>
    </row>
    <row r="17" spans="1:75" ht="14.4" x14ac:dyDescent="0.3">
      <c r="A17" s="35">
        <v>0</v>
      </c>
      <c r="B17"/>
      <c r="C17"/>
      <c r="D17"/>
      <c r="E17"/>
      <c r="F17"/>
      <c r="G17"/>
      <c r="H17"/>
      <c r="I17"/>
      <c r="J17"/>
      <c r="K17"/>
    </row>
    <row r="18" spans="1:75" x14ac:dyDescent="0.3">
      <c r="A18" s="51">
        <v>2</v>
      </c>
      <c r="B18" s="15"/>
      <c r="C18" s="6" t="s">
        <v>4</v>
      </c>
      <c r="D18" s="6" t="s">
        <v>9</v>
      </c>
      <c r="E18" s="6" t="s">
        <v>5</v>
      </c>
      <c r="F18" s="6" t="s">
        <v>7</v>
      </c>
      <c r="G18" s="6" t="s">
        <v>1</v>
      </c>
      <c r="H18" s="6" t="s">
        <v>6</v>
      </c>
      <c r="I18" s="6" t="s">
        <v>33</v>
      </c>
      <c r="J18" s="6" t="s">
        <v>8</v>
      </c>
      <c r="K18" s="6" t="s">
        <v>185</v>
      </c>
    </row>
    <row r="19" spans="1:75" ht="14.4" x14ac:dyDescent="0.3">
      <c r="A19" s="51">
        <v>0</v>
      </c>
      <c r="B19"/>
      <c r="C19"/>
      <c r="D19"/>
      <c r="E19"/>
      <c r="F19"/>
      <c r="G19"/>
      <c r="H19"/>
      <c r="I19"/>
      <c r="J19"/>
      <c r="K19"/>
    </row>
    <row r="20" spans="1:75" x14ac:dyDescent="0.3">
      <c r="A20" s="51">
        <v>3</v>
      </c>
      <c r="B20" s="15" t="str">
        <f>E13</f>
        <v>وحدة سفلية دلفة /دلفتين (بورديوم)</v>
      </c>
      <c r="C20" s="6">
        <v>1</v>
      </c>
      <c r="D20" s="6" t="str">
        <f ca="1">H16</f>
        <v>بورديوم</v>
      </c>
      <c r="E20" s="6" t="s">
        <v>10</v>
      </c>
      <c r="F20" s="6">
        <f>H15-3.6</f>
        <v>-3.6</v>
      </c>
      <c r="G20" s="6">
        <f ca="1">J15</f>
        <v>56</v>
      </c>
      <c r="H20" s="6">
        <f>1*C13</f>
        <v>1</v>
      </c>
      <c r="I20" s="6">
        <f ca="1">HLOOKUP(D20, materials[], 2,FALSE)</f>
        <v>2</v>
      </c>
      <c r="J20" s="6"/>
      <c r="K20" s="6" t="b">
        <v>1</v>
      </c>
    </row>
    <row r="21" spans="1:75" x14ac:dyDescent="0.3">
      <c r="A21" s="51">
        <v>3</v>
      </c>
      <c r="B21" s="15" t="str">
        <f>B20</f>
        <v>وحدة سفلية دلفة /دلفتين (بورديوم)</v>
      </c>
      <c r="C21" s="6">
        <f>C20+1</f>
        <v>2</v>
      </c>
      <c r="D21" s="6" t="str">
        <f ca="1">H16</f>
        <v>بورديوم</v>
      </c>
      <c r="E21" s="6" t="s">
        <v>11</v>
      </c>
      <c r="F21" s="6">
        <f ca="1">I15</f>
        <v>78</v>
      </c>
      <c r="G21" s="6">
        <f ca="1">J15</f>
        <v>56</v>
      </c>
      <c r="H21" s="6">
        <f>2*C13</f>
        <v>2</v>
      </c>
      <c r="I21" s="6">
        <f ca="1">HLOOKUP(D21, materials[], 2,FALSE)</f>
        <v>2</v>
      </c>
      <c r="J21" s="6"/>
      <c r="K21" s="6" t="b">
        <v>1</v>
      </c>
    </row>
    <row r="22" spans="1:75" x14ac:dyDescent="0.3">
      <c r="A22" s="51">
        <v>3</v>
      </c>
      <c r="B22" s="15" t="str">
        <f>B20</f>
        <v>وحدة سفلية دلفة /دلفتين (بورديوم)</v>
      </c>
      <c r="C22" s="6">
        <f t="shared" ref="C22:C24" si="0">C21+1</f>
        <v>3</v>
      </c>
      <c r="D22" s="6" t="str">
        <f ca="1">H16</f>
        <v>بورديوم</v>
      </c>
      <c r="E22" s="6" t="s">
        <v>13</v>
      </c>
      <c r="F22" s="6">
        <f>H15-3.6</f>
        <v>-3.6</v>
      </c>
      <c r="G22" s="6">
        <v>10</v>
      </c>
      <c r="H22" s="6">
        <f>1*C13</f>
        <v>1</v>
      </c>
      <c r="I22" s="6">
        <f ca="1">HLOOKUP(D22, materials[], 2,FALSE)</f>
        <v>2</v>
      </c>
      <c r="J22" s="6"/>
      <c r="K22" s="6" t="b">
        <v>1</v>
      </c>
    </row>
    <row r="23" spans="1:75" x14ac:dyDescent="0.3">
      <c r="A23" s="51">
        <v>3</v>
      </c>
      <c r="B23" s="15" t="str">
        <f>B20</f>
        <v>وحدة سفلية دلفة /دلفتين (بورديوم)</v>
      </c>
      <c r="C23" s="6">
        <f t="shared" si="0"/>
        <v>4</v>
      </c>
      <c r="D23" s="6" t="str">
        <f ca="1">H16</f>
        <v>بورديوم</v>
      </c>
      <c r="E23" s="6" t="s">
        <v>14</v>
      </c>
      <c r="F23" s="6">
        <f>H15-3.6</f>
        <v>-3.6</v>
      </c>
      <c r="G23" s="6">
        <v>7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</row>
    <row r="24" spans="1:75" x14ac:dyDescent="0.3">
      <c r="A24" s="51">
        <v>3</v>
      </c>
      <c r="B24" s="15" t="str">
        <f>B20</f>
        <v>وحدة سفلية دلفة /دلفتين (بورديوم)</v>
      </c>
      <c r="C24" s="6">
        <f t="shared" si="0"/>
        <v>5</v>
      </c>
      <c r="D24" s="6" t="str">
        <f ca="1">H16</f>
        <v>بورديوم</v>
      </c>
      <c r="E24" s="6" t="s">
        <v>17</v>
      </c>
      <c r="F24" s="6">
        <f>H15-3.8</f>
        <v>-3.8</v>
      </c>
      <c r="G24" s="6">
        <f ca="1">J15-6</f>
        <v>50</v>
      </c>
      <c r="H24" s="6">
        <f>D15*C13</f>
        <v>1</v>
      </c>
      <c r="I24" s="6">
        <f ca="1">HLOOKUP(D24, materials[], 2,FALSE)</f>
        <v>2</v>
      </c>
      <c r="J24" s="6"/>
      <c r="K24" s="6" t="b">
        <v>1</v>
      </c>
    </row>
    <row r="25" spans="1:75" ht="14.4" x14ac:dyDescent="0.3">
      <c r="A25" s="51">
        <v>0</v>
      </c>
      <c r="B25"/>
      <c r="C25"/>
      <c r="D25"/>
      <c r="E25"/>
      <c r="F25"/>
      <c r="G25"/>
      <c r="H25"/>
      <c r="I25"/>
      <c r="J25"/>
      <c r="K25"/>
    </row>
    <row r="26" spans="1:75" x14ac:dyDescent="0.3">
      <c r="A26" s="51">
        <v>4</v>
      </c>
      <c r="B26" s="15" t="str">
        <f>B20</f>
        <v>وحدة سفلية دلفة /دلفتين (بورديوم)</v>
      </c>
      <c r="C26" s="9">
        <f>C24+1</f>
        <v>6</v>
      </c>
      <c r="D26" s="9" t="str">
        <f ca="1">F16</f>
        <v>يوفيلاك</v>
      </c>
      <c r="E26" s="9" t="s">
        <v>15</v>
      </c>
      <c r="F26" s="9">
        <f ca="1">I15-0.5-E15</f>
        <v>74</v>
      </c>
      <c r="G26" s="9">
        <f>(H15/C15)-0.5</f>
        <v>-0.5</v>
      </c>
      <c r="H26" s="9">
        <f>C15*C13</f>
        <v>1</v>
      </c>
      <c r="I26" s="9">
        <f ca="1">HLOOKUP(D26, materials[], 2,FALSE)</f>
        <v>6</v>
      </c>
      <c r="J26" s="9"/>
      <c r="K26" s="9" t="b">
        <v>1</v>
      </c>
    </row>
    <row r="27" spans="1:75" ht="14.4" x14ac:dyDescent="0.3">
      <c r="A27" s="51">
        <v>0</v>
      </c>
      <c r="B27"/>
      <c r="C27"/>
      <c r="D27"/>
      <c r="E27"/>
      <c r="F27"/>
      <c r="G27"/>
      <c r="H27"/>
      <c r="I27"/>
      <c r="J27"/>
      <c r="K27"/>
    </row>
    <row r="28" spans="1:75" x14ac:dyDescent="0.3">
      <c r="A28" s="51">
        <v>5</v>
      </c>
      <c r="B28" s="15" t="str">
        <f ca="1">IF(F15,B20, "")</f>
        <v>وحدة سفلية دلفة /دلفتين (بورديوم)</v>
      </c>
      <c r="C28" s="19">
        <f ca="1">IF(F15,C26+1, "")</f>
        <v>7</v>
      </c>
      <c r="D28" s="19" t="str">
        <f ca="1">IF(F15,D16, "")</f>
        <v>ظهر</v>
      </c>
      <c r="E28" s="19" t="str">
        <f ca="1">IF(F15,"ظهر", "")</f>
        <v>ظهر</v>
      </c>
      <c r="F28" s="19">
        <f ca="1">IF(F15,I15-2, "")</f>
        <v>76</v>
      </c>
      <c r="G28" s="19">
        <f ca="1">IF(F15,H15-2, "")</f>
        <v>-2</v>
      </c>
      <c r="H28" s="19">
        <f ca="1">IF(F15,0, "")</f>
        <v>0</v>
      </c>
      <c r="I28" s="19">
        <f ca="1">IF(F15,HLOOKUP(D28, materials[], 2,FALSE), "")</f>
        <v>2</v>
      </c>
      <c r="J28" s="19"/>
      <c r="K28" s="19" t="b">
        <v>1</v>
      </c>
    </row>
    <row r="29" spans="1:75" ht="14.4" x14ac:dyDescent="0.3">
      <c r="A29" s="35">
        <v>255</v>
      </c>
    </row>
    <row r="30" spans="1:75" x14ac:dyDescent="0.3">
      <c r="A30" s="35">
        <v>255</v>
      </c>
      <c r="B30" s="15"/>
    </row>
    <row r="31" spans="1:75" ht="36" x14ac:dyDescent="0.3">
      <c r="A31" s="51" t="s">
        <v>160</v>
      </c>
      <c r="B31" s="15"/>
      <c r="C31" s="14">
        <v>1</v>
      </c>
      <c r="D31" s="22" t="s">
        <v>59</v>
      </c>
      <c r="E31" s="101" t="s">
        <v>142</v>
      </c>
      <c r="F31" s="102"/>
      <c r="G31" s="102"/>
      <c r="H31" s="103"/>
      <c r="I31" s="2" t="s">
        <v>30</v>
      </c>
      <c r="J31" s="2">
        <f>letterToNumber(A31)</f>
        <v>2</v>
      </c>
      <c r="K31" s="7">
        <f ca="1">_xlfn.SHEET("بورديوم")</f>
        <v>5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 s="1"/>
      <c r="BC31" s="1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</row>
    <row r="32" spans="1:75" ht="40.799999999999997" customHeight="1" x14ac:dyDescent="0.3">
      <c r="A32" s="51">
        <v>1</v>
      </c>
      <c r="B32" s="15"/>
      <c r="C32" s="7" t="s">
        <v>129</v>
      </c>
      <c r="D32" s="7" t="s">
        <v>128</v>
      </c>
      <c r="E32" s="7" t="s">
        <v>130</v>
      </c>
      <c r="F32" s="7" t="s">
        <v>127</v>
      </c>
      <c r="G32" s="27" t="str">
        <f ca="1">INDEX(boardiumGlobal[[#All],[Column1]],MATCH(H32,boardiumGlobal[[#All],[Column2]],0))</f>
        <v>ظهر</v>
      </c>
      <c r="H32" s="7" t="s">
        <v>58</v>
      </c>
      <c r="I32" s="27" cm="1">
        <f t="array" aca="1" ref="I32" ca="1">defaultValue(J32,K31)</f>
        <v>45</v>
      </c>
      <c r="J32" s="16" t="s">
        <v>19</v>
      </c>
      <c r="K32" s="7"/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 s="1"/>
      <c r="BC32" s="1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</row>
    <row r="33" spans="1:75" ht="31.2" x14ac:dyDescent="0.3">
      <c r="A33" s="51">
        <v>1</v>
      </c>
      <c r="B33" s="29" t="s">
        <v>114</v>
      </c>
      <c r="C33" s="8">
        <v>0</v>
      </c>
      <c r="D33" s="8">
        <v>0</v>
      </c>
      <c r="E33" s="7">
        <v>0</v>
      </c>
      <c r="F33" s="7">
        <v>0</v>
      </c>
      <c r="G33" s="7" t="s">
        <v>16</v>
      </c>
      <c r="H33" s="7" t="s">
        <v>22</v>
      </c>
      <c r="I33" s="7" t="s">
        <v>3</v>
      </c>
      <c r="J33" s="7" t="s">
        <v>113</v>
      </c>
      <c r="K33" s="7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</row>
    <row r="34" spans="1:75" x14ac:dyDescent="0.3">
      <c r="A34" s="51">
        <v>1</v>
      </c>
      <c r="B34" s="27" t="b" cm="1">
        <f t="array" aca="1" ref="B34" ca="1">defaultValue(B33,K31)</f>
        <v>1</v>
      </c>
      <c r="C34" s="8">
        <v>30</v>
      </c>
      <c r="D34" s="8">
        <v>20</v>
      </c>
      <c r="E34" s="7">
        <v>10</v>
      </c>
      <c r="F34" s="7">
        <v>7</v>
      </c>
      <c r="G34" s="27" cm="1">
        <f t="array" aca="1" ref="G34" ca="1">defaultValue(G33,K31)</f>
        <v>3.5</v>
      </c>
      <c r="H34" s="8">
        <v>60</v>
      </c>
      <c r="I34" s="27" cm="1">
        <f t="array" aca="1" ref="I34" ca="1">defaultValue(I33,K31)</f>
        <v>78</v>
      </c>
      <c r="J34" s="27" cm="1">
        <f t="array" aca="1" ref="J34" ca="1">defaultValue(J33,K31)</f>
        <v>56</v>
      </c>
      <c r="K34" s="7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</row>
    <row r="35" spans="1:75" ht="31.2" x14ac:dyDescent="0.3">
      <c r="A35" s="51">
        <v>1</v>
      </c>
      <c r="B35" s="59" t="s">
        <v>148</v>
      </c>
      <c r="C35" s="60">
        <v>0</v>
      </c>
      <c r="D35" s="58">
        <v>4</v>
      </c>
      <c r="E35" s="58" t="s">
        <v>143</v>
      </c>
      <c r="F35" s="27" t="str" cm="1">
        <f t="array" aca="1" ref="F35" ca="1">defaultValue(G35,K31)</f>
        <v>يوفيلاك</v>
      </c>
      <c r="G35" s="7" t="s">
        <v>32</v>
      </c>
      <c r="H35" s="27" t="str" cm="1">
        <f t="array" aca="1" ref="H35" ca="1">defaultValue(I35,K31)</f>
        <v>بورديوم</v>
      </c>
      <c r="I35" s="7" t="s">
        <v>31</v>
      </c>
      <c r="J35" s="25" t="s">
        <v>111</v>
      </c>
      <c r="K35" s="7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 s="1"/>
      <c r="BC35" s="1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</row>
    <row r="36" spans="1:75" ht="14.4" x14ac:dyDescent="0.3">
      <c r="A36" s="51">
        <v>0</v>
      </c>
      <c r="B36"/>
      <c r="C36"/>
      <c r="D36"/>
      <c r="E36"/>
      <c r="F36"/>
      <c r="G36"/>
      <c r="H36"/>
      <c r="I36"/>
      <c r="J36"/>
      <c r="K36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 s="1"/>
      <c r="BC36" s="1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</row>
    <row r="37" spans="1:75" x14ac:dyDescent="0.3">
      <c r="A37" s="51">
        <v>2</v>
      </c>
      <c r="B37" s="15"/>
      <c r="C37" s="6" t="s">
        <v>4</v>
      </c>
      <c r="D37" s="6" t="s">
        <v>9</v>
      </c>
      <c r="E37" s="6" t="s">
        <v>5</v>
      </c>
      <c r="F37" s="6" t="s">
        <v>7</v>
      </c>
      <c r="G37" s="6" t="s">
        <v>1</v>
      </c>
      <c r="H37" s="6" t="s">
        <v>6</v>
      </c>
      <c r="I37" s="6" t="s">
        <v>33</v>
      </c>
      <c r="J37" s="6" t="s">
        <v>8</v>
      </c>
      <c r="K37" s="6" t="s">
        <v>185</v>
      </c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 s="1"/>
      <c r="BC37" s="1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</row>
    <row r="38" spans="1:75" ht="14.4" x14ac:dyDescent="0.3">
      <c r="A38" s="51">
        <v>0</v>
      </c>
      <c r="B38"/>
      <c r="C38"/>
      <c r="D38"/>
      <c r="E38"/>
      <c r="F38"/>
      <c r="G38"/>
      <c r="H38"/>
      <c r="I38"/>
      <c r="J38"/>
      <c r="K38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 s="1"/>
      <c r="BC38" s="1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</row>
    <row r="39" spans="1:75" x14ac:dyDescent="0.3">
      <c r="A39" s="51">
        <v>3</v>
      </c>
      <c r="B39" s="15" t="str">
        <f>E31</f>
        <v xml:space="preserve">وحدة سفلية    أدراج </v>
      </c>
      <c r="C39" s="6">
        <v>1</v>
      </c>
      <c r="D39" s="6" t="str">
        <f ca="1">H35</f>
        <v>بورديوم</v>
      </c>
      <c r="E39" s="6" t="s">
        <v>10</v>
      </c>
      <c r="F39" s="6">
        <f>H34-3.6</f>
        <v>56.4</v>
      </c>
      <c r="G39" s="6">
        <f ca="1">J34</f>
        <v>56</v>
      </c>
      <c r="H39" s="6">
        <f>1*C31</f>
        <v>1</v>
      </c>
      <c r="I39" s="6">
        <f ca="1">HLOOKUP(D39, materials[], 2,FALSE)</f>
        <v>2</v>
      </c>
      <c r="J39" s="6"/>
      <c r="K39" s="6" t="b">
        <v>1</v>
      </c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 s="1"/>
      <c r="BC39" s="1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</row>
    <row r="40" spans="1:75" x14ac:dyDescent="0.3">
      <c r="A40" s="51">
        <v>3</v>
      </c>
      <c r="B40" s="15" t="str">
        <f>B39</f>
        <v xml:space="preserve">وحدة سفلية    أدراج </v>
      </c>
      <c r="C40" s="6">
        <f>C39+1</f>
        <v>2</v>
      </c>
      <c r="D40" s="6" t="str">
        <f ca="1">H35</f>
        <v>بورديوم</v>
      </c>
      <c r="E40" s="6" t="s">
        <v>11</v>
      </c>
      <c r="F40" s="6">
        <f ca="1">I34</f>
        <v>78</v>
      </c>
      <c r="G40" s="6">
        <f ca="1">J34</f>
        <v>56</v>
      </c>
      <c r="H40" s="6">
        <f>2*C31</f>
        <v>2</v>
      </c>
      <c r="I40" s="6">
        <f ca="1">HLOOKUP(D40, materials[], 2,FALSE)</f>
        <v>2</v>
      </c>
      <c r="J40" s="6"/>
      <c r="K40" s="6" t="b">
        <v>1</v>
      </c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 s="1"/>
      <c r="BC40" s="1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</row>
    <row r="41" spans="1:75" x14ac:dyDescent="0.3">
      <c r="A41" s="51">
        <v>3</v>
      </c>
      <c r="B41" s="15" t="str">
        <f>B39</f>
        <v xml:space="preserve">وحدة سفلية    أدراج </v>
      </c>
      <c r="C41" s="6">
        <f t="shared" ref="C41:C53" si="1">C40+1</f>
        <v>3</v>
      </c>
      <c r="D41" s="6" t="str">
        <f ca="1">H35</f>
        <v>بورديوم</v>
      </c>
      <c r="E41" s="6" t="s">
        <v>13</v>
      </c>
      <c r="F41" s="6">
        <f>H34-3.6</f>
        <v>56.4</v>
      </c>
      <c r="G41" s="6">
        <v>10</v>
      </c>
      <c r="H41" s="6">
        <f>1*C31</f>
        <v>1</v>
      </c>
      <c r="I41" s="6">
        <f ca="1">HLOOKUP(D41, materials[], 2,FALSE)</f>
        <v>2</v>
      </c>
      <c r="J41" s="6"/>
      <c r="K41" s="6" t="b">
        <v>1</v>
      </c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 s="1"/>
      <c r="BC41" s="1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</row>
    <row r="42" spans="1:75" x14ac:dyDescent="0.3">
      <c r="A42" s="51">
        <v>3</v>
      </c>
      <c r="B42" s="15" t="str">
        <f>B39</f>
        <v xml:space="preserve">وحدة سفلية    أدراج </v>
      </c>
      <c r="C42" s="6">
        <f t="shared" si="1"/>
        <v>4</v>
      </c>
      <c r="D42" s="6" t="str">
        <f ca="1">H35</f>
        <v>بورديوم</v>
      </c>
      <c r="E42" s="6" t="s">
        <v>14</v>
      </c>
      <c r="F42" s="6">
        <f>H34-3.6</f>
        <v>56.4</v>
      </c>
      <c r="G42" s="6">
        <v>7</v>
      </c>
      <c r="H42" s="6">
        <f>1*C31</f>
        <v>1</v>
      </c>
      <c r="I42" s="6">
        <f ca="1">HLOOKUP(D42, materials[], 2,FALSE)</f>
        <v>2</v>
      </c>
      <c r="J42" s="6"/>
      <c r="K42" s="6" t="b">
        <v>1</v>
      </c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 s="1"/>
      <c r="BC42" s="1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</row>
    <row r="43" spans="1:75" x14ac:dyDescent="0.3">
      <c r="A43" s="51">
        <v>3</v>
      </c>
      <c r="B43" s="15" t="str">
        <f>B39</f>
        <v xml:space="preserve">وحدة سفلية    أدراج </v>
      </c>
      <c r="C43" s="10">
        <f t="shared" si="1"/>
        <v>5</v>
      </c>
      <c r="D43" s="10" t="str">
        <f ca="1">H35</f>
        <v>بورديوم</v>
      </c>
      <c r="E43" s="10" t="s">
        <v>131</v>
      </c>
      <c r="F43" s="10">
        <f>H34-3.6-3.6-2.5</f>
        <v>50.3</v>
      </c>
      <c r="G43" s="10">
        <f>E34</f>
        <v>10</v>
      </c>
      <c r="H43" s="10">
        <f>E33*C31</f>
        <v>0</v>
      </c>
      <c r="I43" s="10">
        <f ca="1">HLOOKUP(D43, materials[], 2,FALSE)</f>
        <v>2</v>
      </c>
      <c r="J43" s="10"/>
      <c r="K43" s="10" t="b">
        <v>1</v>
      </c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 s="1"/>
      <c r="BC43" s="1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</row>
    <row r="44" spans="1:75" x14ac:dyDescent="0.3">
      <c r="A44" s="51">
        <v>3</v>
      </c>
      <c r="B44" s="15" t="str">
        <f>B39</f>
        <v xml:space="preserve">وحدة سفلية    أدراج </v>
      </c>
      <c r="C44" s="10">
        <f t="shared" si="1"/>
        <v>6</v>
      </c>
      <c r="D44" s="10" t="str">
        <f ca="1">H35</f>
        <v>بورديوم</v>
      </c>
      <c r="E44" s="10" t="s">
        <v>132</v>
      </c>
      <c r="F44" s="10">
        <f ca="1">I32</f>
        <v>45</v>
      </c>
      <c r="G44" s="10">
        <f>E34</f>
        <v>10</v>
      </c>
      <c r="H44" s="10">
        <f>E33*2*C31</f>
        <v>0</v>
      </c>
      <c r="I44" s="10">
        <f ca="1">HLOOKUP(D44, materials[], 2,FALSE)</f>
        <v>2</v>
      </c>
      <c r="J44" s="10"/>
      <c r="K44" s="10" t="b">
        <v>1</v>
      </c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 s="1"/>
      <c r="BC44" s="1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</row>
    <row r="45" spans="1:75" x14ac:dyDescent="0.3">
      <c r="A45" s="51">
        <v>3</v>
      </c>
      <c r="B45" s="15" t="str">
        <f>B39</f>
        <v xml:space="preserve">وحدة سفلية    أدراج </v>
      </c>
      <c r="C45" s="10">
        <f t="shared" si="1"/>
        <v>7</v>
      </c>
      <c r="D45" s="10" t="str">
        <f ca="1">H35</f>
        <v>بورديوم</v>
      </c>
      <c r="E45" s="10" t="s">
        <v>133</v>
      </c>
      <c r="F45" s="10">
        <f>H34-3.6-3.6-2.5</f>
        <v>50.3</v>
      </c>
      <c r="G45" s="10">
        <f>E34-3</f>
        <v>7</v>
      </c>
      <c r="H45" s="10">
        <f>E33*C31</f>
        <v>0</v>
      </c>
      <c r="I45" s="10">
        <f ca="1">HLOOKUP(D45, materials[], 2,FALSE)</f>
        <v>2</v>
      </c>
      <c r="J45" s="10"/>
      <c r="K45" s="10" t="b">
        <v>1</v>
      </c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 s="1"/>
      <c r="BC45" s="1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</row>
    <row r="46" spans="1:75" x14ac:dyDescent="0.3">
      <c r="A46" s="51">
        <v>3</v>
      </c>
      <c r="B46" s="15" t="str">
        <f>B39</f>
        <v xml:space="preserve">وحدة سفلية    أدراج </v>
      </c>
      <c r="C46" s="11">
        <f t="shared" si="1"/>
        <v>8</v>
      </c>
      <c r="D46" s="11" t="str">
        <f ca="1">H35</f>
        <v>بورديوم</v>
      </c>
      <c r="E46" s="11" t="s">
        <v>134</v>
      </c>
      <c r="F46" s="11">
        <f>H34-3.6-3.6-2.5</f>
        <v>50.3</v>
      </c>
      <c r="G46" s="11">
        <f>D34</f>
        <v>20</v>
      </c>
      <c r="H46" s="11">
        <f>(D33*C31)</f>
        <v>0</v>
      </c>
      <c r="I46" s="11">
        <f ca="1">HLOOKUP(D46, materials[], 2,FALSE)</f>
        <v>2</v>
      </c>
      <c r="J46" s="11"/>
      <c r="K46" s="11" t="b">
        <v>1</v>
      </c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 s="1"/>
      <c r="BC46" s="1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</row>
    <row r="47" spans="1:75" x14ac:dyDescent="0.3">
      <c r="A47" s="51">
        <v>3</v>
      </c>
      <c r="B47" s="15" t="str">
        <f>B39</f>
        <v xml:space="preserve">وحدة سفلية    أدراج </v>
      </c>
      <c r="C47" s="11">
        <f t="shared" si="1"/>
        <v>9</v>
      </c>
      <c r="D47" s="11" t="str">
        <f ca="1">H35</f>
        <v>بورديوم</v>
      </c>
      <c r="E47" s="11" t="s">
        <v>135</v>
      </c>
      <c r="F47" s="11">
        <f ca="1">I32</f>
        <v>45</v>
      </c>
      <c r="G47" s="11">
        <f>D34</f>
        <v>20</v>
      </c>
      <c r="H47" s="11">
        <f>(D33)*2*C31</f>
        <v>0</v>
      </c>
      <c r="I47" s="11">
        <f ca="1">HLOOKUP(D47, materials[], 2,FALSE)</f>
        <v>2</v>
      </c>
      <c r="J47" s="11"/>
      <c r="K47" s="11" t="b">
        <v>1</v>
      </c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 s="1"/>
      <c r="BC47" s="1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</row>
    <row r="48" spans="1:75" x14ac:dyDescent="0.3">
      <c r="A48" s="51">
        <v>3</v>
      </c>
      <c r="B48" s="15" t="str">
        <f>B39</f>
        <v xml:space="preserve">وحدة سفلية    أدراج </v>
      </c>
      <c r="C48" s="11">
        <f t="shared" si="1"/>
        <v>10</v>
      </c>
      <c r="D48" s="11" t="str">
        <f ca="1">H35</f>
        <v>بورديوم</v>
      </c>
      <c r="E48" s="11" t="s">
        <v>136</v>
      </c>
      <c r="F48" s="11">
        <f>H34-3.6-3.6-2.5</f>
        <v>50.3</v>
      </c>
      <c r="G48" s="11">
        <f>D34-3</f>
        <v>17</v>
      </c>
      <c r="H48" s="11">
        <f>(D33)*C31</f>
        <v>0</v>
      </c>
      <c r="I48" s="11">
        <f ca="1">HLOOKUP(D48, materials[], 2,FALSE)</f>
        <v>2</v>
      </c>
      <c r="J48" s="11"/>
      <c r="K48" s="11" t="b">
        <v>1</v>
      </c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 s="1"/>
      <c r="BC48" s="1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</row>
    <row r="49" spans="1:75" x14ac:dyDescent="0.3">
      <c r="A49" s="51">
        <v>3</v>
      </c>
      <c r="B49" s="15" t="str">
        <f>B39</f>
        <v xml:space="preserve">وحدة سفلية    أدراج </v>
      </c>
      <c r="C49" s="10">
        <f t="shared" si="1"/>
        <v>11</v>
      </c>
      <c r="D49" s="10" t="str">
        <f ca="1">H35</f>
        <v>بورديوم</v>
      </c>
      <c r="E49" s="10" t="s">
        <v>139</v>
      </c>
      <c r="F49" s="10">
        <f>H34-3.6-3.6-2.5</f>
        <v>50.3</v>
      </c>
      <c r="G49" s="10">
        <f>C34</f>
        <v>30</v>
      </c>
      <c r="H49" s="10">
        <f>C33*C31</f>
        <v>0</v>
      </c>
      <c r="I49" s="10">
        <f ca="1">HLOOKUP(D49, materials[], 2,FALSE)</f>
        <v>2</v>
      </c>
      <c r="J49" s="10"/>
      <c r="K49" s="10" t="b">
        <v>1</v>
      </c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 s="1"/>
      <c r="BC49" s="1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</row>
    <row r="50" spans="1:75" x14ac:dyDescent="0.3">
      <c r="A50" s="51">
        <v>3</v>
      </c>
      <c r="B50" s="15" t="str">
        <f>B39</f>
        <v xml:space="preserve">وحدة سفلية    أدراج </v>
      </c>
      <c r="C50" s="10">
        <f t="shared" si="1"/>
        <v>12</v>
      </c>
      <c r="D50" s="10" t="str">
        <f ca="1">H35</f>
        <v>بورديوم</v>
      </c>
      <c r="E50" s="10" t="s">
        <v>140</v>
      </c>
      <c r="F50" s="10">
        <f ca="1">I32</f>
        <v>45</v>
      </c>
      <c r="G50" s="10">
        <f>C34</f>
        <v>30</v>
      </c>
      <c r="H50" s="10">
        <f>C33*2*C31</f>
        <v>0</v>
      </c>
      <c r="I50" s="10">
        <f ca="1">HLOOKUP(D50, materials[], 2,FALSE)</f>
        <v>2</v>
      </c>
      <c r="J50" s="10"/>
      <c r="K50" s="10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 s="1"/>
      <c r="BC50" s="1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</row>
    <row r="51" spans="1:75" x14ac:dyDescent="0.3">
      <c r="A51" s="51">
        <v>3</v>
      </c>
      <c r="B51" s="15" t="str">
        <f>B39</f>
        <v xml:space="preserve">وحدة سفلية    أدراج </v>
      </c>
      <c r="C51" s="10">
        <f t="shared" si="1"/>
        <v>13</v>
      </c>
      <c r="D51" s="10" t="str">
        <f ca="1">H35</f>
        <v>بورديوم</v>
      </c>
      <c r="E51" s="10" t="s">
        <v>141</v>
      </c>
      <c r="F51" s="10">
        <f>H34-3.6-3.6-2.5</f>
        <v>50.3</v>
      </c>
      <c r="G51" s="10">
        <f>C34-3</f>
        <v>27</v>
      </c>
      <c r="H51" s="10">
        <f>C33*C31</f>
        <v>0</v>
      </c>
      <c r="I51" s="10">
        <f ca="1">HLOOKUP(D51, materials[], 2,FALSE)</f>
        <v>2</v>
      </c>
      <c r="J51" s="10"/>
      <c r="K51" s="10" t="b">
        <v>1</v>
      </c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 s="1"/>
      <c r="BC51" s="1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</row>
    <row r="52" spans="1:75" x14ac:dyDescent="0.3">
      <c r="A52" s="51">
        <v>3</v>
      </c>
      <c r="B52" s="15" t="str">
        <f>B39</f>
        <v xml:space="preserve">وحدة سفلية    أدراج </v>
      </c>
      <c r="C52" s="11">
        <f t="shared" si="1"/>
        <v>14</v>
      </c>
      <c r="D52" s="11" t="str">
        <f ca="1">H35</f>
        <v>بورديوم</v>
      </c>
      <c r="E52" s="11" t="s">
        <v>138</v>
      </c>
      <c r="F52" s="11">
        <f>H34-3.6-3.6-2.5</f>
        <v>50.3</v>
      </c>
      <c r="G52" s="11">
        <f>F34</f>
        <v>7</v>
      </c>
      <c r="H52" s="11">
        <f>C31*F33*2</f>
        <v>0</v>
      </c>
      <c r="I52" s="11">
        <f ca="1">HLOOKUP(D52, materials[], 2,FALSE)</f>
        <v>2</v>
      </c>
      <c r="J52" s="11"/>
      <c r="K52" s="11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 s="1"/>
      <c r="BC52" s="1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</row>
    <row r="53" spans="1:75" x14ac:dyDescent="0.3">
      <c r="A53" s="51">
        <v>3</v>
      </c>
      <c r="B53" s="15" t="str">
        <f>B39</f>
        <v xml:space="preserve">وحدة سفلية    أدراج </v>
      </c>
      <c r="C53" s="11">
        <f t="shared" si="1"/>
        <v>15</v>
      </c>
      <c r="D53" s="11" t="str">
        <f ca="1">H35</f>
        <v>بورديوم</v>
      </c>
      <c r="E53" s="11" t="s">
        <v>137</v>
      </c>
      <c r="F53" s="11">
        <f ca="1">I32</f>
        <v>45</v>
      </c>
      <c r="G53" s="11">
        <f>F34</f>
        <v>7</v>
      </c>
      <c r="H53" s="11">
        <f>C31*F33*2</f>
        <v>0</v>
      </c>
      <c r="I53" s="11">
        <f ca="1">HLOOKUP(D53, materials[], 2,FALSE)</f>
        <v>2</v>
      </c>
      <c r="J53" s="11"/>
      <c r="K53" s="11" t="b">
        <v>1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 s="1"/>
      <c r="BC53" s="1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</row>
    <row r="54" spans="1:75" ht="14.4" x14ac:dyDescent="0.3">
      <c r="A54" s="51">
        <v>0</v>
      </c>
      <c r="B54"/>
      <c r="C54"/>
      <c r="D54"/>
      <c r="E54"/>
      <c r="F54"/>
      <c r="G54"/>
      <c r="H54"/>
      <c r="I54"/>
      <c r="J54"/>
      <c r="K54"/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 s="1"/>
      <c r="BC54" s="1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</row>
    <row r="55" spans="1:75" ht="28.8" x14ac:dyDescent="0.3">
      <c r="A55" s="51">
        <v>4</v>
      </c>
      <c r="B55" s="15" t="str">
        <f>B39</f>
        <v xml:space="preserve">وحدة سفلية    أدراج </v>
      </c>
      <c r="C55" s="9">
        <f>C53+1</f>
        <v>16</v>
      </c>
      <c r="D55" s="9" t="str">
        <f ca="1">F35</f>
        <v>يوفيلاك</v>
      </c>
      <c r="E55" s="9" t="s">
        <v>144</v>
      </c>
      <c r="F55" s="9">
        <f ca="1">((I34/D35)-0.5-G34)</f>
        <v>15.5</v>
      </c>
      <c r="G55" s="9">
        <f>H34-0.5</f>
        <v>59.5</v>
      </c>
      <c r="H55" s="9" t="str">
        <f>IF(D35&gt;3,"",(D35*C31))</f>
        <v/>
      </c>
      <c r="I55" s="9">
        <f ca="1">HLOOKUP(D55, materials[], 2,FALSE)</f>
        <v>6</v>
      </c>
      <c r="J55" s="9"/>
      <c r="K55" s="9" t="b">
        <v>1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 s="1"/>
      <c r="BC55" s="1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</row>
    <row r="56" spans="1:75" ht="28.8" x14ac:dyDescent="0.3">
      <c r="A56" s="51">
        <v>4</v>
      </c>
      <c r="B56" s="15" t="str">
        <f>B39</f>
        <v xml:space="preserve">وحدة سفلية    أدراج </v>
      </c>
      <c r="C56" s="9">
        <f>C55+1</f>
        <v>17</v>
      </c>
      <c r="D56" s="9" t="str">
        <f ca="1">F35</f>
        <v>يوفيلاك</v>
      </c>
      <c r="E56" s="9" t="s">
        <v>145</v>
      </c>
      <c r="F56" s="9">
        <f ca="1">((I34/D35)-0.5-G34)</f>
        <v>15.5</v>
      </c>
      <c r="G56" s="9">
        <f>H34-0.5</f>
        <v>59.5</v>
      </c>
      <c r="H56" s="9" t="str">
        <f>IF(AND(D35=4,C35),(D35*C31),"")</f>
        <v/>
      </c>
      <c r="I56" s="9">
        <f ca="1">HLOOKUP(D56, materials[], 2,FALSE)</f>
        <v>6</v>
      </c>
      <c r="J56" s="9"/>
      <c r="K56" s="9" t="b">
        <v>1</v>
      </c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 s="1"/>
      <c r="BC56" s="1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</row>
    <row r="57" spans="1:75" ht="28.8" x14ac:dyDescent="0.3">
      <c r="A57" s="51">
        <v>4</v>
      </c>
      <c r="B57" s="15" t="str">
        <f>B39</f>
        <v xml:space="preserve">وحدة سفلية    أدراج </v>
      </c>
      <c r="C57" s="9">
        <f>C56+1</f>
        <v>18</v>
      </c>
      <c r="D57" s="9" t="str">
        <f ca="1">F35</f>
        <v>يوفيلاك</v>
      </c>
      <c r="E57" s="9" t="s">
        <v>146</v>
      </c>
      <c r="F57" s="9">
        <f ca="1">((I34/D35)-0.5-G34)</f>
        <v>15.5</v>
      </c>
      <c r="G57" s="9">
        <f>H34-0.5</f>
        <v>59.5</v>
      </c>
      <c r="H57" s="9">
        <f>IF(AND(D35=4,NOT(C35)),(D35*C31),"")</f>
        <v>4</v>
      </c>
      <c r="I57" s="9">
        <f ca="1">HLOOKUP(D57, materials[], 2,FALSE)</f>
        <v>6</v>
      </c>
      <c r="J57" s="9"/>
      <c r="K57" s="9" t="b">
        <v>1</v>
      </c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 s="1"/>
      <c r="BC57" s="1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</row>
    <row r="58" spans="1:75" ht="28.8" x14ac:dyDescent="0.3">
      <c r="A58" s="51">
        <v>4</v>
      </c>
      <c r="B58" s="15" t="str">
        <f>B39</f>
        <v xml:space="preserve">وحدة سفلية    أدراج </v>
      </c>
      <c r="C58" s="9">
        <f>C57+1</f>
        <v>19</v>
      </c>
      <c r="D58" s="9" t="str">
        <f ca="1">F35</f>
        <v>يوفيلاك</v>
      </c>
      <c r="E58" s="9" t="s">
        <v>147</v>
      </c>
      <c r="F58" s="9">
        <f ca="1">((I34/D35)*2)-G34-0.5</f>
        <v>35</v>
      </c>
      <c r="G58" s="9">
        <f>H34-0.5</f>
        <v>59.5</v>
      </c>
      <c r="H58" s="9">
        <f>IF(AND(D35=4,NOT(C35)),(D35*C31),"")</f>
        <v>4</v>
      </c>
      <c r="I58" s="9">
        <f ca="1">HLOOKUP(D58, materials[], 2,FALSE)</f>
        <v>6</v>
      </c>
      <c r="J58" s="9"/>
      <c r="K58" s="9" t="b">
        <v>1</v>
      </c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 s="1"/>
      <c r="BC58" s="1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</row>
    <row r="59" spans="1:75" ht="14.4" x14ac:dyDescent="0.3">
      <c r="A59" s="51">
        <v>0</v>
      </c>
      <c r="B59"/>
      <c r="C59"/>
      <c r="D59"/>
      <c r="E59"/>
      <c r="F59"/>
      <c r="G59"/>
      <c r="H59"/>
      <c r="I59"/>
      <c r="J59"/>
      <c r="K59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 s="1"/>
      <c r="BC59" s="1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</row>
    <row r="60" spans="1:75" x14ac:dyDescent="0.3">
      <c r="A60" s="51">
        <v>5</v>
      </c>
      <c r="B60" s="15" t="str">
        <f>B39</f>
        <v xml:space="preserve">وحدة سفلية    أدراج </v>
      </c>
      <c r="C60" s="19">
        <f>C55+1</f>
        <v>17</v>
      </c>
      <c r="D60" s="19" t="str">
        <f ca="1">G32</f>
        <v>ظهر</v>
      </c>
      <c r="E60" s="19" t="s">
        <v>58</v>
      </c>
      <c r="F60" s="19">
        <f ca="1">I34-2</f>
        <v>76</v>
      </c>
      <c r="G60" s="19">
        <f>H34-2</f>
        <v>58</v>
      </c>
      <c r="H60" s="19">
        <f>1*C31</f>
        <v>1</v>
      </c>
      <c r="I60" s="19">
        <f ca="1">HLOOKUP(D60, materials[], 2,FALSE)</f>
        <v>2</v>
      </c>
      <c r="J60" s="19"/>
      <c r="K60" s="19" t="b">
        <v>1</v>
      </c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 s="1"/>
      <c r="BC60" s="1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</row>
    <row r="61" spans="1:75" x14ac:dyDescent="0.3">
      <c r="A61" s="51">
        <v>5</v>
      </c>
      <c r="B61" s="15" t="str">
        <f>B39</f>
        <v xml:space="preserve">وحدة سفلية    أدراج </v>
      </c>
      <c r="C61" s="19">
        <f>C56+1</f>
        <v>18</v>
      </c>
      <c r="D61" s="19" t="str">
        <f ca="1">G32</f>
        <v>ظهر</v>
      </c>
      <c r="E61" s="19" t="s">
        <v>149</v>
      </c>
      <c r="F61" s="19">
        <f>H34-3.6-3.6-2.5+2</f>
        <v>52.3</v>
      </c>
      <c r="G61" s="19">
        <f ca="1">I32-1</f>
        <v>44</v>
      </c>
      <c r="H61" s="19">
        <f>E33*C31</f>
        <v>0</v>
      </c>
      <c r="I61" s="19">
        <f ca="1">HLOOKUP(D61, materials[], 2,FALSE)</f>
        <v>2</v>
      </c>
      <c r="J61" s="19"/>
      <c r="K61" s="19" t="b">
        <v>1</v>
      </c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 s="1"/>
      <c r="BC61" s="1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</row>
    <row r="62" spans="1:75" x14ac:dyDescent="0.3">
      <c r="A62" s="51">
        <v>5</v>
      </c>
      <c r="B62" s="15" t="str">
        <f>B39</f>
        <v xml:space="preserve">وحدة سفلية    أدراج </v>
      </c>
      <c r="C62" s="19">
        <f>C57+1</f>
        <v>19</v>
      </c>
      <c r="D62" s="19" t="str">
        <f ca="1">G32</f>
        <v>ظهر</v>
      </c>
      <c r="E62" s="19" t="s">
        <v>150</v>
      </c>
      <c r="F62" s="19">
        <f>H34-3.6-3.6-2.5+2</f>
        <v>52.3</v>
      </c>
      <c r="G62" s="19">
        <f ca="1">I32-1</f>
        <v>44</v>
      </c>
      <c r="H62" s="19">
        <f>(D33*C31)</f>
        <v>0</v>
      </c>
      <c r="I62" s="19">
        <f ca="1">HLOOKUP(D62, materials[], 2,FALSE)</f>
        <v>2</v>
      </c>
      <c r="J62" s="19"/>
      <c r="K62" s="19" t="b">
        <v>1</v>
      </c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 s="1"/>
      <c r="BC62" s="1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</row>
    <row r="63" spans="1:75" x14ac:dyDescent="0.3">
      <c r="A63" s="51">
        <v>5</v>
      </c>
      <c r="B63" s="15" t="str">
        <f>B39</f>
        <v xml:space="preserve">وحدة سفلية    أدراج </v>
      </c>
      <c r="C63" s="19">
        <f>C58+1</f>
        <v>20</v>
      </c>
      <c r="D63" s="19" t="str">
        <f ca="1">G32</f>
        <v>ظهر</v>
      </c>
      <c r="E63" s="19" t="s">
        <v>151</v>
      </c>
      <c r="F63" s="19">
        <f>H34-3.6-3.6-2.5+2</f>
        <v>52.3</v>
      </c>
      <c r="G63" s="19">
        <f ca="1">I32-1</f>
        <v>44</v>
      </c>
      <c r="H63" s="19">
        <f>C33*C31</f>
        <v>0</v>
      </c>
      <c r="I63" s="19">
        <f ca="1">HLOOKUP(D63, materials[], 2,FALSE)</f>
        <v>2</v>
      </c>
      <c r="J63" s="19"/>
      <c r="K63" s="19" t="b">
        <v>1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 s="1"/>
      <c r="BC63" s="1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</row>
    <row r="64" spans="1:75" x14ac:dyDescent="0.3">
      <c r="A64" s="51">
        <v>255</v>
      </c>
      <c r="B64" s="15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 s="1"/>
      <c r="BC64" s="1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</row>
    <row r="65" spans="1:75" x14ac:dyDescent="0.3">
      <c r="A65" s="51">
        <v>255</v>
      </c>
      <c r="B65" s="15"/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 s="1"/>
      <c r="BC65" s="1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</row>
    <row r="66" spans="1:75" ht="36" x14ac:dyDescent="0.3">
      <c r="A66" s="35" t="s">
        <v>156</v>
      </c>
      <c r="B66" s="15"/>
      <c r="C66" s="14">
        <v>1</v>
      </c>
      <c r="D66" s="22" t="s">
        <v>59</v>
      </c>
      <c r="E66" s="101" t="s">
        <v>119</v>
      </c>
      <c r="F66" s="102"/>
      <c r="G66" s="102"/>
      <c r="H66" s="103"/>
      <c r="I66" s="2" t="s">
        <v>30</v>
      </c>
      <c r="J66" s="2">
        <f>letterToNumber(A66)</f>
        <v>3</v>
      </c>
      <c r="K66" s="7">
        <f ca="1">_xlfn.SHEET("بورديوم")</f>
        <v>5</v>
      </c>
    </row>
    <row r="67" spans="1:75" ht="31.2" x14ac:dyDescent="0.3">
      <c r="A67" s="35">
        <v>1</v>
      </c>
      <c r="B67" s="15"/>
      <c r="C67" s="7" t="s">
        <v>12</v>
      </c>
      <c r="D67" s="7" t="s">
        <v>18</v>
      </c>
      <c r="E67" s="7" t="s">
        <v>16</v>
      </c>
      <c r="F67" s="29" t="s">
        <v>114</v>
      </c>
      <c r="G67" s="105"/>
      <c r="H67" s="7" t="s">
        <v>22</v>
      </c>
      <c r="I67" s="7" t="s">
        <v>3</v>
      </c>
      <c r="J67" s="7" t="s">
        <v>113</v>
      </c>
      <c r="K67" s="7"/>
    </row>
    <row r="68" spans="1:75" x14ac:dyDescent="0.3">
      <c r="A68" s="35">
        <v>1</v>
      </c>
      <c r="B68" s="15"/>
      <c r="C68" s="8">
        <v>1</v>
      </c>
      <c r="D68" s="8">
        <v>1</v>
      </c>
      <c r="E68" s="27" cm="1">
        <f t="array" aca="1" ref="E68" ca="1">defaultValue(E67,K66)</f>
        <v>3.5</v>
      </c>
      <c r="F68" s="27" t="b" cm="1">
        <f t="array" aca="1" ref="F68" ca="1">defaultValue(F67,K66)</f>
        <v>1</v>
      </c>
      <c r="G68" s="105"/>
      <c r="H68" s="8"/>
      <c r="I68" s="27" cm="1">
        <f t="array" aca="1" ref="I68" ca="1">defaultValue(I67,K66)</f>
        <v>78</v>
      </c>
      <c r="J68" s="27" cm="1">
        <f t="array" aca="1" ref="J68" ca="1">defaultValue(J67,K66)</f>
        <v>56</v>
      </c>
      <c r="K68" s="7"/>
    </row>
    <row r="69" spans="1:75" ht="31.2" x14ac:dyDescent="0.3">
      <c r="A69" s="35">
        <v>1</v>
      </c>
      <c r="B69" s="15"/>
      <c r="C69" s="8"/>
      <c r="D69" s="27" t="str" cm="1">
        <f t="array" aca="1" ref="D69" ca="1">defaultValue(E69,K66)</f>
        <v>ظهر</v>
      </c>
      <c r="E69" s="7" t="s">
        <v>58</v>
      </c>
      <c r="F69" s="27" t="str" cm="1">
        <f t="array" aca="1" ref="F69" ca="1">defaultValue(G69,K66)</f>
        <v>يوفيلاك</v>
      </c>
      <c r="G69" s="7" t="s">
        <v>32</v>
      </c>
      <c r="H69" s="27" t="str" cm="1">
        <f t="array" aca="1" ref="H69" ca="1">defaultValue(I69,K66)</f>
        <v>بورديوم</v>
      </c>
      <c r="I69" s="7" t="s">
        <v>31</v>
      </c>
      <c r="J69" s="25" t="s">
        <v>111</v>
      </c>
      <c r="K69" s="7"/>
    </row>
    <row r="70" spans="1:75" ht="14.4" x14ac:dyDescent="0.3">
      <c r="A70" s="35">
        <v>0</v>
      </c>
      <c r="B70"/>
      <c r="C70"/>
      <c r="D70"/>
      <c r="E70"/>
      <c r="F70"/>
      <c r="G70"/>
      <c r="H70"/>
      <c r="I70"/>
      <c r="J70"/>
      <c r="K70"/>
    </row>
    <row r="71" spans="1:75" x14ac:dyDescent="0.3">
      <c r="A71" s="51">
        <v>2</v>
      </c>
      <c r="B71" s="15"/>
      <c r="C71" s="6" t="s">
        <v>4</v>
      </c>
      <c r="D71" s="6" t="s">
        <v>9</v>
      </c>
      <c r="E71" s="6" t="s">
        <v>5</v>
      </c>
      <c r="F71" s="6" t="s">
        <v>7</v>
      </c>
      <c r="G71" s="6" t="s">
        <v>1</v>
      </c>
      <c r="H71" s="6" t="s">
        <v>6</v>
      </c>
      <c r="I71" s="6" t="s">
        <v>33</v>
      </c>
      <c r="J71" s="6" t="s">
        <v>8</v>
      </c>
      <c r="K71" s="6" t="s">
        <v>185</v>
      </c>
    </row>
    <row r="72" spans="1:75" ht="15.6" customHeight="1" x14ac:dyDescent="0.3">
      <c r="A72" s="51">
        <v>0</v>
      </c>
      <c r="B72"/>
      <c r="C72"/>
      <c r="D72"/>
      <c r="E72"/>
      <c r="F72"/>
      <c r="G72"/>
      <c r="H72"/>
      <c r="I72"/>
      <c r="J72"/>
      <c r="K72"/>
    </row>
    <row r="73" spans="1:75" ht="15.6" customHeight="1" x14ac:dyDescent="0.3">
      <c r="A73" s="51">
        <v>3</v>
      </c>
      <c r="B73" s="15" t="str">
        <f>E66</f>
        <v>وحدة سفلية  تلبيسة دلفة /دلفتين (بورديوم)</v>
      </c>
      <c r="C73" s="6">
        <v>1</v>
      </c>
      <c r="D73" s="6" t="str">
        <f ca="1">H69</f>
        <v>بورديوم</v>
      </c>
      <c r="E73" s="6" t="s">
        <v>10</v>
      </c>
      <c r="F73" s="6">
        <f>H68-3.6</f>
        <v>-3.6</v>
      </c>
      <c r="G73" s="6">
        <f ca="1">J68</f>
        <v>56</v>
      </c>
      <c r="H73" s="6">
        <f>1*C66</f>
        <v>1</v>
      </c>
      <c r="I73" s="6">
        <f ca="1">HLOOKUP(D73, materials[], 2,FALSE)</f>
        <v>2</v>
      </c>
      <c r="J73" s="6"/>
      <c r="K73" s="6" t="b">
        <v>1</v>
      </c>
    </row>
    <row r="74" spans="1:75" ht="15.6" customHeight="1" x14ac:dyDescent="0.3">
      <c r="A74" s="51">
        <v>3</v>
      </c>
      <c r="B74" s="15" t="str">
        <f>B73</f>
        <v>وحدة سفلية  تلبيسة دلفة /دلفتين (بورديوم)</v>
      </c>
      <c r="C74" s="6">
        <f>C73+1</f>
        <v>2</v>
      </c>
      <c r="D74" s="6" t="str">
        <f ca="1">H69</f>
        <v>بورديوم</v>
      </c>
      <c r="E74" s="6" t="s">
        <v>11</v>
      </c>
      <c r="F74" s="6">
        <f ca="1">I68</f>
        <v>78</v>
      </c>
      <c r="G74" s="6">
        <f ca="1">J68</f>
        <v>56</v>
      </c>
      <c r="H74" s="6">
        <v>2</v>
      </c>
      <c r="I74" s="6">
        <f ca="1">HLOOKUP(D74, materials[], 2,FALSE)</f>
        <v>2</v>
      </c>
      <c r="J74" s="6"/>
      <c r="K74" s="6" t="b">
        <v>1</v>
      </c>
    </row>
    <row r="75" spans="1:75" ht="15.6" customHeight="1" x14ac:dyDescent="0.3">
      <c r="A75" s="51">
        <v>3</v>
      </c>
      <c r="B75" s="15" t="str">
        <f>B73</f>
        <v>وحدة سفلية  تلبيسة دلفة /دلفتين (بورديوم)</v>
      </c>
      <c r="C75" s="6">
        <f t="shared" ref="C75:C78" si="2">C74+1</f>
        <v>3</v>
      </c>
      <c r="D75" s="6" t="str">
        <f ca="1">H69</f>
        <v>بورديوم</v>
      </c>
      <c r="E75" s="6" t="s">
        <v>13</v>
      </c>
      <c r="F75" s="6">
        <f>H68-3.6</f>
        <v>-3.6</v>
      </c>
      <c r="G75" s="6">
        <v>10</v>
      </c>
      <c r="H75" s="6">
        <f>1*C66</f>
        <v>1</v>
      </c>
      <c r="I75" s="6">
        <f ca="1">HLOOKUP(D75, materials[], 2,FALSE)</f>
        <v>2</v>
      </c>
      <c r="J75" s="6"/>
      <c r="K75" s="6" t="b">
        <v>1</v>
      </c>
    </row>
    <row r="76" spans="1:75" ht="15.6" customHeight="1" x14ac:dyDescent="0.3">
      <c r="A76" s="51">
        <v>3</v>
      </c>
      <c r="B76" s="15" t="str">
        <f>B73</f>
        <v>وحدة سفلية  تلبيسة دلفة /دلفتين (بورديوم)</v>
      </c>
      <c r="C76" s="6">
        <f t="shared" si="2"/>
        <v>4</v>
      </c>
      <c r="D76" s="6" t="str">
        <f ca="1">H69</f>
        <v>بورديوم</v>
      </c>
      <c r="E76" s="6" t="s">
        <v>14</v>
      </c>
      <c r="F76" s="6">
        <f>H68-3.6</f>
        <v>-3.6</v>
      </c>
      <c r="G76" s="6">
        <v>7</v>
      </c>
      <c r="H76" s="6">
        <f>1*C66</f>
        <v>1</v>
      </c>
      <c r="I76" s="6">
        <f ca="1">HLOOKUP(D76, materials[], 2,FALSE)</f>
        <v>2</v>
      </c>
      <c r="J76" s="6"/>
      <c r="K76" s="6" t="b">
        <v>1</v>
      </c>
    </row>
    <row r="77" spans="1:75" ht="15.6" customHeight="1" x14ac:dyDescent="0.3">
      <c r="A77" s="51">
        <v>3</v>
      </c>
      <c r="B77" s="15" t="str">
        <f>B73</f>
        <v>وحدة سفلية  تلبيسة دلفة /دلفتين (بورديوم)</v>
      </c>
      <c r="C77" s="6">
        <f t="shared" si="2"/>
        <v>5</v>
      </c>
      <c r="D77" s="6" t="str">
        <f ca="1">H69</f>
        <v>بورديوم</v>
      </c>
      <c r="E77" s="6" t="s">
        <v>17</v>
      </c>
      <c r="F77" s="6">
        <f>H68-3.8</f>
        <v>-3.8</v>
      </c>
      <c r="G77" s="6">
        <f ca="1">J68-6</f>
        <v>50</v>
      </c>
      <c r="H77" s="6">
        <f>D68*C66</f>
        <v>1</v>
      </c>
      <c r="I77" s="6">
        <f ca="1">HLOOKUP(D77, materials[], 2,FALSE)</f>
        <v>2</v>
      </c>
      <c r="J77" s="6"/>
      <c r="K77" s="6" t="b">
        <v>1</v>
      </c>
    </row>
    <row r="78" spans="1:75" ht="15.6" customHeight="1" x14ac:dyDescent="0.3">
      <c r="A78" s="51">
        <v>3</v>
      </c>
      <c r="B78" s="15" t="str">
        <f>B73</f>
        <v>وحدة سفلية  تلبيسة دلفة /دلفتين (بورديوم)</v>
      </c>
      <c r="C78" s="6">
        <f t="shared" si="2"/>
        <v>6</v>
      </c>
      <c r="D78" s="6" t="str">
        <f ca="1">H69</f>
        <v>بورديوم</v>
      </c>
      <c r="E78" s="6" t="s">
        <v>24</v>
      </c>
      <c r="F78" s="6">
        <f ca="1">I68</f>
        <v>78</v>
      </c>
      <c r="G78" s="6">
        <f ca="1">J68</f>
        <v>56</v>
      </c>
      <c r="H78" s="6">
        <f>1*C66</f>
        <v>1</v>
      </c>
      <c r="I78" s="6">
        <f ca="1">HLOOKUP(D78, materials[], 2,FALSE)</f>
        <v>2</v>
      </c>
      <c r="J78" s="6"/>
      <c r="K78" s="6" t="b">
        <v>1</v>
      </c>
    </row>
    <row r="79" spans="1:75" ht="15.6" customHeight="1" x14ac:dyDescent="0.3">
      <c r="A79" s="51">
        <v>0</v>
      </c>
      <c r="B79"/>
      <c r="C79"/>
      <c r="D79"/>
      <c r="E79"/>
      <c r="F79"/>
      <c r="G79"/>
      <c r="H79"/>
      <c r="I79"/>
      <c r="J79"/>
      <c r="K79"/>
    </row>
    <row r="80" spans="1:75" ht="15.6" customHeight="1" x14ac:dyDescent="0.3">
      <c r="A80" s="51">
        <v>4</v>
      </c>
      <c r="B80" s="15" t="str">
        <f>B73</f>
        <v>وحدة سفلية  تلبيسة دلفة /دلفتين (بورديوم)</v>
      </c>
      <c r="C80" s="9">
        <f>C78+1</f>
        <v>7</v>
      </c>
      <c r="D80" s="9" t="str">
        <f ca="1">F69</f>
        <v>يوفيلاك</v>
      </c>
      <c r="E80" s="9" t="s">
        <v>15</v>
      </c>
      <c r="F80" s="9">
        <f ca="1">I68-0.5-E68</f>
        <v>74</v>
      </c>
      <c r="G80" s="9">
        <f ca="1">(H68-J68-G81)/C68-0.5</f>
        <v>-60.5</v>
      </c>
      <c r="H80" s="9">
        <f>C68*C66</f>
        <v>1</v>
      </c>
      <c r="I80" s="9">
        <f ca="1">HLOOKUP(D80, materials[], 2,FALSE)</f>
        <v>6</v>
      </c>
      <c r="J80" s="9"/>
      <c r="K80" s="9" t="b">
        <v>1</v>
      </c>
    </row>
    <row r="81" spans="1:11" ht="20.399999999999999" customHeight="1" x14ac:dyDescent="0.3">
      <c r="A81" s="51">
        <v>4</v>
      </c>
      <c r="B81" s="15" t="str">
        <f>B73</f>
        <v>وحدة سفلية  تلبيسة دلفة /دلفتين (بورديوم)</v>
      </c>
      <c r="C81" s="9">
        <f t="shared" ref="C81" si="3">C80+1</f>
        <v>8</v>
      </c>
      <c r="D81" s="9" t="str">
        <f ca="1">F69</f>
        <v>يوفيلاك</v>
      </c>
      <c r="E81" s="9" t="s">
        <v>25</v>
      </c>
      <c r="F81" s="9">
        <f ca="1">I68</f>
        <v>78</v>
      </c>
      <c r="G81" s="9">
        <v>4</v>
      </c>
      <c r="H81" s="9">
        <f>1*C66</f>
        <v>1</v>
      </c>
      <c r="I81" s="9">
        <f ca="1">HLOOKUP(D81, materials[], 2,FALSE)</f>
        <v>6</v>
      </c>
      <c r="J81" s="9"/>
      <c r="K81" s="9" t="b">
        <v>1</v>
      </c>
    </row>
    <row r="82" spans="1:11" ht="15.6" customHeight="1" x14ac:dyDescent="0.3">
      <c r="A82" s="51">
        <v>0</v>
      </c>
      <c r="B82"/>
      <c r="C82"/>
      <c r="D82"/>
      <c r="E82"/>
      <c r="F82"/>
      <c r="G82"/>
      <c r="H82"/>
      <c r="I82"/>
      <c r="J82"/>
      <c r="K82"/>
    </row>
    <row r="83" spans="1:11" ht="31.2" x14ac:dyDescent="0.3">
      <c r="A83" s="51">
        <v>5</v>
      </c>
      <c r="B83" s="15" t="str">
        <f ca="1">IF(F68,B73, "")</f>
        <v>وحدة سفلية  تلبيسة دلفة /دلفتين (بورديوم)</v>
      </c>
      <c r="C83" s="19">
        <f ca="1">IF(F68,C81+1, "")</f>
        <v>9</v>
      </c>
      <c r="D83" s="19" t="str">
        <f ca="1">IF(F68,D69, "")</f>
        <v>ظهر</v>
      </c>
      <c r="E83" s="19" t="str">
        <f ca="1">IF(F68,"ظهر", "")</f>
        <v>ظهر</v>
      </c>
      <c r="F83" s="19">
        <f ca="1">IF(F68,I68-2, "")</f>
        <v>76</v>
      </c>
      <c r="G83" s="19">
        <f ca="1">IF(F68,H68-2, "")</f>
        <v>-2</v>
      </c>
      <c r="H83" s="19">
        <f ca="1">IF(F68,1*C66, "")</f>
        <v>1</v>
      </c>
      <c r="I83" s="19">
        <f ca="1">IF(F68,HLOOKUP(D83,materials[], 2,FALSE), "")</f>
        <v>2</v>
      </c>
      <c r="J83" s="19"/>
      <c r="K83" s="19" t="b">
        <v>1</v>
      </c>
    </row>
    <row r="84" spans="1:11" ht="14.4" x14ac:dyDescent="0.3">
      <c r="A84" s="35">
        <v>255</v>
      </c>
    </row>
    <row r="85" spans="1:11" x14ac:dyDescent="0.3">
      <c r="A85" s="35">
        <v>255</v>
      </c>
      <c r="B85" s="15"/>
    </row>
    <row r="86" spans="1:11" ht="36" x14ac:dyDescent="0.3">
      <c r="A86" s="35" t="s">
        <v>161</v>
      </c>
      <c r="B86" s="15"/>
      <c r="C86" s="14">
        <v>1</v>
      </c>
      <c r="D86" s="22" t="s">
        <v>59</v>
      </c>
      <c r="E86" s="101" t="s">
        <v>117</v>
      </c>
      <c r="F86" s="102"/>
      <c r="G86" s="102"/>
      <c r="H86" s="103"/>
      <c r="I86" s="2" t="s">
        <v>30</v>
      </c>
      <c r="J86" s="2">
        <f>letterToNumber(A86)</f>
        <v>4</v>
      </c>
      <c r="K86" s="7">
        <f ca="1">_xlfn.SHEET("بورديوم")</f>
        <v>5</v>
      </c>
    </row>
    <row r="87" spans="1:11" ht="31.2" x14ac:dyDescent="0.3">
      <c r="A87" s="35">
        <v>1</v>
      </c>
      <c r="B87" s="15"/>
      <c r="C87" s="7"/>
      <c r="D87" s="7" t="s">
        <v>18</v>
      </c>
      <c r="E87" s="7" t="s">
        <v>16</v>
      </c>
      <c r="F87" s="29" t="s">
        <v>114</v>
      </c>
      <c r="G87" s="7"/>
      <c r="H87" s="7" t="s">
        <v>22</v>
      </c>
      <c r="I87" s="7" t="s">
        <v>3</v>
      </c>
      <c r="J87" s="7" t="s">
        <v>113</v>
      </c>
      <c r="K87" s="7"/>
    </row>
    <row r="88" spans="1:11" x14ac:dyDescent="0.3">
      <c r="A88" s="35">
        <v>1</v>
      </c>
      <c r="B88" s="15"/>
      <c r="C88" s="8"/>
      <c r="D88" s="8">
        <v>1</v>
      </c>
      <c r="E88" s="27" cm="1">
        <f t="array" aca="1" ref="E88" ca="1">defaultValue(E87,K86)</f>
        <v>3.5</v>
      </c>
      <c r="F88" s="27" t="b" cm="1">
        <f t="array" aca="1" ref="F88" ca="1">defaultValue(F87,K86)</f>
        <v>1</v>
      </c>
      <c r="G88" s="7"/>
      <c r="H88" s="8"/>
      <c r="I88" s="27" cm="1">
        <f t="array" aca="1" ref="I88" ca="1">defaultValue(I87,K86)</f>
        <v>78</v>
      </c>
      <c r="J88" s="27" cm="1">
        <f t="array" aca="1" ref="J88" ca="1">defaultValue(J87,K86)</f>
        <v>56</v>
      </c>
      <c r="K88" s="7"/>
    </row>
    <row r="89" spans="1:11" x14ac:dyDescent="0.3">
      <c r="A89" s="35">
        <v>1</v>
      </c>
      <c r="B89" s="15"/>
      <c r="C89" s="28"/>
      <c r="D89" s="12"/>
      <c r="E89" s="12"/>
      <c r="F89" s="13"/>
      <c r="G89" s="7"/>
      <c r="H89" s="8"/>
      <c r="I89" s="27" cm="1">
        <f t="array" aca="1" ref="I89" ca="1">defaultValue(I87,K86)</f>
        <v>78</v>
      </c>
      <c r="J89" s="27" cm="1">
        <f t="array" aca="1" ref="J89" ca="1">defaultValue(J87,K86)</f>
        <v>56</v>
      </c>
      <c r="K89" s="7"/>
    </row>
    <row r="90" spans="1:11" ht="31.2" x14ac:dyDescent="0.3">
      <c r="A90" s="35">
        <v>1</v>
      </c>
      <c r="B90" s="15"/>
      <c r="C90" s="8"/>
      <c r="D90" s="27" t="str" cm="1">
        <f t="array" aca="1" ref="D90" ca="1">defaultValue(E90,K86)</f>
        <v>ظهر</v>
      </c>
      <c r="E90" s="7" t="s">
        <v>58</v>
      </c>
      <c r="F90" s="27" t="str" cm="1">
        <f t="array" aca="1" ref="F90" ca="1">defaultValue(G90,K86)</f>
        <v>يوفيلاك</v>
      </c>
      <c r="G90" s="7" t="s">
        <v>32</v>
      </c>
      <c r="H90" s="27" t="str" cm="1">
        <f t="array" aca="1" ref="H90" ca="1">defaultValue(I90,K86)</f>
        <v>بورديوم</v>
      </c>
      <c r="I90" s="7" t="s">
        <v>31</v>
      </c>
      <c r="J90" s="25" t="s">
        <v>111</v>
      </c>
      <c r="K90" s="7"/>
    </row>
    <row r="91" spans="1:11" ht="14.4" x14ac:dyDescent="0.3">
      <c r="A91" s="35">
        <v>0</v>
      </c>
      <c r="B91"/>
      <c r="C91"/>
      <c r="D91"/>
      <c r="E91"/>
      <c r="F91"/>
      <c r="G91"/>
      <c r="H91"/>
      <c r="I91"/>
      <c r="J91"/>
      <c r="K91"/>
    </row>
    <row r="92" spans="1:11" x14ac:dyDescent="0.3">
      <c r="A92" s="51">
        <v>2</v>
      </c>
      <c r="B92" s="15"/>
      <c r="C92" s="6" t="s">
        <v>4</v>
      </c>
      <c r="D92" s="6" t="s">
        <v>9</v>
      </c>
      <c r="E92" s="6" t="s">
        <v>5</v>
      </c>
      <c r="F92" s="6" t="s">
        <v>7</v>
      </c>
      <c r="G92" s="6" t="s">
        <v>1</v>
      </c>
      <c r="H92" s="6" t="s">
        <v>6</v>
      </c>
      <c r="I92" s="6" t="s">
        <v>33</v>
      </c>
      <c r="J92" s="6" t="s">
        <v>8</v>
      </c>
      <c r="K92" s="6" t="s">
        <v>185</v>
      </c>
    </row>
    <row r="93" spans="1:11" ht="14.4" x14ac:dyDescent="0.3">
      <c r="A93" s="51">
        <v>0</v>
      </c>
      <c r="B93"/>
      <c r="C93"/>
      <c r="D93"/>
      <c r="E93"/>
      <c r="F93"/>
      <c r="G93"/>
      <c r="H93"/>
      <c r="I93"/>
      <c r="J93"/>
      <c r="K93"/>
    </row>
    <row r="94" spans="1:11" x14ac:dyDescent="0.3">
      <c r="A94" s="51">
        <v>3</v>
      </c>
      <c r="B94" s="15" t="str">
        <f>E86</f>
        <v>وحدة سفلية  زاوية 90 (بورديوم)</v>
      </c>
      <c r="C94" s="6">
        <v>1</v>
      </c>
      <c r="D94" s="6" t="str">
        <f ca="1">H90</f>
        <v>بورديوم</v>
      </c>
      <c r="E94" s="6" t="s">
        <v>10</v>
      </c>
      <c r="F94" s="6">
        <f>H88-1.8</f>
        <v>-1.8</v>
      </c>
      <c r="G94" s="6">
        <f>H89-1.8</f>
        <v>-1.8</v>
      </c>
      <c r="H94" s="6">
        <f>1*C86</f>
        <v>1</v>
      </c>
      <c r="I94" s="6">
        <f ca="1">HLOOKUP(D94, materials[], 2,FALSE)</f>
        <v>2</v>
      </c>
      <c r="J94" s="6"/>
      <c r="K94" s="6" t="b">
        <v>1</v>
      </c>
    </row>
    <row r="95" spans="1:11" x14ac:dyDescent="0.3">
      <c r="A95" s="51">
        <v>3</v>
      </c>
      <c r="B95" s="15" t="str">
        <f>B94</f>
        <v>وحدة سفلية  زاوية 90 (بورديوم)</v>
      </c>
      <c r="C95" s="6">
        <f>C94+1</f>
        <v>2</v>
      </c>
      <c r="D95" s="6" t="str">
        <f ca="1">H90</f>
        <v>بورديوم</v>
      </c>
      <c r="E95" s="6" t="s">
        <v>11</v>
      </c>
      <c r="F95" s="6">
        <f ca="1">I88</f>
        <v>78</v>
      </c>
      <c r="G95" s="6">
        <f ca="1">J88</f>
        <v>56</v>
      </c>
      <c r="H95" s="6">
        <f>2*C86</f>
        <v>2</v>
      </c>
      <c r="I95" s="6">
        <f ca="1">HLOOKUP(D95, materials[], 2,FALSE)</f>
        <v>2</v>
      </c>
      <c r="J95" s="6"/>
      <c r="K95" s="6" t="b">
        <v>1</v>
      </c>
    </row>
    <row r="96" spans="1:11" x14ac:dyDescent="0.3">
      <c r="A96" s="51">
        <v>3</v>
      </c>
      <c r="B96" s="15" t="str">
        <f>B94</f>
        <v>وحدة سفلية  زاوية 90 (بورديوم)</v>
      </c>
      <c r="C96" s="6">
        <f t="shared" ref="C96:C99" si="4">C95+1</f>
        <v>3</v>
      </c>
      <c r="D96" s="6" t="str">
        <f ca="1">H90</f>
        <v>بورديوم</v>
      </c>
      <c r="E96" s="6" t="s">
        <v>13</v>
      </c>
      <c r="F96" s="6">
        <f>H88-1.8</f>
        <v>-1.8</v>
      </c>
      <c r="G96" s="6">
        <v>10</v>
      </c>
      <c r="H96" s="6">
        <f>2*C86</f>
        <v>2</v>
      </c>
      <c r="I96" s="6">
        <f ca="1">HLOOKUP(D96, materials[], 2,FALSE)</f>
        <v>2</v>
      </c>
      <c r="J96" s="6"/>
      <c r="K96" s="6" t="b">
        <v>1</v>
      </c>
    </row>
    <row r="97" spans="1:11" x14ac:dyDescent="0.3">
      <c r="A97" s="51">
        <v>3</v>
      </c>
      <c r="B97" s="15" t="str">
        <f>B94</f>
        <v>وحدة سفلية  زاوية 90 (بورديوم)</v>
      </c>
      <c r="C97" s="6">
        <f t="shared" si="4"/>
        <v>4</v>
      </c>
      <c r="D97" s="6" t="str">
        <f ca="1">H90</f>
        <v>بورديوم</v>
      </c>
      <c r="E97" s="6" t="s">
        <v>14</v>
      </c>
      <c r="F97" s="6">
        <f>H88-1.8</f>
        <v>-1.8</v>
      </c>
      <c r="G97" s="6">
        <v>7</v>
      </c>
      <c r="H97" s="6">
        <f>2*C86</f>
        <v>2</v>
      </c>
      <c r="I97" s="6">
        <f ca="1">HLOOKUP(D97, materials[], 2,FALSE)</f>
        <v>2</v>
      </c>
      <c r="J97" s="6"/>
      <c r="K97" s="6" t="b">
        <v>1</v>
      </c>
    </row>
    <row r="98" spans="1:11" x14ac:dyDescent="0.3">
      <c r="A98" s="51">
        <v>3</v>
      </c>
      <c r="B98" s="15" t="str">
        <f>B94</f>
        <v>وحدة سفلية  زاوية 90 (بورديوم)</v>
      </c>
      <c r="C98" s="6">
        <f t="shared" si="4"/>
        <v>5</v>
      </c>
      <c r="D98" s="6" t="str">
        <f ca="1">H90</f>
        <v>بورديوم</v>
      </c>
      <c r="E98" s="6" t="s">
        <v>27</v>
      </c>
      <c r="F98" s="6">
        <f ca="1">I88</f>
        <v>78</v>
      </c>
      <c r="G98" s="6">
        <v>10</v>
      </c>
      <c r="H98" s="6">
        <f>1*C86</f>
        <v>1</v>
      </c>
      <c r="I98" s="6">
        <f ca="1">HLOOKUP(D98, materials[], 2,FALSE)</f>
        <v>2</v>
      </c>
      <c r="J98" s="6"/>
      <c r="K98" s="6" t="b">
        <v>1</v>
      </c>
    </row>
    <row r="99" spans="1:11" x14ac:dyDescent="0.3">
      <c r="A99" s="51">
        <v>3</v>
      </c>
      <c r="B99" s="15" t="str">
        <f>B94</f>
        <v>وحدة سفلية  زاوية 90 (بورديوم)</v>
      </c>
      <c r="C99" s="6">
        <f t="shared" si="4"/>
        <v>6</v>
      </c>
      <c r="D99" s="6" t="str">
        <f ca="1">H90</f>
        <v>بورديوم</v>
      </c>
      <c r="E99" s="6" t="s">
        <v>17</v>
      </c>
      <c r="F99" s="6">
        <f>H88-3.8</f>
        <v>-3.8</v>
      </c>
      <c r="G99" s="6">
        <f>H89-3.8</f>
        <v>-3.8</v>
      </c>
      <c r="H99" s="6">
        <f>D88*C86</f>
        <v>1</v>
      </c>
      <c r="I99" s="6">
        <f ca="1">HLOOKUP(D99, materials[], 2,FALSE)</f>
        <v>2</v>
      </c>
      <c r="J99" s="6"/>
      <c r="K99" s="6" t="b">
        <v>1</v>
      </c>
    </row>
    <row r="100" spans="1:11" ht="14.4" x14ac:dyDescent="0.3">
      <c r="A100" s="51">
        <v>0</v>
      </c>
      <c r="B100"/>
      <c r="C100"/>
      <c r="D100"/>
      <c r="E100"/>
      <c r="F100"/>
      <c r="G100"/>
      <c r="H100"/>
      <c r="I100"/>
      <c r="J100"/>
      <c r="K100"/>
    </row>
    <row r="101" spans="1:11" x14ac:dyDescent="0.3">
      <c r="A101" s="51">
        <v>4</v>
      </c>
      <c r="B101" s="15" t="str">
        <f>B94</f>
        <v>وحدة سفلية  زاوية 90 (بورديوم)</v>
      </c>
      <c r="C101" s="9">
        <f>C99+1</f>
        <v>7</v>
      </c>
      <c r="D101" s="9" t="str">
        <f ca="1">F90</f>
        <v>يوفيلاك</v>
      </c>
      <c r="E101" s="9" t="s">
        <v>28</v>
      </c>
      <c r="F101" s="9">
        <f ca="1">I88-0.5-E88</f>
        <v>74</v>
      </c>
      <c r="G101" s="9">
        <f>H88-56-3</f>
        <v>-59</v>
      </c>
      <c r="H101" s="9">
        <f>1*C86</f>
        <v>1</v>
      </c>
      <c r="I101" s="9">
        <f ca="1">HLOOKUP(D101, materials[], 2,FALSE)</f>
        <v>6</v>
      </c>
      <c r="J101" s="9"/>
      <c r="K101" s="9" t="b">
        <v>1</v>
      </c>
    </row>
    <row r="102" spans="1:11" x14ac:dyDescent="0.3">
      <c r="A102" s="51">
        <v>4</v>
      </c>
      <c r="B102" s="15" t="str">
        <f>B94</f>
        <v>وحدة سفلية  زاوية 90 (بورديوم)</v>
      </c>
      <c r="C102" s="9">
        <f t="shared" ref="C102" si="5">C101+1</f>
        <v>8</v>
      </c>
      <c r="D102" s="9" t="str">
        <f ca="1">F90</f>
        <v>يوفيلاك</v>
      </c>
      <c r="E102" s="9" t="s">
        <v>41</v>
      </c>
      <c r="F102" s="9">
        <f ca="1">I89-0.5-E88</f>
        <v>74</v>
      </c>
      <c r="G102" s="9">
        <f>H89-56-3</f>
        <v>-59</v>
      </c>
      <c r="H102" s="9">
        <f>1*C86</f>
        <v>1</v>
      </c>
      <c r="I102" s="9">
        <f ca="1">HLOOKUP(D102, materials[], 2,FALSE)</f>
        <v>6</v>
      </c>
      <c r="J102" s="9"/>
      <c r="K102" s="9" t="b">
        <v>1</v>
      </c>
    </row>
    <row r="103" spans="1:11" ht="14.4" x14ac:dyDescent="0.3">
      <c r="A103" s="51">
        <v>0</v>
      </c>
      <c r="B103"/>
      <c r="C103"/>
      <c r="D103"/>
      <c r="E103"/>
      <c r="F103"/>
      <c r="G103"/>
      <c r="H103"/>
      <c r="I103"/>
      <c r="J103"/>
      <c r="K103"/>
    </row>
    <row r="104" spans="1:11" x14ac:dyDescent="0.3">
      <c r="A104" s="51">
        <v>5</v>
      </c>
      <c r="B104" s="15" t="str">
        <f ca="1">IF(F88,B94, "")</f>
        <v>وحدة سفلية  زاوية 90 (بورديوم)</v>
      </c>
      <c r="C104" s="19">
        <f ca="1">IF(F88,C102+1, "")</f>
        <v>9</v>
      </c>
      <c r="D104" s="19" t="str">
        <f ca="1">IF(F88,D90, "")</f>
        <v>ظهر</v>
      </c>
      <c r="E104" s="19" t="str">
        <f ca="1">IF(F88,"ظهر", "")</f>
        <v>ظهر</v>
      </c>
      <c r="F104" s="19">
        <f ca="1">IF(F88,I89-1, "")</f>
        <v>77</v>
      </c>
      <c r="G104" s="19">
        <f ca="1">IF(F88,H89-1, "")</f>
        <v>-1</v>
      </c>
      <c r="H104" s="19">
        <f ca="1">IF(F88,2*C86, "")</f>
        <v>2</v>
      </c>
      <c r="I104" s="19">
        <f ca="1">IF(F88,HLOOKUP(D104, materials[], 2,FALSE), "")</f>
        <v>2</v>
      </c>
      <c r="J104" s="19"/>
      <c r="K104" s="19" t="b">
        <v>1</v>
      </c>
    </row>
    <row r="105" spans="1:11" ht="14.4" x14ac:dyDescent="0.3">
      <c r="A105" s="35">
        <v>255</v>
      </c>
    </row>
    <row r="106" spans="1:11" x14ac:dyDescent="0.3">
      <c r="A106" s="35">
        <v>255</v>
      </c>
      <c r="B106" s="15"/>
    </row>
    <row r="107" spans="1:11" ht="36" x14ac:dyDescent="0.3">
      <c r="A107" s="35" t="s">
        <v>157</v>
      </c>
      <c r="B107" s="15"/>
      <c r="C107" s="14">
        <v>1</v>
      </c>
      <c r="D107" s="22" t="s">
        <v>59</v>
      </c>
      <c r="E107" s="101" t="s">
        <v>118</v>
      </c>
      <c r="F107" s="102"/>
      <c r="G107" s="102"/>
      <c r="H107" s="103"/>
      <c r="I107" s="2" t="s">
        <v>30</v>
      </c>
      <c r="J107" s="2">
        <f>letterToNumber(A107)</f>
        <v>5</v>
      </c>
      <c r="K107" s="7">
        <f ca="1">_xlfn.SHEET("بورديوم")</f>
        <v>5</v>
      </c>
    </row>
    <row r="108" spans="1:11" ht="31.2" x14ac:dyDescent="0.3">
      <c r="A108" s="35">
        <v>1</v>
      </c>
      <c r="B108" s="15"/>
      <c r="C108" s="7"/>
      <c r="D108" s="7" t="s">
        <v>18</v>
      </c>
      <c r="E108" s="7" t="s">
        <v>16</v>
      </c>
      <c r="F108" s="29" t="s">
        <v>114</v>
      </c>
      <c r="G108" s="7"/>
      <c r="H108" s="7" t="s">
        <v>22</v>
      </c>
      <c r="I108" s="7" t="s">
        <v>3</v>
      </c>
      <c r="J108" s="7" t="s">
        <v>113</v>
      </c>
      <c r="K108" s="7"/>
    </row>
    <row r="109" spans="1:11" x14ac:dyDescent="0.3">
      <c r="A109" s="35">
        <v>1</v>
      </c>
      <c r="B109" s="15"/>
      <c r="C109" s="8"/>
      <c r="D109" s="8">
        <v>1</v>
      </c>
      <c r="E109" s="27" cm="1">
        <f t="array" aca="1" ref="E109" ca="1">defaultValue(E108,K107)</f>
        <v>3.5</v>
      </c>
      <c r="F109" s="27" t="b" cm="1">
        <f t="array" aca="1" ref="F109" ca="1">defaultValue(F108,K107)</f>
        <v>1</v>
      </c>
      <c r="G109" s="7"/>
      <c r="H109" s="8"/>
      <c r="I109" s="27" cm="1">
        <f t="array" aca="1" ref="I109" ca="1">defaultValue(I108,K107)</f>
        <v>78</v>
      </c>
      <c r="J109" s="27" cm="1">
        <f t="array" aca="1" ref="J109" ca="1">defaultValue(J108,K107)</f>
        <v>56</v>
      </c>
      <c r="K109" s="7"/>
    </row>
    <row r="110" spans="1:11" x14ac:dyDescent="0.3">
      <c r="A110" s="35">
        <v>1</v>
      </c>
      <c r="B110" s="15"/>
      <c r="C110" s="28"/>
      <c r="D110" s="12"/>
      <c r="E110" s="12"/>
      <c r="F110" s="13"/>
      <c r="G110" s="7"/>
      <c r="H110" s="8"/>
      <c r="I110" s="27" cm="1">
        <f t="array" aca="1" ref="I110" ca="1">defaultValue(I108,K107)</f>
        <v>78</v>
      </c>
      <c r="J110" s="27" cm="1">
        <f t="array" aca="1" ref="J110" ca="1">defaultValue(J108,K107)</f>
        <v>56</v>
      </c>
      <c r="K110" s="7"/>
    </row>
    <row r="111" spans="1:11" ht="31.2" x14ac:dyDescent="0.3">
      <c r="A111" s="35">
        <v>1</v>
      </c>
      <c r="B111" s="15"/>
      <c r="C111" s="8"/>
      <c r="D111" s="27" t="str" cm="1">
        <f t="array" aca="1" ref="D111" ca="1">defaultValue(E111,K107)</f>
        <v>ظهر</v>
      </c>
      <c r="E111" s="7" t="s">
        <v>58</v>
      </c>
      <c r="F111" s="27" t="str" cm="1">
        <f t="array" aca="1" ref="F111" ca="1">defaultValue(G111,K107)</f>
        <v>يوفيلاك</v>
      </c>
      <c r="G111" s="7" t="s">
        <v>32</v>
      </c>
      <c r="H111" s="27" t="str" cm="1">
        <f t="array" aca="1" ref="H111" ca="1">defaultValue(I111,K107)</f>
        <v>بورديوم</v>
      </c>
      <c r="I111" s="7" t="s">
        <v>31</v>
      </c>
      <c r="J111" s="25" t="s">
        <v>111</v>
      </c>
      <c r="K111" s="7"/>
    </row>
    <row r="112" spans="1:11" ht="14.4" x14ac:dyDescent="0.3">
      <c r="A112" s="35">
        <v>0</v>
      </c>
      <c r="B112"/>
      <c r="C112"/>
      <c r="D112"/>
      <c r="E112"/>
      <c r="F112"/>
      <c r="G112"/>
      <c r="H112"/>
      <c r="I112"/>
      <c r="J112"/>
      <c r="K112"/>
    </row>
    <row r="113" spans="1:11" x14ac:dyDescent="0.3">
      <c r="A113" s="51">
        <v>2</v>
      </c>
      <c r="B113" s="15"/>
      <c r="C113" s="6" t="s">
        <v>4</v>
      </c>
      <c r="D113" s="6" t="s">
        <v>9</v>
      </c>
      <c r="E113" s="6" t="s">
        <v>5</v>
      </c>
      <c r="F113" s="6" t="s">
        <v>7</v>
      </c>
      <c r="G113" s="6" t="s">
        <v>1</v>
      </c>
      <c r="H113" s="6" t="s">
        <v>6</v>
      </c>
      <c r="I113" s="6" t="s">
        <v>33</v>
      </c>
      <c r="J113" s="6" t="s">
        <v>8</v>
      </c>
      <c r="K113" s="6" t="s">
        <v>185</v>
      </c>
    </row>
    <row r="114" spans="1:11" ht="14.4" x14ac:dyDescent="0.3">
      <c r="A114" s="51">
        <v>0</v>
      </c>
      <c r="B114"/>
      <c r="C114"/>
      <c r="D114"/>
      <c r="E114"/>
      <c r="F114"/>
      <c r="G114"/>
      <c r="H114"/>
      <c r="I114"/>
      <c r="J114"/>
      <c r="K114"/>
    </row>
    <row r="115" spans="1:11" x14ac:dyDescent="0.3">
      <c r="A115" s="51">
        <v>3</v>
      </c>
      <c r="B115" s="15" t="str">
        <f>E107</f>
        <v>وحدة سفلية  ركنة 45 (بورديوم)</v>
      </c>
      <c r="C115" s="6">
        <v>1</v>
      </c>
      <c r="D115" s="6" t="str">
        <f ca="1">H111</f>
        <v>بورديوم</v>
      </c>
      <c r="E115" s="6" t="s">
        <v>10</v>
      </c>
      <c r="F115" s="6">
        <f>H109-1.8</f>
        <v>-1.8</v>
      </c>
      <c r="G115" s="6">
        <f>H110-1.8</f>
        <v>-1.8</v>
      </c>
      <c r="H115" s="6">
        <f>1*C107</f>
        <v>1</v>
      </c>
      <c r="I115" s="6">
        <f ca="1">HLOOKUP(D115, materials[], 2,FALSE)</f>
        <v>2</v>
      </c>
      <c r="J115" s="6"/>
      <c r="K115" s="6" t="b">
        <v>1</v>
      </c>
    </row>
    <row r="116" spans="1:11" x14ac:dyDescent="0.3">
      <c r="A116" s="51">
        <v>3</v>
      </c>
      <c r="B116" s="15" t="str">
        <f>B115</f>
        <v>وحدة سفلية  ركنة 45 (بورديوم)</v>
      </c>
      <c r="C116" s="6">
        <f>C115+1</f>
        <v>2</v>
      </c>
      <c r="D116" s="6" t="str">
        <f ca="1">H111</f>
        <v>بورديوم</v>
      </c>
      <c r="E116" s="6" t="s">
        <v>11</v>
      </c>
      <c r="F116" s="6">
        <f ca="1">I109</f>
        <v>78</v>
      </c>
      <c r="G116" s="6">
        <f ca="1">J109</f>
        <v>56</v>
      </c>
      <c r="H116" s="6">
        <f>2*C107</f>
        <v>2</v>
      </c>
      <c r="I116" s="6">
        <f ca="1">HLOOKUP(D116, materials[], 2,FALSE)</f>
        <v>2</v>
      </c>
      <c r="J116" s="6"/>
      <c r="K116" s="6" t="b">
        <v>1</v>
      </c>
    </row>
    <row r="117" spans="1:11" x14ac:dyDescent="0.3">
      <c r="A117" s="51">
        <v>3</v>
      </c>
      <c r="B117" s="15" t="str">
        <f>B115</f>
        <v>وحدة سفلية  ركنة 45 (بورديوم)</v>
      </c>
      <c r="C117" s="6">
        <f t="shared" ref="C117:C120" si="6">C116+1</f>
        <v>3</v>
      </c>
      <c r="D117" s="6" t="str">
        <f ca="1">H111</f>
        <v>بورديوم</v>
      </c>
      <c r="E117" s="6" t="s">
        <v>13</v>
      </c>
      <c r="F117" s="6">
        <f>H109-1.8</f>
        <v>-1.8</v>
      </c>
      <c r="G117" s="6">
        <v>10</v>
      </c>
      <c r="H117" s="6">
        <f>3*C107</f>
        <v>3</v>
      </c>
      <c r="I117" s="6">
        <f ca="1">HLOOKUP(D117, materials[], 2,FALSE)</f>
        <v>2</v>
      </c>
      <c r="J117" s="6"/>
      <c r="K117" s="6" t="b">
        <v>1</v>
      </c>
    </row>
    <row r="118" spans="1:11" x14ac:dyDescent="0.3">
      <c r="A118" s="51">
        <v>3</v>
      </c>
      <c r="B118" s="15" t="str">
        <f>B115</f>
        <v>وحدة سفلية  ركنة 45 (بورديوم)</v>
      </c>
      <c r="C118" s="6">
        <f t="shared" si="6"/>
        <v>4</v>
      </c>
      <c r="D118" s="6" t="str">
        <f ca="1">H111</f>
        <v>بورديوم</v>
      </c>
      <c r="E118" s="6" t="s">
        <v>14</v>
      </c>
      <c r="F118" s="6">
        <f>H109-1.8</f>
        <v>-1.8</v>
      </c>
      <c r="G118" s="6">
        <v>7</v>
      </c>
      <c r="H118" s="6">
        <f>2*C107</f>
        <v>2</v>
      </c>
      <c r="I118" s="6">
        <f ca="1">HLOOKUP(D118, materials[], 2,FALSE)</f>
        <v>2</v>
      </c>
      <c r="J118" s="6"/>
      <c r="K118" s="6" t="b">
        <v>1</v>
      </c>
    </row>
    <row r="119" spans="1:11" x14ac:dyDescent="0.3">
      <c r="A119" s="51">
        <v>3</v>
      </c>
      <c r="B119" s="15" t="str">
        <f>B115</f>
        <v>وحدة سفلية  ركنة 45 (بورديوم)</v>
      </c>
      <c r="C119" s="6">
        <f t="shared" si="6"/>
        <v>5</v>
      </c>
      <c r="D119" s="6" t="str">
        <f ca="1">H111</f>
        <v>بورديوم</v>
      </c>
      <c r="E119" s="6" t="s">
        <v>27</v>
      </c>
      <c r="F119" s="6">
        <v>70</v>
      </c>
      <c r="G119" s="6">
        <v>10</v>
      </c>
      <c r="H119" s="6">
        <f>1*C107</f>
        <v>1</v>
      </c>
      <c r="I119" s="6">
        <f ca="1">HLOOKUP(D119, materials[], 2,FALSE)</f>
        <v>2</v>
      </c>
      <c r="J119" s="6"/>
      <c r="K119" s="6" t="b">
        <v>1</v>
      </c>
    </row>
    <row r="120" spans="1:11" x14ac:dyDescent="0.3">
      <c r="A120" s="51">
        <v>3</v>
      </c>
      <c r="B120" s="15" t="str">
        <f>B115</f>
        <v>وحدة سفلية  ركنة 45 (بورديوم)</v>
      </c>
      <c r="C120" s="6">
        <f t="shared" si="6"/>
        <v>6</v>
      </c>
      <c r="D120" s="6" t="str">
        <f ca="1">H111</f>
        <v>بورديوم</v>
      </c>
      <c r="E120" s="6" t="s">
        <v>17</v>
      </c>
      <c r="F120" s="6">
        <f>H109-3.8</f>
        <v>-3.8</v>
      </c>
      <c r="G120" s="6">
        <f>H110-3.8</f>
        <v>-3.8</v>
      </c>
      <c r="H120" s="6">
        <f>D109*C107</f>
        <v>1</v>
      </c>
      <c r="I120" s="6">
        <f ca="1">HLOOKUP(D120, materials[], 2,FALSE)</f>
        <v>2</v>
      </c>
      <c r="J120" s="6"/>
      <c r="K120" s="6" t="b">
        <v>1</v>
      </c>
    </row>
    <row r="121" spans="1:11" ht="14.4" x14ac:dyDescent="0.3">
      <c r="A121" s="51">
        <v>0</v>
      </c>
      <c r="B121"/>
      <c r="C121"/>
      <c r="D121"/>
      <c r="E121"/>
      <c r="F121"/>
      <c r="G121"/>
      <c r="H121"/>
      <c r="I121"/>
      <c r="J121"/>
      <c r="K121"/>
    </row>
    <row r="122" spans="1:11" x14ac:dyDescent="0.3">
      <c r="A122" s="51">
        <v>4</v>
      </c>
      <c r="B122" s="15" t="str">
        <f>B115</f>
        <v>وحدة سفلية  ركنة 45 (بورديوم)</v>
      </c>
      <c r="C122" s="9">
        <f>C120+1</f>
        <v>7</v>
      </c>
      <c r="D122" s="9" t="str">
        <f ca="1">F111</f>
        <v>يوفيلاك</v>
      </c>
      <c r="E122" s="9" t="s">
        <v>28</v>
      </c>
      <c r="F122" s="9">
        <f ca="1">I109-0.5-E109</f>
        <v>74</v>
      </c>
      <c r="G122" s="17">
        <f ca="1">(SQRT((H109-J109)^2+(H110-J110)^2))-2</f>
        <v>77.195959492893323</v>
      </c>
      <c r="H122" s="9">
        <f>1*C107</f>
        <v>1</v>
      </c>
      <c r="I122" s="9">
        <f ca="1">HLOOKUP(D122, materials[], 2,FALSE)</f>
        <v>6</v>
      </c>
      <c r="J122" s="9"/>
      <c r="K122" s="9" t="b">
        <v>1</v>
      </c>
    </row>
    <row r="123" spans="1:11" ht="14.4" x14ac:dyDescent="0.3">
      <c r="A123" s="51">
        <v>0</v>
      </c>
      <c r="B123"/>
      <c r="C123"/>
      <c r="D123"/>
      <c r="E123"/>
      <c r="F123"/>
      <c r="G123"/>
      <c r="H123"/>
      <c r="I123"/>
      <c r="J123"/>
      <c r="K123"/>
    </row>
    <row r="124" spans="1:11" x14ac:dyDescent="0.3">
      <c r="A124" s="51">
        <v>5</v>
      </c>
      <c r="B124" s="15" t="str">
        <f ca="1">IF(F109,B115, "")</f>
        <v>وحدة سفلية  ركنة 45 (بورديوم)</v>
      </c>
      <c r="C124" s="19">
        <f ca="1">IF(F109,C122+1, "")</f>
        <v>8</v>
      </c>
      <c r="D124" s="19" t="str">
        <f ca="1">IF(F109,D111, "")</f>
        <v>ظهر</v>
      </c>
      <c r="E124" s="19" t="str">
        <f ca="1">IF(F109,"ظهر", "")</f>
        <v>ظهر</v>
      </c>
      <c r="F124" s="19">
        <f ca="1">IF(F109,I109-1, "")</f>
        <v>77</v>
      </c>
      <c r="G124" s="19">
        <f ca="1">IF(F109,H109-1, "")</f>
        <v>-1</v>
      </c>
      <c r="H124" s="19">
        <f ca="1">IF(F109,1*C107, "")</f>
        <v>1</v>
      </c>
      <c r="I124" s="19">
        <f ca="1">IF(F109,HLOOKUP(D124, materials[], 2,FALSE), "")</f>
        <v>2</v>
      </c>
      <c r="J124" s="19"/>
      <c r="K124" s="19" t="b">
        <v>1</v>
      </c>
    </row>
    <row r="125" spans="1:11" x14ac:dyDescent="0.3">
      <c r="A125" s="35">
        <v>255</v>
      </c>
      <c r="B125" s="15"/>
    </row>
    <row r="126" spans="1:11" x14ac:dyDescent="0.3">
      <c r="A126" s="35">
        <v>255</v>
      </c>
      <c r="B126" s="15"/>
    </row>
    <row r="127" spans="1:11" ht="36" x14ac:dyDescent="0.3">
      <c r="A127" s="54" t="s">
        <v>158</v>
      </c>
      <c r="B127" s="15"/>
      <c r="C127" s="14">
        <v>1</v>
      </c>
      <c r="D127" s="22" t="s">
        <v>59</v>
      </c>
      <c r="E127" s="101" t="s">
        <v>162</v>
      </c>
      <c r="F127" s="102"/>
      <c r="G127" s="102"/>
      <c r="H127" s="103"/>
      <c r="I127" s="2" t="s">
        <v>30</v>
      </c>
      <c r="J127" s="2">
        <f>letterToNumber(A127)</f>
        <v>6</v>
      </c>
      <c r="K127" s="7">
        <f ca="1">_xlfn.SHEET("بورديوم")</f>
        <v>5</v>
      </c>
    </row>
    <row r="128" spans="1:11" ht="31.2" x14ac:dyDescent="0.3">
      <c r="A128" s="51">
        <v>1</v>
      </c>
      <c r="B128" s="15"/>
      <c r="C128" s="7" t="s">
        <v>12</v>
      </c>
      <c r="D128" s="18" t="s">
        <v>18</v>
      </c>
      <c r="E128" s="7" t="s">
        <v>16</v>
      </c>
      <c r="F128" s="29" t="s">
        <v>114</v>
      </c>
      <c r="G128" s="16" t="s">
        <v>19</v>
      </c>
      <c r="H128" s="7" t="s">
        <v>22</v>
      </c>
      <c r="I128" s="7" t="s">
        <v>3</v>
      </c>
      <c r="J128" s="7" t="s">
        <v>113</v>
      </c>
      <c r="K128" s="7"/>
    </row>
    <row r="129" spans="1:11" x14ac:dyDescent="0.3">
      <c r="A129" s="51">
        <v>1</v>
      </c>
      <c r="B129" s="15"/>
      <c r="C129" s="8">
        <v>2</v>
      </c>
      <c r="D129" s="8">
        <v>1</v>
      </c>
      <c r="E129" s="27" cm="1">
        <f t="array" aca="1" ref="E129" ca="1">defaultValue(E128,K127)</f>
        <v>3.5</v>
      </c>
      <c r="F129" s="27" t="b" cm="1">
        <f t="array" aca="1" ref="F129" ca="1">defaultValue(F128,K127)</f>
        <v>1</v>
      </c>
      <c r="G129" s="27" cm="1">
        <f t="array" aca="1" ref="G129" ca="1">defaultValue(G128,K127)</f>
        <v>45</v>
      </c>
      <c r="H129" s="8">
        <v>80</v>
      </c>
      <c r="I129" s="27" cm="1">
        <f t="array" aca="1" ref="I129" ca="1">defaultValue(I128,K127)</f>
        <v>78</v>
      </c>
      <c r="J129" s="27" cm="1">
        <f t="array" aca="1" ref="J129" ca="1">defaultValue(J128,K127)</f>
        <v>56</v>
      </c>
      <c r="K129" s="7"/>
    </row>
    <row r="130" spans="1:11" ht="31.2" x14ac:dyDescent="0.3">
      <c r="A130" s="51">
        <v>1</v>
      </c>
      <c r="B130" s="15"/>
      <c r="C130" s="8"/>
      <c r="D130" s="27" t="str" cm="1">
        <f t="array" aca="1" ref="D130" ca="1">defaultValue(E130,K127)</f>
        <v>ظهر</v>
      </c>
      <c r="E130" s="7" t="s">
        <v>58</v>
      </c>
      <c r="F130" s="27" t="str" cm="1">
        <f t="array" aca="1" ref="F130" ca="1">defaultValue(G130,K127)</f>
        <v>يوفيلاك</v>
      </c>
      <c r="G130" s="7" t="s">
        <v>32</v>
      </c>
      <c r="H130" s="27" t="str" cm="1">
        <f t="array" aca="1" ref="H130" ca="1">defaultValue(I130,K127)</f>
        <v>بورديوم</v>
      </c>
      <c r="I130" s="7" t="s">
        <v>31</v>
      </c>
      <c r="J130" s="25" t="s">
        <v>111</v>
      </c>
      <c r="K130" s="7"/>
    </row>
    <row r="131" spans="1:11" ht="14.4" x14ac:dyDescent="0.3">
      <c r="A131" s="51">
        <v>0</v>
      </c>
      <c r="B131"/>
      <c r="C131"/>
      <c r="D131"/>
      <c r="E131"/>
      <c r="F131"/>
      <c r="G131"/>
      <c r="H131"/>
      <c r="I131"/>
      <c r="J131"/>
      <c r="K131"/>
    </row>
    <row r="132" spans="1:11" x14ac:dyDescent="0.3">
      <c r="A132" s="51">
        <v>2</v>
      </c>
      <c r="B132" s="15"/>
      <c r="C132" s="6" t="s">
        <v>4</v>
      </c>
      <c r="D132" s="6" t="s">
        <v>9</v>
      </c>
      <c r="E132" s="6" t="s">
        <v>5</v>
      </c>
      <c r="F132" s="6" t="s">
        <v>7</v>
      </c>
      <c r="G132" s="6" t="s">
        <v>1</v>
      </c>
      <c r="H132" s="6" t="s">
        <v>6</v>
      </c>
      <c r="I132" s="6" t="s">
        <v>33</v>
      </c>
      <c r="J132" s="6" t="s">
        <v>8</v>
      </c>
      <c r="K132" s="6" t="s">
        <v>185</v>
      </c>
    </row>
    <row r="133" spans="1:11" ht="14.4" x14ac:dyDescent="0.3">
      <c r="A133" s="51">
        <v>0</v>
      </c>
      <c r="B133"/>
      <c r="C133"/>
      <c r="D133"/>
      <c r="E133"/>
      <c r="F133"/>
      <c r="G133"/>
      <c r="H133"/>
      <c r="I133"/>
      <c r="J133"/>
      <c r="K133"/>
    </row>
    <row r="134" spans="1:11" x14ac:dyDescent="0.3">
      <c r="A134" s="51">
        <v>3</v>
      </c>
      <c r="B134" s="15" t="str">
        <f>E127</f>
        <v>وحدة سفلية دلفة /دلفتين + درج</v>
      </c>
      <c r="C134" s="6">
        <v>1</v>
      </c>
      <c r="D134" s="6" t="str">
        <f ca="1">H130</f>
        <v>بورديوم</v>
      </c>
      <c r="E134" s="6" t="s">
        <v>10</v>
      </c>
      <c r="F134" s="6">
        <f>H129-3.6</f>
        <v>76.400000000000006</v>
      </c>
      <c r="G134" s="6">
        <f ca="1">J129</f>
        <v>56</v>
      </c>
      <c r="H134" s="6">
        <f>1*C127</f>
        <v>1</v>
      </c>
      <c r="I134" s="6">
        <f ca="1">HLOOKUP(D134, materials[], 2,FALSE)</f>
        <v>2</v>
      </c>
      <c r="J134" s="6"/>
      <c r="K134" s="6" t="b">
        <v>1</v>
      </c>
    </row>
    <row r="135" spans="1:11" x14ac:dyDescent="0.3">
      <c r="A135" s="51">
        <v>3</v>
      </c>
      <c r="B135" s="15" t="str">
        <f>B134</f>
        <v>وحدة سفلية دلفة /دلفتين + درج</v>
      </c>
      <c r="C135" s="6">
        <f>C134+1</f>
        <v>2</v>
      </c>
      <c r="D135" s="6" t="str">
        <f ca="1">H130</f>
        <v>بورديوم</v>
      </c>
      <c r="E135" s="6" t="s">
        <v>11</v>
      </c>
      <c r="F135" s="6">
        <f ca="1">I129</f>
        <v>78</v>
      </c>
      <c r="G135" s="6">
        <f ca="1">J129</f>
        <v>56</v>
      </c>
      <c r="H135" s="6">
        <f>2*C127</f>
        <v>2</v>
      </c>
      <c r="I135" s="6">
        <f ca="1">HLOOKUP(D135, materials[], 2,FALSE)</f>
        <v>2</v>
      </c>
      <c r="J135" s="6"/>
      <c r="K135" s="6" t="b">
        <v>1</v>
      </c>
    </row>
    <row r="136" spans="1:11" x14ac:dyDescent="0.3">
      <c r="A136" s="51">
        <v>3</v>
      </c>
      <c r="B136" s="15" t="str">
        <f>B134</f>
        <v>وحدة سفلية دلفة /دلفتين + درج</v>
      </c>
      <c r="C136" s="6">
        <f t="shared" ref="C136:C141" si="7">C135+1</f>
        <v>3</v>
      </c>
      <c r="D136" s="6" t="str">
        <f ca="1">H130</f>
        <v>بورديوم</v>
      </c>
      <c r="E136" s="6" t="s">
        <v>13</v>
      </c>
      <c r="F136" s="6">
        <f>H129-3.6</f>
        <v>76.400000000000006</v>
      </c>
      <c r="G136" s="6">
        <f>10</f>
        <v>10</v>
      </c>
      <c r="H136" s="6">
        <f>1*C127</f>
        <v>1</v>
      </c>
      <c r="I136" s="6">
        <f ca="1">HLOOKUP(D136, materials[], 2,FALSE)</f>
        <v>2</v>
      </c>
      <c r="J136" s="6"/>
      <c r="K136" s="6" t="b">
        <v>1</v>
      </c>
    </row>
    <row r="137" spans="1:11" x14ac:dyDescent="0.3">
      <c r="A137" s="51">
        <v>3</v>
      </c>
      <c r="B137" s="15" t="str">
        <f>B134</f>
        <v>وحدة سفلية دلفة /دلفتين + درج</v>
      </c>
      <c r="C137" s="6">
        <f t="shared" si="7"/>
        <v>4</v>
      </c>
      <c r="D137" s="6" t="str">
        <f ca="1">H130</f>
        <v>بورديوم</v>
      </c>
      <c r="E137" s="6" t="s">
        <v>14</v>
      </c>
      <c r="F137" s="6">
        <f>H129-3.6</f>
        <v>76.400000000000006</v>
      </c>
      <c r="G137" s="6">
        <f>7</f>
        <v>7</v>
      </c>
      <c r="H137" s="6">
        <f>1*C127</f>
        <v>1</v>
      </c>
      <c r="I137" s="6">
        <f ca="1">HLOOKUP(D137, materials[], 2,FALSE)</f>
        <v>2</v>
      </c>
      <c r="J137" s="6"/>
      <c r="K137" s="6" t="b">
        <v>1</v>
      </c>
    </row>
    <row r="138" spans="1:11" x14ac:dyDescent="0.3">
      <c r="A138" s="51">
        <v>3</v>
      </c>
      <c r="B138" s="15" t="str">
        <f>B134</f>
        <v>وحدة سفلية دلفة /دلفتين + درج</v>
      </c>
      <c r="C138" s="6">
        <f t="shared" si="7"/>
        <v>5</v>
      </c>
      <c r="D138" s="6" t="str">
        <f ca="1">H130</f>
        <v>بورديوم</v>
      </c>
      <c r="E138" s="6" t="s">
        <v>17</v>
      </c>
      <c r="F138" s="6">
        <f>H129-3.8</f>
        <v>76.2</v>
      </c>
      <c r="G138" s="6">
        <f ca="1">J129-6</f>
        <v>50</v>
      </c>
      <c r="H138" s="6">
        <f>D129*C127</f>
        <v>1</v>
      </c>
      <c r="I138" s="6">
        <f ca="1">HLOOKUP(D138, materials[], 2,FALSE)</f>
        <v>2</v>
      </c>
      <c r="J138" s="6"/>
      <c r="K138" s="6" t="b">
        <v>1</v>
      </c>
    </row>
    <row r="139" spans="1:11" x14ac:dyDescent="0.3">
      <c r="A139" s="51">
        <v>3</v>
      </c>
      <c r="B139" s="15" t="str">
        <f>B135</f>
        <v>وحدة سفلية دلفة /دلفتين + درج</v>
      </c>
      <c r="C139" s="10">
        <f t="shared" si="7"/>
        <v>6</v>
      </c>
      <c r="D139" s="10" t="str">
        <f ca="1">H130</f>
        <v>بورديوم</v>
      </c>
      <c r="E139" s="10" t="s">
        <v>21</v>
      </c>
      <c r="F139" s="10">
        <f>H129-3.6-3.6-2.5</f>
        <v>70.300000000000011</v>
      </c>
      <c r="G139" s="10">
        <v>10</v>
      </c>
      <c r="H139" s="10">
        <f ca="1">F129*C127</f>
        <v>1</v>
      </c>
      <c r="I139" s="10">
        <f ca="1">HLOOKUP(D139, materials[], 2,FALSE)</f>
        <v>2</v>
      </c>
      <c r="J139" s="10"/>
      <c r="K139" s="6" t="b">
        <v>1</v>
      </c>
    </row>
    <row r="140" spans="1:11" x14ac:dyDescent="0.3">
      <c r="A140" s="51">
        <v>3</v>
      </c>
      <c r="B140" s="15" t="str">
        <f>B136</f>
        <v>وحدة سفلية دلفة /دلفتين + درج</v>
      </c>
      <c r="C140" s="10">
        <f t="shared" si="7"/>
        <v>7</v>
      </c>
      <c r="D140" s="10" t="str">
        <f ca="1">H130</f>
        <v>بورديوم</v>
      </c>
      <c r="E140" s="10" t="s">
        <v>153</v>
      </c>
      <c r="F140" s="10">
        <f ca="1">G129</f>
        <v>45</v>
      </c>
      <c r="G140" s="10">
        <v>10</v>
      </c>
      <c r="H140" s="10">
        <f ca="1">2*C127*F129</f>
        <v>2</v>
      </c>
      <c r="I140" s="10">
        <f ca="1">HLOOKUP(D140, materials[], 2,FALSE)</f>
        <v>2</v>
      </c>
      <c r="J140" s="10"/>
      <c r="K140" s="6" t="b">
        <v>1</v>
      </c>
    </row>
    <row r="141" spans="1:11" x14ac:dyDescent="0.3">
      <c r="A141" s="51">
        <v>3</v>
      </c>
      <c r="B141" s="15" t="str">
        <f>B137</f>
        <v>وحدة سفلية دلفة /دلفتين + درج</v>
      </c>
      <c r="C141" s="10">
        <f t="shared" si="7"/>
        <v>8</v>
      </c>
      <c r="D141" s="10" t="str">
        <f ca="1">H130</f>
        <v>بورديوم</v>
      </c>
      <c r="E141" s="10" t="s">
        <v>154</v>
      </c>
      <c r="F141" s="10">
        <f>H129-3.6-3.6-2.5</f>
        <v>70.300000000000011</v>
      </c>
      <c r="G141" s="10">
        <f>10-3</f>
        <v>7</v>
      </c>
      <c r="H141" s="10">
        <f ca="1">F129*C127</f>
        <v>1</v>
      </c>
      <c r="I141" s="10">
        <f ca="1">HLOOKUP(D141, materials[], 2,FALSE)</f>
        <v>2</v>
      </c>
      <c r="J141" s="10"/>
      <c r="K141" s="6" t="b">
        <v>1</v>
      </c>
    </row>
    <row r="142" spans="1:11" ht="14.4" x14ac:dyDescent="0.3">
      <c r="A142" s="51">
        <v>0</v>
      </c>
      <c r="B142"/>
      <c r="C142"/>
      <c r="D142"/>
      <c r="E142"/>
      <c r="F142"/>
      <c r="G142"/>
      <c r="H142"/>
      <c r="I142"/>
      <c r="J142"/>
      <c r="K142"/>
    </row>
    <row r="143" spans="1:11" x14ac:dyDescent="0.3">
      <c r="A143" s="51">
        <v>4</v>
      </c>
      <c r="B143" s="15" t="str">
        <f>B134</f>
        <v>وحدة سفلية دلفة /دلفتين + درج</v>
      </c>
      <c r="C143" s="9">
        <f>C141+1</f>
        <v>9</v>
      </c>
      <c r="D143" s="9" t="str">
        <f ca="1">F130</f>
        <v>يوفيلاك</v>
      </c>
      <c r="E143" s="9" t="s">
        <v>15</v>
      </c>
      <c r="F143" s="9">
        <f ca="1">I129-0.5-E129-G144</f>
        <v>59</v>
      </c>
      <c r="G143" s="9">
        <f>(H129/C129)-0.5</f>
        <v>39.5</v>
      </c>
      <c r="H143" s="9">
        <f>C129*C127</f>
        <v>2</v>
      </c>
      <c r="I143" s="9">
        <f ca="1">HLOOKUP(D143, materials[], 2,FALSE)</f>
        <v>6</v>
      </c>
      <c r="J143" s="9"/>
      <c r="K143" s="9" t="b">
        <v>1</v>
      </c>
    </row>
    <row r="144" spans="1:11" x14ac:dyDescent="0.3">
      <c r="A144" s="51">
        <v>4</v>
      </c>
      <c r="B144" s="15" t="str">
        <f>B134</f>
        <v>وحدة سفلية دلفة /دلفتين + درج</v>
      </c>
      <c r="C144" s="9">
        <f>C143+1</f>
        <v>10</v>
      </c>
      <c r="D144" s="9" t="str">
        <f ca="1">F130</f>
        <v>يوفيلاك</v>
      </c>
      <c r="E144" s="9" t="s">
        <v>165</v>
      </c>
      <c r="F144" s="9">
        <f>H129-0.5</f>
        <v>79.5</v>
      </c>
      <c r="G144" s="9">
        <f ca="1">I129-E129-59.5</f>
        <v>15</v>
      </c>
      <c r="H144" s="9">
        <f ca="1">F129*C127</f>
        <v>1</v>
      </c>
      <c r="I144" s="9">
        <f ca="1">HLOOKUP(D144, materials[], 2,FALSE)</f>
        <v>6</v>
      </c>
      <c r="J144" s="9"/>
      <c r="K144" s="9" t="b">
        <v>1</v>
      </c>
    </row>
    <row r="145" spans="1:11" ht="14.4" x14ac:dyDescent="0.3">
      <c r="A145" s="51">
        <v>0</v>
      </c>
      <c r="B145"/>
      <c r="C145"/>
      <c r="D145"/>
      <c r="E145"/>
      <c r="F145"/>
      <c r="G145"/>
      <c r="H145"/>
      <c r="I145"/>
      <c r="J145"/>
      <c r="K145"/>
    </row>
    <row r="146" spans="1:11" x14ac:dyDescent="0.3">
      <c r="A146" s="51">
        <v>5</v>
      </c>
      <c r="B146" s="15" t="str">
        <f>B134</f>
        <v>وحدة سفلية دلفة /دلفتين + درج</v>
      </c>
      <c r="C146" s="19">
        <f>C143+1</f>
        <v>10</v>
      </c>
      <c r="D146" s="19" t="str">
        <f ca="1">D130</f>
        <v>ظهر</v>
      </c>
      <c r="E146" s="19" t="s">
        <v>58</v>
      </c>
      <c r="F146" s="19">
        <f ca="1">I129-2</f>
        <v>76</v>
      </c>
      <c r="G146" s="19">
        <f>H129-2</f>
        <v>78</v>
      </c>
      <c r="H146" s="19">
        <f>1*C127</f>
        <v>1</v>
      </c>
      <c r="I146" s="19">
        <f ca="1">HLOOKUP(D146, materials[], 2,FALSE)</f>
        <v>2</v>
      </c>
      <c r="J146" s="19"/>
      <c r="K146" s="19" t="b">
        <v>1</v>
      </c>
    </row>
    <row r="147" spans="1:11" x14ac:dyDescent="0.3">
      <c r="A147" s="51">
        <v>5</v>
      </c>
      <c r="B147" s="15" t="str">
        <f>B134</f>
        <v>وحدة سفلية دلفة /دلفتين + درج</v>
      </c>
      <c r="C147" s="19">
        <f>C146+1</f>
        <v>11</v>
      </c>
      <c r="D147" s="19" t="str">
        <f ca="1">D130</f>
        <v>ظهر</v>
      </c>
      <c r="E147" s="19" t="s">
        <v>164</v>
      </c>
      <c r="F147" s="19">
        <f>H129-3.6-3.6-2.5+2</f>
        <v>72.300000000000011</v>
      </c>
      <c r="G147" s="19">
        <f ca="1">G129-1</f>
        <v>44</v>
      </c>
      <c r="H147" s="19">
        <f>1*C127</f>
        <v>1</v>
      </c>
      <c r="I147" s="19">
        <f ca="1">HLOOKUP(D147, materials[], 2,FALSE)</f>
        <v>2</v>
      </c>
      <c r="J147" s="19"/>
      <c r="K147" s="19" t="b">
        <v>1</v>
      </c>
    </row>
    <row r="148" spans="1:11" x14ac:dyDescent="0.3">
      <c r="A148" s="51">
        <v>255</v>
      </c>
      <c r="B148" s="15"/>
    </row>
    <row r="149" spans="1:11" x14ac:dyDescent="0.3">
      <c r="A149" s="51">
        <v>255</v>
      </c>
      <c r="B149" s="15"/>
    </row>
  </sheetData>
  <mergeCells count="9">
    <mergeCell ref="E127:H127"/>
    <mergeCell ref="E31:H31"/>
    <mergeCell ref="C2:J2"/>
    <mergeCell ref="E86:H86"/>
    <mergeCell ref="G67:G68"/>
    <mergeCell ref="E66:H66"/>
    <mergeCell ref="E107:H107"/>
    <mergeCell ref="G14:G15"/>
    <mergeCell ref="E13:H13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0" r:id="rId4" name="Button 2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11</xdr:col>
                    <xdr:colOff>464820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1" r:id="rId5" name="Button 3">
              <controlPr defaultSize="0" print="0" autoFill="0" autoPict="0" macro="[0]!insertBlock">
                <anchor moveWithCells="1" sizeWithCells="1">
                  <from>
                    <xdr:col>2</xdr:col>
                    <xdr:colOff>15240</xdr:colOff>
                    <xdr:row>5</xdr:row>
                    <xdr:rowOff>7620</xdr:rowOff>
                  </from>
                  <to>
                    <xdr:col>4</xdr:col>
                    <xdr:colOff>922020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2" r:id="rId6" name="Button 4">
              <controlPr defaultSize="0" print="0" autoFill="0" autoPict="0" macro="[0]!deleteBlock">
                <anchor moveWithCells="1" sizeWithCells="1">
                  <from>
                    <xdr:col>4</xdr:col>
                    <xdr:colOff>1059180</xdr:colOff>
                    <xdr:row>5</xdr:row>
                    <xdr:rowOff>7620</xdr:rowOff>
                  </from>
                  <to>
                    <xdr:col>8</xdr:col>
                    <xdr:colOff>396240</xdr:colOff>
                    <xdr:row>6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CC187"/>
  <sheetViews>
    <sheetView topLeftCell="B1" zoomScale="86" zoomScaleNormal="70" workbookViewId="0">
      <selection activeCell="G11" sqref="G11"/>
    </sheetView>
  </sheetViews>
  <sheetFormatPr defaultRowHeight="14.4" x14ac:dyDescent="0.3"/>
  <cols>
    <col min="1" max="1" width="9" style="35" hidden="1" customWidth="1"/>
    <col min="2" max="2" width="31.33203125" style="3" bestFit="1" customWidth="1"/>
    <col min="3" max="3" width="8.109375" style="3" bestFit="1" customWidth="1"/>
    <col min="4" max="4" width="11" style="3" bestFit="1" customWidth="1"/>
    <col min="5" max="5" width="16.33203125" style="3" customWidth="1"/>
    <col min="6" max="6" width="7.77734375" style="3" customWidth="1"/>
    <col min="7" max="7" width="11.6640625" style="3" bestFit="1" customWidth="1"/>
    <col min="8" max="8" width="10.5546875" style="3" customWidth="1"/>
    <col min="9" max="9" width="8.21875" style="3" bestFit="1" customWidth="1"/>
    <col min="10" max="10" width="13.6640625" style="3" customWidth="1"/>
    <col min="11" max="11" width="8.6640625" style="3" bestFit="1" customWidth="1"/>
    <col min="12" max="12" width="8.109375" style="3" customWidth="1"/>
    <col min="13" max="13" width="7.6640625" style="3" customWidth="1"/>
    <col min="14" max="14" width="12.88671875" style="3" customWidth="1"/>
    <col min="15" max="15" width="9.88671875" style="3" customWidth="1"/>
    <col min="16" max="17" width="8.88671875" style="3" customWidth="1"/>
    <col min="18" max="18" width="18.6640625" style="3" customWidth="1"/>
    <col min="19" max="19" width="20.88671875" style="3" customWidth="1"/>
    <col min="20" max="20" width="24.5546875" style="3" customWidth="1"/>
    <col min="21" max="21" width="15.77734375" style="3" customWidth="1"/>
    <col min="22" max="22" width="15.6640625" style="3" customWidth="1"/>
    <col min="23" max="23" width="25.44140625" style="3" customWidth="1"/>
    <col min="24" max="24" width="8.77734375" style="3" customWidth="1"/>
    <col min="25" max="48" width="8.88671875" style="3" customWidth="1"/>
    <col min="49" max="49" width="10.33203125" style="3" customWidth="1"/>
    <col min="50" max="50" width="12" style="3" customWidth="1"/>
    <col min="51" max="52" width="8.88671875" style="3" customWidth="1"/>
    <col min="53" max="64" width="8.88671875" style="3"/>
    <col min="65" max="65" width="12" style="3" bestFit="1" customWidth="1"/>
    <col min="66" max="69" width="8.88671875" style="3"/>
    <col min="70" max="70" width="9.77734375" style="3" bestFit="1" customWidth="1"/>
    <col min="71" max="16384" width="8.88671875" style="3"/>
  </cols>
  <sheetData>
    <row r="1" spans="1:81" s="35" customFormat="1" x14ac:dyDescent="0.3">
      <c r="A1" s="35">
        <v>34</v>
      </c>
      <c r="B1" s="55">
        <v>7</v>
      </c>
      <c r="P1" s="45"/>
      <c r="Q1" s="45"/>
      <c r="R1" s="45"/>
      <c r="S1" s="45"/>
      <c r="T1" s="45"/>
      <c r="U1" s="45"/>
      <c r="V1" s="45"/>
      <c r="W1" s="45"/>
      <c r="X1" s="45"/>
    </row>
    <row r="2" spans="1:81" s="35" customFormat="1" ht="31.2" x14ac:dyDescent="0.3">
      <c r="A2" s="35">
        <v>54</v>
      </c>
      <c r="B2" s="48" t="s">
        <v>123</v>
      </c>
      <c r="C2" s="106" t="s">
        <v>43</v>
      </c>
      <c r="D2" s="106"/>
      <c r="E2" s="106"/>
      <c r="F2" s="106"/>
      <c r="G2" s="106"/>
      <c r="H2" s="106"/>
      <c r="I2" s="106"/>
      <c r="J2" s="106"/>
      <c r="P2" s="45"/>
      <c r="Q2" s="45"/>
      <c r="S2" s="45"/>
      <c r="T2" s="45"/>
      <c r="U2" s="45"/>
      <c r="V2" s="45"/>
      <c r="W2" s="45"/>
      <c r="X2" s="45"/>
      <c r="Y2" s="45"/>
      <c r="Z2" s="45"/>
      <c r="AA2" s="45"/>
      <c r="AB2" s="45"/>
      <c r="AC2" s="45"/>
      <c r="AD2" s="45"/>
      <c r="AE2" s="45"/>
      <c r="AF2" s="45"/>
      <c r="AG2" s="45"/>
      <c r="AH2" s="45"/>
      <c r="AI2" s="45"/>
      <c r="AJ2" s="45"/>
      <c r="AK2" s="45"/>
      <c r="AL2" s="45"/>
      <c r="AM2" s="45"/>
      <c r="AN2" s="45"/>
      <c r="AO2" s="45"/>
      <c r="AP2" s="45"/>
      <c r="AQ2" s="45"/>
      <c r="AR2" s="45"/>
      <c r="AS2" s="45"/>
      <c r="AT2" s="45"/>
      <c r="AU2" s="45"/>
      <c r="AV2" s="45"/>
      <c r="AW2" s="45"/>
      <c r="AX2" s="45"/>
      <c r="AY2" s="45"/>
      <c r="AZ2" s="45"/>
      <c r="BA2" s="45"/>
      <c r="BB2" s="45"/>
      <c r="BC2" s="45"/>
      <c r="BD2" s="45"/>
      <c r="BE2" s="45"/>
      <c r="BF2" s="45"/>
      <c r="BG2" s="45"/>
      <c r="BH2" s="45"/>
      <c r="BI2" s="45"/>
      <c r="BJ2" s="45"/>
      <c r="BK2" s="45"/>
      <c r="BL2" s="45"/>
      <c r="BM2" s="45"/>
      <c r="BN2" s="45"/>
      <c r="BO2" s="45"/>
      <c r="BP2" s="45"/>
      <c r="BQ2" s="45"/>
      <c r="BR2" s="45"/>
      <c r="BS2" s="45"/>
      <c r="BT2" s="45"/>
      <c r="BU2" s="45"/>
      <c r="BV2" s="45"/>
      <c r="BW2" s="45"/>
      <c r="BX2" s="45"/>
      <c r="BY2" s="45"/>
      <c r="BZ2" s="45"/>
      <c r="CA2" s="45"/>
      <c r="CB2" s="45"/>
      <c r="CC2" s="45"/>
    </row>
    <row r="3" spans="1:81" s="35" customFormat="1" x14ac:dyDescent="0.3">
      <c r="B3" s="55" t="s">
        <v>176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P3" s="45"/>
      <c r="Q3" s="45"/>
      <c r="R3" s="34"/>
      <c r="S3" s="34"/>
      <c r="T3" s="34"/>
      <c r="U3" s="34"/>
      <c r="V3" s="40"/>
      <c r="W3" s="40"/>
      <c r="X3" s="40"/>
      <c r="Y3" s="40"/>
      <c r="Z3" s="45"/>
      <c r="AA3" s="45"/>
      <c r="AB3" s="45"/>
      <c r="AC3" s="45"/>
      <c r="AD3" s="45"/>
      <c r="AE3" s="45"/>
      <c r="AF3" s="45"/>
      <c r="AG3" s="45"/>
      <c r="AH3" s="45"/>
      <c r="AI3" s="45"/>
      <c r="AJ3" s="45"/>
      <c r="AK3" s="45"/>
      <c r="AL3" s="45"/>
      <c r="AM3" s="45"/>
      <c r="AN3" s="45"/>
      <c r="AO3" s="45"/>
      <c r="AP3" s="45"/>
      <c r="AQ3" s="45"/>
      <c r="AR3" s="45"/>
      <c r="AS3" s="45"/>
      <c r="AT3" s="45"/>
      <c r="AU3" s="45"/>
      <c r="AV3" s="45"/>
      <c r="AW3" s="45"/>
      <c r="AX3" s="45"/>
      <c r="AY3" s="45"/>
      <c r="AZ3" s="45"/>
      <c r="BA3" s="45"/>
      <c r="BB3" s="45"/>
      <c r="BC3" s="45"/>
      <c r="BD3" s="45"/>
      <c r="BE3" s="45"/>
      <c r="BF3" s="45"/>
      <c r="BG3" s="45"/>
      <c r="BH3" s="45"/>
      <c r="BI3" s="45"/>
      <c r="BJ3" s="45"/>
      <c r="BK3" s="45"/>
      <c r="BL3" s="45"/>
      <c r="BM3" s="45"/>
      <c r="BN3" s="45"/>
      <c r="BO3" s="45"/>
      <c r="BP3" s="45"/>
      <c r="BQ3" s="45"/>
      <c r="BR3" s="45"/>
      <c r="BS3" s="45"/>
      <c r="BT3" s="45"/>
      <c r="BU3" s="45"/>
      <c r="BV3" s="45"/>
      <c r="BW3" s="45"/>
      <c r="BX3" s="45"/>
      <c r="BY3" s="45"/>
      <c r="BZ3" s="45"/>
      <c r="CA3" s="45"/>
      <c r="CB3" s="45"/>
      <c r="CC3" s="45"/>
    </row>
    <row r="4" spans="1:81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P4" s="45"/>
      <c r="Q4" s="45"/>
      <c r="R4" s="34"/>
      <c r="S4" s="34"/>
      <c r="T4" s="34"/>
      <c r="U4" s="34"/>
      <c r="V4" s="34"/>
      <c r="W4" s="34"/>
      <c r="X4" s="34"/>
      <c r="Y4" s="34"/>
      <c r="Z4" s="45"/>
      <c r="AA4" s="45"/>
      <c r="AB4" s="45"/>
      <c r="AC4" s="45"/>
      <c r="AD4" s="45"/>
      <c r="AE4" s="45"/>
      <c r="AF4" s="45"/>
      <c r="AG4" s="45"/>
      <c r="AH4" s="45"/>
      <c r="AI4" s="45"/>
      <c r="AJ4" s="45"/>
      <c r="AK4" s="45"/>
      <c r="AL4" s="45"/>
      <c r="AM4" s="45"/>
      <c r="AN4" s="45"/>
      <c r="AO4" s="45"/>
      <c r="AP4" s="45"/>
      <c r="AQ4" s="45"/>
      <c r="AR4" s="45"/>
      <c r="AS4" s="45"/>
      <c r="AT4" s="45"/>
      <c r="AU4" s="45"/>
      <c r="AV4" s="45"/>
      <c r="AW4" s="45"/>
      <c r="AX4" s="45"/>
      <c r="AY4" s="45"/>
      <c r="AZ4" s="45"/>
      <c r="BA4" s="45"/>
      <c r="BB4" s="45"/>
      <c r="BC4" s="45"/>
      <c r="BD4" s="45"/>
      <c r="BE4" s="45"/>
      <c r="BF4" s="45"/>
      <c r="BG4" s="45"/>
      <c r="BH4" s="45"/>
      <c r="BI4" s="45"/>
      <c r="BJ4" s="45"/>
      <c r="BK4" s="45"/>
      <c r="BL4" s="45"/>
      <c r="BM4" s="45"/>
      <c r="BN4" s="45"/>
      <c r="BO4" s="45"/>
      <c r="BP4" s="45"/>
      <c r="BQ4" s="45"/>
      <c r="BR4" s="45"/>
      <c r="BS4" s="45"/>
      <c r="BT4" s="45"/>
      <c r="BU4" s="45"/>
      <c r="BV4" s="45"/>
      <c r="BW4" s="45"/>
      <c r="BX4" s="45"/>
      <c r="BY4" s="45"/>
      <c r="BZ4" s="45"/>
      <c r="CA4" s="45"/>
      <c r="CB4" s="45"/>
      <c r="CC4" s="45"/>
    </row>
    <row r="5" spans="1:81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  <c r="P5" s="45"/>
      <c r="Q5" s="45"/>
      <c r="R5" s="45"/>
      <c r="S5" s="45"/>
      <c r="T5" s="45"/>
      <c r="U5" s="45"/>
      <c r="V5" s="45"/>
      <c r="W5" s="45"/>
      <c r="X5" s="45"/>
      <c r="Y5" s="45"/>
      <c r="Z5" s="45"/>
      <c r="AA5" s="45"/>
      <c r="AB5" s="45"/>
      <c r="AC5" s="45"/>
      <c r="AD5" s="45"/>
      <c r="AE5" s="45"/>
      <c r="AF5" s="45"/>
      <c r="AG5" s="45"/>
      <c r="AH5" s="45"/>
      <c r="AI5" s="45"/>
      <c r="AJ5" s="45"/>
      <c r="AK5" s="45"/>
      <c r="AL5" s="45"/>
      <c r="AM5" s="45"/>
      <c r="AN5" s="45"/>
      <c r="AO5" s="45"/>
      <c r="AP5" s="45"/>
      <c r="AQ5" s="45"/>
      <c r="AR5" s="45"/>
      <c r="AS5" s="45"/>
      <c r="AT5" s="45"/>
      <c r="AU5" s="45"/>
      <c r="AV5" s="45"/>
      <c r="AW5" s="45"/>
      <c r="AX5" s="45"/>
      <c r="AY5" s="45"/>
      <c r="AZ5" s="45"/>
      <c r="BA5" s="45"/>
      <c r="BB5" s="45"/>
      <c r="BC5" s="45"/>
      <c r="BD5" s="45"/>
      <c r="BE5" s="45"/>
      <c r="BF5" s="45"/>
      <c r="BG5" s="45"/>
      <c r="BH5" s="45"/>
      <c r="BI5" s="45"/>
      <c r="BJ5" s="45"/>
      <c r="BK5" s="45"/>
      <c r="BL5" s="45"/>
      <c r="BM5" s="45"/>
      <c r="BN5" s="45"/>
      <c r="BO5" s="45"/>
      <c r="BP5" s="45"/>
      <c r="BQ5" s="45"/>
      <c r="BR5" s="45"/>
      <c r="BS5" s="45"/>
      <c r="BT5" s="45"/>
      <c r="BU5" s="45"/>
      <c r="BV5" s="45"/>
      <c r="BW5" s="45"/>
      <c r="BX5" s="45"/>
      <c r="BY5" s="45"/>
      <c r="BZ5" s="45"/>
      <c r="CA5" s="45"/>
      <c r="CB5" s="45"/>
      <c r="CC5" s="45"/>
    </row>
    <row r="6" spans="1:81" s="35" customFormat="1" x14ac:dyDescent="0.3">
      <c r="B6" s="55"/>
      <c r="C6" s="45"/>
      <c r="D6" s="45"/>
      <c r="E6" s="45"/>
      <c r="F6" s="45"/>
      <c r="G6" s="45"/>
      <c r="H6" s="45"/>
      <c r="I6" s="45"/>
      <c r="J6" s="45"/>
      <c r="K6" s="45"/>
      <c r="L6" s="45"/>
      <c r="M6" s="45"/>
      <c r="N6" s="45"/>
      <c r="P6" s="45"/>
      <c r="Q6" s="45"/>
      <c r="R6" s="45"/>
      <c r="S6" s="45"/>
      <c r="T6" s="45"/>
      <c r="U6" s="45"/>
      <c r="V6" s="45"/>
      <c r="W6" s="45"/>
      <c r="X6" s="45"/>
      <c r="Y6" s="45"/>
      <c r="Z6" s="45"/>
      <c r="AA6" s="45"/>
      <c r="AB6" s="45"/>
      <c r="AC6" s="45"/>
      <c r="AD6" s="45"/>
      <c r="AE6" s="45"/>
      <c r="AF6" s="45"/>
      <c r="AG6" s="45"/>
      <c r="AH6" s="45"/>
      <c r="AI6" s="45"/>
      <c r="AJ6" s="45"/>
      <c r="AK6" s="45"/>
      <c r="AL6" s="45"/>
      <c r="AM6" s="45"/>
      <c r="AN6" s="45"/>
      <c r="AO6" s="45"/>
      <c r="AP6" s="45"/>
      <c r="AQ6" s="45"/>
      <c r="AR6" s="45"/>
      <c r="AS6" s="45"/>
      <c r="AT6" s="45"/>
      <c r="AU6" s="45"/>
      <c r="AV6" s="45"/>
      <c r="AW6" s="45"/>
      <c r="AX6" s="45"/>
      <c r="AY6" s="45"/>
      <c r="AZ6" s="45"/>
      <c r="BA6" s="45"/>
      <c r="BB6" s="45"/>
      <c r="BC6" s="45"/>
      <c r="BD6" s="45"/>
      <c r="BE6" s="45"/>
      <c r="BF6" s="45"/>
      <c r="BG6" s="45"/>
      <c r="BH6" s="45"/>
      <c r="BI6" s="45"/>
      <c r="BJ6" s="45"/>
      <c r="BK6" s="45"/>
      <c r="BL6" s="45"/>
      <c r="BM6" s="45"/>
      <c r="BN6" s="45"/>
      <c r="BO6" s="45"/>
      <c r="BP6" s="45"/>
      <c r="BQ6" s="45"/>
      <c r="BR6" s="45"/>
      <c r="BS6" s="45"/>
      <c r="BT6" s="45"/>
      <c r="BU6" s="45"/>
      <c r="BV6" s="45"/>
      <c r="BW6" s="45"/>
      <c r="BX6" s="45"/>
      <c r="BY6" s="45"/>
      <c r="BZ6" s="45"/>
      <c r="CA6" s="45"/>
      <c r="CB6" s="45"/>
      <c r="CC6" s="45"/>
    </row>
    <row r="7" spans="1:81" s="35" customFormat="1" x14ac:dyDescent="0.3">
      <c r="B7" s="55"/>
      <c r="C7" s="45"/>
      <c r="D7" s="45"/>
      <c r="E7" s="45"/>
      <c r="F7" s="45"/>
      <c r="G7" s="45"/>
      <c r="H7" s="45"/>
      <c r="I7" s="45"/>
      <c r="J7" s="45"/>
      <c r="K7" s="45"/>
      <c r="L7" s="45"/>
      <c r="M7" s="45"/>
      <c r="N7" s="45"/>
      <c r="P7" s="45"/>
      <c r="Q7" s="45"/>
      <c r="R7" s="45"/>
      <c r="S7" s="45"/>
      <c r="T7" s="45"/>
      <c r="U7" s="45"/>
      <c r="V7" s="45"/>
      <c r="W7" s="45"/>
      <c r="X7" s="45"/>
      <c r="Y7" s="45"/>
      <c r="Z7" s="45"/>
      <c r="AA7" s="45"/>
      <c r="AB7" s="45"/>
      <c r="AC7" s="45"/>
      <c r="AD7" s="45"/>
      <c r="AE7" s="45"/>
      <c r="AF7" s="45"/>
      <c r="AG7" s="45"/>
      <c r="AH7" s="45"/>
      <c r="AI7" s="45"/>
      <c r="AJ7" s="45"/>
      <c r="AK7" s="45"/>
      <c r="AL7" s="45"/>
      <c r="AM7" s="45"/>
      <c r="AN7" s="45"/>
      <c r="AO7" s="45"/>
      <c r="AP7" s="45"/>
      <c r="AQ7" s="45"/>
      <c r="AR7" s="45"/>
      <c r="AS7" s="45"/>
      <c r="AT7" s="45"/>
      <c r="AU7" s="45"/>
      <c r="AV7" s="45"/>
      <c r="AW7" s="45"/>
      <c r="AX7" s="45"/>
      <c r="AY7" s="45"/>
      <c r="AZ7" s="45"/>
      <c r="BA7" s="45"/>
      <c r="BB7" s="45"/>
      <c r="BC7" s="45"/>
      <c r="BD7" s="45"/>
      <c r="BE7" s="45"/>
      <c r="BF7" s="45"/>
      <c r="BG7" s="45"/>
      <c r="BH7" s="45"/>
      <c r="BI7" s="45"/>
      <c r="BJ7" s="45"/>
      <c r="BK7" s="45"/>
      <c r="BL7" s="45"/>
      <c r="BM7" s="45"/>
      <c r="BN7" s="45"/>
      <c r="BO7" s="45"/>
      <c r="BP7" s="45"/>
      <c r="BQ7" s="45"/>
      <c r="BR7" s="45"/>
      <c r="BS7" s="45"/>
      <c r="BT7" s="45"/>
      <c r="BU7" s="45"/>
      <c r="BV7" s="45"/>
      <c r="BW7" s="45"/>
      <c r="BX7" s="45"/>
      <c r="BY7" s="45"/>
      <c r="BZ7" s="45"/>
      <c r="CA7" s="45"/>
      <c r="CB7" s="45"/>
      <c r="CC7" s="45"/>
    </row>
    <row r="8" spans="1:81" s="38" customFormat="1" ht="18" x14ac:dyDescent="0.3">
      <c r="A8" s="35"/>
      <c r="B8" s="55"/>
      <c r="C8" s="45"/>
      <c r="D8" s="45"/>
      <c r="E8" s="45"/>
      <c r="F8" s="45"/>
      <c r="G8" s="45"/>
      <c r="H8" s="45"/>
      <c r="I8" s="45"/>
      <c r="J8" s="45"/>
      <c r="K8" s="45"/>
      <c r="L8" s="45"/>
      <c r="M8" s="45"/>
      <c r="N8" s="45"/>
      <c r="P8" s="45"/>
      <c r="Q8" s="45"/>
      <c r="R8" s="45"/>
      <c r="S8" s="45"/>
      <c r="T8" s="45"/>
      <c r="U8" s="45"/>
      <c r="V8" s="45"/>
      <c r="W8" s="45"/>
      <c r="X8" s="45"/>
      <c r="Y8" s="45"/>
      <c r="Z8" s="45"/>
      <c r="AA8" s="45"/>
      <c r="AB8" s="45"/>
      <c r="AC8" s="45"/>
      <c r="AD8" s="45"/>
      <c r="AE8" s="45"/>
      <c r="AF8" s="45"/>
      <c r="AG8" s="45"/>
      <c r="AH8" s="45"/>
      <c r="AI8" s="45"/>
      <c r="AJ8" s="45"/>
      <c r="AK8" s="45"/>
      <c r="AL8" s="45"/>
      <c r="AM8" s="45"/>
      <c r="AN8" s="45"/>
      <c r="AO8" s="45"/>
      <c r="AP8" s="45"/>
      <c r="AQ8" s="45"/>
      <c r="AR8" s="45"/>
      <c r="AS8" s="45"/>
      <c r="AT8" s="45"/>
      <c r="AU8" s="45"/>
      <c r="AV8" s="45"/>
      <c r="AW8" s="45"/>
      <c r="AX8" s="45"/>
      <c r="AY8" s="45"/>
      <c r="AZ8" s="45"/>
      <c r="BA8" s="45"/>
      <c r="BB8" s="45"/>
      <c r="BC8" s="45"/>
      <c r="BD8" s="45"/>
      <c r="BE8" s="45"/>
      <c r="BF8" s="45"/>
      <c r="BG8" s="45"/>
      <c r="BH8" s="45"/>
      <c r="BI8" s="45"/>
      <c r="BJ8" s="45"/>
      <c r="BK8" s="45"/>
      <c r="BL8" s="45"/>
      <c r="BM8" s="45"/>
      <c r="BN8" s="45"/>
      <c r="BO8" s="45"/>
      <c r="BP8" s="45"/>
      <c r="BQ8" s="45"/>
      <c r="BR8" s="45"/>
      <c r="BS8" s="45"/>
      <c r="BT8" s="45"/>
      <c r="BU8" s="45"/>
      <c r="BV8" s="45"/>
      <c r="BW8" s="45"/>
      <c r="BX8" s="45"/>
      <c r="BY8" s="45"/>
      <c r="BZ8" s="45"/>
      <c r="CA8" s="45"/>
      <c r="CB8" s="45"/>
      <c r="CC8" s="45"/>
    </row>
    <row r="9" spans="1:81" customFormat="1" x14ac:dyDescent="0.3">
      <c r="A9" s="35"/>
    </row>
    <row r="10" spans="1:81" customFormat="1" x14ac:dyDescent="0.3">
      <c r="A10" s="35"/>
    </row>
    <row r="11" spans="1:81" x14ac:dyDescent="0.3"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  <c r="AX11" s="1"/>
      <c r="AY11" s="1"/>
      <c r="AZ11" s="1"/>
      <c r="BA11" s="1"/>
      <c r="BB11" s="1"/>
      <c r="BC11" s="1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/>
      <c r="BR11" s="1"/>
      <c r="BS11" s="1"/>
      <c r="BT11" s="1"/>
      <c r="BU11" s="1"/>
      <c r="BV11" s="1"/>
      <c r="BW11" s="1"/>
      <c r="BX11" s="1"/>
      <c r="BY11" s="1"/>
      <c r="BZ11" s="1"/>
      <c r="CA11" s="1"/>
      <c r="CB11" s="1"/>
      <c r="CC11" s="1"/>
    </row>
    <row r="12" spans="1:81" x14ac:dyDescent="0.3">
      <c r="R12" s="49"/>
      <c r="V12" s="1"/>
      <c r="W12" s="1"/>
      <c r="X12" s="1"/>
      <c r="Y12" s="1"/>
      <c r="Z12" s="1"/>
      <c r="AA12" s="1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  <c r="AX12" s="1"/>
      <c r="AY12" s="1"/>
      <c r="AZ12" s="1"/>
      <c r="BA12" s="1"/>
      <c r="BB12" s="1"/>
      <c r="BC12" s="1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/>
      <c r="BR12" s="1"/>
      <c r="BS12" s="1"/>
      <c r="BT12" s="1"/>
      <c r="BU12" s="1"/>
      <c r="BV12" s="1"/>
      <c r="BW12" s="1"/>
      <c r="BX12" s="1"/>
      <c r="BY12" s="1"/>
      <c r="BZ12" s="1"/>
      <c r="CA12" s="1"/>
      <c r="CB12" s="1"/>
      <c r="CC12" s="1"/>
    </row>
    <row r="13" spans="1:81" s="4" customFormat="1" ht="31.2" customHeight="1" x14ac:dyDescent="0.3">
      <c r="A13" s="35" t="s">
        <v>155</v>
      </c>
      <c r="B13" s="3"/>
      <c r="C13" s="14">
        <v>1</v>
      </c>
      <c r="D13" s="22" t="s">
        <v>59</v>
      </c>
      <c r="E13" s="101" t="s">
        <v>44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_xlfn.SHEET("وحدات علوية")</f>
        <v>6</v>
      </c>
      <c r="V13" s="1"/>
      <c r="W13" s="1"/>
      <c r="X13" s="1"/>
      <c r="Y13" s="1"/>
      <c r="Z13" s="1"/>
      <c r="AA13" s="1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  <c r="AX13" s="1"/>
      <c r="AY13" s="1"/>
      <c r="AZ13" s="1"/>
      <c r="BA13" s="1"/>
      <c r="BB13"/>
      <c r="BC13"/>
      <c r="BD13"/>
      <c r="BE13"/>
      <c r="BF13"/>
      <c r="BG13"/>
      <c r="BH13"/>
      <c r="BI13"/>
      <c r="BJ13"/>
      <c r="BK13" s="1"/>
      <c r="BL13" s="1"/>
      <c r="BM13" s="1"/>
      <c r="BN13" s="1"/>
      <c r="BO13" s="1"/>
      <c r="BP13" s="1"/>
      <c r="BQ13" s="1"/>
      <c r="BR13" s="1"/>
      <c r="BS13" s="1"/>
      <c r="BT13" s="1"/>
      <c r="BU13" s="1"/>
      <c r="BV13" s="1"/>
      <c r="BW13" s="1"/>
      <c r="BX13" s="1"/>
      <c r="BY13" s="1"/>
      <c r="BZ13" s="1"/>
      <c r="CA13" s="1"/>
      <c r="CB13" s="1"/>
      <c r="CC13" s="1"/>
    </row>
    <row r="14" spans="1:81" ht="31.2" x14ac:dyDescent="0.3">
      <c r="A14" s="35">
        <v>1</v>
      </c>
      <c r="C14" s="7" t="s">
        <v>54</v>
      </c>
      <c r="D14" s="7" t="s">
        <v>55</v>
      </c>
      <c r="E14" s="18" t="s">
        <v>18</v>
      </c>
      <c r="F14" s="7" t="s">
        <v>16</v>
      </c>
      <c r="G14" s="7" t="s">
        <v>115</v>
      </c>
      <c r="H14" s="7" t="s">
        <v>22</v>
      </c>
      <c r="I14" s="7" t="s">
        <v>3</v>
      </c>
      <c r="J14" s="7" t="s">
        <v>113</v>
      </c>
      <c r="K14" s="7"/>
      <c r="V14" s="1"/>
      <c r="W14" s="1"/>
      <c r="X14" s="1"/>
      <c r="Y14" s="1"/>
      <c r="Z14" s="1"/>
      <c r="AA14" s="1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  <c r="AX14" s="1"/>
      <c r="AY14" s="1"/>
      <c r="AZ14" s="1"/>
      <c r="BA14" s="1"/>
      <c r="BB14"/>
      <c r="BC14"/>
      <c r="BD14"/>
      <c r="BE14"/>
      <c r="BF14"/>
      <c r="BG14"/>
      <c r="BH14"/>
      <c r="BI14"/>
      <c r="BJ14"/>
      <c r="BK14" s="1"/>
      <c r="BL14" s="1"/>
      <c r="BM14" s="1"/>
      <c r="BN14" s="1"/>
      <c r="BO14" s="1"/>
      <c r="BP14" s="1"/>
      <c r="BQ14" s="1"/>
      <c r="BR14" s="1"/>
      <c r="BS14" s="1"/>
      <c r="BT14" s="1"/>
      <c r="BU14" s="1"/>
      <c r="BV14" s="1"/>
      <c r="BW14" s="1"/>
      <c r="BX14" s="1"/>
      <c r="BY14" s="1"/>
      <c r="BZ14" s="1"/>
      <c r="CA14" s="1"/>
      <c r="CB14" s="1"/>
      <c r="CC14" s="1"/>
    </row>
    <row r="15" spans="1:81" ht="15.6" x14ac:dyDescent="0.3">
      <c r="A15" s="35">
        <v>1</v>
      </c>
      <c r="C15" s="8">
        <v>1</v>
      </c>
      <c r="D15" s="8">
        <v>0</v>
      </c>
      <c r="E15" s="8">
        <v>1</v>
      </c>
      <c r="F15" s="27" cm="1">
        <f t="array" aca="1" ref="F15" ca="1">defaultValue(F14,K13)</f>
        <v>3.5</v>
      </c>
      <c r="G15" s="27" cm="1">
        <f t="array" aca="1" ref="G15" ca="1">defaultValue(G14,K13)</f>
        <v>0</v>
      </c>
      <c r="H15" s="8"/>
      <c r="I15" s="27" cm="1">
        <f t="array" aca="1" ref="I15" ca="1">defaultValue(I14,K13)</f>
        <v>70</v>
      </c>
      <c r="J15" s="27" cm="1">
        <f t="array" aca="1" ref="J15" ca="1">defaultValue(J14,K13)</f>
        <v>30</v>
      </c>
      <c r="K15" s="7"/>
      <c r="V15" s="1"/>
      <c r="W15" s="1"/>
      <c r="X15" s="1"/>
      <c r="Y15" s="1"/>
      <c r="Z15" s="1"/>
      <c r="AA15" s="1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  <c r="AX15" s="1"/>
      <c r="AY15" s="1"/>
      <c r="AZ15" s="1"/>
      <c r="BA15" s="1"/>
      <c r="BB15"/>
      <c r="BC15"/>
      <c r="BD15"/>
      <c r="BE15"/>
      <c r="BF15"/>
      <c r="BG15"/>
      <c r="BH15"/>
      <c r="BI15"/>
      <c r="BJ15"/>
      <c r="BK15" s="1"/>
      <c r="BL15" s="1"/>
      <c r="BM15" s="1"/>
      <c r="BN15" s="1"/>
      <c r="BO15" s="1"/>
      <c r="BP15" s="1"/>
      <c r="BQ15" s="1"/>
      <c r="BR15" s="1"/>
      <c r="BS15" s="1"/>
      <c r="BT15" s="1"/>
      <c r="BU15" s="1"/>
      <c r="BV15" s="1"/>
      <c r="BW15" s="1"/>
      <c r="BX15" s="1"/>
      <c r="BY15" s="1"/>
      <c r="BZ15" s="1"/>
      <c r="CA15" s="1"/>
      <c r="CB15" s="1"/>
      <c r="CC15" s="1"/>
    </row>
    <row r="16" spans="1:81" ht="25.8" customHeight="1" x14ac:dyDescent="0.3">
      <c r="A16" s="35">
        <v>1</v>
      </c>
      <c r="C16" s="9" t="b">
        <f>C15=0</f>
        <v>0</v>
      </c>
      <c r="D16" s="9" t="b">
        <f>D15=0</f>
        <v>1</v>
      </c>
      <c r="E16" s="7" t="s">
        <v>106</v>
      </c>
      <c r="F16" s="108" t="b">
        <f ca="1">NOT(AND(F15&gt;0,G15&gt;0))</f>
        <v>1</v>
      </c>
      <c r="G16" s="108"/>
      <c r="H16" s="3" t="b">
        <f>_xlfn.XOR(H15&lt;=50,C17=2)</f>
        <v>1</v>
      </c>
      <c r="I16" s="46"/>
      <c r="J16" s="8"/>
      <c r="K16" s="7"/>
      <c r="V16" s="1"/>
      <c r="W16" s="1"/>
      <c r="X16" s="1"/>
      <c r="Y16" s="1"/>
      <c r="Z16" s="1"/>
      <c r="AA16" s="1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  <c r="AX16" s="1"/>
      <c r="AY16" s="1"/>
      <c r="AZ16" s="1"/>
      <c r="BA16" s="1"/>
      <c r="BB16"/>
      <c r="BC16"/>
      <c r="BD16"/>
      <c r="BE16"/>
      <c r="BF16"/>
      <c r="BG16"/>
      <c r="BH16"/>
      <c r="BI16"/>
      <c r="BJ16"/>
      <c r="BK16" s="1"/>
      <c r="BL16" s="1"/>
      <c r="BM16" s="1"/>
      <c r="BN16" s="1"/>
      <c r="BO16" s="1"/>
      <c r="BP16" s="1"/>
      <c r="BQ16" s="1"/>
      <c r="BR16" s="1"/>
      <c r="BS16" s="1"/>
      <c r="BT16" s="1"/>
      <c r="BU16" s="1"/>
      <c r="BV16" s="1"/>
      <c r="BW16" s="1"/>
      <c r="BX16" s="1"/>
      <c r="BY16" s="1"/>
      <c r="BZ16" s="1"/>
      <c r="CA16" s="1"/>
      <c r="CB16" s="1"/>
      <c r="CC16" s="1"/>
    </row>
    <row r="17" spans="1:81" ht="15.6" x14ac:dyDescent="0.3">
      <c r="A17" s="35">
        <v>1</v>
      </c>
      <c r="C17" s="107">
        <f>C15+D15</f>
        <v>1</v>
      </c>
      <c r="D17" s="107"/>
      <c r="E17" s="26">
        <v>10</v>
      </c>
      <c r="F17" s="115" t="str">
        <f ca="1">IF(F16,"المقابض مظبوطة","مينفعش مقبض مخفي مع بيلت ان")</f>
        <v>المقابض مظبوطة</v>
      </c>
      <c r="G17" s="115"/>
      <c r="H17" s="108" t="str">
        <f>IF(H16,"عدد الدلف صحيح","عدد الدلف غير صحيح")</f>
        <v>عدد الدلف صحيح</v>
      </c>
      <c r="I17" s="108"/>
      <c r="J17" s="108"/>
      <c r="K17" s="7"/>
      <c r="V17" s="1"/>
      <c r="W17" s="1"/>
      <c r="X17" s="1"/>
      <c r="Y17" s="1"/>
      <c r="Z17" s="1"/>
      <c r="AA17" s="1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  <c r="AX17" s="1"/>
      <c r="AY17" s="1"/>
      <c r="AZ17" s="1"/>
      <c r="BA17" s="1"/>
      <c r="BB17"/>
      <c r="BC17"/>
      <c r="BD17"/>
      <c r="BE17"/>
      <c r="BF17"/>
      <c r="BG17"/>
      <c r="BH17"/>
      <c r="BI17"/>
      <c r="BJ17"/>
      <c r="BK17" s="1"/>
      <c r="BL17" s="1"/>
      <c r="BM17" s="1"/>
      <c r="BN17" s="1"/>
      <c r="BO17" s="1"/>
      <c r="BP17" s="1"/>
      <c r="BQ17" s="1"/>
      <c r="BR17" s="1"/>
      <c r="BS17" s="1"/>
      <c r="BT17" s="1"/>
      <c r="BU17" s="1"/>
      <c r="BV17" s="1"/>
      <c r="BW17" s="1"/>
      <c r="BX17" s="1"/>
      <c r="BY17" s="1"/>
      <c r="BZ17" s="1"/>
      <c r="CA17" s="1"/>
      <c r="CB17" s="1"/>
      <c r="CC17" s="1"/>
    </row>
    <row r="18" spans="1:81" ht="15.6" x14ac:dyDescent="0.3">
      <c r="A18" s="35">
        <v>1</v>
      </c>
      <c r="C18" s="108" t="b">
        <f>C17&lt;=2</f>
        <v>1</v>
      </c>
      <c r="D18" s="108"/>
      <c r="E18" s="8"/>
      <c r="F18" s="8"/>
      <c r="G18" s="8"/>
      <c r="H18" s="8"/>
      <c r="I18" s="8"/>
      <c r="J18" s="8"/>
      <c r="K18" s="7"/>
      <c r="V18" s="1"/>
      <c r="W18" s="1"/>
      <c r="X18" s="1"/>
      <c r="Y18" s="1"/>
      <c r="Z18" s="1"/>
      <c r="AA18" s="1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  <c r="AX18" s="1"/>
      <c r="AY18" s="1"/>
      <c r="AZ18" s="1"/>
      <c r="BA18" s="1"/>
      <c r="BB18"/>
      <c r="BC18"/>
      <c r="BD18"/>
      <c r="BE18"/>
      <c r="BF18"/>
      <c r="BG18"/>
      <c r="BH18"/>
      <c r="BI18"/>
      <c r="BJ18"/>
      <c r="BK18" s="1"/>
      <c r="BL18" s="1"/>
      <c r="BM18" s="1"/>
      <c r="BN18" s="1"/>
      <c r="BO18" s="1"/>
      <c r="BP18" s="1"/>
      <c r="BQ18" s="1"/>
      <c r="BR18" s="1"/>
      <c r="BS18" s="1"/>
      <c r="BT18" s="1"/>
      <c r="BU18" s="1"/>
      <c r="BV18" s="1"/>
      <c r="BW18" s="1"/>
      <c r="BX18" s="1"/>
      <c r="BY18" s="1"/>
      <c r="BZ18" s="1"/>
      <c r="CA18" s="1"/>
      <c r="CB18" s="1"/>
      <c r="CC18" s="1"/>
    </row>
    <row r="19" spans="1:81" ht="31.2" x14ac:dyDescent="0.3">
      <c r="A19" s="35">
        <v>1</v>
      </c>
      <c r="C19" s="8"/>
      <c r="D19" s="27" t="str" cm="1">
        <f t="array" aca="1" ref="D19" ca="1">defaultValue(E19,K13)</f>
        <v>ظهر</v>
      </c>
      <c r="E19" s="7" t="s">
        <v>58</v>
      </c>
      <c r="F19" s="27" t="str" cm="1">
        <f t="array" aca="1" ref="F19" ca="1">defaultValue(G19,K13)</f>
        <v>يوفيلاك</v>
      </c>
      <c r="G19" s="7" t="s">
        <v>32</v>
      </c>
      <c r="H19" s="27" t="str" cm="1">
        <f t="array" aca="1" ref="H19" ca="1">defaultValue(I19,K13)</f>
        <v>HPL</v>
      </c>
      <c r="I19" s="7" t="s">
        <v>31</v>
      </c>
      <c r="J19" s="25" t="s">
        <v>111</v>
      </c>
      <c r="K19" s="7"/>
      <c r="V19" s="1"/>
      <c r="W19" s="1"/>
      <c r="X19" s="1"/>
      <c r="Y19" s="1"/>
      <c r="Z19" s="1"/>
      <c r="AA19" s="1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  <c r="AX19" s="1"/>
      <c r="AY19" s="1"/>
      <c r="AZ19" s="1"/>
      <c r="BA19" s="1"/>
      <c r="BB19"/>
      <c r="BC19"/>
      <c r="BD19"/>
      <c r="BE19"/>
      <c r="BF19"/>
      <c r="BG19"/>
      <c r="BH19"/>
      <c r="BI19"/>
      <c r="BJ19"/>
      <c r="BK19" s="1"/>
      <c r="BL19" s="1"/>
      <c r="BM19" s="1"/>
      <c r="BN19" s="1"/>
      <c r="BO19" s="1"/>
      <c r="BP19" s="1"/>
      <c r="BQ19" s="1"/>
      <c r="BR19" s="1"/>
      <c r="BS19" s="1"/>
      <c r="BT19" s="1"/>
      <c r="BU19" s="1"/>
      <c r="BV19" s="1"/>
      <c r="BW19" s="1"/>
      <c r="BX19" s="1"/>
      <c r="BY19" s="1"/>
      <c r="BZ19" s="1"/>
      <c r="CA19" s="1"/>
      <c r="CB19" s="1"/>
      <c r="CC19" s="1"/>
    </row>
    <row r="20" spans="1:81" x14ac:dyDescent="0.3">
      <c r="A20" s="35">
        <v>0</v>
      </c>
      <c r="B20"/>
      <c r="C20"/>
      <c r="D20"/>
      <c r="E20"/>
      <c r="F20"/>
      <c r="G20"/>
      <c r="H20"/>
      <c r="I20"/>
      <c r="J20"/>
      <c r="K20"/>
      <c r="V20" s="1"/>
      <c r="W20" s="1"/>
      <c r="X20" s="1"/>
      <c r="Y20" s="1"/>
      <c r="Z20" s="1"/>
      <c r="AA20" s="1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  <c r="AX20" s="1"/>
      <c r="AY20" s="1"/>
      <c r="AZ20" s="1"/>
      <c r="BA20" s="1"/>
      <c r="BB20"/>
      <c r="BC20"/>
      <c r="BD20"/>
      <c r="BE20"/>
      <c r="BF20"/>
      <c r="BG20"/>
      <c r="BH20"/>
      <c r="BI20"/>
      <c r="BJ20"/>
      <c r="BK20" s="1"/>
      <c r="BL20" s="1"/>
      <c r="BM20" s="1"/>
      <c r="BN20" s="1"/>
      <c r="BO20" s="1"/>
      <c r="BP20" s="1"/>
      <c r="BQ20" s="1"/>
      <c r="BR20" s="1"/>
      <c r="BS20" s="1"/>
      <c r="BT20" s="1"/>
      <c r="BU20" s="1"/>
      <c r="BV20" s="1"/>
      <c r="BW20" s="1"/>
      <c r="BX20" s="1"/>
      <c r="BY20" s="1"/>
      <c r="BZ20" s="1"/>
      <c r="CA20" s="1"/>
      <c r="CB20" s="1"/>
      <c r="CC20" s="1"/>
    </row>
    <row r="21" spans="1:81" x14ac:dyDescent="0.3">
      <c r="A21" s="35">
        <v>2</v>
      </c>
      <c r="C21" s="6" t="s">
        <v>4</v>
      </c>
      <c r="D21" s="6" t="s">
        <v>9</v>
      </c>
      <c r="E21" s="6" t="s">
        <v>5</v>
      </c>
      <c r="F21" s="6" t="s">
        <v>7</v>
      </c>
      <c r="G21" s="6" t="s">
        <v>1</v>
      </c>
      <c r="H21" s="6" t="s">
        <v>6</v>
      </c>
      <c r="I21" s="6" t="s">
        <v>33</v>
      </c>
      <c r="J21" s="6" t="s">
        <v>8</v>
      </c>
      <c r="K21" s="6" t="s">
        <v>185</v>
      </c>
      <c r="V21" s="1"/>
      <c r="W21" s="1"/>
      <c r="X21" s="1"/>
      <c r="Y21" s="1"/>
      <c r="Z21" s="1"/>
      <c r="AA21" s="1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  <c r="AX21" s="1"/>
      <c r="AY21" s="1"/>
      <c r="AZ21" s="1"/>
      <c r="BA21" s="1"/>
      <c r="BB21"/>
      <c r="BC21"/>
      <c r="BD21"/>
      <c r="BE21"/>
      <c r="BF21"/>
      <c r="BG21"/>
      <c r="BH21"/>
      <c r="BI21"/>
      <c r="BJ21"/>
      <c r="BK21" s="1"/>
      <c r="BL21" s="1"/>
      <c r="BM21" s="1"/>
      <c r="BN21" s="1"/>
      <c r="BO21" s="1"/>
      <c r="BP21" s="1"/>
      <c r="BQ21" s="1"/>
      <c r="BR21" s="1"/>
      <c r="BS21" s="1"/>
      <c r="BT21" s="1"/>
      <c r="BU21" s="1"/>
      <c r="BV21" s="1"/>
      <c r="BW21" s="1"/>
      <c r="BX21" s="1"/>
      <c r="BY21" s="1"/>
      <c r="BZ21" s="1"/>
      <c r="CA21" s="1"/>
      <c r="CB21" s="1"/>
      <c r="CC21" s="1"/>
    </row>
    <row r="22" spans="1:81" x14ac:dyDescent="0.3">
      <c r="A22" s="35">
        <v>0</v>
      </c>
      <c r="B22"/>
      <c r="C22"/>
      <c r="D22"/>
      <c r="E22"/>
      <c r="F22"/>
      <c r="G22"/>
      <c r="H22"/>
      <c r="I22"/>
      <c r="J22"/>
      <c r="K22"/>
      <c r="V22" s="1"/>
      <c r="W22" s="1"/>
      <c r="X22" s="1"/>
      <c r="Y22" s="1"/>
      <c r="Z22" s="1"/>
      <c r="AA22" s="1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  <c r="AX22" s="1"/>
      <c r="AY22" s="1"/>
      <c r="AZ22" s="1"/>
      <c r="BA22" s="1"/>
      <c r="BB22"/>
      <c r="BC22"/>
      <c r="BD22"/>
      <c r="BE22"/>
      <c r="BF22"/>
      <c r="BG22"/>
      <c r="BH22"/>
      <c r="BI22"/>
      <c r="BJ22"/>
      <c r="BK22" s="1"/>
      <c r="BL22" s="1"/>
      <c r="BM22" s="1"/>
      <c r="BN22" s="1"/>
      <c r="BO22" s="1"/>
      <c r="BP22" s="1"/>
      <c r="BQ22" s="1"/>
      <c r="BR22" s="1"/>
      <c r="BS22" s="1"/>
      <c r="BT22" s="1"/>
      <c r="BU22" s="1"/>
      <c r="BV22" s="1"/>
      <c r="BW22" s="1"/>
      <c r="BX22" s="1"/>
      <c r="BY22" s="1"/>
      <c r="BZ22" s="1"/>
      <c r="CA22" s="1"/>
      <c r="CB22" s="1"/>
      <c r="CC22" s="1"/>
    </row>
    <row r="23" spans="1:81" ht="15.6" customHeight="1" x14ac:dyDescent="0.3">
      <c r="A23" s="35">
        <v>3</v>
      </c>
      <c r="B23" s="3" t="str">
        <f>E13</f>
        <v xml:space="preserve">وحدة علوية دلفة /دلفتين </v>
      </c>
      <c r="C23" s="6">
        <v>1</v>
      </c>
      <c r="D23" s="6" t="str">
        <f ca="1">H19</f>
        <v>HPL</v>
      </c>
      <c r="E23" s="6" t="s">
        <v>49</v>
      </c>
      <c r="F23" s="6">
        <f>H15-3.6</f>
        <v>-3.6</v>
      </c>
      <c r="G23" s="6">
        <f ca="1">J15-E17</f>
        <v>20</v>
      </c>
      <c r="H23" s="6">
        <f>1*C13</f>
        <v>1</v>
      </c>
      <c r="I23" s="6">
        <f ca="1">HLOOKUP(D23, materials[], 2,FALSE)</f>
        <v>2</v>
      </c>
      <c r="J23" s="6"/>
      <c r="K23" s="6" t="b">
        <v>1</v>
      </c>
      <c r="V23" s="1"/>
      <c r="W23" s="1"/>
      <c r="X23" s="1"/>
      <c r="Y23" s="1"/>
      <c r="Z23" s="1"/>
      <c r="AA23" s="1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  <c r="AX23" s="1"/>
      <c r="AY23" s="1"/>
      <c r="AZ23" s="1"/>
      <c r="BA23" s="1"/>
      <c r="BB23"/>
      <c r="BC23"/>
      <c r="BD23"/>
      <c r="BE23"/>
      <c r="BF23"/>
      <c r="BG23"/>
      <c r="BH23"/>
      <c r="BI23"/>
      <c r="BJ23"/>
      <c r="BK23" s="1"/>
      <c r="BL23" s="1"/>
      <c r="BM23" s="1"/>
      <c r="BN23" s="1"/>
      <c r="BO23" s="1"/>
      <c r="BP23" s="1"/>
      <c r="BQ23" s="1"/>
      <c r="BR23" s="1"/>
      <c r="BS23" s="1"/>
      <c r="BT23" s="1"/>
      <c r="BU23" s="1"/>
      <c r="BV23" s="1"/>
      <c r="BW23" s="1"/>
      <c r="BX23" s="1"/>
      <c r="BY23" s="1"/>
      <c r="BZ23" s="1"/>
      <c r="CA23" s="1"/>
      <c r="CB23" s="1"/>
      <c r="CC23" s="1"/>
    </row>
    <row r="24" spans="1:81" ht="15.6" customHeight="1" x14ac:dyDescent="0.3">
      <c r="A24" s="35">
        <v>3</v>
      </c>
      <c r="B24" s="3" t="str">
        <f>B23</f>
        <v xml:space="preserve">وحدة علوية دلفة /دلفتين </v>
      </c>
      <c r="C24" s="6">
        <f>C23+1</f>
        <v>2</v>
      </c>
      <c r="D24" s="6" t="str">
        <f ca="1">H19</f>
        <v>HPL</v>
      </c>
      <c r="E24" s="6" t="s">
        <v>10</v>
      </c>
      <c r="F24" s="6">
        <f>H15-3.6</f>
        <v>-3.6</v>
      </c>
      <c r="G24" s="6">
        <f ca="1">J15-G15-E17</f>
        <v>20</v>
      </c>
      <c r="H24" s="6">
        <f>1*C13</f>
        <v>1</v>
      </c>
      <c r="I24" s="6">
        <f ca="1">HLOOKUP(D24, materials[], 2,FALSE)</f>
        <v>2</v>
      </c>
      <c r="J24" s="6"/>
      <c r="K24" s="6" t="b">
        <v>1</v>
      </c>
      <c r="V24" s="1"/>
      <c r="W24" s="1"/>
      <c r="X24" s="1"/>
      <c r="Y24" s="1"/>
      <c r="Z24" s="1"/>
      <c r="AA24" s="1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  <c r="AX24" s="1"/>
      <c r="AY24" s="1"/>
      <c r="AZ24" s="1"/>
      <c r="BA24" s="1"/>
      <c r="BB24"/>
      <c r="BC24"/>
      <c r="BD24"/>
      <c r="BE24"/>
      <c r="BF24"/>
      <c r="BG24"/>
      <c r="BH24"/>
      <c r="BI24"/>
      <c r="BJ24"/>
      <c r="BK24" s="1"/>
      <c r="BL24" s="1"/>
      <c r="BM24" s="1"/>
      <c r="BN24" s="1"/>
      <c r="BO24" s="1"/>
      <c r="BP24" s="1"/>
      <c r="BQ24" s="1"/>
      <c r="BR24" s="1"/>
      <c r="BS24" s="1"/>
      <c r="BT24" s="1"/>
      <c r="BU24" s="1"/>
      <c r="BV24" s="1"/>
      <c r="BW24" s="1"/>
      <c r="BX24" s="1"/>
      <c r="BY24" s="1"/>
      <c r="BZ24" s="1"/>
      <c r="CA24" s="1"/>
      <c r="CB24" s="1"/>
      <c r="CC24" s="1"/>
    </row>
    <row r="25" spans="1:81" ht="15.6" customHeight="1" x14ac:dyDescent="0.3">
      <c r="A25" s="35">
        <v>3</v>
      </c>
      <c r="B25" s="3" t="str">
        <f>B23</f>
        <v xml:space="preserve">وحدة علوية دلفة /دلفتين </v>
      </c>
      <c r="C25" s="6">
        <f t="shared" ref="C25:C26" si="0">C24+1</f>
        <v>3</v>
      </c>
      <c r="D25" s="6" t="str">
        <f ca="1">H19</f>
        <v>HPL</v>
      </c>
      <c r="E25" s="6" t="s">
        <v>11</v>
      </c>
      <c r="F25" s="6">
        <f ca="1">I15</f>
        <v>70</v>
      </c>
      <c r="G25" s="6">
        <f ca="1">J15</f>
        <v>30</v>
      </c>
      <c r="H25" s="6">
        <f>2*C13</f>
        <v>2</v>
      </c>
      <c r="I25" s="6">
        <f ca="1">HLOOKUP(D25, materials[], 2,FALSE)</f>
        <v>2</v>
      </c>
      <c r="J25" s="6"/>
      <c r="K25" s="6" t="b">
        <v>1</v>
      </c>
      <c r="V25" s="1"/>
      <c r="W25" s="1"/>
      <c r="X25" s="1"/>
      <c r="Y25" s="1"/>
      <c r="Z25" s="1"/>
      <c r="AA25" s="1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  <c r="AX25" s="1"/>
      <c r="AY25" s="1"/>
      <c r="AZ25" s="1"/>
      <c r="BA25" s="1"/>
      <c r="BB25"/>
      <c r="BC25"/>
      <c r="BD25"/>
      <c r="BE25"/>
      <c r="BF25"/>
      <c r="BG25"/>
      <c r="BH25"/>
      <c r="BI25"/>
      <c r="BJ25"/>
      <c r="BK25" s="1"/>
      <c r="BL25" s="1"/>
      <c r="BM25" s="1"/>
      <c r="BN25" s="1"/>
      <c r="BO25" s="1"/>
      <c r="BP25" s="1"/>
      <c r="BQ25" s="1"/>
      <c r="BR25" s="1"/>
      <c r="BS25" s="1"/>
      <c r="BT25" s="1"/>
      <c r="BU25" s="1"/>
      <c r="BV25" s="1"/>
      <c r="BW25" s="1"/>
      <c r="BX25" s="1"/>
      <c r="BY25" s="1"/>
      <c r="BZ25" s="1"/>
      <c r="CA25" s="1"/>
      <c r="CB25" s="1"/>
      <c r="CC25" s="1"/>
    </row>
    <row r="26" spans="1:81" x14ac:dyDescent="0.3">
      <c r="A26" s="35">
        <v>3</v>
      </c>
      <c r="B26" s="3" t="str">
        <f>B23</f>
        <v xml:space="preserve">وحدة علوية دلفة /دلفتين </v>
      </c>
      <c r="C26" s="6">
        <f t="shared" si="0"/>
        <v>4</v>
      </c>
      <c r="D26" s="6" t="str">
        <f ca="1">H19</f>
        <v>HPL</v>
      </c>
      <c r="E26" s="6" t="s">
        <v>17</v>
      </c>
      <c r="F26" s="6">
        <f>H15-3.8</f>
        <v>-3.8</v>
      </c>
      <c r="G26" s="6">
        <f ca="1">J15-5-E17</f>
        <v>15</v>
      </c>
      <c r="H26" s="6">
        <f>E15*C13</f>
        <v>1</v>
      </c>
      <c r="I26" s="6">
        <f ca="1">HLOOKUP(D26, materials[], 2,FALSE)</f>
        <v>2</v>
      </c>
      <c r="J26" s="6"/>
      <c r="K26" s="6" t="b">
        <v>1</v>
      </c>
      <c r="V26" s="1"/>
      <c r="W26" s="1"/>
      <c r="X26" s="1"/>
      <c r="Y26" s="1"/>
      <c r="Z26" s="1"/>
      <c r="AA26" s="1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  <c r="AX26" s="1"/>
      <c r="AY26" s="1"/>
      <c r="AZ26" s="1"/>
      <c r="BA26" s="1"/>
      <c r="BB26"/>
      <c r="BC26"/>
      <c r="BD26"/>
      <c r="BE26"/>
      <c r="BF26"/>
      <c r="BG26"/>
      <c r="BH26"/>
      <c r="BI26"/>
      <c r="BJ26"/>
      <c r="BK26" s="1"/>
      <c r="BL26" s="1"/>
      <c r="BM26" s="1"/>
      <c r="BN26" s="1"/>
      <c r="BO26" s="1"/>
      <c r="BP26" s="1"/>
      <c r="BQ26" s="1"/>
      <c r="BR26" s="1"/>
      <c r="BS26" s="1"/>
      <c r="BT26" s="1"/>
      <c r="BU26" s="1"/>
      <c r="BV26" s="1"/>
      <c r="BW26" s="1"/>
      <c r="BX26" s="1"/>
      <c r="BY26" s="1"/>
      <c r="BZ26" s="1"/>
      <c r="CA26" s="1"/>
      <c r="CB26" s="1"/>
      <c r="CC26" s="1"/>
    </row>
    <row r="27" spans="1:81" x14ac:dyDescent="0.3">
      <c r="A27" s="35">
        <v>0</v>
      </c>
      <c r="B27"/>
      <c r="C27"/>
      <c r="D27"/>
      <c r="E27"/>
      <c r="F27"/>
      <c r="G27"/>
      <c r="H27"/>
      <c r="I27"/>
      <c r="J27"/>
      <c r="K27"/>
      <c r="V27" s="1"/>
      <c r="W27" s="1"/>
      <c r="X27" s="1"/>
      <c r="Y27" s="1"/>
      <c r="Z27" s="1"/>
      <c r="AA27" s="1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  <c r="AX27" s="1"/>
      <c r="AY27" s="1"/>
      <c r="AZ27" s="1"/>
      <c r="BA27" s="1"/>
      <c r="BB27"/>
      <c r="BC27"/>
      <c r="BD27"/>
      <c r="BE27"/>
      <c r="BF27"/>
      <c r="BG27"/>
      <c r="BH27"/>
      <c r="BI27"/>
      <c r="BJ27"/>
      <c r="BK27" s="1"/>
      <c r="BL27" s="1"/>
      <c r="BM27" s="1"/>
      <c r="BN27" s="1"/>
      <c r="BO27" s="1"/>
      <c r="BP27" s="1"/>
      <c r="BQ27" s="1"/>
      <c r="BR27" s="1"/>
      <c r="BS27" s="1"/>
      <c r="BT27" s="1"/>
      <c r="BU27" s="1"/>
      <c r="BV27" s="1"/>
      <c r="BW27" s="1"/>
      <c r="BX27" s="1"/>
      <c r="BY27" s="1"/>
      <c r="BZ27" s="1"/>
      <c r="CA27" s="1"/>
      <c r="CB27" s="1"/>
      <c r="CC27" s="1"/>
    </row>
    <row r="28" spans="1:81" x14ac:dyDescent="0.3">
      <c r="A28" s="35">
        <v>4</v>
      </c>
      <c r="B28" s="3" t="str">
        <f>B23</f>
        <v xml:space="preserve">وحدة علوية دلفة /دلفتين </v>
      </c>
      <c r="C28" s="9">
        <f>C26+1</f>
        <v>5</v>
      </c>
      <c r="D28" s="9" t="str">
        <f ca="1">F19</f>
        <v>يوفيلاك</v>
      </c>
      <c r="E28" s="9" t="s">
        <v>52</v>
      </c>
      <c r="F28" s="9">
        <f ca="1">IF(C16,"",I15-0.5-F15)</f>
        <v>66</v>
      </c>
      <c r="G28" s="9">
        <f>IF(C16,"",(H15/C17)-0.5)</f>
        <v>-0.5</v>
      </c>
      <c r="H28" s="9">
        <f>C15*C13</f>
        <v>1</v>
      </c>
      <c r="I28" s="9">
        <f ca="1">HLOOKUP(D28, materials[], 2,FALSE)</f>
        <v>6</v>
      </c>
      <c r="J28" s="9"/>
      <c r="K28" s="9" t="b">
        <v>1</v>
      </c>
      <c r="V28" s="1"/>
      <c r="W28" s="1"/>
      <c r="X28" s="1"/>
      <c r="Y28" s="1"/>
      <c r="Z28" s="1"/>
      <c r="AA28" s="1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  <c r="AX28" s="1"/>
      <c r="AY28" s="1"/>
      <c r="AZ28" s="1"/>
      <c r="BA28" s="1"/>
      <c r="BB28"/>
      <c r="BC28"/>
      <c r="BD28"/>
      <c r="BE28"/>
      <c r="BF28"/>
      <c r="BG28"/>
      <c r="BH28"/>
      <c r="BI28"/>
      <c r="BJ28"/>
      <c r="BK28" s="1"/>
      <c r="BL28" s="1"/>
      <c r="BM28" s="1"/>
      <c r="BN28" s="1"/>
      <c r="BO28" s="1"/>
      <c r="BP28" s="1"/>
      <c r="BQ28" s="1"/>
      <c r="BR28" s="1"/>
      <c r="BS28" s="1"/>
      <c r="BT28" s="1"/>
      <c r="BU28" s="1"/>
      <c r="BV28" s="1"/>
      <c r="BW28" s="1"/>
      <c r="BX28" s="1"/>
      <c r="BY28" s="1"/>
      <c r="BZ28" s="1"/>
      <c r="CA28" s="1"/>
      <c r="CB28" s="1"/>
      <c r="CC28" s="1"/>
    </row>
    <row r="29" spans="1:81" x14ac:dyDescent="0.3">
      <c r="A29" s="35">
        <v>4</v>
      </c>
      <c r="B29" s="3" t="str">
        <f>B23</f>
        <v xml:space="preserve">وحدة علوية دلفة /دلفتين </v>
      </c>
      <c r="C29" s="9">
        <f>C28+1</f>
        <v>6</v>
      </c>
      <c r="D29" s="9" t="s">
        <v>53</v>
      </c>
      <c r="E29" s="9" t="s">
        <v>71</v>
      </c>
      <c r="F29" s="9">
        <f ca="1">I15-0.5</f>
        <v>69.5</v>
      </c>
      <c r="G29" s="9">
        <f>(H15/C17)-0.7</f>
        <v>-0.7</v>
      </c>
      <c r="H29" s="9">
        <f>C13*D15</f>
        <v>0</v>
      </c>
      <c r="I29" s="9"/>
      <c r="J29" s="9"/>
      <c r="K29" s="9" t="b">
        <v>1</v>
      </c>
      <c r="V29" s="1"/>
      <c r="W29" s="1"/>
      <c r="X29" s="1"/>
      <c r="Y29" s="1"/>
      <c r="Z29" s="1"/>
      <c r="AA29" s="1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  <c r="AX29" s="1"/>
      <c r="AY29" s="1"/>
      <c r="AZ29" s="1"/>
      <c r="BA29" s="1"/>
      <c r="BB29"/>
      <c r="BC29"/>
      <c r="BD29"/>
      <c r="BE29"/>
      <c r="BF29"/>
      <c r="BG29"/>
      <c r="BH29"/>
      <c r="BI29"/>
      <c r="BJ29"/>
      <c r="BK29" s="1"/>
      <c r="BL29" s="1"/>
      <c r="BM29" s="1"/>
      <c r="BN29" s="1"/>
      <c r="BO29" s="1"/>
      <c r="BP29" s="1"/>
      <c r="BQ29" s="1"/>
      <c r="BR29" s="1"/>
      <c r="BS29" s="1"/>
      <c r="BT29" s="1"/>
      <c r="BU29" s="1"/>
      <c r="BV29" s="1"/>
      <c r="BW29" s="1"/>
      <c r="BX29" s="1"/>
      <c r="BY29" s="1"/>
      <c r="BZ29" s="1"/>
      <c r="CA29" s="1"/>
      <c r="CB29" s="1"/>
      <c r="CC29" s="1"/>
    </row>
    <row r="30" spans="1:81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V30" s="1"/>
      <c r="W30" s="1"/>
      <c r="X30" s="1"/>
      <c r="Y30" s="1"/>
      <c r="Z30" s="1"/>
      <c r="AA30" s="1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  <c r="AX30" s="1"/>
      <c r="AY30" s="1"/>
      <c r="AZ30" s="1"/>
      <c r="BA30" s="1"/>
      <c r="BB30"/>
      <c r="BC30"/>
      <c r="BD30"/>
      <c r="BE30"/>
      <c r="BF30"/>
      <c r="BG30"/>
      <c r="BH30"/>
      <c r="BI30"/>
      <c r="BJ30"/>
      <c r="BK30" s="1"/>
      <c r="BL30" s="1"/>
      <c r="BM30" s="1"/>
      <c r="BN30" s="1"/>
      <c r="BO30" s="1"/>
      <c r="BP30" s="1"/>
      <c r="BQ30" s="1"/>
      <c r="BR30" s="1"/>
      <c r="BS30" s="1"/>
      <c r="BT30" s="1"/>
      <c r="BU30" s="1"/>
      <c r="BV30" s="1"/>
      <c r="BW30" s="1"/>
      <c r="BX30" s="1"/>
      <c r="BY30" s="1"/>
      <c r="BZ30" s="1"/>
      <c r="CA30" s="1"/>
      <c r="CB30" s="1"/>
      <c r="CC30" s="1"/>
    </row>
    <row r="31" spans="1:81" x14ac:dyDescent="0.3">
      <c r="A31" s="35">
        <v>5</v>
      </c>
      <c r="B31" s="3" t="str">
        <f>B23</f>
        <v xml:space="preserve">وحدة علوية دلفة /دلفتين </v>
      </c>
      <c r="C31" s="19">
        <f>C29+1</f>
        <v>7</v>
      </c>
      <c r="D31" s="19" t="str">
        <f ca="1">D19</f>
        <v>ظهر</v>
      </c>
      <c r="E31" s="19" t="s">
        <v>58</v>
      </c>
      <c r="F31" s="19">
        <f ca="1">I15-2</f>
        <v>68</v>
      </c>
      <c r="G31" s="19">
        <f>H15-2</f>
        <v>-2</v>
      </c>
      <c r="H31" s="19">
        <f>1*C13</f>
        <v>1</v>
      </c>
      <c r="I31" s="19">
        <f ca="1">HLOOKUP(D31, materials[], 2,FALSE)</f>
        <v>2</v>
      </c>
      <c r="J31" s="19"/>
      <c r="K31" s="19" t="b">
        <v>1</v>
      </c>
      <c r="V31" s="1"/>
      <c r="W31" s="1"/>
      <c r="X31" s="1"/>
      <c r="Y31" s="1"/>
      <c r="Z31" s="1"/>
      <c r="AA31" s="1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  <c r="AX31" s="1"/>
      <c r="AY31" s="1"/>
      <c r="AZ31" s="1"/>
      <c r="BA31" s="1"/>
      <c r="BB31"/>
      <c r="BC31"/>
      <c r="BD31"/>
      <c r="BE31"/>
      <c r="BF31"/>
      <c r="BG31"/>
      <c r="BH31"/>
      <c r="BI31"/>
      <c r="BJ31"/>
      <c r="BK31" s="1"/>
      <c r="BL31" s="1"/>
      <c r="BM31" s="1"/>
      <c r="BN31" s="1"/>
      <c r="BO31" s="1"/>
      <c r="BP31" s="1"/>
      <c r="BQ31" s="1"/>
      <c r="BR31" s="1"/>
      <c r="BS31" s="1"/>
      <c r="BT31" s="1"/>
      <c r="BU31" s="1"/>
      <c r="BV31" s="1"/>
      <c r="BW31" s="1"/>
      <c r="BX31" s="1"/>
      <c r="BY31" s="1"/>
      <c r="BZ31" s="1"/>
      <c r="CA31" s="1"/>
      <c r="CB31" s="1"/>
      <c r="CC31" s="1"/>
    </row>
    <row r="32" spans="1:81" x14ac:dyDescent="0.3">
      <c r="A32" s="35">
        <v>255</v>
      </c>
      <c r="V32" s="1"/>
      <c r="W32" s="1"/>
      <c r="X32" s="1"/>
      <c r="Y32" s="1"/>
      <c r="Z32" s="1"/>
      <c r="AA32" s="1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  <c r="AX32" s="1"/>
      <c r="AY32" s="1"/>
      <c r="AZ32" s="1"/>
      <c r="BA32" s="1"/>
      <c r="BB32"/>
      <c r="BC32"/>
      <c r="BD32"/>
      <c r="BE32"/>
      <c r="BF32"/>
      <c r="BG32"/>
      <c r="BH32"/>
      <c r="BI32"/>
      <c r="BJ32"/>
      <c r="BK32" s="1"/>
      <c r="BL32" s="1"/>
      <c r="BM32" s="1"/>
      <c r="BN32" s="1"/>
      <c r="BO32" s="1"/>
      <c r="BP32" s="1"/>
      <c r="BQ32" s="1"/>
      <c r="BR32" s="1"/>
      <c r="BS32" s="1"/>
      <c r="BT32" s="1"/>
      <c r="BU32" s="1"/>
      <c r="BV32" s="1"/>
      <c r="BW32" s="1"/>
      <c r="BX32" s="1"/>
      <c r="BY32" s="1"/>
      <c r="BZ32" s="1"/>
      <c r="CA32" s="1"/>
      <c r="CB32" s="1"/>
      <c r="CC32" s="1"/>
    </row>
    <row r="33" spans="1:81" x14ac:dyDescent="0.3">
      <c r="A33" s="35">
        <v>255</v>
      </c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/>
      <c r="BC33"/>
      <c r="BD33"/>
      <c r="BE33"/>
      <c r="BF33"/>
      <c r="BG33"/>
      <c r="BH33"/>
      <c r="BI33"/>
      <c r="BJ33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</row>
    <row r="34" spans="1:81" ht="36" x14ac:dyDescent="0.3">
      <c r="A34" s="35" t="s">
        <v>160</v>
      </c>
      <c r="C34" s="14">
        <v>1</v>
      </c>
      <c r="D34" s="22" t="s">
        <v>59</v>
      </c>
      <c r="E34" s="101" t="s">
        <v>50</v>
      </c>
      <c r="F34" s="102"/>
      <c r="G34" s="102"/>
      <c r="H34" s="103"/>
      <c r="I34" s="2" t="s">
        <v>30</v>
      </c>
      <c r="J34" s="2">
        <f>letterToNumber(A34)</f>
        <v>2</v>
      </c>
      <c r="K34" s="7">
        <f ca="1">_xlfn.SHEET("وحدات علوية")</f>
        <v>6</v>
      </c>
      <c r="L34" s="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  <c r="AX34" s="1"/>
      <c r="AY34" s="1"/>
      <c r="AZ34" s="1"/>
      <c r="BA34" s="1"/>
      <c r="BB34"/>
      <c r="BC34"/>
      <c r="BD34"/>
      <c r="BE34"/>
      <c r="BF34"/>
      <c r="BG34"/>
      <c r="BH34"/>
      <c r="BI34"/>
      <c r="BJ34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1"/>
      <c r="BX34" s="1"/>
      <c r="BY34" s="1"/>
      <c r="BZ34" s="1"/>
      <c r="CA34" s="1"/>
      <c r="CB34" s="1"/>
      <c r="CC34" s="1"/>
    </row>
    <row r="35" spans="1:81" ht="31.2" x14ac:dyDescent="0.3">
      <c r="A35" s="35">
        <v>1</v>
      </c>
      <c r="C35" s="7" t="s">
        <v>54</v>
      </c>
      <c r="D35" s="7" t="s">
        <v>55</v>
      </c>
      <c r="E35" s="7" t="s">
        <v>51</v>
      </c>
      <c r="F35" s="7" t="s">
        <v>16</v>
      </c>
      <c r="G35" s="7" t="s">
        <v>115</v>
      </c>
      <c r="H35" s="7" t="s">
        <v>22</v>
      </c>
      <c r="I35" s="7" t="s">
        <v>3</v>
      </c>
      <c r="J35" s="7" t="s">
        <v>113</v>
      </c>
      <c r="K35" s="7"/>
      <c r="L35" s="1"/>
      <c r="V35" s="1"/>
      <c r="W35" s="1"/>
      <c r="X35" s="1"/>
      <c r="Y35" s="1"/>
      <c r="Z35" s="1"/>
      <c r="AA35" s="1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  <c r="AX35" s="1"/>
      <c r="AY35" s="1"/>
      <c r="AZ35" s="1"/>
      <c r="BA35" s="1"/>
      <c r="BB35"/>
      <c r="BC35"/>
      <c r="BD35"/>
      <c r="BE35"/>
      <c r="BF35"/>
      <c r="BG35"/>
      <c r="BH35"/>
      <c r="BI35"/>
      <c r="BJ35"/>
      <c r="BK35" s="1"/>
      <c r="BL35" s="1"/>
      <c r="BM35" s="1"/>
      <c r="BN35" s="1"/>
      <c r="BO35" s="1"/>
      <c r="BP35" s="1"/>
      <c r="BQ35" s="1"/>
      <c r="BR35" s="1"/>
      <c r="BS35" s="1"/>
      <c r="BT35" s="1"/>
      <c r="BU35" s="1"/>
      <c r="BV35" s="1"/>
      <c r="BW35" s="1"/>
      <c r="BX35" s="1"/>
      <c r="BY35" s="1"/>
      <c r="BZ35" s="1"/>
      <c r="CA35" s="1"/>
      <c r="CB35" s="1"/>
      <c r="CC35" s="1"/>
    </row>
    <row r="36" spans="1:81" ht="15.6" x14ac:dyDescent="0.3">
      <c r="A36" s="35">
        <v>1</v>
      </c>
      <c r="C36" s="8">
        <v>2</v>
      </c>
      <c r="D36" s="8">
        <v>0</v>
      </c>
      <c r="E36" s="7">
        <v>1</v>
      </c>
      <c r="F36" s="27" cm="1">
        <f t="array" aca="1" ref="F36" ca="1">defaultValue(F35,K34)</f>
        <v>3.5</v>
      </c>
      <c r="G36" s="27" cm="1">
        <f t="array" aca="1" ref="G36" ca="1">defaultValue(G35,K34)</f>
        <v>0</v>
      </c>
      <c r="H36" s="8"/>
      <c r="I36" s="27" cm="1">
        <f t="array" aca="1" ref="I36" ca="1">defaultValue(I35,K34)</f>
        <v>70</v>
      </c>
      <c r="J36" s="27" cm="1">
        <f t="array" aca="1" ref="J36" ca="1">defaultValue(J35,K34)</f>
        <v>30</v>
      </c>
      <c r="K36" s="7"/>
      <c r="L36" s="1"/>
      <c r="V36" s="1"/>
      <c r="W36" s="1"/>
      <c r="X36" s="1"/>
      <c r="Y36" s="1"/>
      <c r="Z36" s="1"/>
      <c r="AA36" s="1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  <c r="AX36" s="1"/>
      <c r="AY36" s="1"/>
      <c r="AZ36" s="1"/>
      <c r="BA36" s="1"/>
      <c r="BB36"/>
      <c r="BC36"/>
      <c r="BD36"/>
      <c r="BE36"/>
      <c r="BF36"/>
      <c r="BG36"/>
      <c r="BH36"/>
      <c r="BI36"/>
      <c r="BJ36"/>
      <c r="BK36" s="1"/>
      <c r="BL36" s="1"/>
      <c r="BM36" s="1"/>
      <c r="BN36" s="1"/>
      <c r="BO36" s="1"/>
      <c r="BP36" s="1"/>
      <c r="BQ36" s="1"/>
      <c r="BR36" s="1"/>
      <c r="BS36" s="1"/>
      <c r="BT36" s="1"/>
      <c r="BU36" s="1"/>
      <c r="BV36" s="1"/>
      <c r="BW36" s="1"/>
      <c r="BX36" s="1"/>
      <c r="BY36" s="1"/>
      <c r="BZ36" s="1"/>
      <c r="CA36" s="1"/>
      <c r="CB36" s="1"/>
      <c r="CC36" s="1"/>
    </row>
    <row r="37" spans="1:81" ht="36" customHeight="1" x14ac:dyDescent="0.3">
      <c r="A37" s="35">
        <v>1</v>
      </c>
      <c r="C37" s="9" t="b">
        <f>C36=0</f>
        <v>0</v>
      </c>
      <c r="D37" s="9" t="b">
        <f>D36=0</f>
        <v>1</v>
      </c>
      <c r="E37" s="7" t="s">
        <v>106</v>
      </c>
      <c r="F37" s="116" t="b">
        <f ca="1">NOT(AND(F36&gt;0,G36&gt;0))</f>
        <v>1</v>
      </c>
      <c r="G37" s="116"/>
      <c r="H37" s="8"/>
      <c r="I37" s="3" t="b">
        <f ca="1">_xlfn.XOR(I36&lt;=50,C38=2)</f>
        <v>1</v>
      </c>
      <c r="J37" s="8"/>
      <c r="K37" s="7"/>
      <c r="L37" s="1"/>
      <c r="V37" s="1"/>
      <c r="W37" s="1"/>
      <c r="X37" s="1"/>
      <c r="Y37" s="1"/>
      <c r="Z37" s="1"/>
      <c r="AA37" s="1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  <c r="AX37" s="1"/>
      <c r="AY37" s="1"/>
      <c r="AZ37" s="1"/>
      <c r="BA37" s="1"/>
      <c r="BB37"/>
      <c r="BC37"/>
      <c r="BD37"/>
      <c r="BE37"/>
      <c r="BF37"/>
      <c r="BG37"/>
      <c r="BH37"/>
      <c r="BI37"/>
      <c r="BJ37"/>
      <c r="BK37" s="1"/>
      <c r="BL37" s="1"/>
      <c r="BM37" s="1"/>
      <c r="BN37" s="1"/>
      <c r="BO37" s="1"/>
      <c r="BP37" s="1"/>
      <c r="BQ37" s="1"/>
      <c r="BR37" s="1"/>
      <c r="BS37" s="1"/>
      <c r="BT37" s="1"/>
      <c r="BU37" s="1"/>
      <c r="BV37" s="1"/>
      <c r="BW37" s="1"/>
      <c r="BX37" s="1"/>
      <c r="BY37" s="1"/>
      <c r="BZ37" s="1"/>
      <c r="CA37" s="1"/>
      <c r="CB37" s="1"/>
      <c r="CC37" s="1"/>
    </row>
    <row r="38" spans="1:81" ht="24" x14ac:dyDescent="0.3">
      <c r="A38" s="35">
        <v>1</v>
      </c>
      <c r="C38" s="107">
        <f>C36+D36</f>
        <v>2</v>
      </c>
      <c r="D38" s="107"/>
      <c r="E38" s="7">
        <v>0</v>
      </c>
      <c r="F38" s="109" t="str">
        <f ca="1">IF(F37,"المقابض مظبوطة","مينفعش مقبض مخفي مع بيلت ان")</f>
        <v>المقابض مظبوطة</v>
      </c>
      <c r="G38" s="109"/>
      <c r="H38" s="30"/>
      <c r="I38" s="32" t="str">
        <f ca="1">IF(I37,"عدد الدلف صحيح","عدد الدلف غير صحيح")</f>
        <v>عدد الدلف صحيح</v>
      </c>
      <c r="J38" s="8"/>
      <c r="K38" s="7"/>
      <c r="L38" s="1"/>
      <c r="V38" s="1"/>
      <c r="W38" s="1"/>
      <c r="X38" s="1"/>
      <c r="Y38" s="1"/>
      <c r="Z38" s="1"/>
      <c r="AA38" s="1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  <c r="AX38" s="1"/>
      <c r="AY38" s="1"/>
      <c r="AZ38" s="1"/>
      <c r="BA38" s="1"/>
      <c r="BB38"/>
      <c r="BC38"/>
      <c r="BD38"/>
      <c r="BE38"/>
      <c r="BF38"/>
      <c r="BG38"/>
      <c r="BH38"/>
      <c r="BI38"/>
      <c r="BJ38"/>
      <c r="BK38" s="1"/>
      <c r="BL38" s="1"/>
      <c r="BM38" s="1"/>
      <c r="BN38" s="1"/>
      <c r="BO38" s="1"/>
      <c r="BP38" s="1"/>
      <c r="BQ38" s="1"/>
      <c r="BR38" s="1"/>
      <c r="BS38" s="1"/>
      <c r="BT38" s="1"/>
      <c r="BU38" s="1"/>
      <c r="BV38" s="1"/>
      <c r="BW38" s="1"/>
      <c r="BX38" s="1"/>
      <c r="BY38" s="1"/>
      <c r="BZ38" s="1"/>
      <c r="CA38" s="1"/>
      <c r="CB38" s="1"/>
      <c r="CC38" s="1"/>
    </row>
    <row r="39" spans="1:81" ht="15.6" x14ac:dyDescent="0.3">
      <c r="A39" s="35">
        <v>1</v>
      </c>
      <c r="C39" s="108" t="b">
        <f>C38&lt;=2</f>
        <v>1</v>
      </c>
      <c r="D39" s="108"/>
      <c r="E39" s="46"/>
      <c r="F39" s="8"/>
      <c r="G39" s="8"/>
      <c r="H39" s="8"/>
      <c r="I39" s="8"/>
      <c r="J39" s="8"/>
      <c r="K39" s="7"/>
      <c r="L39" s="1"/>
      <c r="V39" s="1"/>
      <c r="W39" s="1"/>
      <c r="X39" s="1"/>
      <c r="Y39" s="1"/>
      <c r="Z39" s="1"/>
      <c r="AA39" s="1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  <c r="AX39" s="1"/>
      <c r="AY39" s="1"/>
      <c r="AZ39" s="1"/>
      <c r="BA39" s="1"/>
      <c r="BB39"/>
      <c r="BC39"/>
      <c r="BD39"/>
      <c r="BE39"/>
      <c r="BF39"/>
      <c r="BG39"/>
      <c r="BH39"/>
      <c r="BI39"/>
      <c r="BJ39"/>
      <c r="BK39" s="1"/>
      <c r="BL39" s="1"/>
      <c r="BM39" s="1"/>
      <c r="BN39" s="1"/>
      <c r="BO39" s="1"/>
      <c r="BP39" s="1"/>
      <c r="BQ39" s="1"/>
      <c r="BR39" s="1"/>
      <c r="BS39" s="1"/>
      <c r="BT39" s="1"/>
      <c r="BU39" s="1"/>
      <c r="BV39" s="1"/>
      <c r="BW39" s="1"/>
      <c r="BX39" s="1"/>
      <c r="BY39" s="1"/>
      <c r="BZ39" s="1"/>
      <c r="CA39" s="1"/>
      <c r="CB39" s="1"/>
      <c r="CC39" s="1"/>
    </row>
    <row r="40" spans="1:81" ht="31.2" x14ac:dyDescent="0.3">
      <c r="A40" s="35">
        <v>1</v>
      </c>
      <c r="C40" s="8"/>
      <c r="D40" s="27" t="str" cm="1">
        <f t="array" aca="1" ref="D40" ca="1">defaultValue(E40,K34)</f>
        <v>ظهر</v>
      </c>
      <c r="E40" s="7" t="s">
        <v>58</v>
      </c>
      <c r="F40" s="27" t="str" cm="1">
        <f t="array" aca="1" ref="F40" ca="1">defaultValue(G40,K34)</f>
        <v>يوفيلاك</v>
      </c>
      <c r="G40" s="7" t="s">
        <v>32</v>
      </c>
      <c r="H40" s="27" t="str" cm="1">
        <f t="array" aca="1" ref="H40" ca="1">defaultValue(I40,K34)</f>
        <v>HPL</v>
      </c>
      <c r="I40" s="7" t="s">
        <v>31</v>
      </c>
      <c r="J40" s="25" t="s">
        <v>111</v>
      </c>
      <c r="K40" s="7"/>
      <c r="L40" s="1"/>
      <c r="V40" s="1"/>
      <c r="W40" s="1"/>
      <c r="X40" s="1"/>
      <c r="Y40" s="1"/>
      <c r="Z40" s="1"/>
      <c r="AA40" s="1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  <c r="AX40" s="1"/>
      <c r="AY40" s="1"/>
      <c r="AZ40" s="1"/>
      <c r="BA40" s="1"/>
      <c r="BB40"/>
      <c r="BC40"/>
      <c r="BD40"/>
      <c r="BE40"/>
      <c r="BF40"/>
      <c r="BG40"/>
      <c r="BH40"/>
      <c r="BI40"/>
      <c r="BJ40"/>
      <c r="BK40" s="1"/>
      <c r="BL40" s="1"/>
      <c r="BM40" s="1"/>
      <c r="BN40" s="1"/>
      <c r="BO40" s="1"/>
      <c r="BP40" s="1"/>
      <c r="BQ40" s="1"/>
      <c r="BR40" s="1"/>
      <c r="BS40" s="1"/>
      <c r="BT40" s="1"/>
      <c r="BU40" s="1"/>
      <c r="BV40" s="1"/>
      <c r="BW40" s="1"/>
      <c r="BX40" s="1"/>
      <c r="BY40" s="1"/>
      <c r="BZ40" s="1"/>
      <c r="CA40" s="1"/>
      <c r="CB40" s="1"/>
      <c r="CC40" s="1"/>
    </row>
    <row r="41" spans="1:81" x14ac:dyDescent="0.3">
      <c r="A41" s="35">
        <v>0</v>
      </c>
      <c r="B41"/>
      <c r="C41"/>
      <c r="D41"/>
      <c r="E41"/>
      <c r="F41"/>
      <c r="G41"/>
      <c r="H41"/>
      <c r="I41"/>
      <c r="J41"/>
      <c r="K41"/>
      <c r="L41" s="1"/>
      <c r="V41" s="1"/>
      <c r="W41" s="1"/>
      <c r="X41" s="1"/>
      <c r="Y41" s="1"/>
      <c r="Z41" s="1"/>
      <c r="AA41" s="1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  <c r="AX41" s="1"/>
      <c r="AY41" s="1"/>
      <c r="AZ41" s="1"/>
      <c r="BA41" s="1"/>
      <c r="BB41"/>
      <c r="BC41"/>
      <c r="BD41"/>
      <c r="BE41"/>
      <c r="BF41"/>
      <c r="BG41"/>
      <c r="BH41"/>
      <c r="BI41"/>
      <c r="BJ41"/>
      <c r="BK41" s="1"/>
      <c r="BL41" s="1"/>
      <c r="BM41" s="1"/>
      <c r="BN41" s="1"/>
      <c r="BO41" s="1"/>
      <c r="BP41" s="1"/>
      <c r="BQ41" s="1"/>
      <c r="BR41" s="1"/>
      <c r="BS41" s="1"/>
      <c r="BT41" s="1"/>
      <c r="BU41" s="1"/>
      <c r="BV41" s="1"/>
      <c r="BW41" s="1"/>
      <c r="BX41" s="1"/>
      <c r="BY41" s="1"/>
      <c r="BZ41" s="1"/>
      <c r="CA41" s="1"/>
      <c r="CB41" s="1"/>
      <c r="CC41" s="1"/>
    </row>
    <row r="42" spans="1:81" x14ac:dyDescent="0.3">
      <c r="A42" s="35">
        <v>2</v>
      </c>
      <c r="C42" s="6" t="s">
        <v>4</v>
      </c>
      <c r="D42" s="6" t="s">
        <v>9</v>
      </c>
      <c r="E42" s="6" t="s">
        <v>5</v>
      </c>
      <c r="F42" s="6" t="s">
        <v>7</v>
      </c>
      <c r="G42" s="6" t="s">
        <v>1</v>
      </c>
      <c r="H42" s="6" t="s">
        <v>6</v>
      </c>
      <c r="I42" s="6" t="s">
        <v>33</v>
      </c>
      <c r="J42" s="6" t="s">
        <v>8</v>
      </c>
      <c r="K42" s="6" t="s">
        <v>185</v>
      </c>
      <c r="L42" s="1"/>
      <c r="V42" s="1"/>
      <c r="W42" s="1"/>
      <c r="X42" s="1"/>
      <c r="Y42" s="1"/>
      <c r="Z42" s="1"/>
      <c r="AA42" s="1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  <c r="AX42" s="1"/>
      <c r="AY42" s="1"/>
      <c r="AZ42" s="1"/>
      <c r="BA42" s="1"/>
      <c r="BB42"/>
      <c r="BC42"/>
      <c r="BD42"/>
      <c r="BE42"/>
      <c r="BF42"/>
      <c r="BG42"/>
      <c r="BH42"/>
      <c r="BI42"/>
      <c r="BJ42"/>
      <c r="BK42" s="1"/>
      <c r="BL42" s="1"/>
      <c r="BM42" s="1"/>
      <c r="BN42" s="1"/>
      <c r="BO42" s="1"/>
      <c r="BP42" s="1"/>
      <c r="BQ42" s="1"/>
      <c r="BR42" s="1"/>
      <c r="BS42" s="1"/>
      <c r="BT42" s="1"/>
      <c r="BU42" s="1"/>
      <c r="BV42" s="1"/>
      <c r="BW42" s="1"/>
      <c r="BX42" s="1"/>
      <c r="BY42" s="1"/>
      <c r="BZ42" s="1"/>
      <c r="CA42" s="1"/>
      <c r="CB42" s="1"/>
      <c r="CC42" s="1"/>
    </row>
    <row r="43" spans="1:81" ht="15.6" customHeight="1" x14ac:dyDescent="0.3">
      <c r="A43" s="35">
        <v>0</v>
      </c>
      <c r="B43"/>
      <c r="C43"/>
      <c r="D43"/>
      <c r="E43"/>
      <c r="F43"/>
      <c r="G43"/>
      <c r="H43"/>
      <c r="I43"/>
      <c r="J43"/>
      <c r="K43"/>
      <c r="L43" s="1"/>
      <c r="V43" s="1"/>
      <c r="W43" s="1"/>
      <c r="X43" s="1"/>
      <c r="Y43" s="1"/>
      <c r="Z43" s="1"/>
      <c r="AA43" s="1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  <c r="AX43" s="1"/>
      <c r="AY43" s="1"/>
      <c r="AZ43" s="1"/>
      <c r="BA43" s="1"/>
      <c r="BB43"/>
      <c r="BC43"/>
      <c r="BD43"/>
      <c r="BE43"/>
      <c r="BF43"/>
      <c r="BG43"/>
      <c r="BH43"/>
      <c r="BI43"/>
      <c r="BJ43"/>
      <c r="BK43" s="1"/>
      <c r="BL43" s="1"/>
      <c r="BM43" s="1"/>
      <c r="BN43" s="1"/>
      <c r="BO43" s="1"/>
      <c r="BP43" s="1"/>
      <c r="BQ43" s="1"/>
      <c r="BR43" s="1"/>
      <c r="BS43" s="1"/>
      <c r="BT43" s="1"/>
      <c r="BU43" s="1"/>
      <c r="BV43" s="1"/>
      <c r="BW43" s="1"/>
      <c r="BX43" s="1"/>
      <c r="BY43" s="1"/>
      <c r="BZ43" s="1"/>
      <c r="CA43" s="1"/>
      <c r="CB43" s="1"/>
      <c r="CC43" s="1"/>
    </row>
    <row r="44" spans="1:81" ht="15.6" customHeight="1" x14ac:dyDescent="0.3">
      <c r="A44" s="35">
        <v>3</v>
      </c>
      <c r="B44" s="3" t="str">
        <f>E34</f>
        <v>وحدة علوية  قلاب / 2 قلاب</v>
      </c>
      <c r="C44" s="6">
        <v>1</v>
      </c>
      <c r="D44" s="6" t="str">
        <f ca="1">H40</f>
        <v>HPL</v>
      </c>
      <c r="E44" s="6" t="s">
        <v>49</v>
      </c>
      <c r="F44" s="6">
        <f>H36-3.6</f>
        <v>-3.6</v>
      </c>
      <c r="G44" s="6">
        <f ca="1">J36-E38</f>
        <v>30</v>
      </c>
      <c r="H44" s="6">
        <f>1*C34</f>
        <v>1</v>
      </c>
      <c r="I44" s="6">
        <f ca="1">HLOOKUP(D44, materials[], 2,FALSE)</f>
        <v>2</v>
      </c>
      <c r="J44" s="6"/>
      <c r="K44" s="6" t="b">
        <v>1</v>
      </c>
      <c r="L44" s="1"/>
      <c r="V44" s="1"/>
      <c r="W44" s="1"/>
      <c r="X44" s="1"/>
      <c r="Y44" s="1"/>
      <c r="Z44" s="1"/>
      <c r="AA44" s="1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  <c r="AX44" s="1"/>
      <c r="AY44" s="1"/>
      <c r="AZ44" s="1"/>
      <c r="BA44" s="1"/>
      <c r="BB44"/>
      <c r="BC44"/>
      <c r="BD44"/>
      <c r="BE44"/>
      <c r="BF44"/>
      <c r="BG44"/>
      <c r="BH44"/>
      <c r="BI44"/>
      <c r="BJ44"/>
      <c r="BK44" s="1"/>
      <c r="BL44" s="1"/>
      <c r="BM44" s="1"/>
      <c r="BN44" s="1"/>
      <c r="BO44" s="1"/>
      <c r="BP44" s="1"/>
      <c r="BQ44" s="1"/>
      <c r="BR44" s="1"/>
      <c r="BS44" s="1"/>
      <c r="BT44" s="1"/>
      <c r="BU44" s="1"/>
      <c r="BV44" s="1"/>
      <c r="BW44" s="1"/>
      <c r="BX44" s="1"/>
      <c r="BY44" s="1"/>
      <c r="BZ44" s="1"/>
      <c r="CA44" s="1"/>
      <c r="CB44" s="1"/>
      <c r="CC44" s="1"/>
    </row>
    <row r="45" spans="1:81" ht="15.6" customHeight="1" x14ac:dyDescent="0.3">
      <c r="A45" s="35">
        <v>3</v>
      </c>
      <c r="B45" s="3" t="str">
        <f>B44</f>
        <v>وحدة علوية  قلاب / 2 قلاب</v>
      </c>
      <c r="C45" s="6">
        <f>C44+1</f>
        <v>2</v>
      </c>
      <c r="D45" s="6" t="str">
        <f ca="1">H40</f>
        <v>HPL</v>
      </c>
      <c r="E45" s="6" t="s">
        <v>10</v>
      </c>
      <c r="F45" s="6">
        <f>H36-3.6</f>
        <v>-3.6</v>
      </c>
      <c r="G45" s="6">
        <f ca="1">J36-G36-E38</f>
        <v>30</v>
      </c>
      <c r="H45" s="6">
        <f>1*C34</f>
        <v>1</v>
      </c>
      <c r="I45" s="6">
        <f ca="1">HLOOKUP(D45, materials[], 2,FALSE)</f>
        <v>2</v>
      </c>
      <c r="J45" s="6"/>
      <c r="K45" s="6" t="b">
        <v>1</v>
      </c>
      <c r="L45" s="1"/>
      <c r="V45" s="1"/>
      <c r="W45" s="1"/>
      <c r="X45" s="1"/>
      <c r="Y45" s="1"/>
      <c r="Z45" s="1"/>
      <c r="AA45" s="1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  <c r="AX45" s="1"/>
      <c r="AY45" s="1"/>
      <c r="AZ45" s="1"/>
      <c r="BA45" s="1"/>
      <c r="BB45"/>
      <c r="BC45"/>
      <c r="BD45"/>
      <c r="BE45"/>
      <c r="BF45"/>
      <c r="BG45"/>
      <c r="BH45"/>
      <c r="BI45"/>
      <c r="BJ45"/>
      <c r="BK45" s="1"/>
      <c r="BL45" s="1"/>
      <c r="BM45" s="1"/>
      <c r="BN45" s="1"/>
      <c r="BO45" s="1"/>
      <c r="BP45" s="1"/>
      <c r="BQ45" s="1"/>
      <c r="BR45" s="1"/>
      <c r="BS45" s="1"/>
      <c r="BT45" s="1"/>
      <c r="BU45" s="1"/>
      <c r="BV45" s="1"/>
      <c r="BW45" s="1"/>
      <c r="BX45" s="1"/>
      <c r="BY45" s="1"/>
      <c r="BZ45" s="1"/>
      <c r="CA45" s="1"/>
      <c r="CB45" s="1"/>
      <c r="CC45" s="1"/>
    </row>
    <row r="46" spans="1:81" ht="15.6" customHeight="1" x14ac:dyDescent="0.3">
      <c r="A46" s="35">
        <v>3</v>
      </c>
      <c r="B46" s="3" t="str">
        <f>B44</f>
        <v>وحدة علوية  قلاب / 2 قلاب</v>
      </c>
      <c r="C46" s="6">
        <f t="shared" ref="C46:C47" si="1">C45+1</f>
        <v>3</v>
      </c>
      <c r="D46" s="6" t="str">
        <f ca="1">H40</f>
        <v>HPL</v>
      </c>
      <c r="E46" s="6" t="s">
        <v>11</v>
      </c>
      <c r="F46" s="6">
        <f ca="1">I36</f>
        <v>70</v>
      </c>
      <c r="G46" s="6">
        <f ca="1">J36</f>
        <v>30</v>
      </c>
      <c r="H46" s="6">
        <f>2*C34</f>
        <v>2</v>
      </c>
      <c r="I46" s="6">
        <f ca="1">HLOOKUP(D46, materials[], 2,FALSE)</f>
        <v>2</v>
      </c>
      <c r="J46" s="6"/>
      <c r="K46" s="6" t="b">
        <v>1</v>
      </c>
      <c r="L46" s="1"/>
      <c r="V46" s="1"/>
      <c r="W46" s="1"/>
      <c r="X46" s="1"/>
      <c r="Y46" s="1"/>
      <c r="Z46" s="1"/>
      <c r="AA46" s="1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  <c r="AX46" s="1"/>
      <c r="AY46" s="1"/>
      <c r="AZ46" s="1"/>
      <c r="BA46" s="1"/>
      <c r="BB46"/>
      <c r="BC46"/>
      <c r="BD46"/>
      <c r="BE46"/>
      <c r="BF46"/>
      <c r="BG46"/>
      <c r="BH46"/>
      <c r="BI46"/>
      <c r="BJ46"/>
      <c r="BK46" s="1"/>
      <c r="BL46" s="1"/>
      <c r="BM46" s="1"/>
      <c r="BN46" s="1"/>
      <c r="BO46" s="1"/>
      <c r="BP46" s="1"/>
      <c r="BQ46" s="1"/>
      <c r="BR46" s="1"/>
      <c r="BS46" s="1"/>
      <c r="BT46" s="1"/>
      <c r="BU46" s="1"/>
      <c r="BV46" s="1"/>
      <c r="BW46" s="1"/>
      <c r="BX46" s="1"/>
      <c r="BY46" s="1"/>
      <c r="BZ46" s="1"/>
      <c r="CA46" s="1"/>
      <c r="CB46" s="1"/>
      <c r="CC46" s="1"/>
    </row>
    <row r="47" spans="1:81" x14ac:dyDescent="0.3">
      <c r="A47" s="35">
        <v>3</v>
      </c>
      <c r="B47" s="3" t="str">
        <f>B44</f>
        <v>وحدة علوية  قلاب / 2 قلاب</v>
      </c>
      <c r="C47" s="6">
        <f t="shared" si="1"/>
        <v>4</v>
      </c>
      <c r="D47" s="6" t="str">
        <f ca="1">H40</f>
        <v>HPL</v>
      </c>
      <c r="E47" s="6" t="s">
        <v>51</v>
      </c>
      <c r="F47" s="6">
        <f>(H36-3.6)*E36</f>
        <v>-3.6</v>
      </c>
      <c r="G47" s="6">
        <f ca="1">(J36-2.5-E38)*E36</f>
        <v>27.5</v>
      </c>
      <c r="H47" s="6">
        <f>E36*C34</f>
        <v>1</v>
      </c>
      <c r="I47" s="6">
        <f ca="1">HLOOKUP(D47, materials[], 2,FALSE)</f>
        <v>2</v>
      </c>
      <c r="J47" s="6"/>
      <c r="K47" s="6" t="b">
        <v>1</v>
      </c>
      <c r="L47" s="1"/>
      <c r="V47" s="1"/>
      <c r="W47" s="1"/>
      <c r="X47" s="1"/>
      <c r="Y47" s="1"/>
      <c r="Z47" s="1"/>
      <c r="AA47" s="1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  <c r="AX47" s="1"/>
      <c r="AY47" s="1"/>
      <c r="AZ47" s="1"/>
      <c r="BA47" s="1"/>
      <c r="BB47"/>
      <c r="BC47"/>
      <c r="BD47"/>
      <c r="BE47"/>
      <c r="BF47"/>
      <c r="BG47"/>
      <c r="BH47"/>
      <c r="BI47"/>
      <c r="BJ47"/>
      <c r="BK47" s="1"/>
      <c r="BL47" s="1"/>
      <c r="BM47" s="1"/>
      <c r="BN47" s="1"/>
      <c r="BO47" s="1"/>
      <c r="BP47" s="1"/>
      <c r="BQ47" s="1"/>
      <c r="BR47" s="1"/>
      <c r="BS47" s="1"/>
      <c r="BT47" s="1"/>
      <c r="BU47" s="1"/>
      <c r="BV47" s="1"/>
      <c r="BW47" s="1"/>
      <c r="BX47" s="1"/>
      <c r="BY47" s="1"/>
      <c r="BZ47" s="1"/>
      <c r="CA47" s="1"/>
      <c r="CB47" s="1"/>
      <c r="CC47" s="1"/>
    </row>
    <row r="48" spans="1:81" x14ac:dyDescent="0.3">
      <c r="A48" s="35">
        <v>0</v>
      </c>
      <c r="B48"/>
      <c r="C48"/>
      <c r="D48"/>
      <c r="E48"/>
      <c r="F48"/>
      <c r="G48"/>
      <c r="H48"/>
      <c r="I48"/>
      <c r="J48"/>
      <c r="K48"/>
      <c r="L48" s="1"/>
      <c r="V48" s="1"/>
      <c r="W48" s="1"/>
      <c r="X48" s="1"/>
      <c r="Y48" s="1"/>
      <c r="Z48" s="1"/>
      <c r="AA48" s="1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  <c r="AX48" s="1"/>
      <c r="AY48" s="1"/>
      <c r="AZ48" s="1"/>
      <c r="BA48" s="1"/>
      <c r="BB48"/>
      <c r="BC48"/>
      <c r="BD48"/>
      <c r="BE48"/>
      <c r="BF48"/>
      <c r="BG48"/>
      <c r="BH48"/>
      <c r="BI48"/>
      <c r="BJ48"/>
      <c r="BK48" s="1"/>
      <c r="BL48" s="1"/>
      <c r="BM48" s="1"/>
      <c r="BN48" s="1"/>
      <c r="BO48" s="1"/>
      <c r="BP48" s="1"/>
      <c r="BQ48" s="1"/>
      <c r="BR48" s="1"/>
      <c r="BS48" s="1"/>
      <c r="BT48" s="1"/>
      <c r="BU48" s="1"/>
      <c r="BV48" s="1"/>
      <c r="BW48" s="1"/>
      <c r="BX48" s="1"/>
      <c r="BY48" s="1"/>
      <c r="BZ48" s="1"/>
      <c r="CA48" s="1"/>
      <c r="CB48" s="1"/>
      <c r="CC48" s="1"/>
    </row>
    <row r="49" spans="1:81" x14ac:dyDescent="0.3">
      <c r="A49" s="35">
        <v>4</v>
      </c>
      <c r="B49" s="3" t="str">
        <f>B44</f>
        <v>وحدة علوية  قلاب / 2 قلاب</v>
      </c>
      <c r="C49" s="9">
        <f>C47+1</f>
        <v>5</v>
      </c>
      <c r="D49" s="9" t="str">
        <f ca="1">F40</f>
        <v>يوفيلاك</v>
      </c>
      <c r="E49" s="9" t="s">
        <v>56</v>
      </c>
      <c r="F49" s="9">
        <f ca="1">(I36/C38)-0.5-F36</f>
        <v>31</v>
      </c>
      <c r="G49" s="9">
        <f>H36-0.5</f>
        <v>-0.5</v>
      </c>
      <c r="H49" s="9">
        <f>C36*C34</f>
        <v>2</v>
      </c>
      <c r="I49" s="9">
        <f ca="1">HLOOKUP(D49, materials[], 2,FALSE)</f>
        <v>6</v>
      </c>
      <c r="J49" s="9"/>
      <c r="K49" s="9" t="b">
        <v>1</v>
      </c>
      <c r="L49" s="1"/>
      <c r="V49" s="1"/>
      <c r="W49" s="1"/>
      <c r="X49" s="1"/>
      <c r="Y49" s="1"/>
      <c r="Z49" s="1"/>
      <c r="AA49" s="1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  <c r="AX49" s="1"/>
      <c r="AY49" s="1"/>
      <c r="AZ49" s="1"/>
      <c r="BA49" s="1"/>
      <c r="BB49"/>
      <c r="BC49"/>
      <c r="BD49"/>
      <c r="BE49"/>
      <c r="BF49"/>
      <c r="BG49"/>
      <c r="BH49"/>
      <c r="BI49"/>
      <c r="BJ49"/>
      <c r="BK49" s="1"/>
      <c r="BL49" s="1"/>
      <c r="BM49" s="1"/>
      <c r="BN49" s="1"/>
      <c r="BO49" s="1"/>
      <c r="BP49" s="1"/>
      <c r="BQ49" s="1"/>
      <c r="BR49" s="1"/>
      <c r="BS49" s="1"/>
      <c r="BT49" s="1"/>
      <c r="BU49" s="1"/>
      <c r="BV49" s="1"/>
      <c r="BW49" s="1"/>
      <c r="BX49" s="1"/>
      <c r="BY49" s="1"/>
      <c r="BZ49" s="1"/>
      <c r="CA49" s="1"/>
      <c r="CB49" s="1"/>
      <c r="CC49" s="1"/>
    </row>
    <row r="50" spans="1:81" x14ac:dyDescent="0.3">
      <c r="A50" s="35">
        <v>4</v>
      </c>
      <c r="B50" s="3" t="str">
        <f>B44</f>
        <v>وحدة علوية  قلاب / 2 قلاب</v>
      </c>
      <c r="C50" s="9">
        <f>C49+1</f>
        <v>6</v>
      </c>
      <c r="D50" s="9" t="s">
        <v>53</v>
      </c>
      <c r="E50" s="9" t="s">
        <v>57</v>
      </c>
      <c r="F50" s="9">
        <f ca="1">(I36/C38)-0.5</f>
        <v>34.5</v>
      </c>
      <c r="G50" s="9">
        <f>H36-0.7</f>
        <v>-0.7</v>
      </c>
      <c r="H50" s="9">
        <f>C34*D36</f>
        <v>0</v>
      </c>
      <c r="I50" s="9"/>
      <c r="J50" s="9"/>
      <c r="K50" s="9" t="b">
        <v>1</v>
      </c>
      <c r="V50" s="1"/>
      <c r="W50" s="1"/>
      <c r="X50" s="1"/>
      <c r="Y50" s="1"/>
      <c r="Z50" s="1"/>
      <c r="AA50" s="1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  <c r="AX50" s="1"/>
      <c r="AY50" s="1"/>
      <c r="AZ50" s="1"/>
      <c r="BA50" s="1"/>
      <c r="BB50"/>
      <c r="BC50"/>
      <c r="BD50"/>
      <c r="BE50"/>
      <c r="BF50"/>
      <c r="BG50"/>
      <c r="BH50"/>
      <c r="BI50"/>
      <c r="BJ50"/>
      <c r="BK50" s="1"/>
      <c r="BL50" s="1"/>
      <c r="BM50" s="1"/>
      <c r="BN50" s="1"/>
      <c r="BO50" s="1"/>
      <c r="BP50" s="1"/>
      <c r="BQ50" s="1"/>
      <c r="BR50" s="1"/>
      <c r="BS50" s="1"/>
      <c r="BT50" s="1"/>
      <c r="BU50" s="1"/>
      <c r="BV50" s="1"/>
      <c r="BW50" s="1"/>
      <c r="BX50" s="1"/>
      <c r="BY50" s="1"/>
      <c r="BZ50" s="1"/>
      <c r="CA50" s="1"/>
      <c r="CB50" s="1"/>
      <c r="CC50" s="1"/>
    </row>
    <row r="51" spans="1:81" x14ac:dyDescent="0.3">
      <c r="A51" s="35">
        <v>0</v>
      </c>
      <c r="B51"/>
      <c r="C51"/>
      <c r="D51"/>
      <c r="E51"/>
      <c r="F51"/>
      <c r="G51"/>
      <c r="H51"/>
      <c r="I51"/>
      <c r="J51"/>
      <c r="K51"/>
      <c r="V51" s="1"/>
      <c r="W51" s="1"/>
      <c r="X51" s="1"/>
      <c r="Y51" s="1"/>
      <c r="Z51" s="1"/>
      <c r="AA51" s="1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  <c r="AX51" s="1"/>
      <c r="AY51" s="1"/>
      <c r="AZ51" s="1"/>
      <c r="BA51" s="1"/>
      <c r="BB51"/>
      <c r="BC51"/>
      <c r="BD51"/>
      <c r="BE51"/>
      <c r="BF51"/>
      <c r="BG51"/>
      <c r="BH51"/>
      <c r="BI51"/>
      <c r="BJ51"/>
      <c r="BK51" s="1"/>
      <c r="BL51" s="1"/>
      <c r="BM51" s="1"/>
      <c r="BN51" s="1"/>
      <c r="BO51" s="1"/>
      <c r="BP51" s="1"/>
      <c r="BQ51" s="1"/>
      <c r="BR51" s="1"/>
      <c r="BS51" s="1"/>
      <c r="BT51" s="1"/>
      <c r="BU51" s="1"/>
      <c r="BV51" s="1"/>
      <c r="BW51" s="1"/>
      <c r="BX51" s="1"/>
      <c r="BY51" s="1"/>
      <c r="BZ51" s="1"/>
      <c r="CA51" s="1"/>
      <c r="CB51" s="1"/>
      <c r="CC51" s="1"/>
    </row>
    <row r="52" spans="1:81" x14ac:dyDescent="0.3">
      <c r="A52" s="35">
        <v>5</v>
      </c>
      <c r="B52" s="3" t="str">
        <f>B44</f>
        <v>وحدة علوية  قلاب / 2 قلاب</v>
      </c>
      <c r="C52" s="19">
        <f>C50+1</f>
        <v>7</v>
      </c>
      <c r="D52" s="19" t="str">
        <f ca="1">D40</f>
        <v>ظهر</v>
      </c>
      <c r="E52" s="19" t="s">
        <v>58</v>
      </c>
      <c r="F52" s="19">
        <f ca="1">I36-2</f>
        <v>68</v>
      </c>
      <c r="G52" s="19">
        <f>H36-2</f>
        <v>-2</v>
      </c>
      <c r="H52" s="19">
        <f>1*C34</f>
        <v>1</v>
      </c>
      <c r="I52" s="19">
        <f ca="1">HLOOKUP(D52, materials[], 2,FALSE)</f>
        <v>2</v>
      </c>
      <c r="J52" s="19"/>
      <c r="K52" s="19" t="b">
        <v>1</v>
      </c>
      <c r="V52" s="1"/>
      <c r="W52" s="1"/>
      <c r="X52" s="1"/>
      <c r="Y52" s="1"/>
      <c r="Z52" s="1"/>
      <c r="AA52" s="1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  <c r="AX52" s="1"/>
      <c r="AY52" s="1"/>
      <c r="AZ52" s="1"/>
      <c r="BA52" s="1"/>
      <c r="BB52"/>
      <c r="BC52"/>
      <c r="BD52"/>
      <c r="BE52"/>
      <c r="BF52"/>
      <c r="BG52"/>
      <c r="BH52"/>
      <c r="BI52"/>
      <c r="BJ52"/>
      <c r="BK52" s="1"/>
      <c r="BL52" s="1"/>
      <c r="BM52" s="1"/>
      <c r="BN52" s="1"/>
      <c r="BO52" s="1"/>
      <c r="BP52" s="1"/>
      <c r="BQ52" s="1"/>
      <c r="BR52" s="1"/>
      <c r="BS52" s="1"/>
      <c r="BT52" s="1"/>
      <c r="BU52" s="1"/>
      <c r="BV52" s="1"/>
      <c r="BW52" s="1"/>
      <c r="BX52" s="1"/>
      <c r="BY52" s="1"/>
      <c r="BZ52" s="1"/>
      <c r="CA52" s="1"/>
      <c r="CB52" s="1"/>
      <c r="CC52" s="1"/>
    </row>
    <row r="53" spans="1:81" x14ac:dyDescent="0.3">
      <c r="A53" s="35">
        <v>255</v>
      </c>
      <c r="V53" s="1"/>
      <c r="W53" s="1"/>
      <c r="X53" s="1"/>
      <c r="Y53" s="1"/>
      <c r="Z53" s="1"/>
      <c r="AA53" s="1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  <c r="AX53" s="1"/>
      <c r="AY53" s="1"/>
      <c r="AZ53" s="1"/>
      <c r="BA53" s="1"/>
      <c r="BB53"/>
      <c r="BC53"/>
      <c r="BD53"/>
      <c r="BE53"/>
      <c r="BF53"/>
      <c r="BG53"/>
      <c r="BH53"/>
      <c r="BI53"/>
      <c r="BJ53"/>
      <c r="BK53" s="1"/>
      <c r="BL53" s="1"/>
      <c r="BM53" s="1"/>
      <c r="BN53" s="1"/>
      <c r="BO53" s="1"/>
      <c r="BP53" s="1"/>
      <c r="BQ53" s="1"/>
      <c r="BR53" s="1"/>
      <c r="BS53" s="1"/>
      <c r="BT53" s="1"/>
      <c r="BU53" s="1"/>
      <c r="BV53" s="1"/>
      <c r="BW53" s="1"/>
      <c r="BX53" s="1"/>
      <c r="BY53" s="1"/>
      <c r="BZ53" s="1"/>
      <c r="CA53" s="1"/>
      <c r="CB53" s="1"/>
      <c r="CC53" s="1"/>
    </row>
    <row r="54" spans="1:81" x14ac:dyDescent="0.3">
      <c r="A54" s="35">
        <v>255</v>
      </c>
      <c r="V54" s="1"/>
      <c r="W54" s="1"/>
      <c r="X54" s="1"/>
      <c r="Y54" s="1"/>
      <c r="Z54" s="1"/>
      <c r="AA54" s="1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  <c r="AX54" s="1"/>
      <c r="AY54" s="1"/>
      <c r="AZ54" s="1"/>
      <c r="BA54" s="1"/>
      <c r="BB54"/>
      <c r="BC54"/>
      <c r="BD54"/>
      <c r="BE54"/>
      <c r="BF54"/>
      <c r="BG54"/>
      <c r="BH54"/>
      <c r="BI54"/>
      <c r="BJ54"/>
      <c r="BK54" s="1"/>
      <c r="BL54" s="1"/>
      <c r="BM54" s="1"/>
      <c r="BN54" s="1"/>
      <c r="BO54" s="1"/>
      <c r="BP54" s="1"/>
      <c r="BQ54" s="1"/>
      <c r="BR54" s="1"/>
      <c r="BS54" s="1"/>
      <c r="BT54" s="1"/>
      <c r="BU54" s="1"/>
      <c r="BV54" s="1"/>
      <c r="BW54" s="1"/>
      <c r="BX54" s="1"/>
      <c r="BY54" s="1"/>
      <c r="BZ54" s="1"/>
      <c r="CA54" s="1"/>
      <c r="CB54" s="1"/>
      <c r="CC54" s="1"/>
    </row>
    <row r="55" spans="1:81" ht="36" x14ac:dyDescent="0.3">
      <c r="A55" s="35" t="s">
        <v>156</v>
      </c>
      <c r="C55" s="14">
        <v>1</v>
      </c>
      <c r="D55" s="22" t="s">
        <v>59</v>
      </c>
      <c r="E55" s="101" t="s">
        <v>45</v>
      </c>
      <c r="F55" s="102"/>
      <c r="G55" s="102"/>
      <c r="H55" s="103"/>
      <c r="I55" s="2" t="s">
        <v>30</v>
      </c>
      <c r="J55" s="2">
        <f>letterToNumber(A55)</f>
        <v>3</v>
      </c>
      <c r="K55" s="7">
        <f ca="1">_xlfn.SHEET("وحدات علوية")</f>
        <v>6</v>
      </c>
      <c r="V55" s="1"/>
      <c r="W55" s="1"/>
      <c r="X55" s="1"/>
      <c r="Y55" s="1"/>
      <c r="Z55" s="1"/>
      <c r="AA55" s="1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  <c r="AX55" s="1"/>
      <c r="AY55" s="1"/>
      <c r="AZ55" s="1"/>
      <c r="BA55" s="1"/>
      <c r="BB55"/>
      <c r="BC55"/>
      <c r="BD55"/>
      <c r="BE55"/>
      <c r="BF55"/>
      <c r="BG55"/>
      <c r="BH55"/>
      <c r="BI55"/>
      <c r="BJ55"/>
      <c r="BK55" s="1"/>
      <c r="BL55" s="1"/>
      <c r="BM55" s="1"/>
      <c r="BN55" s="1"/>
      <c r="BO55" s="1"/>
      <c r="BP55" s="1"/>
      <c r="BQ55" s="1"/>
      <c r="BR55" s="1"/>
      <c r="BS55" s="1"/>
      <c r="BT55" s="1"/>
      <c r="BU55" s="1"/>
      <c r="BV55" s="1"/>
      <c r="BW55" s="1"/>
      <c r="BX55" s="1"/>
      <c r="BY55" s="1"/>
      <c r="BZ55" s="1"/>
      <c r="CA55" s="1"/>
      <c r="CB55" s="1"/>
      <c r="CC55" s="1"/>
    </row>
    <row r="56" spans="1:81" ht="31.2" x14ac:dyDescent="0.3">
      <c r="A56" s="35">
        <v>1</v>
      </c>
      <c r="C56" s="7" t="s">
        <v>12</v>
      </c>
      <c r="D56" s="7" t="s">
        <v>55</v>
      </c>
      <c r="E56" s="7" t="s">
        <v>18</v>
      </c>
      <c r="F56" s="7" t="s">
        <v>16</v>
      </c>
      <c r="G56" s="7" t="s">
        <v>115</v>
      </c>
      <c r="H56" s="7" t="s">
        <v>22</v>
      </c>
      <c r="I56" s="7" t="s">
        <v>3</v>
      </c>
      <c r="J56" s="7" t="s">
        <v>113</v>
      </c>
      <c r="K56" s="7"/>
      <c r="V56" s="1"/>
      <c r="W56" s="1"/>
      <c r="X56" s="1"/>
      <c r="Y56" s="1"/>
      <c r="Z56" s="1"/>
      <c r="AA56" s="1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  <c r="AX56" s="1"/>
      <c r="AY56" s="1"/>
      <c r="AZ56" s="1"/>
      <c r="BA56" s="1"/>
      <c r="BB56"/>
      <c r="BC56"/>
      <c r="BD56"/>
      <c r="BE56"/>
      <c r="BF56"/>
      <c r="BG56"/>
      <c r="BH56"/>
      <c r="BI56"/>
      <c r="BJ56"/>
      <c r="BK56" s="1"/>
      <c r="BL56" s="1"/>
      <c r="BM56" s="1"/>
      <c r="BN56" s="1"/>
      <c r="BO56" s="1"/>
      <c r="BP56" s="1"/>
      <c r="BQ56" s="1"/>
      <c r="BR56" s="1"/>
      <c r="BS56" s="1"/>
      <c r="BT56" s="1"/>
      <c r="BU56" s="1"/>
      <c r="BV56" s="1"/>
      <c r="BW56" s="1"/>
      <c r="BX56" s="1"/>
      <c r="BY56" s="1"/>
      <c r="BZ56" s="1"/>
      <c r="CA56" s="1"/>
      <c r="CB56" s="1"/>
      <c r="CC56" s="1"/>
    </row>
    <row r="57" spans="1:81" ht="15.6" x14ac:dyDescent="0.3">
      <c r="A57" s="35">
        <v>1</v>
      </c>
      <c r="C57" s="8">
        <v>2</v>
      </c>
      <c r="D57" s="8"/>
      <c r="E57" s="8">
        <v>1</v>
      </c>
      <c r="F57" s="27" cm="1">
        <f t="array" aca="1" ref="F57" ca="1">defaultValue(F56,K55)</f>
        <v>3.5</v>
      </c>
      <c r="G57" s="27" cm="1">
        <f t="array" aca="1" ref="G57" ca="1">defaultValue(G56,K55)</f>
        <v>0</v>
      </c>
      <c r="H57" s="8"/>
      <c r="I57" s="27" cm="1">
        <f t="array" aca="1" ref="I57" ca="1">defaultValue(I56,K55)</f>
        <v>70</v>
      </c>
      <c r="J57" s="27" cm="1">
        <f t="array" aca="1" ref="J57" ca="1">defaultValue(J56,K55)</f>
        <v>30</v>
      </c>
      <c r="K57" s="7"/>
      <c r="V57" s="1"/>
      <c r="W57" s="1"/>
      <c r="X57" s="1"/>
      <c r="Y57" s="1"/>
      <c r="Z57" s="1"/>
      <c r="AA57" s="1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  <c r="AX57" s="1"/>
      <c r="AY57" s="1"/>
      <c r="AZ57" s="1"/>
      <c r="BA57" s="1"/>
      <c r="BB57"/>
      <c r="BC57"/>
      <c r="BD57"/>
      <c r="BE57"/>
      <c r="BF57"/>
      <c r="BG57"/>
      <c r="BH57"/>
      <c r="BI57"/>
      <c r="BJ57"/>
      <c r="BK57" s="1"/>
      <c r="BL57" s="1"/>
      <c r="BM57" s="1"/>
      <c r="BN57" s="1"/>
      <c r="BO57" s="1"/>
      <c r="BP57" s="1"/>
      <c r="BQ57" s="1"/>
      <c r="BR57" s="1"/>
      <c r="BS57" s="1"/>
      <c r="BT57" s="1"/>
      <c r="BU57" s="1"/>
      <c r="BV57" s="1"/>
      <c r="BW57" s="1"/>
      <c r="BX57" s="1"/>
      <c r="BY57" s="1"/>
      <c r="BZ57" s="1"/>
      <c r="CA57" s="1"/>
      <c r="CB57" s="1"/>
      <c r="CC57" s="1"/>
    </row>
    <row r="58" spans="1:81" ht="15.6" x14ac:dyDescent="0.3">
      <c r="A58" s="35">
        <v>1</v>
      </c>
      <c r="C58" s="9" t="b">
        <f>C57=0</f>
        <v>0</v>
      </c>
      <c r="D58" s="9" t="b">
        <f>E57=0</f>
        <v>0</v>
      </c>
      <c r="E58" s="3" t="b">
        <f ca="1">_xlfn.XOR(I57&lt;=50,E57=1)</f>
        <v>1</v>
      </c>
      <c r="F58" s="108" t="b">
        <f ca="1">NOT(AND(F57&gt;0,G57&gt;0))</f>
        <v>1</v>
      </c>
      <c r="G58" s="110"/>
      <c r="H58" s="3" t="b">
        <f>_xlfn.XOR(H57&lt;=50,C59=2)</f>
        <v>0</v>
      </c>
      <c r="I58" s="61" t="s">
        <v>166</v>
      </c>
      <c r="J58" s="62" t="s">
        <v>167</v>
      </c>
      <c r="K58" s="7"/>
      <c r="V58" s="1"/>
      <c r="W58" s="1"/>
      <c r="X58" s="1"/>
      <c r="Y58" s="1"/>
      <c r="Z58" s="1"/>
      <c r="AA58" s="1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  <c r="AX58" s="1"/>
      <c r="AY58" s="1"/>
      <c r="AZ58" s="1"/>
      <c r="BA58" s="1"/>
      <c r="BB58"/>
      <c r="BC58"/>
      <c r="BD58"/>
      <c r="BE58"/>
      <c r="BF58"/>
      <c r="BG58"/>
      <c r="BH58"/>
      <c r="BI58"/>
      <c r="BJ58"/>
      <c r="BK58" s="1"/>
      <c r="BL58" s="1"/>
      <c r="BM58" s="1"/>
      <c r="BN58" s="1"/>
      <c r="BO58" s="1"/>
      <c r="BP58" s="1"/>
      <c r="BQ58" s="1"/>
      <c r="BR58" s="1"/>
      <c r="BS58" s="1"/>
      <c r="BT58" s="1"/>
      <c r="BU58" s="1"/>
      <c r="BV58" s="1"/>
      <c r="BW58" s="1"/>
      <c r="BX58" s="1"/>
      <c r="BY58" s="1"/>
      <c r="BZ58" s="1"/>
      <c r="CA58" s="1"/>
      <c r="CB58" s="1"/>
      <c r="CC58" s="1"/>
    </row>
    <row r="59" spans="1:81" ht="24" x14ac:dyDescent="0.3">
      <c r="A59" s="35">
        <v>1</v>
      </c>
      <c r="C59" s="107">
        <f>C57+D57</f>
        <v>2</v>
      </c>
      <c r="D59" s="107"/>
      <c r="E59" s="7" t="s">
        <v>106</v>
      </c>
      <c r="F59" s="111" t="str">
        <f ca="1">IF(F58,"المقابض مظبوطة","مينفعش مقبض مخفي مع بيلت ان")</f>
        <v>المقابض مظبوطة</v>
      </c>
      <c r="G59" s="111"/>
      <c r="H59" s="33" t="str">
        <f>IF(H58,"عدد الدلف صحيح","عدد الدلف غير صحيح")</f>
        <v>عدد الدلف غير صحيح</v>
      </c>
      <c r="I59" s="61">
        <v>30</v>
      </c>
      <c r="J59" s="62">
        <v>4</v>
      </c>
      <c r="K59" s="7"/>
      <c r="V59" s="1"/>
      <c r="W59" s="1"/>
      <c r="X59" s="1"/>
      <c r="Y59" s="1"/>
      <c r="Z59" s="1"/>
      <c r="AA59" s="1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  <c r="AX59" s="1"/>
      <c r="AY59" s="1"/>
      <c r="AZ59" s="1"/>
      <c r="BA59" s="1"/>
      <c r="BB59"/>
      <c r="BC59"/>
      <c r="BD59"/>
      <c r="BE59"/>
      <c r="BF59"/>
      <c r="BG59"/>
      <c r="BH59"/>
      <c r="BI59"/>
      <c r="BJ59"/>
      <c r="BK59" s="1"/>
      <c r="BL59" s="1"/>
      <c r="BM59" s="1"/>
      <c r="BN59" s="1"/>
      <c r="BO59" s="1"/>
      <c r="BP59" s="1"/>
      <c r="BQ59" s="1"/>
      <c r="BR59" s="1"/>
      <c r="BS59" s="1"/>
      <c r="BT59" s="1"/>
      <c r="BU59" s="1"/>
      <c r="BV59" s="1"/>
      <c r="BW59" s="1"/>
      <c r="BX59" s="1"/>
      <c r="BY59" s="1"/>
      <c r="BZ59" s="1"/>
      <c r="CA59" s="1"/>
      <c r="CB59" s="1"/>
      <c r="CC59" s="1"/>
    </row>
    <row r="60" spans="1:81" ht="15.6" x14ac:dyDescent="0.3">
      <c r="A60" s="35">
        <v>1</v>
      </c>
      <c r="C60" s="108" t="b">
        <f>C59&lt;=2</f>
        <v>1</v>
      </c>
      <c r="D60" s="108"/>
      <c r="E60" s="7">
        <v>0</v>
      </c>
      <c r="F60" s="8"/>
      <c r="G60" s="8"/>
      <c r="H60" s="8"/>
      <c r="I60" s="8"/>
      <c r="J60" s="8"/>
      <c r="K60" s="7"/>
      <c r="V60" s="1"/>
      <c r="W60" s="1"/>
      <c r="X60" s="1"/>
      <c r="Y60" s="1"/>
      <c r="Z60" s="1"/>
      <c r="AA60" s="1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  <c r="AX60" s="1"/>
      <c r="AY60" s="1"/>
      <c r="AZ60" s="1"/>
      <c r="BA60" s="1"/>
      <c r="BB60"/>
      <c r="BC60"/>
      <c r="BD60"/>
      <c r="BE60"/>
      <c r="BF60"/>
      <c r="BG60"/>
      <c r="BH60"/>
      <c r="BI60"/>
      <c r="BJ60"/>
      <c r="BK60" s="1"/>
      <c r="BL60" s="1"/>
      <c r="BM60" s="1"/>
      <c r="BN60" s="1"/>
      <c r="BO60" s="1"/>
      <c r="BP60" s="1"/>
      <c r="BQ60" s="1"/>
      <c r="BR60" s="1"/>
      <c r="BS60" s="1"/>
      <c r="BT60" s="1"/>
      <c r="BU60" s="1"/>
      <c r="BV60" s="1"/>
      <c r="BW60" s="1"/>
      <c r="BX60" s="1"/>
      <c r="BY60" s="1"/>
      <c r="BZ60" s="1"/>
      <c r="CA60" s="1"/>
      <c r="CB60" s="1"/>
      <c r="CC60" s="1"/>
    </row>
    <row r="61" spans="1:81" ht="31.2" x14ac:dyDescent="0.3">
      <c r="A61" s="35">
        <v>1</v>
      </c>
      <c r="B61" s="1"/>
      <c r="C61" s="8"/>
      <c r="D61" s="27" t="str" cm="1">
        <f t="array" aca="1" ref="D61" ca="1">defaultValue(E61,K55)</f>
        <v>ظهر</v>
      </c>
      <c r="E61" s="7" t="s">
        <v>58</v>
      </c>
      <c r="F61" s="27" t="str" cm="1">
        <f t="array" aca="1" ref="F61" ca="1">defaultValue(G61,K55)</f>
        <v>يوفيلاك</v>
      </c>
      <c r="G61" s="7" t="s">
        <v>32</v>
      </c>
      <c r="H61" s="27" t="str" cm="1">
        <f t="array" aca="1" ref="H61" ca="1">defaultValue(I61,K55)</f>
        <v>HPL</v>
      </c>
      <c r="I61" s="7" t="s">
        <v>31</v>
      </c>
      <c r="J61" s="25" t="s">
        <v>111</v>
      </c>
      <c r="K61" s="7"/>
      <c r="V61" s="1"/>
      <c r="W61" s="1"/>
      <c r="X61" s="1"/>
      <c r="Y61" s="1"/>
      <c r="Z61" s="1"/>
      <c r="AA61" s="1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  <c r="AX61" s="1"/>
      <c r="AY61" s="1"/>
      <c r="AZ61" s="1"/>
      <c r="BA61" s="1"/>
      <c r="BB61"/>
      <c r="BC61"/>
      <c r="BD61"/>
      <c r="BE61"/>
      <c r="BF61"/>
      <c r="BG61"/>
      <c r="BH61"/>
      <c r="BI61"/>
      <c r="BJ61"/>
      <c r="BK61" s="1"/>
      <c r="BL61" s="1"/>
      <c r="BM61" s="1"/>
      <c r="BN61" s="1"/>
      <c r="BO61" s="1"/>
      <c r="BP61" s="1"/>
      <c r="BQ61" s="1"/>
      <c r="BR61" s="1"/>
      <c r="BS61" s="1"/>
      <c r="BT61" s="1"/>
      <c r="BU61" s="1"/>
      <c r="BV61" s="1"/>
      <c r="BW61" s="1"/>
      <c r="BX61" s="1"/>
      <c r="BY61" s="1"/>
      <c r="BZ61" s="1"/>
      <c r="CA61" s="1"/>
      <c r="CB61" s="1"/>
      <c r="CC61" s="1"/>
    </row>
    <row r="62" spans="1:81" x14ac:dyDescent="0.3">
      <c r="A62" s="35">
        <v>0</v>
      </c>
      <c r="B62"/>
      <c r="C62"/>
      <c r="D62"/>
      <c r="E62"/>
      <c r="F62"/>
      <c r="G62"/>
      <c r="H62"/>
      <c r="I62"/>
      <c r="J62"/>
      <c r="K62"/>
      <c r="V62" s="1"/>
      <c r="W62" s="1"/>
      <c r="X62" s="1"/>
      <c r="Y62" s="1"/>
      <c r="Z62" s="1"/>
      <c r="AA62" s="1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  <c r="AX62" s="1"/>
      <c r="AY62" s="1"/>
      <c r="AZ62" s="1"/>
      <c r="BA62" s="1"/>
      <c r="BB62"/>
      <c r="BC62"/>
      <c r="BD62"/>
      <c r="BE62"/>
      <c r="BF62"/>
      <c r="BG62"/>
      <c r="BH62"/>
      <c r="BI62"/>
      <c r="BJ62"/>
      <c r="BK62" s="1"/>
      <c r="BL62" s="1"/>
      <c r="BM62" s="1"/>
      <c r="BN62" s="1"/>
      <c r="BO62" s="1"/>
      <c r="BP62" s="1"/>
      <c r="BQ62" s="1"/>
      <c r="BR62" s="1"/>
      <c r="BS62" s="1"/>
      <c r="BT62" s="1"/>
      <c r="BU62" s="1"/>
      <c r="BV62" s="1"/>
      <c r="BW62" s="1"/>
      <c r="BX62" s="1"/>
      <c r="BY62" s="1"/>
      <c r="BZ62" s="1"/>
      <c r="CA62" s="1"/>
      <c r="CB62" s="1"/>
      <c r="CC62" s="1"/>
    </row>
    <row r="63" spans="1:81" x14ac:dyDescent="0.3">
      <c r="A63" s="35">
        <v>2</v>
      </c>
      <c r="C63" s="6" t="s">
        <v>4</v>
      </c>
      <c r="D63" s="6" t="s">
        <v>9</v>
      </c>
      <c r="E63" s="6" t="s">
        <v>5</v>
      </c>
      <c r="F63" s="6" t="s">
        <v>7</v>
      </c>
      <c r="G63" s="6" t="s">
        <v>1</v>
      </c>
      <c r="H63" s="6" t="s">
        <v>6</v>
      </c>
      <c r="I63" s="6" t="s">
        <v>33</v>
      </c>
      <c r="J63" s="6" t="s">
        <v>8</v>
      </c>
      <c r="K63" s="6" t="s">
        <v>185</v>
      </c>
      <c r="V63" s="1"/>
      <c r="W63" s="1"/>
      <c r="X63" s="1"/>
      <c r="Y63" s="1"/>
      <c r="Z63" s="1"/>
      <c r="AA63" s="1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  <c r="AX63" s="1"/>
      <c r="AY63" s="1"/>
      <c r="AZ63" s="1"/>
      <c r="BA63" s="1"/>
      <c r="BB63"/>
      <c r="BC63"/>
      <c r="BD63"/>
      <c r="BE63"/>
      <c r="BF63"/>
      <c r="BG63"/>
      <c r="BH63"/>
      <c r="BI63"/>
      <c r="BJ63"/>
      <c r="BK63" s="1"/>
      <c r="BL63" s="1"/>
      <c r="BM63" s="1"/>
      <c r="BN63" s="1"/>
      <c r="BO63" s="1"/>
      <c r="BP63" s="1"/>
      <c r="BQ63" s="1"/>
      <c r="BR63" s="1"/>
      <c r="BS63" s="1"/>
      <c r="BT63" s="1"/>
      <c r="BU63" s="1"/>
      <c r="BV63" s="1"/>
      <c r="BW63" s="1"/>
      <c r="BX63" s="1"/>
      <c r="BY63" s="1"/>
      <c r="BZ63" s="1"/>
      <c r="CA63" s="1"/>
      <c r="CB63" s="1"/>
      <c r="CC63" s="1"/>
    </row>
    <row r="64" spans="1:81" ht="15.6" customHeight="1" x14ac:dyDescent="0.3">
      <c r="A64" s="35">
        <v>0</v>
      </c>
      <c r="B64"/>
      <c r="C64"/>
      <c r="D64"/>
      <c r="E64"/>
      <c r="F64"/>
      <c r="G64"/>
      <c r="H64"/>
      <c r="I64"/>
      <c r="J64"/>
      <c r="K64"/>
      <c r="V64" s="1"/>
      <c r="W64" s="1"/>
      <c r="X64" s="1"/>
      <c r="Y64" s="1"/>
      <c r="Z64" s="1"/>
      <c r="AA64" s="1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  <c r="AX64" s="1"/>
      <c r="AY64" s="1"/>
      <c r="AZ64" s="1"/>
      <c r="BA64" s="1"/>
      <c r="BB64"/>
      <c r="BC64"/>
      <c r="BD64"/>
      <c r="BE64"/>
      <c r="BF64"/>
      <c r="BG64"/>
      <c r="BH64"/>
      <c r="BI64"/>
      <c r="BJ64"/>
      <c r="BK64" s="1"/>
      <c r="BL64" s="1"/>
      <c r="BM64" s="1"/>
      <c r="BN64" s="1"/>
      <c r="BO64" s="1"/>
      <c r="BP64" s="1"/>
      <c r="BQ64" s="1"/>
      <c r="BR64" s="1"/>
      <c r="BS64" s="1"/>
      <c r="BT64" s="1"/>
      <c r="BU64" s="1"/>
      <c r="BV64" s="1"/>
      <c r="BW64" s="1"/>
      <c r="BX64" s="1"/>
      <c r="BY64" s="1"/>
      <c r="BZ64" s="1"/>
      <c r="CA64" s="1"/>
      <c r="CB64" s="1"/>
      <c r="CC64" s="1"/>
    </row>
    <row r="65" spans="1:81" ht="15.6" customHeight="1" x14ac:dyDescent="0.3">
      <c r="A65" s="35">
        <v>3</v>
      </c>
      <c r="B65" s="3" t="str">
        <f>E55</f>
        <v xml:space="preserve">وحدة علوية  تلبيسة دلفة /دلفتين </v>
      </c>
      <c r="C65" s="6">
        <v>1</v>
      </c>
      <c r="D65" s="6" t="str">
        <f ca="1">H61</f>
        <v>HPL</v>
      </c>
      <c r="E65" s="6" t="s">
        <v>49</v>
      </c>
      <c r="F65" s="6">
        <f>H57-3.6</f>
        <v>-3.6</v>
      </c>
      <c r="G65" s="6">
        <f ca="1">J57-E60</f>
        <v>30</v>
      </c>
      <c r="H65" s="6">
        <f>1*C55</f>
        <v>1</v>
      </c>
      <c r="I65" s="6">
        <f ca="1">HLOOKUP(D65, materials[], 2,FALSE)</f>
        <v>2</v>
      </c>
      <c r="J65" s="6"/>
      <c r="K65" s="6" t="b">
        <v>1</v>
      </c>
      <c r="V65" s="1"/>
      <c r="W65" s="1"/>
      <c r="X65" s="1"/>
      <c r="Y65" s="1"/>
      <c r="Z65" s="1"/>
      <c r="AA65" s="1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  <c r="AX65" s="1"/>
      <c r="AY65" s="1"/>
      <c r="AZ65" s="1"/>
      <c r="BA65" s="1"/>
      <c r="BB65"/>
      <c r="BC65"/>
      <c r="BD65"/>
      <c r="BE65"/>
      <c r="BF65"/>
      <c r="BG65"/>
      <c r="BH65"/>
      <c r="BI65"/>
      <c r="BJ65"/>
      <c r="BK65" s="1"/>
      <c r="BL65" s="1"/>
      <c r="BM65" s="1"/>
      <c r="BN65" s="1"/>
      <c r="BO65" s="1"/>
      <c r="BP65" s="1"/>
      <c r="BQ65" s="1"/>
      <c r="BR65" s="1"/>
      <c r="BS65" s="1"/>
      <c r="BT65" s="1"/>
      <c r="BU65" s="1"/>
      <c r="BV65" s="1"/>
      <c r="BW65" s="1"/>
      <c r="BX65" s="1"/>
      <c r="BY65" s="1"/>
      <c r="BZ65" s="1"/>
      <c r="CA65" s="1"/>
      <c r="CB65" s="1"/>
      <c r="CC65" s="1"/>
    </row>
    <row r="66" spans="1:81" ht="15.6" customHeight="1" x14ac:dyDescent="0.3">
      <c r="A66" s="35">
        <v>3</v>
      </c>
      <c r="B66" s="3" t="str">
        <f>B65</f>
        <v xml:space="preserve">وحدة علوية  تلبيسة دلفة /دلفتين </v>
      </c>
      <c r="C66" s="6">
        <f t="shared" ref="C66:C69" si="2">C65+1</f>
        <v>2</v>
      </c>
      <c r="D66" s="6" t="str">
        <f ca="1">H61</f>
        <v>HPL</v>
      </c>
      <c r="E66" s="6" t="s">
        <v>10</v>
      </c>
      <c r="F66" s="6">
        <f>H57-3.6</f>
        <v>-3.6</v>
      </c>
      <c r="G66" s="6">
        <f ca="1">J57-G57-E60</f>
        <v>30</v>
      </c>
      <c r="H66" s="6">
        <f>1*C55</f>
        <v>1</v>
      </c>
      <c r="I66" s="6">
        <f ca="1">HLOOKUP(D66, materials[], 2,FALSE)</f>
        <v>2</v>
      </c>
      <c r="J66" s="6"/>
      <c r="K66" s="6" t="b">
        <v>1</v>
      </c>
      <c r="V66" s="1"/>
      <c r="W66" s="1"/>
      <c r="X66" s="1"/>
      <c r="Y66" s="1"/>
      <c r="Z66" s="1"/>
      <c r="AA66" s="1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  <c r="AX66" s="1"/>
      <c r="AY66" s="1"/>
      <c r="AZ66" s="1"/>
      <c r="BA66" s="1"/>
      <c r="BB66"/>
      <c r="BC66"/>
      <c r="BD66"/>
      <c r="BE66"/>
      <c r="BF66"/>
      <c r="BG66"/>
      <c r="BH66"/>
      <c r="BI66"/>
      <c r="BJ66"/>
      <c r="BK66" s="1"/>
      <c r="BL66" s="1"/>
      <c r="BM66" s="1"/>
      <c r="BN66" s="1"/>
      <c r="BO66" s="1"/>
      <c r="BP66" s="1"/>
      <c r="BQ66" s="1"/>
      <c r="BR66" s="1"/>
      <c r="BS66" s="1"/>
      <c r="BT66" s="1"/>
      <c r="BU66" s="1"/>
      <c r="BV66" s="1"/>
      <c r="BW66" s="1"/>
      <c r="BX66" s="1"/>
      <c r="BY66" s="1"/>
      <c r="BZ66" s="1"/>
      <c r="CA66" s="1"/>
      <c r="CB66" s="1"/>
      <c r="CC66" s="1"/>
    </row>
    <row r="67" spans="1:81" ht="15.6" customHeight="1" x14ac:dyDescent="0.3">
      <c r="A67" s="35">
        <v>3</v>
      </c>
      <c r="B67" s="3" t="str">
        <f>B65</f>
        <v xml:space="preserve">وحدة علوية  تلبيسة دلفة /دلفتين </v>
      </c>
      <c r="C67" s="6">
        <f t="shared" si="2"/>
        <v>3</v>
      </c>
      <c r="D67" s="6" t="str">
        <f ca="1">H61</f>
        <v>HPL</v>
      </c>
      <c r="E67" s="6" t="s">
        <v>11</v>
      </c>
      <c r="F67" s="6">
        <f ca="1">I57</f>
        <v>70</v>
      </c>
      <c r="G67" s="6">
        <f ca="1">J57</f>
        <v>30</v>
      </c>
      <c r="H67" s="6">
        <f>2*C55</f>
        <v>2</v>
      </c>
      <c r="I67" s="6">
        <f ca="1">HLOOKUP(D67, materials[], 2,FALSE)</f>
        <v>2</v>
      </c>
      <c r="J67" s="6"/>
      <c r="K67" s="6" t="b">
        <v>1</v>
      </c>
      <c r="V67" s="1"/>
      <c r="W67" s="1"/>
      <c r="X67" s="1"/>
      <c r="Y67" s="1"/>
      <c r="Z67" s="1"/>
      <c r="AA67" s="1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  <c r="AX67" s="1"/>
      <c r="AY67" s="1"/>
      <c r="AZ67" s="1"/>
      <c r="BA67" s="1"/>
      <c r="BB67"/>
      <c r="BC67"/>
      <c r="BD67"/>
      <c r="BE67"/>
      <c r="BF67"/>
      <c r="BG67"/>
      <c r="BH67"/>
      <c r="BI67"/>
      <c r="BJ67"/>
      <c r="BK67" s="1"/>
      <c r="BL67" s="1"/>
      <c r="BM67" s="1"/>
      <c r="BN67" s="1"/>
      <c r="BO67" s="1"/>
      <c r="BP67" s="1"/>
      <c r="BQ67" s="1"/>
      <c r="BR67" s="1"/>
      <c r="BS67" s="1"/>
      <c r="BT67" s="1"/>
      <c r="BU67" s="1"/>
      <c r="BV67" s="1"/>
      <c r="BW67" s="1"/>
      <c r="BX67" s="1"/>
      <c r="BY67" s="1"/>
      <c r="BZ67" s="1"/>
      <c r="CA67" s="1"/>
      <c r="CB67" s="1"/>
      <c r="CC67" s="1"/>
    </row>
    <row r="68" spans="1:81" ht="15.6" customHeight="1" x14ac:dyDescent="0.3">
      <c r="A68" s="35">
        <v>3</v>
      </c>
      <c r="B68" s="3" t="str">
        <f>B65</f>
        <v xml:space="preserve">وحدة علوية  تلبيسة دلفة /دلفتين </v>
      </c>
      <c r="C68" s="6">
        <f t="shared" si="2"/>
        <v>4</v>
      </c>
      <c r="D68" s="6" t="str">
        <f ca="1">H61</f>
        <v>HPL</v>
      </c>
      <c r="E68" s="6" t="s">
        <v>17</v>
      </c>
      <c r="F68" s="6">
        <f>H57-3.8</f>
        <v>-3.8</v>
      </c>
      <c r="G68" s="6">
        <f ca="1">J57-6-E60</f>
        <v>24</v>
      </c>
      <c r="H68" s="6">
        <f>E57*C55</f>
        <v>1</v>
      </c>
      <c r="I68" s="6">
        <f ca="1">HLOOKUP(D68, materials[], 2,FALSE)</f>
        <v>2</v>
      </c>
      <c r="J68" s="6"/>
      <c r="K68" s="6" t="b">
        <v>1</v>
      </c>
      <c r="V68" s="1"/>
      <c r="W68" s="1"/>
      <c r="X68" s="1"/>
      <c r="Y68" s="1"/>
      <c r="Z68" s="1"/>
      <c r="AA68" s="1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  <c r="AX68" s="1"/>
      <c r="AY68" s="1"/>
      <c r="AZ68" s="1"/>
      <c r="BA68" s="1"/>
      <c r="BB68"/>
      <c r="BC68"/>
      <c r="BD68"/>
      <c r="BE68"/>
      <c r="BF68"/>
      <c r="BG68"/>
      <c r="BH68"/>
      <c r="BI68"/>
      <c r="BJ68"/>
      <c r="BK68" s="1"/>
      <c r="BL68" s="1"/>
      <c r="BM68" s="1"/>
      <c r="BN68" s="1"/>
      <c r="BO68" s="1"/>
      <c r="BP68" s="1"/>
      <c r="BQ68" s="1"/>
      <c r="BR68" s="1"/>
      <c r="BS68" s="1"/>
      <c r="BT68" s="1"/>
      <c r="BU68" s="1"/>
      <c r="BV68" s="1"/>
      <c r="BW68" s="1"/>
      <c r="BX68" s="1"/>
      <c r="BY68" s="1"/>
      <c r="BZ68" s="1"/>
      <c r="CA68" s="1"/>
      <c r="CB68" s="1"/>
      <c r="CC68" s="1"/>
    </row>
    <row r="69" spans="1:81" x14ac:dyDescent="0.3">
      <c r="A69" s="35">
        <v>3</v>
      </c>
      <c r="B69" s="3" t="str">
        <f>B65</f>
        <v xml:space="preserve">وحدة علوية  تلبيسة دلفة /دلفتين </v>
      </c>
      <c r="C69" s="6">
        <f t="shared" si="2"/>
        <v>5</v>
      </c>
      <c r="D69" s="6" t="str">
        <f ca="1">H61</f>
        <v>HPL</v>
      </c>
      <c r="E69" s="6" t="s">
        <v>24</v>
      </c>
      <c r="F69" s="6">
        <f ca="1">I57</f>
        <v>70</v>
      </c>
      <c r="G69" s="6">
        <f>I59</f>
        <v>30</v>
      </c>
      <c r="H69" s="6">
        <f>1*C55</f>
        <v>1</v>
      </c>
      <c r="I69" s="6">
        <f ca="1">HLOOKUP(D69, materials[], 2,FALSE)</f>
        <v>2</v>
      </c>
      <c r="J69" s="6"/>
      <c r="K69" s="6" t="b">
        <v>1</v>
      </c>
      <c r="V69" s="1"/>
      <c r="W69" s="1"/>
      <c r="X69" s="1"/>
      <c r="Y69" s="1"/>
      <c r="Z69" s="1"/>
      <c r="AA69" s="1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  <c r="AX69" s="1"/>
      <c r="AY69" s="1"/>
      <c r="AZ69" s="1"/>
      <c r="BA69" s="1"/>
      <c r="BB69"/>
      <c r="BC69"/>
      <c r="BD69"/>
      <c r="BE69"/>
      <c r="BF69"/>
      <c r="BG69"/>
      <c r="BH69"/>
      <c r="BI69"/>
      <c r="BJ69"/>
      <c r="BK69" s="1"/>
      <c r="BL69" s="1"/>
      <c r="BM69" s="1"/>
      <c r="BN69" s="1"/>
      <c r="BO69" s="1"/>
      <c r="BP69" s="1"/>
      <c r="BQ69" s="1"/>
      <c r="BR69" s="1"/>
      <c r="BS69" s="1"/>
      <c r="BT69" s="1"/>
      <c r="BU69" s="1"/>
      <c r="BV69" s="1"/>
      <c r="BW69" s="1"/>
      <c r="BX69" s="1"/>
      <c r="BY69" s="1"/>
      <c r="BZ69" s="1"/>
      <c r="CA69" s="1"/>
      <c r="CB69" s="1"/>
      <c r="CC69" s="1"/>
    </row>
    <row r="70" spans="1:81" x14ac:dyDescent="0.3">
      <c r="A70" s="35">
        <v>0</v>
      </c>
      <c r="B70"/>
      <c r="C70"/>
      <c r="D70"/>
      <c r="E70"/>
      <c r="F70"/>
      <c r="G70"/>
      <c r="H70"/>
      <c r="I70"/>
      <c r="J70"/>
      <c r="K70"/>
      <c r="V70" s="1"/>
      <c r="W70" s="1"/>
      <c r="X70" s="1"/>
      <c r="Y70" s="1"/>
      <c r="Z70" s="1"/>
      <c r="AA70" s="1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  <c r="AX70" s="1"/>
      <c r="AY70" s="1"/>
      <c r="AZ70" s="1"/>
      <c r="BA70" s="1"/>
      <c r="BB70"/>
      <c r="BC70"/>
      <c r="BD70"/>
      <c r="BE70"/>
      <c r="BF70"/>
      <c r="BG70"/>
      <c r="BH70"/>
      <c r="BI70"/>
      <c r="BJ70"/>
      <c r="BK70" s="1"/>
      <c r="BL70" s="1"/>
      <c r="BM70" s="1"/>
      <c r="BN70" s="1"/>
      <c r="BO70" s="1"/>
      <c r="BP70" s="1"/>
      <c r="BQ70" s="1"/>
      <c r="BR70" s="1"/>
      <c r="BS70" s="1"/>
      <c r="BT70" s="1"/>
      <c r="BU70" s="1"/>
      <c r="BV70" s="1"/>
      <c r="BW70" s="1"/>
      <c r="BX70" s="1"/>
      <c r="BY70" s="1"/>
      <c r="BZ70" s="1"/>
      <c r="CA70" s="1"/>
      <c r="CB70" s="1"/>
      <c r="CC70" s="1"/>
    </row>
    <row r="71" spans="1:81" x14ac:dyDescent="0.3">
      <c r="A71" s="35">
        <v>4</v>
      </c>
      <c r="B71" s="3" t="str">
        <f>B65</f>
        <v xml:space="preserve">وحدة علوية  تلبيسة دلفة /دلفتين </v>
      </c>
      <c r="C71" s="9">
        <f>C69+1</f>
        <v>6</v>
      </c>
      <c r="D71" s="9" t="str">
        <f ca="1">F61</f>
        <v>يوفيلاك</v>
      </c>
      <c r="E71" s="9" t="s">
        <v>15</v>
      </c>
      <c r="F71" s="9">
        <f ca="1">I57-0.5-F57</f>
        <v>66</v>
      </c>
      <c r="G71" s="9">
        <f>(H57-I59-J59)/C57-0.5</f>
        <v>-17.5</v>
      </c>
      <c r="H71" s="9">
        <f>C57*C55</f>
        <v>2</v>
      </c>
      <c r="I71" s="9">
        <f ca="1">HLOOKUP(D71, materials[], 2,FALSE)</f>
        <v>6</v>
      </c>
      <c r="J71" s="9"/>
      <c r="K71" s="9" t="b">
        <v>1</v>
      </c>
      <c r="V71" s="1"/>
      <c r="W71" s="1"/>
      <c r="X71" s="1"/>
      <c r="Y71" s="1"/>
      <c r="Z71" s="1"/>
      <c r="AA71" s="1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  <c r="AX71" s="1"/>
      <c r="AY71" s="1"/>
      <c r="AZ71" s="1"/>
      <c r="BA71" s="1"/>
      <c r="BB71"/>
      <c r="BC71"/>
      <c r="BD71"/>
      <c r="BE71"/>
      <c r="BF71"/>
      <c r="BG71"/>
      <c r="BH71"/>
      <c r="BI71"/>
      <c r="BJ71"/>
      <c r="BK71" s="1"/>
      <c r="BL71" s="1"/>
      <c r="BM71" s="1"/>
      <c r="BN71" s="1"/>
      <c r="BO71" s="1"/>
      <c r="BP71" s="1"/>
      <c r="BQ71" s="1"/>
      <c r="BR71" s="1"/>
      <c r="BS71" s="1"/>
      <c r="BT71" s="1"/>
      <c r="BU71" s="1"/>
      <c r="BV71" s="1"/>
      <c r="BW71" s="1"/>
      <c r="BX71" s="1"/>
      <c r="BY71" s="1"/>
      <c r="BZ71" s="1"/>
      <c r="CA71" s="1"/>
      <c r="CB71" s="1"/>
      <c r="CC71" s="1"/>
    </row>
    <row r="72" spans="1:81" x14ac:dyDescent="0.3">
      <c r="A72" s="35">
        <v>4</v>
      </c>
      <c r="B72" s="3" t="str">
        <f>B65</f>
        <v xml:space="preserve">وحدة علوية  تلبيسة دلفة /دلفتين </v>
      </c>
      <c r="C72" s="9">
        <f t="shared" ref="C72" si="3">C71+1</f>
        <v>7</v>
      </c>
      <c r="D72" s="9" t="str">
        <f ca="1">F61</f>
        <v>يوفيلاك</v>
      </c>
      <c r="E72" s="9" t="s">
        <v>25</v>
      </c>
      <c r="F72" s="9">
        <f ca="1">I57</f>
        <v>70</v>
      </c>
      <c r="G72" s="9">
        <f>J59</f>
        <v>4</v>
      </c>
      <c r="H72" s="9">
        <f>1*C55</f>
        <v>1</v>
      </c>
      <c r="I72" s="9">
        <f ca="1">HLOOKUP(D72, materials[], 2,FALSE)</f>
        <v>6</v>
      </c>
      <c r="J72" s="9"/>
      <c r="K72" s="9" t="b">
        <v>1</v>
      </c>
      <c r="V72" s="1"/>
      <c r="W72" s="1"/>
      <c r="X72" s="1"/>
      <c r="Y72" s="1"/>
      <c r="Z72" s="1"/>
      <c r="AA72" s="1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  <c r="AX72" s="1"/>
      <c r="AY72" s="1"/>
      <c r="AZ72" s="1"/>
      <c r="BA72" s="1"/>
      <c r="BB72"/>
      <c r="BC72"/>
      <c r="BD72"/>
      <c r="BE72"/>
      <c r="BF72"/>
      <c r="BG72"/>
      <c r="BH72"/>
      <c r="BI72"/>
      <c r="BJ72"/>
      <c r="BK72" s="1"/>
      <c r="BL72" s="1"/>
      <c r="BM72" s="1"/>
      <c r="BN72" s="1"/>
      <c r="BO72" s="1"/>
      <c r="BP72" s="1"/>
      <c r="BQ72" s="1"/>
      <c r="BR72" s="1"/>
      <c r="BS72" s="1"/>
      <c r="BT72" s="1"/>
      <c r="BU72" s="1"/>
      <c r="BV72" s="1"/>
      <c r="BW72" s="1"/>
      <c r="BX72" s="1"/>
      <c r="BY72" s="1"/>
      <c r="BZ72" s="1"/>
      <c r="CA72" s="1"/>
      <c r="CB72" s="1"/>
      <c r="CC72" s="1"/>
    </row>
    <row r="73" spans="1:81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V73" s="1"/>
      <c r="W73" s="1"/>
      <c r="X73" s="1"/>
      <c r="Y73" s="1"/>
      <c r="Z73" s="1"/>
      <c r="AA73" s="1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  <c r="AX73" s="1"/>
      <c r="AY73" s="1"/>
      <c r="AZ73" s="1"/>
      <c r="BA73" s="1"/>
      <c r="BB73"/>
      <c r="BC73"/>
      <c r="BD73"/>
      <c r="BE73"/>
      <c r="BF73"/>
      <c r="BG73"/>
      <c r="BH73"/>
      <c r="BI73"/>
      <c r="BJ73"/>
      <c r="BK73" s="1"/>
      <c r="BL73" s="1"/>
      <c r="BM73" s="1"/>
      <c r="BN73" s="1"/>
      <c r="BO73" s="1"/>
      <c r="BP73" s="1"/>
      <c r="BQ73" s="1"/>
      <c r="BR73" s="1"/>
      <c r="BS73" s="1"/>
      <c r="BT73" s="1"/>
      <c r="BU73" s="1"/>
      <c r="BV73" s="1"/>
      <c r="BW73" s="1"/>
      <c r="BX73" s="1"/>
      <c r="BY73" s="1"/>
      <c r="BZ73" s="1"/>
      <c r="CA73" s="1"/>
      <c r="CB73" s="1"/>
      <c r="CC73" s="1"/>
    </row>
    <row r="74" spans="1:81" x14ac:dyDescent="0.3">
      <c r="A74" s="35">
        <v>4</v>
      </c>
      <c r="B74" s="3" t="str">
        <f>B68</f>
        <v xml:space="preserve">وحدة علوية  تلبيسة دلفة /دلفتين </v>
      </c>
      <c r="C74" s="9">
        <f>C72+1</f>
        <v>8</v>
      </c>
      <c r="D74" s="9" t="s">
        <v>53</v>
      </c>
      <c r="E74" s="9" t="s">
        <v>71</v>
      </c>
      <c r="F74" s="9">
        <f ca="1">I57-0.5</f>
        <v>69.5</v>
      </c>
      <c r="G74" s="9" t="e">
        <f>(H57-I59-J59)/D57-0.7</f>
        <v>#DIV/0!</v>
      </c>
      <c r="H74" s="9">
        <f>C55*D57</f>
        <v>0</v>
      </c>
      <c r="I74" s="9"/>
      <c r="J74" s="9"/>
      <c r="K74" s="9" t="b">
        <v>1</v>
      </c>
      <c r="V74" s="1"/>
      <c r="W74" s="1"/>
      <c r="X74" s="1"/>
      <c r="Y74" s="1"/>
      <c r="Z74" s="1"/>
      <c r="AA74" s="1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  <c r="AX74" s="1"/>
      <c r="AY74" s="1"/>
      <c r="AZ74" s="1"/>
      <c r="BA74" s="1"/>
      <c r="BB74"/>
      <c r="BC74"/>
      <c r="BD74"/>
      <c r="BE74"/>
      <c r="BF74"/>
      <c r="BG74"/>
      <c r="BH74"/>
      <c r="BI74"/>
      <c r="BJ74"/>
      <c r="BK74" s="1"/>
      <c r="BL74" s="1"/>
      <c r="BM74" s="1"/>
      <c r="BN74" s="1"/>
      <c r="BO74" s="1"/>
      <c r="BP74" s="1"/>
      <c r="BQ74" s="1"/>
      <c r="BR74" s="1"/>
      <c r="BS74" s="1"/>
      <c r="BT74" s="1"/>
      <c r="BU74" s="1"/>
      <c r="BV74" s="1"/>
      <c r="BW74" s="1"/>
      <c r="BX74" s="1"/>
      <c r="BY74" s="1"/>
      <c r="BZ74" s="1"/>
      <c r="CA74" s="1"/>
      <c r="CB74" s="1"/>
      <c r="CC74" s="1"/>
    </row>
    <row r="75" spans="1:81" x14ac:dyDescent="0.3">
      <c r="A75" s="35">
        <v>0</v>
      </c>
      <c r="B75"/>
      <c r="C75"/>
      <c r="D75"/>
      <c r="E75"/>
      <c r="F75"/>
      <c r="G75"/>
      <c r="H75"/>
      <c r="I75"/>
      <c r="J75"/>
      <c r="K75"/>
      <c r="V75" s="1"/>
      <c r="W75" s="1"/>
      <c r="X75" s="1"/>
      <c r="Y75" s="1"/>
      <c r="Z75" s="1"/>
      <c r="AA75" s="1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  <c r="AX75" s="1"/>
      <c r="AY75" s="1"/>
      <c r="AZ75" s="1"/>
      <c r="BA75" s="1"/>
      <c r="BB75"/>
      <c r="BC75"/>
      <c r="BD75"/>
      <c r="BE75"/>
      <c r="BF75"/>
      <c r="BG75"/>
      <c r="BH75"/>
      <c r="BI75"/>
      <c r="BJ75"/>
      <c r="BK75" s="1"/>
      <c r="BL75" s="1"/>
      <c r="BM75" s="1"/>
      <c r="BN75" s="1"/>
      <c r="BO75" s="1"/>
      <c r="BP75" s="1"/>
      <c r="BQ75" s="1"/>
      <c r="BR75" s="1"/>
      <c r="BS75" s="1"/>
      <c r="BT75" s="1"/>
      <c r="BU75" s="1"/>
      <c r="BV75" s="1"/>
      <c r="BW75" s="1"/>
      <c r="BX75" s="1"/>
      <c r="BY75" s="1"/>
      <c r="BZ75" s="1"/>
      <c r="CA75" s="1"/>
      <c r="CB75" s="1"/>
      <c r="CC75" s="1"/>
    </row>
    <row r="76" spans="1:81" x14ac:dyDescent="0.3">
      <c r="A76" s="35">
        <v>5</v>
      </c>
      <c r="B76" s="3" t="str">
        <f>B65</f>
        <v xml:space="preserve">وحدة علوية  تلبيسة دلفة /دلفتين </v>
      </c>
      <c r="C76" s="19">
        <f>C74+1</f>
        <v>9</v>
      </c>
      <c r="D76" s="19" t="str">
        <f ca="1">D61</f>
        <v>ظهر</v>
      </c>
      <c r="E76" s="19" t="s">
        <v>58</v>
      </c>
      <c r="F76" s="19">
        <f ca="1">I57-2</f>
        <v>68</v>
      </c>
      <c r="G76" s="19">
        <f>H57-2</f>
        <v>-2</v>
      </c>
      <c r="H76" s="19">
        <f>1*C55</f>
        <v>1</v>
      </c>
      <c r="I76" s="19">
        <f ca="1">HLOOKUP(D76, materials[], 2,FALSE)</f>
        <v>2</v>
      </c>
      <c r="J76" s="19"/>
      <c r="K76" s="19" t="b">
        <v>1</v>
      </c>
      <c r="V76" s="1"/>
      <c r="W76" s="1"/>
      <c r="X76" s="1"/>
      <c r="Y76" s="1"/>
      <c r="Z76" s="1"/>
      <c r="AA76" s="1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  <c r="AX76" s="1"/>
      <c r="AY76" s="1"/>
      <c r="AZ76" s="1"/>
      <c r="BA76" s="1"/>
      <c r="BB76"/>
      <c r="BC76"/>
      <c r="BD76"/>
      <c r="BE76"/>
      <c r="BF76"/>
      <c r="BG76"/>
      <c r="BH76"/>
      <c r="BI76"/>
      <c r="BJ76"/>
      <c r="BK76" s="1"/>
      <c r="BL76" s="1"/>
      <c r="BM76" s="1"/>
      <c r="BN76" s="1"/>
      <c r="BO76" s="1"/>
      <c r="BP76" s="1"/>
      <c r="BQ76" s="1"/>
      <c r="BR76" s="1"/>
      <c r="BS76" s="1"/>
      <c r="BT76" s="1"/>
      <c r="BU76" s="1"/>
      <c r="BV76" s="1"/>
      <c r="BW76" s="1"/>
      <c r="BX76" s="1"/>
      <c r="BY76" s="1"/>
      <c r="BZ76" s="1"/>
      <c r="CA76" s="1"/>
      <c r="CB76" s="1"/>
      <c r="CC76" s="1"/>
    </row>
    <row r="77" spans="1:81" x14ac:dyDescent="0.3">
      <c r="A77" s="35">
        <v>255</v>
      </c>
      <c r="C77" s="1"/>
      <c r="D77" s="1"/>
      <c r="E77" s="1"/>
      <c r="F77" s="1"/>
      <c r="G77" s="1"/>
      <c r="H77" s="1"/>
      <c r="I77" s="1"/>
      <c r="J77" s="1"/>
      <c r="V77" s="1"/>
      <c r="W77" s="1"/>
      <c r="X77" s="1"/>
      <c r="Y77" s="1"/>
      <c r="Z77" s="1"/>
      <c r="AA77" s="1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  <c r="AX77" s="1"/>
      <c r="AY77" s="1"/>
      <c r="AZ77" s="1"/>
      <c r="BA77" s="1"/>
      <c r="BB77"/>
      <c r="BC77"/>
      <c r="BD77"/>
      <c r="BE77"/>
      <c r="BF77"/>
      <c r="BG77"/>
      <c r="BH77"/>
      <c r="BI77"/>
      <c r="BJ77"/>
      <c r="BK77" s="1"/>
      <c r="BL77" s="1"/>
      <c r="BM77" s="1"/>
      <c r="BN77" s="1"/>
      <c r="BO77" s="1"/>
      <c r="BP77" s="1"/>
      <c r="BQ77" s="1"/>
      <c r="BR77" s="1"/>
      <c r="BS77" s="1"/>
      <c r="BT77" s="1"/>
      <c r="BU77" s="1"/>
      <c r="BV77" s="1"/>
      <c r="BW77" s="1"/>
      <c r="BX77" s="1"/>
      <c r="BY77" s="1"/>
      <c r="BZ77" s="1"/>
      <c r="CA77" s="1"/>
      <c r="CB77" s="1"/>
      <c r="CC77" s="1"/>
    </row>
    <row r="78" spans="1:81" x14ac:dyDescent="0.3">
      <c r="A78" s="35">
        <v>255</v>
      </c>
      <c r="V78" s="1"/>
      <c r="W78" s="1"/>
      <c r="X78" s="1"/>
      <c r="Y78" s="1"/>
      <c r="Z78" s="1"/>
      <c r="AA78" s="1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  <c r="AX78" s="1"/>
      <c r="AY78" s="1"/>
      <c r="AZ78" s="1"/>
      <c r="BA78" s="1"/>
      <c r="BB78"/>
      <c r="BC78"/>
      <c r="BD78"/>
      <c r="BE78"/>
      <c r="BF78"/>
      <c r="BG78"/>
      <c r="BH78"/>
      <c r="BI78"/>
      <c r="BJ78"/>
      <c r="BK78" s="1"/>
      <c r="BL78" s="1"/>
      <c r="BM78" s="1"/>
      <c r="BN78" s="1"/>
      <c r="BO78" s="1"/>
      <c r="BP78" s="1"/>
      <c r="BQ78" s="1"/>
      <c r="BR78" s="1"/>
      <c r="BS78" s="1"/>
      <c r="BT78" s="1"/>
      <c r="BU78" s="1"/>
      <c r="BV78" s="1"/>
      <c r="BW78" s="1"/>
      <c r="BX78" s="1"/>
      <c r="BY78" s="1"/>
      <c r="BZ78" s="1"/>
      <c r="CA78" s="1"/>
      <c r="CB78" s="1"/>
      <c r="CC78" s="1"/>
    </row>
    <row r="79" spans="1:81" ht="36" x14ac:dyDescent="0.3">
      <c r="A79" s="35" t="s">
        <v>161</v>
      </c>
      <c r="C79" s="14">
        <v>1</v>
      </c>
      <c r="D79" s="22" t="s">
        <v>59</v>
      </c>
      <c r="E79" s="101" t="s">
        <v>168</v>
      </c>
      <c r="F79" s="102"/>
      <c r="G79" s="102"/>
      <c r="H79" s="103"/>
      <c r="I79" s="2" t="s">
        <v>30</v>
      </c>
      <c r="J79" s="2">
        <f>letterToNumber(A79)</f>
        <v>4</v>
      </c>
      <c r="K79" s="7">
        <f ca="1">_xlfn.SHEET("وحدات علوية")</f>
        <v>6</v>
      </c>
      <c r="V79" s="1"/>
      <c r="W79" s="1"/>
      <c r="X79" s="1"/>
      <c r="Y79" s="1"/>
      <c r="Z79" s="1"/>
      <c r="AA79" s="1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  <c r="AX79" s="1"/>
      <c r="AY79" s="1"/>
      <c r="AZ79" s="1"/>
      <c r="BA79" s="1"/>
      <c r="BB79"/>
      <c r="BC79"/>
      <c r="BD79"/>
      <c r="BE79"/>
      <c r="BF79"/>
      <c r="BG79"/>
      <c r="BH79"/>
      <c r="BI79"/>
      <c r="BJ79"/>
      <c r="BK79" s="1"/>
      <c r="BL79" s="1"/>
      <c r="BM79" s="1"/>
      <c r="BN79" s="1"/>
      <c r="BO79" s="1"/>
      <c r="BP79" s="1"/>
      <c r="BQ79" s="1"/>
      <c r="BR79" s="1"/>
      <c r="BS79" s="1"/>
      <c r="BT79" s="1"/>
      <c r="BU79" s="1"/>
      <c r="BV79" s="1"/>
      <c r="BW79" s="1"/>
      <c r="BX79" s="1"/>
      <c r="BY79" s="1"/>
      <c r="BZ79" s="1"/>
      <c r="CA79" s="1"/>
      <c r="CB79" s="1"/>
      <c r="CC79" s="1"/>
    </row>
    <row r="80" spans="1:81" ht="31.2" x14ac:dyDescent="0.3">
      <c r="A80" s="35">
        <v>1</v>
      </c>
      <c r="C80" s="7" t="s">
        <v>12</v>
      </c>
      <c r="D80" s="7" t="s">
        <v>55</v>
      </c>
      <c r="E80" s="7" t="s">
        <v>51</v>
      </c>
      <c r="F80" s="7" t="s">
        <v>16</v>
      </c>
      <c r="G80" s="7" t="s">
        <v>115</v>
      </c>
      <c r="H80" s="7" t="s">
        <v>22</v>
      </c>
      <c r="I80" s="7" t="s">
        <v>3</v>
      </c>
      <c r="J80" s="7" t="s">
        <v>113</v>
      </c>
      <c r="K80" s="7"/>
      <c r="V80" s="1"/>
      <c r="W80" s="1"/>
      <c r="X80" s="1"/>
      <c r="Y80" s="1"/>
      <c r="Z80" s="1"/>
      <c r="AA80" s="1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  <c r="AX80" s="1"/>
      <c r="AY80" s="1"/>
      <c r="AZ80" s="1"/>
      <c r="BA80" s="1"/>
      <c r="BB80"/>
      <c r="BC80"/>
      <c r="BD80"/>
      <c r="BE80"/>
      <c r="BF80"/>
      <c r="BG80"/>
      <c r="BH80"/>
      <c r="BI80"/>
      <c r="BJ80"/>
      <c r="BK80" s="1"/>
      <c r="BL80" s="1"/>
      <c r="BM80" s="1"/>
      <c r="BN80" s="1"/>
      <c r="BO80" s="1"/>
      <c r="BP80" s="1"/>
      <c r="BQ80" s="1"/>
      <c r="BR80" s="1"/>
      <c r="BS80" s="1"/>
      <c r="BT80" s="1"/>
      <c r="BU80" s="1"/>
      <c r="BV80" s="1"/>
      <c r="BW80" s="1"/>
      <c r="BX80" s="1"/>
      <c r="BY80" s="1"/>
      <c r="BZ80" s="1"/>
      <c r="CA80" s="1"/>
      <c r="CB80" s="1"/>
      <c r="CC80" s="1"/>
    </row>
    <row r="81" spans="1:81" ht="15.6" x14ac:dyDescent="0.3">
      <c r="A81" s="35">
        <v>1</v>
      </c>
      <c r="C81" s="8">
        <v>1</v>
      </c>
      <c r="D81" s="8">
        <v>0</v>
      </c>
      <c r="E81" s="8">
        <v>0</v>
      </c>
      <c r="F81" s="27" cm="1">
        <f t="array" aca="1" ref="F81" ca="1">defaultValue(F80,K79)</f>
        <v>3.5</v>
      </c>
      <c r="G81" s="27" cm="1">
        <f t="array" aca="1" ref="G81" ca="1">defaultValue(G80,K79)</f>
        <v>0</v>
      </c>
      <c r="H81" s="8"/>
      <c r="I81" s="27" cm="1">
        <f t="array" aca="1" ref="I81" ca="1">defaultValue(I80,K79)</f>
        <v>70</v>
      </c>
      <c r="J81" s="27" cm="1">
        <f t="array" aca="1" ref="J81" ca="1">defaultValue(J80,K79)</f>
        <v>30</v>
      </c>
      <c r="K81" s="7"/>
      <c r="V81" s="1"/>
      <c r="W81" s="1"/>
      <c r="X81" s="1"/>
      <c r="Y81" s="1"/>
      <c r="Z81" s="1"/>
      <c r="AA81" s="1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  <c r="AX81" s="1"/>
      <c r="AY81" s="1"/>
      <c r="AZ81" s="1"/>
      <c r="BA81" s="1"/>
      <c r="BB81"/>
      <c r="BC81"/>
      <c r="BD81"/>
      <c r="BE81"/>
      <c r="BF81"/>
      <c r="BG81"/>
      <c r="BH81"/>
      <c r="BI81"/>
      <c r="BJ81"/>
      <c r="BK81" s="1"/>
      <c r="BL81" s="1"/>
      <c r="BM81" s="1"/>
      <c r="BN81" s="1"/>
      <c r="BO81" s="1"/>
      <c r="BP81" s="1"/>
      <c r="BQ81" s="1"/>
      <c r="BR81" s="1"/>
      <c r="BS81" s="1"/>
      <c r="BT81" s="1"/>
      <c r="BU81" s="1"/>
      <c r="BV81" s="1"/>
      <c r="BW81" s="1"/>
      <c r="BX81" s="1"/>
      <c r="BY81" s="1"/>
      <c r="BZ81" s="1"/>
      <c r="CA81" s="1"/>
      <c r="CB81" s="1"/>
      <c r="CC81" s="1"/>
    </row>
    <row r="82" spans="1:81" ht="15.6" x14ac:dyDescent="0.3">
      <c r="A82" s="35">
        <v>1</v>
      </c>
      <c r="C82" s="9" t="b">
        <f>C81=0</f>
        <v>0</v>
      </c>
      <c r="D82" s="9" t="b">
        <f>E81=0</f>
        <v>1</v>
      </c>
      <c r="E82" s="3" t="b">
        <f ca="1">_xlfn.XOR(I81&lt;=50,E81=1)</f>
        <v>0</v>
      </c>
      <c r="F82" s="108" t="b">
        <f ca="1">NOT(AND(F81&gt;0,G81&gt;0))</f>
        <v>1</v>
      </c>
      <c r="G82" s="110"/>
      <c r="H82" s="3" t="b">
        <f ca="1">_xlfn.XOR(I81&lt;=50,C83=2)</f>
        <v>0</v>
      </c>
      <c r="I82" s="61" t="s">
        <v>166</v>
      </c>
      <c r="J82" s="62" t="s">
        <v>167</v>
      </c>
      <c r="K82" s="7"/>
      <c r="V82" s="1"/>
      <c r="W82" s="1"/>
      <c r="X82" s="1"/>
      <c r="Y82" s="1"/>
      <c r="Z82" s="1"/>
      <c r="AA82" s="1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  <c r="AX82" s="1"/>
      <c r="AY82" s="1"/>
      <c r="AZ82" s="1"/>
      <c r="BA82" s="1"/>
      <c r="BB82"/>
      <c r="BC82"/>
      <c r="BD82"/>
      <c r="BE82"/>
      <c r="BF82"/>
      <c r="BG82"/>
      <c r="BH82"/>
      <c r="BI82"/>
      <c r="BJ82"/>
      <c r="BK82" s="1"/>
      <c r="BL82" s="1"/>
      <c r="BM82" s="1"/>
      <c r="BN82" s="1"/>
      <c r="BO82" s="1"/>
      <c r="BP82" s="1"/>
      <c r="BQ82" s="1"/>
      <c r="BR82" s="1"/>
      <c r="BS82" s="1"/>
      <c r="BT82" s="1"/>
      <c r="BU82" s="1"/>
      <c r="BV82" s="1"/>
      <c r="BW82" s="1"/>
      <c r="BX82" s="1"/>
      <c r="BY82" s="1"/>
      <c r="BZ82" s="1"/>
      <c r="CA82" s="1"/>
      <c r="CB82" s="1"/>
      <c r="CC82" s="1"/>
    </row>
    <row r="83" spans="1:81" ht="24" x14ac:dyDescent="0.3">
      <c r="A83" s="35">
        <v>1</v>
      </c>
      <c r="C83" s="107">
        <f>C81+D81</f>
        <v>1</v>
      </c>
      <c r="D83" s="107"/>
      <c r="E83" s="7" t="s">
        <v>106</v>
      </c>
      <c r="F83" s="111" t="str">
        <f ca="1">IF(F82,"المقابض مظبوطة","مينفعش مقبض مخفي مع بيلت ان")</f>
        <v>المقابض مظبوطة</v>
      </c>
      <c r="G83" s="111"/>
      <c r="H83" s="33" t="str">
        <f ca="1">IF(H82,"عدد الدلف صحيح","عدد الدلف غير صحيح")</f>
        <v>عدد الدلف غير صحيح</v>
      </c>
      <c r="I83" s="61">
        <v>0</v>
      </c>
      <c r="J83" s="62">
        <v>44</v>
      </c>
      <c r="K83" s="7"/>
      <c r="V83" s="1"/>
      <c r="W83" s="1"/>
      <c r="X83" s="1"/>
      <c r="Y83" s="1"/>
      <c r="Z83" s="1"/>
      <c r="AA83" s="1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  <c r="AX83" s="1"/>
      <c r="AY83" s="1"/>
      <c r="AZ83" s="1"/>
      <c r="BA83" s="1"/>
      <c r="BB83"/>
      <c r="BC83"/>
      <c r="BD83"/>
      <c r="BE83"/>
      <c r="BF83"/>
      <c r="BG83"/>
      <c r="BH83"/>
      <c r="BI83"/>
      <c r="BJ83"/>
      <c r="BK83" s="1"/>
      <c r="BL83" s="1"/>
      <c r="BM83" s="1"/>
      <c r="BN83" s="1"/>
      <c r="BO83" s="1"/>
      <c r="BP83" s="1"/>
      <c r="BQ83" s="1"/>
      <c r="BR83" s="1"/>
      <c r="BS83" s="1"/>
      <c r="BT83" s="1"/>
      <c r="BU83" s="1"/>
      <c r="BV83" s="1"/>
      <c r="BW83" s="1"/>
      <c r="BX83" s="1"/>
      <c r="BY83" s="1"/>
      <c r="BZ83" s="1"/>
      <c r="CA83" s="1"/>
      <c r="CB83" s="1"/>
      <c r="CC83" s="1"/>
    </row>
    <row r="84" spans="1:81" ht="15.6" x14ac:dyDescent="0.3">
      <c r="A84" s="35">
        <v>1</v>
      </c>
      <c r="C84" s="108" t="b">
        <f>C83&lt;=2</f>
        <v>1</v>
      </c>
      <c r="D84" s="108"/>
      <c r="E84" s="7">
        <v>0</v>
      </c>
      <c r="F84" s="8"/>
      <c r="G84" s="8"/>
      <c r="H84" s="8"/>
      <c r="I84" s="8"/>
      <c r="J84" s="8"/>
      <c r="K84" s="7"/>
      <c r="V84" s="1"/>
      <c r="W84" s="1"/>
      <c r="X84" s="1"/>
      <c r="Y84" s="1"/>
      <c r="Z84" s="1"/>
      <c r="AA84" s="1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  <c r="AX84" s="1"/>
      <c r="AY84" s="1"/>
      <c r="AZ84" s="1"/>
      <c r="BA84" s="1"/>
      <c r="BB84"/>
      <c r="BC84"/>
      <c r="BD84"/>
      <c r="BE84"/>
      <c r="BF84"/>
      <c r="BG84"/>
      <c r="BH84"/>
      <c r="BI84"/>
      <c r="BJ84"/>
      <c r="BK84" s="1"/>
      <c r="BL84" s="1"/>
      <c r="BM84" s="1"/>
      <c r="BN84" s="1"/>
      <c r="BO84" s="1"/>
      <c r="BP84" s="1"/>
      <c r="BQ84" s="1"/>
      <c r="BR84" s="1"/>
      <c r="BS84" s="1"/>
      <c r="BT84" s="1"/>
      <c r="BU84" s="1"/>
      <c r="BV84" s="1"/>
      <c r="BW84" s="1"/>
      <c r="BX84" s="1"/>
      <c r="BY84" s="1"/>
      <c r="BZ84" s="1"/>
      <c r="CA84" s="1"/>
      <c r="CB84" s="1"/>
      <c r="CC84" s="1"/>
    </row>
    <row r="85" spans="1:81" ht="31.2" x14ac:dyDescent="0.3">
      <c r="A85" s="35">
        <v>1</v>
      </c>
      <c r="B85" s="1"/>
      <c r="C85" s="8"/>
      <c r="D85" s="27" t="str" cm="1">
        <f t="array" aca="1" ref="D85" ca="1">defaultValue(E85,K79)</f>
        <v>ظهر</v>
      </c>
      <c r="E85" s="7" t="s">
        <v>58</v>
      </c>
      <c r="F85" s="27" t="str" cm="1">
        <f t="array" aca="1" ref="F85" ca="1">defaultValue(G85,K79)</f>
        <v>يوفيلاك</v>
      </c>
      <c r="G85" s="7" t="s">
        <v>32</v>
      </c>
      <c r="H85" s="27" t="str" cm="1">
        <f t="array" aca="1" ref="H85" ca="1">defaultValue(I85,K79)</f>
        <v>HPL</v>
      </c>
      <c r="I85" s="7" t="s">
        <v>31</v>
      </c>
      <c r="J85" s="25" t="s">
        <v>111</v>
      </c>
      <c r="K85" s="7"/>
      <c r="V85" s="1"/>
      <c r="W85" s="1"/>
      <c r="X85" s="1"/>
      <c r="Y85" s="1"/>
      <c r="Z85" s="1"/>
      <c r="AA85" s="1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  <c r="AX85" s="1"/>
      <c r="AY85" s="1"/>
      <c r="AZ85" s="1"/>
      <c r="BA85" s="1"/>
      <c r="BB85"/>
      <c r="BC85"/>
      <c r="BD85"/>
      <c r="BE85"/>
      <c r="BF85"/>
      <c r="BG85"/>
      <c r="BH85"/>
      <c r="BI85"/>
      <c r="BJ85"/>
      <c r="BK85" s="1"/>
      <c r="BL85" s="1"/>
      <c r="BM85" s="1"/>
      <c r="BN85" s="1"/>
      <c r="BO85" s="1"/>
      <c r="BP85" s="1"/>
      <c r="BQ85" s="1"/>
      <c r="BR85" s="1"/>
      <c r="BS85" s="1"/>
      <c r="BT85" s="1"/>
      <c r="BU85" s="1"/>
      <c r="BV85" s="1"/>
      <c r="BW85" s="1"/>
      <c r="BX85" s="1"/>
      <c r="BY85" s="1"/>
      <c r="BZ85" s="1"/>
      <c r="CA85" s="1"/>
      <c r="CB85" s="1"/>
      <c r="CC85" s="1"/>
    </row>
    <row r="86" spans="1:81" x14ac:dyDescent="0.3">
      <c r="A86" s="35">
        <v>0</v>
      </c>
      <c r="B86"/>
      <c r="C86"/>
      <c r="D86"/>
      <c r="E86"/>
      <c r="F86"/>
      <c r="G86"/>
      <c r="H86"/>
      <c r="I86"/>
      <c r="J86"/>
      <c r="K86"/>
      <c r="V86" s="1"/>
      <c r="W86" s="1"/>
      <c r="X86" s="1"/>
      <c r="Y86" s="1"/>
      <c r="Z86" s="1"/>
      <c r="AA86" s="1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  <c r="AX86" s="1"/>
      <c r="AY86" s="1"/>
      <c r="AZ86" s="1"/>
      <c r="BA86" s="1"/>
      <c r="BB86"/>
      <c r="BC86"/>
      <c r="BD86"/>
      <c r="BE86"/>
      <c r="BF86"/>
      <c r="BG86"/>
      <c r="BH86"/>
      <c r="BI86"/>
      <c r="BJ86"/>
      <c r="BK86" s="1"/>
      <c r="BL86" s="1"/>
      <c r="BM86" s="1"/>
      <c r="BN86" s="1"/>
      <c r="BO86" s="1"/>
      <c r="BP86" s="1"/>
      <c r="BQ86" s="1"/>
      <c r="BR86" s="1"/>
      <c r="BS86" s="1"/>
      <c r="BT86" s="1"/>
      <c r="BU86" s="1"/>
      <c r="BV86" s="1"/>
      <c r="BW86" s="1"/>
      <c r="BX86" s="1"/>
      <c r="BY86" s="1"/>
      <c r="BZ86" s="1"/>
      <c r="CA86" s="1"/>
      <c r="CB86" s="1"/>
      <c r="CC86" s="1"/>
    </row>
    <row r="87" spans="1:81" x14ac:dyDescent="0.3">
      <c r="A87" s="35">
        <v>2</v>
      </c>
      <c r="C87" s="6" t="s">
        <v>4</v>
      </c>
      <c r="D87" s="6" t="s">
        <v>9</v>
      </c>
      <c r="E87" s="6" t="s">
        <v>5</v>
      </c>
      <c r="F87" s="6" t="s">
        <v>7</v>
      </c>
      <c r="G87" s="6" t="s">
        <v>1</v>
      </c>
      <c r="H87" s="6" t="s">
        <v>6</v>
      </c>
      <c r="I87" s="6" t="s">
        <v>33</v>
      </c>
      <c r="J87" s="6" t="s">
        <v>8</v>
      </c>
      <c r="K87" s="6" t="s">
        <v>185</v>
      </c>
      <c r="V87" s="1"/>
      <c r="W87" s="1"/>
      <c r="X87" s="1"/>
      <c r="Y87" s="1"/>
      <c r="Z87" s="1"/>
      <c r="AA87" s="1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  <c r="AX87" s="1"/>
      <c r="AY87" s="1"/>
      <c r="AZ87" s="1"/>
      <c r="BA87" s="1"/>
      <c r="BB87"/>
      <c r="BC87"/>
      <c r="BD87"/>
      <c r="BE87"/>
      <c r="BF87"/>
      <c r="BG87"/>
      <c r="BH87"/>
      <c r="BI87"/>
      <c r="BJ87"/>
      <c r="BK87" s="1"/>
      <c r="BL87" s="1"/>
      <c r="BM87" s="1"/>
      <c r="BN87" s="1"/>
      <c r="BO87" s="1"/>
      <c r="BP87" s="1"/>
      <c r="BQ87" s="1"/>
      <c r="BR87" s="1"/>
      <c r="BS87" s="1"/>
      <c r="BT87" s="1"/>
      <c r="BU87" s="1"/>
      <c r="BV87" s="1"/>
      <c r="BW87" s="1"/>
      <c r="BX87" s="1"/>
      <c r="BY87" s="1"/>
      <c r="BZ87" s="1"/>
      <c r="CA87" s="1"/>
      <c r="CB87" s="1"/>
      <c r="CC87" s="1"/>
    </row>
    <row r="88" spans="1:81" ht="15.6" customHeight="1" x14ac:dyDescent="0.3">
      <c r="A88" s="35">
        <v>0</v>
      </c>
      <c r="B88"/>
      <c r="C88"/>
      <c r="D88"/>
      <c r="E88"/>
      <c r="F88"/>
      <c r="G88"/>
      <c r="H88"/>
      <c r="I88"/>
      <c r="J88"/>
      <c r="K88"/>
      <c r="V88" s="1"/>
      <c r="W88" s="1"/>
      <c r="X88" s="1"/>
      <c r="Y88" s="1"/>
      <c r="Z88" s="1"/>
      <c r="AA88" s="1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  <c r="AX88" s="1"/>
      <c r="AY88" s="1"/>
      <c r="AZ88" s="1"/>
      <c r="BA88" s="1"/>
      <c r="BB88"/>
      <c r="BC88"/>
      <c r="BD88"/>
      <c r="BE88"/>
      <c r="BF88"/>
      <c r="BG88"/>
      <c r="BH88"/>
      <c r="BI88"/>
      <c r="BJ88"/>
      <c r="BK88" s="1"/>
      <c r="BL88" s="1"/>
      <c r="BM88" s="1"/>
      <c r="BN88" s="1"/>
      <c r="BO88" s="1"/>
      <c r="BP88" s="1"/>
      <c r="BQ88" s="1"/>
      <c r="BR88" s="1"/>
      <c r="BS88" s="1"/>
      <c r="BT88" s="1"/>
      <c r="BU88" s="1"/>
      <c r="BV88" s="1"/>
      <c r="BW88" s="1"/>
      <c r="BX88" s="1"/>
      <c r="BY88" s="1"/>
      <c r="BZ88" s="1"/>
      <c r="CA88" s="1"/>
      <c r="CB88" s="1"/>
      <c r="CC88" s="1"/>
    </row>
    <row r="89" spans="1:81" ht="15.6" customHeight="1" x14ac:dyDescent="0.3">
      <c r="A89" s="35">
        <v>3</v>
      </c>
      <c r="B89" s="3" t="str">
        <f>E79</f>
        <v>وحدة علوية  تلبيسة دلفة /دلفتين قلاب</v>
      </c>
      <c r="C89" s="6">
        <v>1</v>
      </c>
      <c r="D89" s="6" t="str">
        <f ca="1">H85</f>
        <v>HPL</v>
      </c>
      <c r="E89" s="6" t="s">
        <v>49</v>
      </c>
      <c r="F89" s="6">
        <f>H81-3.6</f>
        <v>-3.6</v>
      </c>
      <c r="G89" s="6">
        <f ca="1">J81-E84</f>
        <v>30</v>
      </c>
      <c r="H89" s="6">
        <f>1*C79</f>
        <v>1</v>
      </c>
      <c r="I89" s="6">
        <f ca="1">HLOOKUP(D89, materials[], 2,FALSE)</f>
        <v>2</v>
      </c>
      <c r="J89" s="6"/>
      <c r="K89" s="6" t="b">
        <v>1</v>
      </c>
      <c r="V89" s="1"/>
      <c r="W89" s="1"/>
      <c r="X89" s="1"/>
      <c r="Y89" s="1"/>
      <c r="Z89" s="1"/>
      <c r="AA89" s="1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  <c r="AX89" s="1"/>
      <c r="AY89" s="1"/>
      <c r="AZ89" s="1"/>
      <c r="BA89" s="1"/>
      <c r="BB89"/>
      <c r="BC89"/>
      <c r="BD89"/>
      <c r="BE89"/>
      <c r="BF89"/>
      <c r="BG89"/>
      <c r="BH89"/>
      <c r="BI89"/>
      <c r="BJ89"/>
      <c r="BK89" s="1"/>
      <c r="BL89" s="1"/>
      <c r="BM89" s="1"/>
      <c r="BN89" s="1"/>
      <c r="BO89" s="1"/>
      <c r="BP89" s="1"/>
      <c r="BQ89" s="1"/>
      <c r="BR89" s="1"/>
      <c r="BS89" s="1"/>
      <c r="BT89" s="1"/>
      <c r="BU89" s="1"/>
      <c r="BV89" s="1"/>
      <c r="BW89" s="1"/>
      <c r="BX89" s="1"/>
      <c r="BY89" s="1"/>
      <c r="BZ89" s="1"/>
      <c r="CA89" s="1"/>
      <c r="CB89" s="1"/>
      <c r="CC89" s="1"/>
    </row>
    <row r="90" spans="1:81" ht="15.6" customHeight="1" x14ac:dyDescent="0.3">
      <c r="A90" s="35">
        <v>3</v>
      </c>
      <c r="B90" s="3" t="str">
        <f>B89</f>
        <v>وحدة علوية  تلبيسة دلفة /دلفتين قلاب</v>
      </c>
      <c r="C90" s="6">
        <f t="shared" ref="C90:C93" si="4">C89+1</f>
        <v>2</v>
      </c>
      <c r="D90" s="6" t="str">
        <f ca="1">H85</f>
        <v>HPL</v>
      </c>
      <c r="E90" s="6" t="s">
        <v>10</v>
      </c>
      <c r="F90" s="6">
        <f>H81-3.6</f>
        <v>-3.6</v>
      </c>
      <c r="G90" s="6">
        <f ca="1">J81-G81-E84</f>
        <v>30</v>
      </c>
      <c r="H90" s="6">
        <f>1*C79</f>
        <v>1</v>
      </c>
      <c r="I90" s="6">
        <f ca="1">HLOOKUP(D90, materials[], 2,FALSE)</f>
        <v>2</v>
      </c>
      <c r="J90" s="6"/>
      <c r="K90" s="6" t="b">
        <v>1</v>
      </c>
      <c r="V90" s="1"/>
      <c r="W90" s="1"/>
      <c r="X90" s="1"/>
      <c r="Y90" s="1"/>
      <c r="Z90" s="1"/>
      <c r="AA90" s="1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  <c r="AX90" s="1"/>
      <c r="AY90" s="1"/>
      <c r="AZ90" s="1"/>
      <c r="BA90" s="1"/>
      <c r="BB90"/>
      <c r="BC90"/>
      <c r="BD90"/>
      <c r="BE90"/>
      <c r="BF90"/>
      <c r="BG90"/>
      <c r="BH90"/>
      <c r="BI90"/>
      <c r="BJ90"/>
      <c r="BK90" s="1"/>
      <c r="BL90" s="1"/>
      <c r="BM90" s="1"/>
      <c r="BN90" s="1"/>
      <c r="BO90" s="1"/>
      <c r="BP90" s="1"/>
      <c r="BQ90" s="1"/>
      <c r="BR90" s="1"/>
      <c r="BS90" s="1"/>
      <c r="BT90" s="1"/>
      <c r="BU90" s="1"/>
      <c r="BV90" s="1"/>
      <c r="BW90" s="1"/>
      <c r="BX90" s="1"/>
      <c r="BY90" s="1"/>
      <c r="BZ90" s="1"/>
      <c r="CA90" s="1"/>
      <c r="CB90" s="1"/>
      <c r="CC90" s="1"/>
    </row>
    <row r="91" spans="1:81" ht="15.6" customHeight="1" x14ac:dyDescent="0.3">
      <c r="A91" s="35">
        <v>3</v>
      </c>
      <c r="B91" s="3" t="str">
        <f>B89</f>
        <v>وحدة علوية  تلبيسة دلفة /دلفتين قلاب</v>
      </c>
      <c r="C91" s="6">
        <f t="shared" si="4"/>
        <v>3</v>
      </c>
      <c r="D91" s="6" t="str">
        <f ca="1">H85</f>
        <v>HPL</v>
      </c>
      <c r="E91" s="6" t="s">
        <v>11</v>
      </c>
      <c r="F91" s="6">
        <f ca="1">I81</f>
        <v>70</v>
      </c>
      <c r="G91" s="6">
        <f ca="1">J81</f>
        <v>30</v>
      </c>
      <c r="H91" s="6">
        <f>2*C79</f>
        <v>2</v>
      </c>
      <c r="I91" s="6">
        <f ca="1">HLOOKUP(D91, materials[], 2,FALSE)</f>
        <v>2</v>
      </c>
      <c r="J91" s="6"/>
      <c r="K91" s="6" t="b">
        <v>1</v>
      </c>
      <c r="V91" s="1"/>
      <c r="W91" s="1"/>
      <c r="X91" s="1"/>
      <c r="Y91" s="1"/>
      <c r="Z91" s="1"/>
      <c r="AA91" s="1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  <c r="AX91" s="1"/>
      <c r="AY91" s="1"/>
      <c r="AZ91" s="1"/>
      <c r="BA91" s="1"/>
      <c r="BB91"/>
      <c r="BC91"/>
      <c r="BD91"/>
      <c r="BE91"/>
      <c r="BF91"/>
      <c r="BG91"/>
      <c r="BH91"/>
      <c r="BI91"/>
      <c r="BJ91"/>
      <c r="BK91" s="1"/>
      <c r="BL91" s="1"/>
      <c r="BM91" s="1"/>
      <c r="BN91" s="1"/>
      <c r="BO91" s="1"/>
      <c r="BP91" s="1"/>
      <c r="BQ91" s="1"/>
      <c r="BR91" s="1"/>
      <c r="BS91" s="1"/>
      <c r="BT91" s="1"/>
      <c r="BU91" s="1"/>
      <c r="BV91" s="1"/>
      <c r="BW91" s="1"/>
      <c r="BX91" s="1"/>
      <c r="BY91" s="1"/>
      <c r="BZ91" s="1"/>
      <c r="CA91" s="1"/>
      <c r="CB91" s="1"/>
      <c r="CC91" s="1"/>
    </row>
    <row r="92" spans="1:81" ht="15.6" customHeight="1" x14ac:dyDescent="0.3">
      <c r="A92" s="35">
        <v>3</v>
      </c>
      <c r="B92" s="3" t="str">
        <f>B89</f>
        <v>وحدة علوية  تلبيسة دلفة /دلفتين قلاب</v>
      </c>
      <c r="C92" s="6">
        <f t="shared" si="4"/>
        <v>4</v>
      </c>
      <c r="D92" s="6" t="str">
        <f ca="1">H85</f>
        <v>HPL</v>
      </c>
      <c r="E92" s="6" t="s">
        <v>51</v>
      </c>
      <c r="F92" s="6">
        <f>H81-3.6</f>
        <v>-3.6</v>
      </c>
      <c r="G92" s="6">
        <f ca="1">J81-6-E84</f>
        <v>24</v>
      </c>
      <c r="H92" s="6">
        <f>E81*C79</f>
        <v>0</v>
      </c>
      <c r="I92" s="6">
        <f ca="1">HLOOKUP(D92, materials[], 2,FALSE)</f>
        <v>2</v>
      </c>
      <c r="J92" s="6"/>
      <c r="K92" s="6" t="b">
        <v>1</v>
      </c>
      <c r="V92" s="1"/>
      <c r="W92" s="1"/>
      <c r="X92" s="1"/>
      <c r="Y92" s="1"/>
      <c r="Z92" s="1"/>
      <c r="AA92" s="1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  <c r="AX92" s="1"/>
      <c r="AY92" s="1"/>
      <c r="AZ92" s="1"/>
      <c r="BA92" s="1"/>
      <c r="BB92"/>
      <c r="BC92"/>
      <c r="BD92"/>
      <c r="BE92"/>
      <c r="BF92"/>
      <c r="BG92"/>
      <c r="BH92"/>
      <c r="BI92"/>
      <c r="BJ92"/>
      <c r="BK92" s="1"/>
      <c r="BL92" s="1"/>
      <c r="BM92" s="1"/>
      <c r="BN92" s="1"/>
      <c r="BO92" s="1"/>
      <c r="BP92" s="1"/>
      <c r="BQ92" s="1"/>
      <c r="BR92" s="1"/>
      <c r="BS92" s="1"/>
      <c r="BT92" s="1"/>
      <c r="BU92" s="1"/>
      <c r="BV92" s="1"/>
      <c r="BW92" s="1"/>
      <c r="BX92" s="1"/>
      <c r="BY92" s="1"/>
      <c r="BZ92" s="1"/>
      <c r="CA92" s="1"/>
      <c r="CB92" s="1"/>
      <c r="CC92" s="1"/>
    </row>
    <row r="93" spans="1:81" x14ac:dyDescent="0.3">
      <c r="A93" s="35">
        <v>3</v>
      </c>
      <c r="B93" s="3" t="str">
        <f>B89</f>
        <v>وحدة علوية  تلبيسة دلفة /دلفتين قلاب</v>
      </c>
      <c r="C93" s="6">
        <f t="shared" si="4"/>
        <v>5</v>
      </c>
      <c r="D93" s="6" t="str">
        <f ca="1">H85</f>
        <v>HPL</v>
      </c>
      <c r="E93" s="6" t="s">
        <v>24</v>
      </c>
      <c r="F93" s="6">
        <f ca="1">I81</f>
        <v>70</v>
      </c>
      <c r="G93" s="6">
        <f>I83</f>
        <v>0</v>
      </c>
      <c r="H93" s="6">
        <f>1*C79</f>
        <v>1</v>
      </c>
      <c r="I93" s="6">
        <f ca="1">HLOOKUP(D93, materials[], 2,FALSE)</f>
        <v>2</v>
      </c>
      <c r="J93" s="6"/>
      <c r="K93" s="6" t="b">
        <v>1</v>
      </c>
      <c r="V93" s="1"/>
      <c r="W93" s="1"/>
      <c r="X93" s="1"/>
      <c r="Y93" s="1"/>
      <c r="Z93" s="1"/>
      <c r="AA93" s="1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  <c r="AX93" s="1"/>
      <c r="AY93" s="1"/>
      <c r="AZ93" s="1"/>
      <c r="BA93" s="1"/>
      <c r="BB93"/>
      <c r="BC93"/>
      <c r="BD93"/>
      <c r="BE93"/>
      <c r="BF93"/>
      <c r="BG93"/>
      <c r="BH93"/>
      <c r="BI93"/>
      <c r="BJ93"/>
      <c r="BK93" s="1"/>
      <c r="BL93" s="1"/>
      <c r="BM93" s="1"/>
      <c r="BN93" s="1"/>
      <c r="BO93" s="1"/>
      <c r="BP93" s="1"/>
      <c r="BQ93" s="1"/>
      <c r="BR93" s="1"/>
      <c r="BS93" s="1"/>
      <c r="BT93" s="1"/>
      <c r="BU93" s="1"/>
      <c r="BV93" s="1"/>
      <c r="BW93" s="1"/>
      <c r="BX93" s="1"/>
      <c r="BY93" s="1"/>
      <c r="BZ93" s="1"/>
      <c r="CA93" s="1"/>
      <c r="CB93" s="1"/>
      <c r="CC93" s="1"/>
    </row>
    <row r="94" spans="1:81" x14ac:dyDescent="0.3">
      <c r="A94" s="35">
        <v>0</v>
      </c>
      <c r="B94"/>
      <c r="C94"/>
      <c r="D94"/>
      <c r="E94"/>
      <c r="F94"/>
      <c r="G94"/>
      <c r="H94"/>
      <c r="I94"/>
      <c r="J94"/>
      <c r="K94"/>
      <c r="V94" s="1"/>
      <c r="W94" s="1"/>
      <c r="X94" s="1"/>
      <c r="Y94" s="1"/>
      <c r="Z94" s="1"/>
      <c r="AA94" s="1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  <c r="AX94" s="1"/>
      <c r="AY94" s="1"/>
      <c r="AZ94" s="1"/>
      <c r="BA94" s="1"/>
      <c r="BB94"/>
      <c r="BC94"/>
      <c r="BD94"/>
      <c r="BE94"/>
      <c r="BF94"/>
      <c r="BG94"/>
      <c r="BH94"/>
      <c r="BI94"/>
      <c r="BJ94"/>
      <c r="BK94" s="1"/>
      <c r="BL94" s="1"/>
      <c r="BM94" s="1"/>
      <c r="BN94" s="1"/>
      <c r="BO94" s="1"/>
      <c r="BP94" s="1"/>
      <c r="BQ94" s="1"/>
      <c r="BR94" s="1"/>
      <c r="BS94" s="1"/>
      <c r="BT94" s="1"/>
      <c r="BU94" s="1"/>
      <c r="BV94" s="1"/>
      <c r="BW94" s="1"/>
      <c r="BX94" s="1"/>
      <c r="BY94" s="1"/>
      <c r="BZ94" s="1"/>
      <c r="CA94" s="1"/>
      <c r="CB94" s="1"/>
      <c r="CC94" s="1"/>
    </row>
    <row r="95" spans="1:81" x14ac:dyDescent="0.3">
      <c r="A95" s="35">
        <v>4</v>
      </c>
      <c r="B95" s="3" t="str">
        <f>B89</f>
        <v>وحدة علوية  تلبيسة دلفة /دلفتين قلاب</v>
      </c>
      <c r="C95" s="9">
        <f>C93+1</f>
        <v>6</v>
      </c>
      <c r="D95" s="9" t="str">
        <f ca="1">F85</f>
        <v>يوفيلاك</v>
      </c>
      <c r="E95" s="9" t="s">
        <v>169</v>
      </c>
      <c r="F95" s="9">
        <f ca="1">(I81/C83)-0.5-F81</f>
        <v>66</v>
      </c>
      <c r="G95" s="9">
        <f>H81-0.5-I83-J83</f>
        <v>-44.5</v>
      </c>
      <c r="H95" s="9">
        <f>C81*C79</f>
        <v>1</v>
      </c>
      <c r="I95" s="9">
        <f ca="1">HLOOKUP(D95, materials[], 2,FALSE)</f>
        <v>6</v>
      </c>
      <c r="J95" s="9"/>
      <c r="K95" s="9" t="b">
        <v>1</v>
      </c>
      <c r="V95" s="1"/>
      <c r="W95" s="1"/>
      <c r="X95" s="1"/>
      <c r="Y95" s="1"/>
      <c r="Z95" s="1"/>
      <c r="AA95" s="1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  <c r="AX95" s="1"/>
      <c r="AY95" s="1"/>
      <c r="AZ95" s="1"/>
      <c r="BA95" s="1"/>
      <c r="BB95"/>
      <c r="BC95"/>
      <c r="BD95"/>
      <c r="BE95"/>
      <c r="BF95"/>
      <c r="BG95"/>
      <c r="BH95"/>
      <c r="BI95"/>
      <c r="BJ95"/>
      <c r="BK95" s="1"/>
      <c r="BL95" s="1"/>
      <c r="BM95" s="1"/>
      <c r="BN95" s="1"/>
      <c r="BO95" s="1"/>
      <c r="BP95" s="1"/>
      <c r="BQ95" s="1"/>
      <c r="BR95" s="1"/>
      <c r="BS95" s="1"/>
      <c r="BT95" s="1"/>
      <c r="BU95" s="1"/>
      <c r="BV95" s="1"/>
      <c r="BW95" s="1"/>
      <c r="BX95" s="1"/>
      <c r="BY95" s="1"/>
      <c r="BZ95" s="1"/>
      <c r="CA95" s="1"/>
      <c r="CB95" s="1"/>
      <c r="CC95" s="1"/>
    </row>
    <row r="96" spans="1:81" x14ac:dyDescent="0.3">
      <c r="A96" s="35">
        <v>4</v>
      </c>
      <c r="B96" s="3" t="str">
        <f>B89</f>
        <v>وحدة علوية  تلبيسة دلفة /دلفتين قلاب</v>
      </c>
      <c r="C96" s="9">
        <f t="shared" ref="C96" si="5">C95+1</f>
        <v>7</v>
      </c>
      <c r="D96" s="9" t="str">
        <f ca="1">F85</f>
        <v>يوفيلاك</v>
      </c>
      <c r="E96" s="9" t="s">
        <v>25</v>
      </c>
      <c r="F96" s="9">
        <f ca="1">I81</f>
        <v>70</v>
      </c>
      <c r="G96" s="9">
        <f>J83</f>
        <v>44</v>
      </c>
      <c r="H96" s="9">
        <f>1*C79</f>
        <v>1</v>
      </c>
      <c r="I96" s="9">
        <f ca="1">HLOOKUP(D96, materials[], 2,FALSE)</f>
        <v>6</v>
      </c>
      <c r="J96" s="9"/>
      <c r="K96" s="9" t="b">
        <v>1</v>
      </c>
      <c r="V96" s="1"/>
      <c r="W96" s="1"/>
      <c r="X96" s="1"/>
      <c r="Y96" s="1"/>
      <c r="Z96" s="1"/>
      <c r="AA96" s="1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  <c r="AX96" s="1"/>
      <c r="AY96" s="1"/>
      <c r="AZ96" s="1"/>
      <c r="BA96" s="1"/>
      <c r="BB96"/>
      <c r="BC96"/>
      <c r="BD96"/>
      <c r="BE96"/>
      <c r="BF96"/>
      <c r="BG96"/>
      <c r="BH96"/>
      <c r="BI96"/>
      <c r="BJ96"/>
      <c r="BK96" s="1"/>
      <c r="BL96" s="1"/>
      <c r="BM96" s="1"/>
      <c r="BN96" s="1"/>
      <c r="BO96" s="1"/>
      <c r="BP96" s="1"/>
      <c r="BQ96" s="1"/>
      <c r="BR96" s="1"/>
      <c r="BS96" s="1"/>
      <c r="BT96" s="1"/>
      <c r="BU96" s="1"/>
      <c r="BV96" s="1"/>
      <c r="BW96" s="1"/>
      <c r="BX96" s="1"/>
      <c r="BY96" s="1"/>
      <c r="BZ96" s="1"/>
      <c r="CA96" s="1"/>
      <c r="CB96" s="1"/>
      <c r="CC96" s="1"/>
    </row>
    <row r="97" spans="1:81" x14ac:dyDescent="0.3">
      <c r="A97" s="35">
        <v>0</v>
      </c>
      <c r="B97"/>
      <c r="C97"/>
      <c r="D97"/>
      <c r="E97"/>
      <c r="F97"/>
      <c r="G97"/>
      <c r="H97"/>
      <c r="I97"/>
      <c r="J97"/>
      <c r="K97"/>
      <c r="V97" s="1"/>
      <c r="W97" s="1"/>
      <c r="X97" s="1"/>
      <c r="Y97" s="1"/>
      <c r="Z97" s="1"/>
      <c r="AA97" s="1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  <c r="AX97" s="1"/>
      <c r="AY97" s="1"/>
      <c r="AZ97" s="1"/>
      <c r="BA97" s="1"/>
      <c r="BB97"/>
      <c r="BC97"/>
      <c r="BD97"/>
      <c r="BE97"/>
      <c r="BF97"/>
      <c r="BG97"/>
      <c r="BH97"/>
      <c r="BI97"/>
      <c r="BJ97"/>
      <c r="BK97" s="1"/>
      <c r="BL97" s="1"/>
      <c r="BM97" s="1"/>
      <c r="BN97" s="1"/>
      <c r="BO97" s="1"/>
      <c r="BP97" s="1"/>
      <c r="BQ97" s="1"/>
      <c r="BR97" s="1"/>
      <c r="BS97" s="1"/>
      <c r="BT97" s="1"/>
      <c r="BU97" s="1"/>
      <c r="BV97" s="1"/>
      <c r="BW97" s="1"/>
      <c r="BX97" s="1"/>
      <c r="BY97" s="1"/>
      <c r="BZ97" s="1"/>
      <c r="CA97" s="1"/>
      <c r="CB97" s="1"/>
      <c r="CC97" s="1"/>
    </row>
    <row r="98" spans="1:81" x14ac:dyDescent="0.3">
      <c r="A98" s="35">
        <v>4</v>
      </c>
      <c r="B98" s="3" t="str">
        <f>B92</f>
        <v>وحدة علوية  تلبيسة دلفة /دلفتين قلاب</v>
      </c>
      <c r="C98" s="9">
        <f>C96+1</f>
        <v>8</v>
      </c>
      <c r="D98" s="9" t="s">
        <v>53</v>
      </c>
      <c r="E98" s="9" t="s">
        <v>71</v>
      </c>
      <c r="F98" s="9">
        <f ca="1">(I81/C83)-0.5</f>
        <v>69.5</v>
      </c>
      <c r="G98" s="9">
        <f>H81-0.7-I83-J83</f>
        <v>-44.7</v>
      </c>
      <c r="H98" s="9">
        <f>C79*D81</f>
        <v>0</v>
      </c>
      <c r="I98" s="9"/>
      <c r="J98" s="9"/>
      <c r="K98" s="9" t="b">
        <v>1</v>
      </c>
      <c r="V98" s="1"/>
      <c r="W98" s="1"/>
      <c r="X98" s="1"/>
      <c r="Y98" s="1"/>
      <c r="Z98" s="1"/>
      <c r="AA98" s="1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  <c r="AX98" s="1"/>
      <c r="AY98" s="1"/>
      <c r="AZ98" s="1"/>
      <c r="BA98" s="1"/>
      <c r="BB98"/>
      <c r="BC98"/>
      <c r="BD98"/>
      <c r="BE98"/>
      <c r="BF98"/>
      <c r="BG98"/>
      <c r="BH98"/>
      <c r="BI98"/>
      <c r="BJ98"/>
      <c r="BK98" s="1"/>
      <c r="BL98" s="1"/>
      <c r="BM98" s="1"/>
      <c r="BN98" s="1"/>
      <c r="BO98" s="1"/>
      <c r="BP98" s="1"/>
      <c r="BQ98" s="1"/>
      <c r="BR98" s="1"/>
      <c r="BS98" s="1"/>
      <c r="BT98" s="1"/>
      <c r="BU98" s="1"/>
      <c r="BV98" s="1"/>
      <c r="BW98" s="1"/>
      <c r="BX98" s="1"/>
      <c r="BY98" s="1"/>
      <c r="BZ98" s="1"/>
      <c r="CA98" s="1"/>
      <c r="CB98" s="1"/>
      <c r="CC98" s="1"/>
    </row>
    <row r="99" spans="1:81" x14ac:dyDescent="0.3">
      <c r="A99" s="35">
        <v>0</v>
      </c>
      <c r="B99"/>
      <c r="C99"/>
      <c r="D99"/>
      <c r="E99"/>
      <c r="F99"/>
      <c r="G99"/>
      <c r="H99"/>
      <c r="I99"/>
      <c r="J99"/>
      <c r="K99"/>
      <c r="V99" s="1"/>
      <c r="W99" s="1"/>
      <c r="X99" s="1"/>
      <c r="Y99" s="1"/>
      <c r="Z99" s="1"/>
      <c r="AA99" s="1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  <c r="AX99" s="1"/>
      <c r="AY99" s="1"/>
      <c r="AZ99" s="1"/>
      <c r="BA99" s="1"/>
      <c r="BB99"/>
      <c r="BC99"/>
      <c r="BD99"/>
      <c r="BE99"/>
      <c r="BF99"/>
      <c r="BG99"/>
      <c r="BH99"/>
      <c r="BI99"/>
      <c r="BJ99"/>
      <c r="BK99" s="1"/>
      <c r="BL99" s="1"/>
      <c r="BM99" s="1"/>
      <c r="BN99" s="1"/>
      <c r="BO99" s="1"/>
      <c r="BP99" s="1"/>
      <c r="BQ99" s="1"/>
      <c r="BR99" s="1"/>
      <c r="BS99" s="1"/>
      <c r="BT99" s="1"/>
      <c r="BU99" s="1"/>
      <c r="BV99" s="1"/>
      <c r="BW99" s="1"/>
      <c r="BX99" s="1"/>
      <c r="BY99" s="1"/>
      <c r="BZ99" s="1"/>
      <c r="CA99" s="1"/>
      <c r="CB99" s="1"/>
      <c r="CC99" s="1"/>
    </row>
    <row r="100" spans="1:81" x14ac:dyDescent="0.3">
      <c r="A100" s="35">
        <v>5</v>
      </c>
      <c r="B100" s="3" t="str">
        <f>B89</f>
        <v>وحدة علوية  تلبيسة دلفة /دلفتين قلاب</v>
      </c>
      <c r="C100" s="19">
        <f>C98+1</f>
        <v>9</v>
      </c>
      <c r="D100" s="19" t="str">
        <f ca="1">D85</f>
        <v>ظهر</v>
      </c>
      <c r="E100" s="19" t="s">
        <v>58</v>
      </c>
      <c r="F100" s="19">
        <f ca="1">I81-2</f>
        <v>68</v>
      </c>
      <c r="G100" s="19">
        <f>H81-2</f>
        <v>-2</v>
      </c>
      <c r="H100" s="19">
        <f>1*C79</f>
        <v>1</v>
      </c>
      <c r="I100" s="19">
        <f ca="1">HLOOKUP(D100, materials[], 2,FALSE)</f>
        <v>2</v>
      </c>
      <c r="J100" s="19"/>
      <c r="K100" s="19" t="b">
        <v>1</v>
      </c>
      <c r="V100" s="1"/>
      <c r="W100" s="1"/>
      <c r="X100" s="1"/>
      <c r="Y100" s="1"/>
      <c r="Z100" s="1"/>
      <c r="AA100" s="1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  <c r="AX100" s="1"/>
      <c r="AY100" s="1"/>
      <c r="AZ100" s="1"/>
      <c r="BA100" s="1"/>
      <c r="BB100"/>
      <c r="BC100"/>
      <c r="BD100"/>
      <c r="BE100"/>
      <c r="BF100"/>
      <c r="BG100"/>
      <c r="BH100"/>
      <c r="BI100"/>
      <c r="BJ100"/>
      <c r="BK100" s="1"/>
      <c r="BL100" s="1"/>
      <c r="BM100" s="1"/>
      <c r="BN100" s="1"/>
      <c r="BO100" s="1"/>
      <c r="BP100" s="1"/>
      <c r="BQ100" s="1"/>
      <c r="BR100" s="1"/>
      <c r="BS100" s="1"/>
      <c r="BT100" s="1"/>
      <c r="BU100" s="1"/>
      <c r="BV100" s="1"/>
      <c r="BW100" s="1"/>
      <c r="BX100" s="1"/>
      <c r="BY100" s="1"/>
      <c r="BZ100" s="1"/>
      <c r="CA100" s="1"/>
      <c r="CB100" s="1"/>
      <c r="CC100" s="1"/>
    </row>
    <row r="101" spans="1:81" x14ac:dyDescent="0.3">
      <c r="A101" s="35">
        <v>255</v>
      </c>
      <c r="C101" s="1"/>
      <c r="D101" s="1"/>
      <c r="E101" s="1"/>
      <c r="F101" s="1"/>
      <c r="G101" s="1"/>
      <c r="H101" s="1"/>
      <c r="I101" s="1"/>
      <c r="J101" s="1"/>
      <c r="V101" s="1"/>
      <c r="W101" s="1"/>
      <c r="X101" s="1"/>
      <c r="Y101" s="1"/>
      <c r="Z101" s="1"/>
      <c r="AA101" s="1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  <c r="AX101" s="1"/>
      <c r="AY101" s="1"/>
      <c r="AZ101" s="1"/>
      <c r="BA101" s="1"/>
      <c r="BB101"/>
      <c r="BC101"/>
      <c r="BD101"/>
      <c r="BE101"/>
      <c r="BF101"/>
      <c r="BG101"/>
      <c r="BH101"/>
      <c r="BI101"/>
      <c r="BJ101"/>
      <c r="BK101" s="1"/>
      <c r="BL101" s="1"/>
      <c r="BM101" s="1"/>
      <c r="BN101" s="1"/>
      <c r="BO101" s="1"/>
      <c r="BP101" s="1"/>
      <c r="BQ101" s="1"/>
      <c r="BR101" s="1"/>
      <c r="BS101" s="1"/>
      <c r="BT101" s="1"/>
      <c r="BU101" s="1"/>
      <c r="BV101" s="1"/>
      <c r="BW101" s="1"/>
      <c r="BX101" s="1"/>
      <c r="BY101" s="1"/>
      <c r="BZ101" s="1"/>
      <c r="CA101" s="1"/>
      <c r="CB101" s="1"/>
      <c r="CC101" s="1"/>
    </row>
    <row r="102" spans="1:81" x14ac:dyDescent="0.3">
      <c r="A102" s="35">
        <v>255</v>
      </c>
      <c r="V102" s="1"/>
      <c r="W102" s="1"/>
      <c r="X102" s="1"/>
      <c r="Y102" s="1"/>
      <c r="Z102" s="1"/>
      <c r="AA102" s="1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  <c r="AX102" s="1"/>
      <c r="AY102" s="1"/>
      <c r="AZ102" s="1"/>
      <c r="BA102" s="1"/>
      <c r="BB102"/>
      <c r="BC102"/>
      <c r="BD102"/>
      <c r="BE102"/>
      <c r="BF102"/>
      <c r="BG102"/>
      <c r="BH102"/>
      <c r="BI102"/>
      <c r="BJ102"/>
      <c r="BK102" s="1"/>
      <c r="BL102" s="1"/>
      <c r="BM102" s="1"/>
      <c r="BN102" s="1"/>
      <c r="BO102" s="1"/>
      <c r="BP102" s="1"/>
      <c r="BQ102" s="1"/>
      <c r="BR102" s="1"/>
      <c r="BS102" s="1"/>
      <c r="BT102" s="1"/>
      <c r="BU102" s="1"/>
      <c r="BV102" s="1"/>
      <c r="BW102" s="1"/>
      <c r="BX102" s="1"/>
      <c r="BY102" s="1"/>
      <c r="BZ102" s="1"/>
      <c r="CA102" s="1"/>
      <c r="CB102" s="1"/>
      <c r="CC102" s="1"/>
    </row>
    <row r="103" spans="1:81" ht="36" x14ac:dyDescent="0.3">
      <c r="A103" s="35" t="s">
        <v>157</v>
      </c>
      <c r="C103" s="14">
        <v>1</v>
      </c>
      <c r="D103" s="22" t="s">
        <v>59</v>
      </c>
      <c r="E103" s="101" t="s">
        <v>46</v>
      </c>
      <c r="F103" s="102"/>
      <c r="G103" s="102"/>
      <c r="H103" s="103"/>
      <c r="I103" s="2" t="s">
        <v>30</v>
      </c>
      <c r="J103" s="2">
        <f>letterToNumber(A103)</f>
        <v>5</v>
      </c>
      <c r="K103" s="7">
        <f ca="1">_xlfn.SHEET("وحدات علوية")</f>
        <v>6</v>
      </c>
      <c r="V103" s="1"/>
      <c r="W103" s="1"/>
      <c r="X103" s="1"/>
      <c r="Y103" s="1"/>
      <c r="Z103" s="1"/>
      <c r="AA103" s="1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  <c r="AX103" s="1"/>
      <c r="AY103" s="1"/>
      <c r="AZ103" s="1"/>
      <c r="BA103" s="1"/>
      <c r="BB103"/>
      <c r="BC103"/>
      <c r="BD103"/>
      <c r="BE103"/>
      <c r="BF103"/>
      <c r="BG103"/>
      <c r="BH103"/>
      <c r="BI103"/>
      <c r="BJ103"/>
      <c r="BK103" s="1"/>
      <c r="BL103" s="1"/>
      <c r="BM103" s="1"/>
      <c r="BN103" s="1"/>
      <c r="BO103" s="1"/>
      <c r="BP103" s="1"/>
      <c r="BQ103" s="1"/>
      <c r="BR103" s="1"/>
      <c r="BS103" s="1"/>
      <c r="BT103" s="1"/>
      <c r="BU103" s="1"/>
      <c r="BV103" s="1"/>
      <c r="BW103" s="1"/>
      <c r="BX103" s="1"/>
      <c r="BY103" s="1"/>
      <c r="BZ103" s="1"/>
      <c r="CA103" s="1"/>
      <c r="CB103" s="1"/>
      <c r="CC103" s="1"/>
    </row>
    <row r="104" spans="1:81" ht="31.2" x14ac:dyDescent="0.3">
      <c r="A104" s="35">
        <v>1</v>
      </c>
      <c r="C104" s="7"/>
      <c r="D104" s="7" t="s">
        <v>18</v>
      </c>
      <c r="E104" s="7"/>
      <c r="F104" s="7" t="s">
        <v>16</v>
      </c>
      <c r="G104" s="7" t="s">
        <v>115</v>
      </c>
      <c r="H104" s="7" t="s">
        <v>22</v>
      </c>
      <c r="I104" s="7" t="s">
        <v>3</v>
      </c>
      <c r="J104" s="7" t="s">
        <v>113</v>
      </c>
      <c r="K104" s="7"/>
      <c r="V104" s="1"/>
      <c r="W104" s="1"/>
      <c r="X104" s="1"/>
      <c r="Y104" s="1"/>
      <c r="Z104" s="1"/>
      <c r="AA104" s="1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  <c r="AX104" s="1"/>
      <c r="AY104" s="1"/>
      <c r="AZ104" s="1"/>
      <c r="BA104" s="1"/>
      <c r="BB104"/>
      <c r="BC104"/>
      <c r="BD104"/>
      <c r="BE104"/>
      <c r="BF104"/>
      <c r="BG104"/>
      <c r="BH104"/>
      <c r="BI104"/>
      <c r="BJ104"/>
      <c r="BK104" s="1"/>
      <c r="BL104" s="1"/>
      <c r="BM104" s="1"/>
      <c r="BN104" s="1"/>
      <c r="BO104" s="1"/>
      <c r="BP104" s="1"/>
      <c r="BQ104" s="1"/>
      <c r="BR104" s="1"/>
      <c r="BS104" s="1"/>
      <c r="BT104" s="1"/>
      <c r="BU104" s="1"/>
      <c r="BV104" s="1"/>
      <c r="BW104" s="1"/>
      <c r="BX104" s="1"/>
      <c r="BY104" s="1"/>
      <c r="BZ104" s="1"/>
      <c r="CA104" s="1"/>
      <c r="CB104" s="1"/>
      <c r="CC104" s="1"/>
    </row>
    <row r="105" spans="1:81" ht="15.6" x14ac:dyDescent="0.3">
      <c r="A105" s="35">
        <v>1</v>
      </c>
      <c r="C105" s="8"/>
      <c r="D105" s="8">
        <v>2</v>
      </c>
      <c r="E105" s="8"/>
      <c r="F105" s="27" cm="1">
        <f t="array" aca="1" ref="F105" ca="1">defaultValue(F104,K103)</f>
        <v>3.5</v>
      </c>
      <c r="G105" s="27" cm="1">
        <f t="array" aca="1" ref="G105" ca="1">defaultValue(G104,K103)</f>
        <v>0</v>
      </c>
      <c r="H105" s="8"/>
      <c r="I105" s="27" cm="1">
        <f t="array" aca="1" ref="I105" ca="1">defaultValue(I104,K103)</f>
        <v>70</v>
      </c>
      <c r="J105" s="27" cm="1">
        <f t="array" aca="1" ref="J105" ca="1">defaultValue(J104,K103)</f>
        <v>30</v>
      </c>
      <c r="K105" s="7"/>
      <c r="V105" s="1"/>
      <c r="W105" s="1"/>
      <c r="X105" s="1"/>
      <c r="Y105" s="1"/>
      <c r="Z105" s="1"/>
      <c r="AA105" s="1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  <c r="AX105" s="1"/>
      <c r="AY105" s="1"/>
      <c r="AZ105" s="1"/>
      <c r="BA105" s="1"/>
      <c r="BB105"/>
      <c r="BC105"/>
      <c r="BD105"/>
      <c r="BE105"/>
      <c r="BF105"/>
      <c r="BG105"/>
      <c r="BH105"/>
      <c r="BI105"/>
      <c r="BJ105"/>
      <c r="BK105" s="1"/>
      <c r="BL105" s="1"/>
      <c r="BM105" s="1"/>
      <c r="BN105" s="1"/>
      <c r="BO105" s="1"/>
      <c r="BP105" s="1"/>
      <c r="BQ105" s="1"/>
      <c r="BR105" s="1"/>
      <c r="BS105" s="1"/>
      <c r="BT105" s="1"/>
      <c r="BU105" s="1"/>
      <c r="BV105" s="1"/>
      <c r="BW105" s="1"/>
      <c r="BX105" s="1"/>
      <c r="BY105" s="1"/>
      <c r="BZ105" s="1"/>
      <c r="CA105" s="1"/>
      <c r="CB105" s="1"/>
      <c r="CC105" s="1"/>
    </row>
    <row r="106" spans="1:81" ht="15.6" x14ac:dyDescent="0.3">
      <c r="A106" s="35">
        <v>1</v>
      </c>
      <c r="C106" s="8"/>
      <c r="D106" s="8"/>
      <c r="E106" s="8"/>
      <c r="F106" s="108" t="b">
        <f ca="1">NOT(AND(F105&gt;0,G105&gt;0))</f>
        <v>1</v>
      </c>
      <c r="G106" s="108"/>
      <c r="H106" s="8">
        <v>60</v>
      </c>
      <c r="I106" s="27" cm="1">
        <f t="array" aca="1" ref="I106" ca="1">defaultValue(I104,K103)</f>
        <v>70</v>
      </c>
      <c r="J106" s="27" cm="1">
        <f t="array" aca="1" ref="J106" ca="1">defaultValue(J104,K103)</f>
        <v>30</v>
      </c>
      <c r="K106" s="7"/>
      <c r="V106" s="1"/>
      <c r="W106" s="1"/>
      <c r="X106" s="1"/>
      <c r="Y106" s="1"/>
      <c r="Z106" s="1"/>
      <c r="AA106" s="1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  <c r="AX106" s="1"/>
      <c r="AY106" s="1"/>
      <c r="AZ106" s="1"/>
      <c r="BA106" s="1"/>
      <c r="BB106"/>
      <c r="BC106"/>
      <c r="BD106"/>
      <c r="BE106"/>
      <c r="BF106"/>
      <c r="BG106"/>
      <c r="BH106"/>
      <c r="BI106"/>
      <c r="BJ106"/>
      <c r="BK106" s="1"/>
      <c r="BL106" s="1"/>
      <c r="BM106" s="1"/>
      <c r="BN106" s="1"/>
      <c r="BO106" s="1"/>
      <c r="BP106" s="1"/>
      <c r="BQ106" s="1"/>
      <c r="BR106" s="1"/>
      <c r="BS106" s="1"/>
      <c r="BT106" s="1"/>
      <c r="BU106" s="1"/>
      <c r="BV106" s="1"/>
      <c r="BW106" s="1"/>
      <c r="BX106" s="1"/>
      <c r="BY106" s="1"/>
      <c r="BZ106" s="1"/>
      <c r="CA106" s="1"/>
      <c r="CB106" s="1"/>
      <c r="CC106" s="1"/>
    </row>
    <row r="107" spans="1:81" ht="15.6" x14ac:dyDescent="0.3">
      <c r="A107" s="35">
        <v>1</v>
      </c>
      <c r="C107" s="8"/>
      <c r="D107" s="8"/>
      <c r="E107" s="8"/>
      <c r="F107" s="109" t="str">
        <f ca="1">IF(F106,"المقابض مظبوطة","مينفعش مقبض مخفي مع بيلت ان")</f>
        <v>المقابض مظبوطة</v>
      </c>
      <c r="G107" s="109"/>
      <c r="H107" s="8"/>
      <c r="I107" s="8"/>
      <c r="J107" s="8"/>
      <c r="K107" s="7"/>
      <c r="V107" s="1"/>
      <c r="W107" s="1"/>
      <c r="X107" s="1"/>
      <c r="Y107" s="1"/>
      <c r="Z107" s="1"/>
      <c r="AA107" s="1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  <c r="AX107" s="1"/>
      <c r="AY107" s="1"/>
      <c r="AZ107" s="1"/>
      <c r="BA107" s="1"/>
      <c r="BB107"/>
      <c r="BC107"/>
      <c r="BD107"/>
      <c r="BE107"/>
      <c r="BF107"/>
      <c r="BG107"/>
      <c r="BH107"/>
      <c r="BI107"/>
      <c r="BJ107"/>
      <c r="BK107" s="1"/>
      <c r="BL107" s="1"/>
      <c r="BM107" s="1"/>
      <c r="BN107" s="1"/>
      <c r="BO107" s="1"/>
      <c r="BP107" s="1"/>
      <c r="BQ107" s="1"/>
      <c r="BR107" s="1"/>
      <c r="BS107" s="1"/>
      <c r="BT107" s="1"/>
      <c r="BU107" s="1"/>
      <c r="BV107" s="1"/>
      <c r="BW107" s="1"/>
      <c r="BX107" s="1"/>
      <c r="BY107" s="1"/>
      <c r="BZ107" s="1"/>
      <c r="CA107" s="1"/>
      <c r="CB107" s="1"/>
      <c r="CC107" s="1"/>
    </row>
    <row r="108" spans="1:81" ht="31.2" x14ac:dyDescent="0.3">
      <c r="A108" s="35">
        <v>1</v>
      </c>
      <c r="C108" s="8"/>
      <c r="D108" s="27" t="str" cm="1">
        <f t="array" aca="1" ref="D108" ca="1">defaultValue(E108,K103)</f>
        <v>ظهر</v>
      </c>
      <c r="E108" s="7" t="s">
        <v>58</v>
      </c>
      <c r="F108" s="27" t="str" cm="1">
        <f t="array" aca="1" ref="F108" ca="1">defaultValue(G108,K103)</f>
        <v>يوفيلاك</v>
      </c>
      <c r="G108" s="7" t="s">
        <v>32</v>
      </c>
      <c r="H108" s="27" t="str" cm="1">
        <f t="array" aca="1" ref="H108" ca="1">defaultValue(I108,K103)</f>
        <v>HPL</v>
      </c>
      <c r="I108" s="7" t="s">
        <v>31</v>
      </c>
      <c r="J108" s="25" t="s">
        <v>111</v>
      </c>
      <c r="K108" s="7"/>
      <c r="V108" s="1"/>
      <c r="W108" s="1"/>
      <c r="X108" s="1"/>
      <c r="Y108" s="1"/>
      <c r="Z108" s="1"/>
      <c r="AA108" s="1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  <c r="AX108" s="1"/>
      <c r="AY108" s="1"/>
      <c r="AZ108" s="1"/>
      <c r="BA108" s="1"/>
      <c r="BB108"/>
      <c r="BC108"/>
      <c r="BD108"/>
      <c r="BE108"/>
      <c r="BF108"/>
      <c r="BG108"/>
      <c r="BH108"/>
      <c r="BI108"/>
      <c r="BJ108"/>
      <c r="BK108" s="1"/>
      <c r="BL108" s="1"/>
      <c r="BM108" s="1"/>
      <c r="BN108" s="1"/>
      <c r="BO108" s="1"/>
      <c r="BP108" s="1"/>
      <c r="BQ108" s="1"/>
      <c r="BR108" s="1"/>
      <c r="BS108" s="1"/>
      <c r="BT108" s="1"/>
      <c r="BU108" s="1"/>
      <c r="BV108" s="1"/>
      <c r="BW108" s="1"/>
      <c r="BX108" s="1"/>
      <c r="BY108" s="1"/>
      <c r="BZ108" s="1"/>
      <c r="CA108" s="1"/>
      <c r="CB108" s="1"/>
      <c r="CC108" s="1"/>
    </row>
    <row r="109" spans="1:81" x14ac:dyDescent="0.3">
      <c r="A109" s="35">
        <v>0</v>
      </c>
      <c r="B109"/>
      <c r="C109"/>
      <c r="D109"/>
      <c r="E109"/>
      <c r="F109"/>
      <c r="G109"/>
      <c r="H109"/>
      <c r="I109"/>
      <c r="J109"/>
      <c r="K109"/>
      <c r="V109" s="1"/>
      <c r="W109" s="1"/>
      <c r="X109" s="1"/>
      <c r="Y109" s="1"/>
      <c r="Z109" s="1"/>
      <c r="AA109" s="1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  <c r="AX109" s="1"/>
      <c r="AY109" s="1"/>
      <c r="AZ109" s="1"/>
      <c r="BA109" s="1"/>
      <c r="BB109"/>
      <c r="BC109"/>
      <c r="BD109"/>
      <c r="BE109"/>
      <c r="BF109"/>
      <c r="BG109"/>
      <c r="BH109"/>
      <c r="BI109"/>
      <c r="BJ109"/>
      <c r="BK109" s="1"/>
      <c r="BL109" s="1"/>
      <c r="BM109" s="1"/>
      <c r="BN109" s="1"/>
      <c r="BO109" s="1"/>
      <c r="BP109" s="1"/>
      <c r="BQ109" s="1"/>
      <c r="BR109" s="1"/>
      <c r="BS109" s="1"/>
      <c r="BT109" s="1"/>
      <c r="BU109" s="1"/>
      <c r="BV109" s="1"/>
      <c r="BW109" s="1"/>
      <c r="BX109" s="1"/>
      <c r="BY109" s="1"/>
      <c r="BZ109" s="1"/>
      <c r="CA109" s="1"/>
      <c r="CB109" s="1"/>
      <c r="CC109" s="1"/>
    </row>
    <row r="110" spans="1:81" x14ac:dyDescent="0.3">
      <c r="A110" s="35">
        <v>2</v>
      </c>
      <c r="C110" s="6" t="s">
        <v>4</v>
      </c>
      <c r="D110" s="6" t="s">
        <v>9</v>
      </c>
      <c r="E110" s="6" t="s">
        <v>5</v>
      </c>
      <c r="F110" s="6" t="s">
        <v>7</v>
      </c>
      <c r="G110" s="6" t="s">
        <v>1</v>
      </c>
      <c r="H110" s="6" t="s">
        <v>6</v>
      </c>
      <c r="I110" s="6" t="s">
        <v>33</v>
      </c>
      <c r="J110" s="6" t="s">
        <v>8</v>
      </c>
      <c r="K110" s="6" t="s">
        <v>185</v>
      </c>
      <c r="V110" s="1"/>
      <c r="W110" s="1"/>
      <c r="X110" s="1"/>
      <c r="Y110" s="1"/>
      <c r="Z110" s="1"/>
      <c r="AA110" s="1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  <c r="AX110" s="1"/>
      <c r="AY110" s="1"/>
      <c r="AZ110" s="1"/>
      <c r="BA110" s="1"/>
      <c r="BB110"/>
      <c r="BC110"/>
      <c r="BD110"/>
      <c r="BE110"/>
      <c r="BF110"/>
      <c r="BG110"/>
      <c r="BH110"/>
      <c r="BI110"/>
      <c r="BJ110"/>
      <c r="BK110" s="1"/>
      <c r="BL110" s="1"/>
      <c r="BM110" s="1"/>
      <c r="BN110" s="1"/>
      <c r="BO110" s="1"/>
      <c r="BP110" s="1"/>
      <c r="BQ110" s="1"/>
      <c r="BR110" s="1"/>
      <c r="BS110" s="1"/>
      <c r="BT110" s="1"/>
      <c r="BU110" s="1"/>
      <c r="BV110" s="1"/>
      <c r="BW110" s="1"/>
      <c r="BX110" s="1"/>
      <c r="BY110" s="1"/>
      <c r="BZ110" s="1"/>
      <c r="CA110" s="1"/>
      <c r="CB110" s="1"/>
      <c r="CC110" s="1"/>
    </row>
    <row r="111" spans="1:81" ht="15.6" customHeight="1" x14ac:dyDescent="0.3">
      <c r="A111" s="35">
        <v>0</v>
      </c>
      <c r="B111"/>
      <c r="C111"/>
      <c r="D111"/>
      <c r="E111"/>
      <c r="F111"/>
      <c r="G111"/>
      <c r="H111"/>
      <c r="I111"/>
      <c r="J111"/>
      <c r="K111"/>
      <c r="V111" s="1"/>
      <c r="W111" s="1"/>
      <c r="X111" s="1"/>
      <c r="Y111" s="1"/>
      <c r="Z111" s="1"/>
      <c r="AA111" s="1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  <c r="AX111" s="1"/>
      <c r="AY111" s="1"/>
      <c r="AZ111" s="1"/>
      <c r="BA111" s="1"/>
      <c r="BB111"/>
      <c r="BC111"/>
      <c r="BD111"/>
      <c r="BE111"/>
      <c r="BF111"/>
      <c r="BG111"/>
      <c r="BH111"/>
      <c r="BI111"/>
      <c r="BJ111"/>
      <c r="BK111" s="1"/>
      <c r="BL111" s="1"/>
      <c r="BM111" s="1"/>
      <c r="BN111" s="1"/>
      <c r="BO111" s="1"/>
      <c r="BP111" s="1"/>
      <c r="BQ111" s="1"/>
      <c r="BR111" s="1"/>
      <c r="BS111" s="1"/>
      <c r="BT111" s="1"/>
      <c r="BU111" s="1"/>
      <c r="BV111" s="1"/>
      <c r="BW111" s="1"/>
      <c r="BX111" s="1"/>
      <c r="BY111" s="1"/>
      <c r="BZ111" s="1"/>
      <c r="CA111" s="1"/>
      <c r="CB111" s="1"/>
      <c r="CC111" s="1"/>
    </row>
    <row r="112" spans="1:81" ht="15.6" customHeight="1" x14ac:dyDescent="0.3">
      <c r="A112" s="35">
        <v>3</v>
      </c>
      <c r="B112" s="3" t="str">
        <f>E103</f>
        <v>وحدة علوية  زاوية 90</v>
      </c>
      <c r="C112" s="6">
        <v>1</v>
      </c>
      <c r="D112" s="6" t="str">
        <f ca="1">H108</f>
        <v>HPL</v>
      </c>
      <c r="E112" s="6" t="s">
        <v>49</v>
      </c>
      <c r="F112" s="6">
        <f>H105-1.8</f>
        <v>-1.8</v>
      </c>
      <c r="G112" s="6">
        <f>H106-1.8</f>
        <v>58.2</v>
      </c>
      <c r="H112" s="6">
        <f>1*C103</f>
        <v>1</v>
      </c>
      <c r="I112" s="6">
        <f ca="1">HLOOKUP(D112, materials[], 2,FALSE)</f>
        <v>2</v>
      </c>
      <c r="J112" s="6"/>
      <c r="K112" s="6" t="b">
        <v>1</v>
      </c>
      <c r="V112" s="1"/>
      <c r="W112" s="1"/>
      <c r="X112" s="1"/>
      <c r="Y112" s="1"/>
      <c r="Z112" s="1"/>
      <c r="AA112" s="1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  <c r="AX112" s="1"/>
      <c r="AY112" s="1"/>
      <c r="AZ112" s="1"/>
      <c r="BA112" s="1"/>
      <c r="BB112"/>
      <c r="BC112"/>
      <c r="BD112"/>
      <c r="BE112"/>
      <c r="BF112"/>
      <c r="BG112"/>
      <c r="BH112"/>
      <c r="BI112"/>
      <c r="BJ112"/>
      <c r="BK112" s="1"/>
      <c r="BL112" s="1"/>
      <c r="BM112" s="1"/>
      <c r="BN112" s="1"/>
      <c r="BO112" s="1"/>
      <c r="BP112" s="1"/>
      <c r="BQ112" s="1"/>
      <c r="BR112" s="1"/>
      <c r="BS112" s="1"/>
      <c r="BT112" s="1"/>
      <c r="BU112" s="1"/>
      <c r="BV112" s="1"/>
      <c r="BW112" s="1"/>
      <c r="BX112" s="1"/>
      <c r="BY112" s="1"/>
      <c r="BZ112" s="1"/>
      <c r="CA112" s="1"/>
      <c r="CB112" s="1"/>
      <c r="CC112" s="1"/>
    </row>
    <row r="113" spans="1:81" ht="15.6" customHeight="1" x14ac:dyDescent="0.3">
      <c r="A113" s="35">
        <v>3</v>
      </c>
      <c r="B113" s="3" t="str">
        <f>B112</f>
        <v>وحدة علوية  زاوية 90</v>
      </c>
      <c r="C113" s="6">
        <f>C112+1</f>
        <v>2</v>
      </c>
      <c r="D113" s="6" t="str">
        <f ca="1">H108</f>
        <v>HPL</v>
      </c>
      <c r="E113" s="6" t="s">
        <v>10</v>
      </c>
      <c r="F113" s="6">
        <f>H105-1.8</f>
        <v>-1.8</v>
      </c>
      <c r="G113" s="6">
        <f>H106-1.8</f>
        <v>58.2</v>
      </c>
      <c r="H113" s="6">
        <f>1*C103</f>
        <v>1</v>
      </c>
      <c r="I113" s="6">
        <f ca="1">HLOOKUP(D113, materials[], 2,FALSE)</f>
        <v>2</v>
      </c>
      <c r="J113" s="6"/>
      <c r="K113" s="6" t="b">
        <v>1</v>
      </c>
      <c r="V113" s="1"/>
      <c r="W113" s="1"/>
      <c r="X113" s="1"/>
      <c r="Y113" s="1"/>
      <c r="Z113" s="1"/>
      <c r="AA113" s="1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  <c r="AX113" s="1"/>
      <c r="AY113" s="1"/>
      <c r="AZ113" s="1"/>
      <c r="BA113" s="1"/>
      <c r="BB113"/>
      <c r="BC113"/>
      <c r="BD113"/>
      <c r="BE113"/>
      <c r="BF113"/>
      <c r="BG113"/>
      <c r="BH113"/>
      <c r="BI113"/>
      <c r="BJ113"/>
      <c r="BK113" s="1"/>
      <c r="BL113" s="1"/>
      <c r="BM113" s="1"/>
      <c r="BN113" s="1"/>
      <c r="BO113" s="1"/>
      <c r="BP113" s="1"/>
      <c r="BQ113" s="1"/>
      <c r="BR113" s="1"/>
      <c r="BS113" s="1"/>
      <c r="BT113" s="1"/>
      <c r="BU113" s="1"/>
      <c r="BV113" s="1"/>
      <c r="BW113" s="1"/>
      <c r="BX113" s="1"/>
      <c r="BY113" s="1"/>
      <c r="BZ113" s="1"/>
      <c r="CA113" s="1"/>
      <c r="CB113" s="1"/>
      <c r="CC113" s="1"/>
    </row>
    <row r="114" spans="1:81" ht="15.6" customHeight="1" x14ac:dyDescent="0.3">
      <c r="A114" s="35">
        <v>3</v>
      </c>
      <c r="B114" s="3" t="str">
        <f>B112</f>
        <v>وحدة علوية  زاوية 90</v>
      </c>
      <c r="C114" s="6">
        <f>C113+1</f>
        <v>3</v>
      </c>
      <c r="D114" s="6" t="str">
        <f ca="1">H108</f>
        <v>HPL</v>
      </c>
      <c r="E114" s="6" t="s">
        <v>62</v>
      </c>
      <c r="F114" s="6">
        <f ca="1">I105</f>
        <v>70</v>
      </c>
      <c r="G114" s="6">
        <f ca="1">J105</f>
        <v>30</v>
      </c>
      <c r="H114" s="6">
        <f>1*C103</f>
        <v>1</v>
      </c>
      <c r="I114" s="6">
        <f ca="1">HLOOKUP(D114, materials[], 2,FALSE)</f>
        <v>2</v>
      </c>
      <c r="J114" s="6"/>
      <c r="K114" s="6" t="b">
        <v>1</v>
      </c>
      <c r="V114" s="1"/>
      <c r="W114" s="1"/>
      <c r="X114" s="1"/>
      <c r="Y114" s="1"/>
      <c r="Z114" s="1"/>
      <c r="AA114" s="1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  <c r="AX114" s="1"/>
      <c r="AY114" s="1"/>
      <c r="AZ114" s="1"/>
      <c r="BA114" s="1"/>
      <c r="BB114"/>
      <c r="BC114"/>
      <c r="BD114"/>
      <c r="BE114"/>
      <c r="BF114"/>
      <c r="BG114"/>
      <c r="BH114"/>
      <c r="BI114"/>
      <c r="BJ114"/>
      <c r="BK114" s="1"/>
      <c r="BL114" s="1"/>
      <c r="BM114" s="1"/>
      <c r="BN114" s="1"/>
      <c r="BO114" s="1"/>
      <c r="BP114" s="1"/>
      <c r="BQ114" s="1"/>
      <c r="BR114" s="1"/>
      <c r="BS114" s="1"/>
      <c r="BT114" s="1"/>
      <c r="BU114" s="1"/>
      <c r="BV114" s="1"/>
      <c r="BW114" s="1"/>
      <c r="BX114" s="1"/>
      <c r="BY114" s="1"/>
      <c r="BZ114" s="1"/>
      <c r="CA114" s="1"/>
      <c r="CB114" s="1"/>
      <c r="CC114" s="1"/>
    </row>
    <row r="115" spans="1:81" ht="15.6" customHeight="1" x14ac:dyDescent="0.3">
      <c r="A115" s="35">
        <v>3</v>
      </c>
      <c r="B115" s="3" t="str">
        <f>B112</f>
        <v>وحدة علوية  زاوية 90</v>
      </c>
      <c r="C115" s="6">
        <f>C114+1</f>
        <v>4</v>
      </c>
      <c r="D115" s="6" t="str">
        <f ca="1">H108</f>
        <v>HPL</v>
      </c>
      <c r="E115" s="6" t="s">
        <v>63</v>
      </c>
      <c r="F115" s="6">
        <f ca="1">I106</f>
        <v>70</v>
      </c>
      <c r="G115" s="6">
        <f ca="1">J106</f>
        <v>30</v>
      </c>
      <c r="H115" s="6">
        <f>1*C103</f>
        <v>1</v>
      </c>
      <c r="I115" s="6">
        <f ca="1">HLOOKUP(D115, materials[], 2,FALSE)</f>
        <v>2</v>
      </c>
      <c r="J115" s="6"/>
      <c r="K115" s="6" t="b">
        <v>1</v>
      </c>
      <c r="V115" s="1"/>
      <c r="W115" s="1"/>
      <c r="X115" s="1"/>
      <c r="Y115" s="1"/>
      <c r="Z115" s="1"/>
      <c r="AA115" s="1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  <c r="AX115" s="1"/>
      <c r="AY115" s="1"/>
      <c r="AZ115" s="1"/>
      <c r="BA115" s="1"/>
      <c r="BB115"/>
      <c r="BC115"/>
      <c r="BD115"/>
      <c r="BE115"/>
      <c r="BF115"/>
      <c r="BG115"/>
      <c r="BH115"/>
      <c r="BI115"/>
      <c r="BJ115"/>
      <c r="BK115" s="1"/>
      <c r="BL115" s="1"/>
      <c r="BM115" s="1"/>
      <c r="BN115" s="1"/>
      <c r="BO115" s="1"/>
      <c r="BP115" s="1"/>
      <c r="BQ115" s="1"/>
      <c r="BR115" s="1"/>
      <c r="BS115" s="1"/>
      <c r="BT115" s="1"/>
      <c r="BU115" s="1"/>
      <c r="BV115" s="1"/>
      <c r="BW115" s="1"/>
      <c r="BX115" s="1"/>
      <c r="BY115" s="1"/>
      <c r="BZ115" s="1"/>
      <c r="CA115" s="1"/>
      <c r="CB115" s="1"/>
      <c r="CC115" s="1"/>
    </row>
    <row r="116" spans="1:81" ht="15.6" customHeight="1" x14ac:dyDescent="0.3">
      <c r="A116" s="35">
        <v>3</v>
      </c>
      <c r="B116" s="3" t="str">
        <f>B112</f>
        <v>وحدة علوية  زاوية 90</v>
      </c>
      <c r="C116" s="6">
        <f>C115+1</f>
        <v>5</v>
      </c>
      <c r="D116" s="6" t="str">
        <f ca="1">H108</f>
        <v>HPL</v>
      </c>
      <c r="E116" s="6" t="s">
        <v>27</v>
      </c>
      <c r="F116" s="6">
        <f ca="1">I105</f>
        <v>70</v>
      </c>
      <c r="G116" s="6">
        <v>10</v>
      </c>
      <c r="H116" s="6">
        <f>1*C103</f>
        <v>1</v>
      </c>
      <c r="I116" s="6">
        <f ca="1">HLOOKUP(D116, materials[], 2,FALSE)</f>
        <v>2</v>
      </c>
      <c r="J116" s="6"/>
      <c r="K116" s="6" t="b">
        <v>1</v>
      </c>
      <c r="V116" s="1"/>
      <c r="W116" s="1"/>
      <c r="X116" s="1"/>
      <c r="Y116" s="1"/>
      <c r="Z116" s="1"/>
      <c r="AA116" s="1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  <c r="AX116" s="1"/>
      <c r="AY116" s="1"/>
      <c r="AZ116" s="1"/>
      <c r="BA116" s="1"/>
      <c r="BB116"/>
      <c r="BC116"/>
      <c r="BD116"/>
      <c r="BE116"/>
      <c r="BF116"/>
      <c r="BG116"/>
      <c r="BH116"/>
      <c r="BI116"/>
      <c r="BJ116"/>
      <c r="BK116" s="1"/>
      <c r="BL116" s="1"/>
      <c r="BM116" s="1"/>
      <c r="BN116" s="1"/>
      <c r="BO116" s="1"/>
      <c r="BP116" s="1"/>
      <c r="BQ116" s="1"/>
      <c r="BR116" s="1"/>
      <c r="BS116" s="1"/>
      <c r="BT116" s="1"/>
      <c r="BU116" s="1"/>
      <c r="BV116" s="1"/>
      <c r="BW116" s="1"/>
      <c r="BX116" s="1"/>
      <c r="BY116" s="1"/>
      <c r="BZ116" s="1"/>
      <c r="CA116" s="1"/>
      <c r="CB116" s="1"/>
      <c r="CC116" s="1"/>
    </row>
    <row r="117" spans="1:81" x14ac:dyDescent="0.3">
      <c r="A117" s="35">
        <v>3</v>
      </c>
      <c r="B117" s="3" t="str">
        <f>B112</f>
        <v>وحدة علوية  زاوية 90</v>
      </c>
      <c r="C117" s="6">
        <f t="shared" ref="C117" si="6">C116+1</f>
        <v>6</v>
      </c>
      <c r="D117" s="6" t="str">
        <f ca="1">H108</f>
        <v>HPL</v>
      </c>
      <c r="E117" s="6" t="s">
        <v>17</v>
      </c>
      <c r="F117" s="6">
        <f>H105-3.8</f>
        <v>-3.8</v>
      </c>
      <c r="G117" s="6">
        <f>H106-3.8</f>
        <v>56.2</v>
      </c>
      <c r="H117" s="6">
        <f>D105*C103</f>
        <v>2</v>
      </c>
      <c r="I117" s="6">
        <f ca="1">HLOOKUP(D117, materials[], 2,FALSE)</f>
        <v>2</v>
      </c>
      <c r="J117" s="6"/>
      <c r="K117" s="6" t="b">
        <v>1</v>
      </c>
      <c r="V117" s="1"/>
      <c r="W117" s="1"/>
      <c r="X117" s="1"/>
      <c r="Y117" s="1"/>
      <c r="Z117" s="1"/>
      <c r="AA117" s="1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  <c r="AX117" s="1"/>
      <c r="AY117" s="1"/>
      <c r="AZ117" s="1"/>
      <c r="BA117" s="1"/>
      <c r="BB117"/>
      <c r="BC117"/>
      <c r="BD117"/>
      <c r="BE117"/>
      <c r="BF117"/>
      <c r="BG117"/>
      <c r="BH117"/>
      <c r="BI117"/>
      <c r="BJ117"/>
      <c r="BK117" s="1"/>
      <c r="BL117" s="1"/>
      <c r="BM117" s="1"/>
      <c r="BN117" s="1"/>
      <c r="BO117" s="1"/>
      <c r="BP117" s="1"/>
      <c r="BQ117" s="1"/>
      <c r="BR117" s="1"/>
      <c r="BS117" s="1"/>
      <c r="BT117" s="1"/>
      <c r="BU117" s="1"/>
      <c r="BV117" s="1"/>
      <c r="BW117" s="1"/>
      <c r="BX117" s="1"/>
      <c r="BY117" s="1"/>
      <c r="BZ117" s="1"/>
      <c r="CA117" s="1"/>
      <c r="CB117" s="1"/>
      <c r="CC117" s="1"/>
    </row>
    <row r="118" spans="1:81" x14ac:dyDescent="0.3">
      <c r="A118" s="35">
        <v>0</v>
      </c>
      <c r="B118"/>
      <c r="C118"/>
      <c r="D118"/>
      <c r="E118"/>
      <c r="F118"/>
      <c r="G118"/>
      <c r="H118"/>
      <c r="I118"/>
      <c r="J118"/>
      <c r="K118"/>
      <c r="V118" s="1"/>
      <c r="W118" s="1"/>
      <c r="X118" s="1"/>
      <c r="Y118" s="1"/>
      <c r="Z118" s="1"/>
      <c r="AA118" s="1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  <c r="AX118" s="1"/>
      <c r="AY118" s="1"/>
      <c r="AZ118" s="1"/>
      <c r="BA118" s="1"/>
      <c r="BB118"/>
      <c r="BC118"/>
      <c r="BD118"/>
      <c r="BE118"/>
      <c r="BF118"/>
      <c r="BG118"/>
      <c r="BH118"/>
      <c r="BI118"/>
      <c r="BJ118"/>
      <c r="BK118" s="1"/>
      <c r="BL118" s="1"/>
      <c r="BM118" s="1"/>
      <c r="BN118" s="1"/>
      <c r="BO118" s="1"/>
      <c r="BP118" s="1"/>
      <c r="BQ118" s="1"/>
      <c r="BR118" s="1"/>
      <c r="BS118" s="1"/>
      <c r="BT118" s="1"/>
      <c r="BU118" s="1"/>
      <c r="BV118" s="1"/>
      <c r="BW118" s="1"/>
      <c r="BX118" s="1"/>
      <c r="BY118" s="1"/>
      <c r="BZ118" s="1"/>
      <c r="CA118" s="1"/>
      <c r="CB118" s="1"/>
      <c r="CC118" s="1"/>
    </row>
    <row r="119" spans="1:81" x14ac:dyDescent="0.3">
      <c r="A119" s="35">
        <v>4</v>
      </c>
      <c r="B119" s="3" t="str">
        <f>B112</f>
        <v>وحدة علوية  زاوية 90</v>
      </c>
      <c r="C119" s="9">
        <f>C117+1</f>
        <v>7</v>
      </c>
      <c r="D119" s="9" t="str">
        <f ca="1">F108</f>
        <v>يوفيلاك</v>
      </c>
      <c r="E119" s="9" t="s">
        <v>28</v>
      </c>
      <c r="F119" s="9">
        <f ca="1">I105-0.5-F105</f>
        <v>66</v>
      </c>
      <c r="G119" s="9">
        <f ca="1">H105-J105-3</f>
        <v>-33</v>
      </c>
      <c r="H119" s="9">
        <f>1*C103</f>
        <v>1</v>
      </c>
      <c r="I119" s="9">
        <f ca="1">HLOOKUP(D119, materials[], 2,FALSE)</f>
        <v>6</v>
      </c>
      <c r="J119" s="9"/>
      <c r="K119" s="9" t="b">
        <v>1</v>
      </c>
      <c r="V119" s="1"/>
      <c r="W119" s="1"/>
      <c r="X119" s="1"/>
      <c r="Y119" s="1"/>
      <c r="Z119" s="1"/>
      <c r="AA119" s="1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  <c r="AX119" s="1"/>
      <c r="AY119" s="1"/>
      <c r="AZ119" s="1"/>
      <c r="BA119" s="1"/>
      <c r="BB119"/>
      <c r="BC119"/>
      <c r="BD119"/>
      <c r="BE119"/>
      <c r="BF119"/>
      <c r="BG119"/>
      <c r="BH119"/>
      <c r="BI119"/>
      <c r="BJ119"/>
      <c r="BK119" s="1"/>
      <c r="BL119" s="1"/>
      <c r="BM119" s="1"/>
      <c r="BN119" s="1"/>
      <c r="BO119" s="1"/>
      <c r="BP119" s="1"/>
      <c r="BQ119" s="1"/>
      <c r="BR119" s="1"/>
      <c r="BS119" s="1"/>
      <c r="BT119" s="1"/>
      <c r="BU119" s="1"/>
      <c r="BV119" s="1"/>
      <c r="BW119" s="1"/>
      <c r="BX119" s="1"/>
      <c r="BY119" s="1"/>
      <c r="BZ119" s="1"/>
      <c r="CA119" s="1"/>
      <c r="CB119" s="1"/>
      <c r="CC119" s="1"/>
    </row>
    <row r="120" spans="1:81" x14ac:dyDescent="0.3">
      <c r="A120" s="35">
        <v>4</v>
      </c>
      <c r="B120" s="3" t="str">
        <f>B112</f>
        <v>وحدة علوية  زاوية 90</v>
      </c>
      <c r="C120" s="9">
        <f t="shared" ref="C120" si="7">C119+1</f>
        <v>8</v>
      </c>
      <c r="D120" s="9" t="str">
        <f ca="1">F108</f>
        <v>يوفيلاك</v>
      </c>
      <c r="E120" s="9" t="s">
        <v>41</v>
      </c>
      <c r="F120" s="9">
        <f ca="1">I106-0.5-F105</f>
        <v>66</v>
      </c>
      <c r="G120" s="9">
        <f ca="1">H106-J106-3</f>
        <v>27</v>
      </c>
      <c r="H120" s="9">
        <f>1*C103</f>
        <v>1</v>
      </c>
      <c r="I120" s="9">
        <f ca="1">HLOOKUP(D120, materials[], 2,FALSE)</f>
        <v>6</v>
      </c>
      <c r="J120" s="9"/>
      <c r="K120" s="9" t="b">
        <v>1</v>
      </c>
      <c r="V120" s="1"/>
      <c r="W120" s="1"/>
      <c r="X120" s="1"/>
      <c r="Y120" s="1"/>
      <c r="Z120" s="1"/>
      <c r="AA120" s="1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  <c r="AX120" s="1"/>
      <c r="AY120" s="1"/>
      <c r="AZ120" s="1"/>
      <c r="BA120" s="1"/>
      <c r="BB120"/>
      <c r="BC120"/>
      <c r="BD120"/>
      <c r="BE120"/>
      <c r="BF120"/>
      <c r="BG120"/>
      <c r="BH120"/>
      <c r="BI120"/>
      <c r="BJ120"/>
      <c r="BK120" s="1"/>
      <c r="BL120" s="1"/>
      <c r="BM120" s="1"/>
      <c r="BN120" s="1"/>
      <c r="BO120" s="1"/>
      <c r="BP120" s="1"/>
      <c r="BQ120" s="1"/>
      <c r="BR120" s="1"/>
      <c r="BS120" s="1"/>
      <c r="BT120" s="1"/>
      <c r="BU120" s="1"/>
      <c r="BV120" s="1"/>
      <c r="BW120" s="1"/>
      <c r="BX120" s="1"/>
      <c r="BY120" s="1"/>
      <c r="BZ120" s="1"/>
      <c r="CA120" s="1"/>
      <c r="CB120" s="1"/>
      <c r="CC120" s="1"/>
    </row>
    <row r="121" spans="1:81" x14ac:dyDescent="0.3">
      <c r="A121" s="35">
        <v>0</v>
      </c>
      <c r="B121"/>
      <c r="C121"/>
      <c r="D121"/>
      <c r="E121"/>
      <c r="F121"/>
      <c r="G121"/>
      <c r="H121"/>
      <c r="I121"/>
      <c r="J121"/>
      <c r="K121"/>
      <c r="V121" s="1"/>
      <c r="W121" s="1"/>
      <c r="X121" s="1"/>
      <c r="Y121" s="1"/>
      <c r="Z121" s="1"/>
      <c r="AA121" s="1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  <c r="AX121" s="1"/>
      <c r="AY121" s="1"/>
      <c r="AZ121" s="1"/>
      <c r="BA121" s="1"/>
      <c r="BB121"/>
      <c r="BC121"/>
      <c r="BD121"/>
      <c r="BE121"/>
      <c r="BF121"/>
      <c r="BG121"/>
      <c r="BH121"/>
      <c r="BI121"/>
      <c r="BJ121"/>
      <c r="BK121" s="1"/>
      <c r="BL121" s="1"/>
      <c r="BM121" s="1"/>
      <c r="BN121" s="1"/>
      <c r="BO121" s="1"/>
      <c r="BP121" s="1"/>
      <c r="BQ121" s="1"/>
      <c r="BR121" s="1"/>
      <c r="BS121" s="1"/>
      <c r="BT121" s="1"/>
      <c r="BU121" s="1"/>
      <c r="BV121" s="1"/>
      <c r="BW121" s="1"/>
      <c r="BX121" s="1"/>
      <c r="BY121" s="1"/>
      <c r="BZ121" s="1"/>
      <c r="CA121" s="1"/>
      <c r="CB121" s="1"/>
      <c r="CC121" s="1"/>
    </row>
    <row r="122" spans="1:81" x14ac:dyDescent="0.3">
      <c r="A122" s="35">
        <v>4</v>
      </c>
      <c r="B122" s="3" t="str">
        <f>B116</f>
        <v>وحدة علوية  زاوية 90</v>
      </c>
      <c r="C122" s="9">
        <f>C120+1</f>
        <v>9</v>
      </c>
      <c r="D122" s="9" t="s">
        <v>53</v>
      </c>
      <c r="E122" s="9" t="s">
        <v>71</v>
      </c>
      <c r="F122" s="9">
        <f ca="1">I105-0.5</f>
        <v>69.5</v>
      </c>
      <c r="G122" s="9">
        <f ca="1">H105-J105-3.3</f>
        <v>-33.299999999999997</v>
      </c>
      <c r="H122" s="9">
        <f>C103*1</f>
        <v>1</v>
      </c>
      <c r="I122" s="9"/>
      <c r="J122" s="9"/>
      <c r="K122" s="9" t="b">
        <v>1</v>
      </c>
      <c r="V122" s="1"/>
      <c r="W122" s="1"/>
      <c r="X122" s="1"/>
      <c r="Y122" s="1"/>
      <c r="Z122" s="1"/>
      <c r="AA122" s="1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  <c r="AX122" s="1"/>
      <c r="AY122" s="1"/>
      <c r="AZ122" s="1"/>
      <c r="BA122" s="1"/>
      <c r="BB122"/>
      <c r="BC122"/>
      <c r="BD122"/>
      <c r="BE122"/>
      <c r="BF122"/>
      <c r="BG122"/>
      <c r="BH122"/>
      <c r="BI122"/>
      <c r="BJ122"/>
      <c r="BK122" s="1"/>
      <c r="BL122" s="1"/>
      <c r="BM122" s="1"/>
      <c r="BN122" s="1"/>
      <c r="BO122" s="1"/>
      <c r="BP122" s="1"/>
      <c r="BQ122" s="1"/>
      <c r="BR122" s="1"/>
      <c r="BS122" s="1"/>
      <c r="BT122" s="1"/>
      <c r="BU122" s="1"/>
      <c r="BV122" s="1"/>
      <c r="BW122" s="1"/>
      <c r="BX122" s="1"/>
      <c r="BY122" s="1"/>
      <c r="BZ122" s="1"/>
      <c r="CA122" s="1"/>
      <c r="CB122" s="1"/>
      <c r="CC122" s="1"/>
    </row>
    <row r="123" spans="1:81" x14ac:dyDescent="0.3">
      <c r="A123" s="35">
        <v>4</v>
      </c>
      <c r="B123" s="3" t="str">
        <f>B117</f>
        <v>وحدة علوية  زاوية 90</v>
      </c>
      <c r="C123" s="9">
        <f>C122+1</f>
        <v>10</v>
      </c>
      <c r="D123" s="9" t="s">
        <v>53</v>
      </c>
      <c r="E123" s="9" t="s">
        <v>71</v>
      </c>
      <c r="F123" s="9">
        <f ca="1">I106-0.5</f>
        <v>69.5</v>
      </c>
      <c r="G123" s="9">
        <f ca="1">H105-J105-3.3</f>
        <v>-33.299999999999997</v>
      </c>
      <c r="H123" s="9">
        <f>C103*1</f>
        <v>1</v>
      </c>
      <c r="I123" s="9"/>
      <c r="J123" s="9"/>
      <c r="K123" s="9" t="b">
        <v>1</v>
      </c>
      <c r="V123" s="1"/>
      <c r="W123" s="1"/>
      <c r="X123" s="1"/>
      <c r="Y123" s="1"/>
      <c r="Z123" s="1"/>
      <c r="AA123" s="1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  <c r="AX123" s="1"/>
      <c r="AY123" s="1"/>
      <c r="AZ123" s="1"/>
      <c r="BA123" s="1"/>
      <c r="BB123"/>
      <c r="BC123"/>
      <c r="BD123"/>
      <c r="BE123"/>
      <c r="BF123"/>
      <c r="BG123"/>
      <c r="BH123"/>
      <c r="BI123"/>
      <c r="BJ123"/>
      <c r="BK123" s="1"/>
      <c r="BL123" s="1"/>
      <c r="BM123" s="1"/>
      <c r="BN123" s="1"/>
      <c r="BO123" s="1"/>
      <c r="BP123" s="1"/>
      <c r="BQ123" s="1"/>
      <c r="BR123" s="1"/>
      <c r="BS123" s="1"/>
      <c r="BT123" s="1"/>
      <c r="BU123" s="1"/>
      <c r="BV123" s="1"/>
      <c r="BW123" s="1"/>
      <c r="BX123" s="1"/>
      <c r="BY123" s="1"/>
      <c r="BZ123" s="1"/>
      <c r="CA123" s="1"/>
      <c r="CB123" s="1"/>
      <c r="CC123" s="1"/>
    </row>
    <row r="124" spans="1:81" x14ac:dyDescent="0.3">
      <c r="A124" s="35">
        <v>0</v>
      </c>
      <c r="B124"/>
      <c r="C124"/>
      <c r="D124"/>
      <c r="E124"/>
      <c r="F124"/>
      <c r="G124"/>
      <c r="H124"/>
      <c r="I124"/>
      <c r="J124"/>
      <c r="K124"/>
      <c r="V124" s="1"/>
      <c r="W124" s="1"/>
      <c r="X124" s="1"/>
      <c r="Y124" s="1"/>
      <c r="Z124" s="1"/>
      <c r="AA124" s="1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  <c r="AX124" s="1"/>
      <c r="AY124" s="1"/>
      <c r="AZ124" s="1"/>
      <c r="BA124" s="1"/>
      <c r="BB124"/>
      <c r="BC124"/>
      <c r="BD124"/>
      <c r="BE124"/>
      <c r="BF124"/>
      <c r="BG124"/>
      <c r="BH124"/>
      <c r="BI124"/>
      <c r="BJ124"/>
      <c r="BK124" s="1"/>
      <c r="BL124" s="1"/>
      <c r="BM124" s="1"/>
      <c r="BN124" s="1"/>
      <c r="BO124" s="1"/>
      <c r="BP124" s="1"/>
      <c r="BQ124" s="1"/>
      <c r="BR124" s="1"/>
      <c r="BS124" s="1"/>
      <c r="BT124" s="1"/>
      <c r="BU124" s="1"/>
      <c r="BV124" s="1"/>
      <c r="BW124" s="1"/>
      <c r="BX124" s="1"/>
      <c r="BY124" s="1"/>
      <c r="BZ124" s="1"/>
      <c r="CA124" s="1"/>
      <c r="CB124" s="1"/>
      <c r="CC124" s="1"/>
    </row>
    <row r="125" spans="1:81" x14ac:dyDescent="0.3">
      <c r="A125" s="35">
        <v>5</v>
      </c>
      <c r="B125" s="3" t="str">
        <f>B112</f>
        <v>وحدة علوية  زاوية 90</v>
      </c>
      <c r="C125" s="19">
        <f>C123+1</f>
        <v>11</v>
      </c>
      <c r="D125" s="19" t="str">
        <f ca="1">D108</f>
        <v>ظهر</v>
      </c>
      <c r="E125" s="19" t="s">
        <v>107</v>
      </c>
      <c r="F125" s="19">
        <f ca="1">I105-2</f>
        <v>68</v>
      </c>
      <c r="G125" s="19">
        <f>H105-1</f>
        <v>-1</v>
      </c>
      <c r="H125" s="19">
        <f>1*C103</f>
        <v>1</v>
      </c>
      <c r="I125" s="19">
        <f ca="1">HLOOKUP(D125, materials[], 2,FALSE)</f>
        <v>2</v>
      </c>
      <c r="J125" s="19"/>
      <c r="K125" s="19" t="b">
        <v>1</v>
      </c>
      <c r="V125" s="1"/>
      <c r="W125" s="1"/>
      <c r="X125" s="1"/>
      <c r="Y125" s="1"/>
      <c r="Z125" s="1"/>
      <c r="AA125" s="1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  <c r="AX125" s="1"/>
      <c r="AY125" s="1"/>
      <c r="AZ125" s="1"/>
      <c r="BA125" s="1"/>
      <c r="BB125"/>
      <c r="BC125"/>
      <c r="BD125"/>
      <c r="BE125"/>
      <c r="BF125"/>
      <c r="BG125"/>
      <c r="BH125"/>
      <c r="BI125"/>
      <c r="BJ125"/>
      <c r="BK125" s="1"/>
      <c r="BL125" s="1"/>
      <c r="BM125" s="1"/>
      <c r="BN125" s="1"/>
      <c r="BO125" s="1"/>
      <c r="BP125" s="1"/>
      <c r="BQ125" s="1"/>
      <c r="BR125" s="1"/>
      <c r="BS125" s="1"/>
      <c r="BT125" s="1"/>
      <c r="BU125" s="1"/>
      <c r="BV125" s="1"/>
      <c r="BW125" s="1"/>
      <c r="BX125" s="1"/>
      <c r="BY125" s="1"/>
      <c r="BZ125" s="1"/>
      <c r="CA125" s="1"/>
      <c r="CB125" s="1"/>
      <c r="CC125" s="1"/>
    </row>
    <row r="126" spans="1:81" x14ac:dyDescent="0.3">
      <c r="A126" s="35">
        <v>5</v>
      </c>
      <c r="B126" s="3" t="str">
        <f>B112</f>
        <v>وحدة علوية  زاوية 90</v>
      </c>
      <c r="C126" s="19">
        <f>C125+1</f>
        <v>12</v>
      </c>
      <c r="D126" s="19" t="str">
        <f ca="1">D108</f>
        <v>ظهر</v>
      </c>
      <c r="E126" s="19" t="s">
        <v>108</v>
      </c>
      <c r="F126" s="19">
        <f ca="1">I106-2</f>
        <v>68</v>
      </c>
      <c r="G126" s="19">
        <f>H106-1</f>
        <v>59</v>
      </c>
      <c r="H126" s="19">
        <f>1*C103</f>
        <v>1</v>
      </c>
      <c r="I126" s="19">
        <f ca="1">HLOOKUP(D126, materials[], 2,FALSE)</f>
        <v>2</v>
      </c>
      <c r="J126" s="19"/>
      <c r="K126" s="19" t="b">
        <v>1</v>
      </c>
      <c r="V126" s="1"/>
      <c r="W126" s="1"/>
      <c r="X126" s="1"/>
      <c r="Y126" s="1"/>
      <c r="Z126" s="1"/>
      <c r="AA126" s="1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  <c r="AX126" s="1"/>
      <c r="AY126" s="1"/>
      <c r="AZ126" s="1"/>
      <c r="BA126" s="1"/>
      <c r="BB126"/>
      <c r="BC126"/>
      <c r="BD126"/>
      <c r="BE126"/>
      <c r="BF126"/>
      <c r="BG126"/>
      <c r="BH126"/>
      <c r="BI126"/>
      <c r="BJ126"/>
      <c r="BK126" s="1"/>
      <c r="BL126" s="1"/>
      <c r="BM126" s="1"/>
      <c r="BN126" s="1"/>
      <c r="BO126" s="1"/>
      <c r="BP126" s="1"/>
      <c r="BQ126" s="1"/>
      <c r="BR126" s="1"/>
      <c r="BS126" s="1"/>
      <c r="BT126" s="1"/>
      <c r="BU126" s="1"/>
      <c r="BV126" s="1"/>
      <c r="BW126" s="1"/>
      <c r="BX126" s="1"/>
      <c r="BY126" s="1"/>
      <c r="BZ126" s="1"/>
      <c r="CA126" s="1"/>
      <c r="CB126" s="1"/>
      <c r="CC126" s="1"/>
    </row>
    <row r="127" spans="1:81" x14ac:dyDescent="0.3">
      <c r="A127" s="35">
        <v>255</v>
      </c>
      <c r="C127" s="1"/>
      <c r="D127" s="1"/>
      <c r="E127" s="1"/>
      <c r="F127" s="1"/>
      <c r="G127" s="1"/>
      <c r="H127" s="1"/>
      <c r="I127" s="1"/>
      <c r="J127" s="1"/>
      <c r="V127" s="1"/>
      <c r="W127" s="1"/>
      <c r="X127" s="1"/>
      <c r="Y127" s="1"/>
      <c r="Z127" s="1"/>
      <c r="AA127" s="1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  <c r="AX127" s="1"/>
      <c r="AY127" s="1"/>
      <c r="AZ127" s="1"/>
      <c r="BA127" s="1"/>
      <c r="BB127"/>
      <c r="BC127"/>
      <c r="BD127"/>
      <c r="BE127"/>
      <c r="BF127"/>
      <c r="BG127"/>
      <c r="BH127"/>
      <c r="BI127"/>
      <c r="BJ127"/>
      <c r="BK127" s="1"/>
      <c r="BL127" s="1"/>
      <c r="BM127" s="1"/>
      <c r="BN127" s="1"/>
      <c r="BO127" s="1"/>
      <c r="BP127" s="1"/>
      <c r="BQ127" s="1"/>
      <c r="BR127" s="1"/>
      <c r="BS127" s="1"/>
      <c r="BT127" s="1"/>
      <c r="BU127" s="1"/>
      <c r="BV127" s="1"/>
      <c r="BW127" s="1"/>
      <c r="BX127" s="1"/>
      <c r="BY127" s="1"/>
      <c r="BZ127" s="1"/>
      <c r="CA127" s="1"/>
      <c r="CB127" s="1"/>
      <c r="CC127" s="1"/>
    </row>
    <row r="128" spans="1:81" x14ac:dyDescent="0.3">
      <c r="A128" s="35">
        <v>255</v>
      </c>
      <c r="V128" s="1"/>
      <c r="W128" s="1"/>
      <c r="X128" s="1"/>
      <c r="Y128" s="1"/>
      <c r="Z128" s="1"/>
      <c r="AA128" s="1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  <c r="AX128" s="1"/>
      <c r="AY128" s="1"/>
      <c r="AZ128" s="1"/>
      <c r="BA128" s="1"/>
      <c r="BB128"/>
      <c r="BC128"/>
      <c r="BD128"/>
      <c r="BE128"/>
      <c r="BF128"/>
      <c r="BG128"/>
      <c r="BH128"/>
      <c r="BI128"/>
      <c r="BJ128"/>
      <c r="BK128" s="1"/>
      <c r="BL128" s="1"/>
      <c r="BM128" s="1"/>
      <c r="BN128" s="1"/>
      <c r="BO128" s="1"/>
      <c r="BP128" s="1"/>
      <c r="BQ128" s="1"/>
      <c r="BR128" s="1"/>
      <c r="BS128" s="1"/>
      <c r="BT128" s="1"/>
      <c r="BU128" s="1"/>
      <c r="BV128" s="1"/>
      <c r="BW128" s="1"/>
      <c r="BX128" s="1"/>
      <c r="BY128" s="1"/>
      <c r="BZ128" s="1"/>
      <c r="CA128" s="1"/>
      <c r="CB128" s="1"/>
      <c r="CC128" s="1"/>
    </row>
    <row r="129" spans="1:81" ht="36" x14ac:dyDescent="0.3">
      <c r="A129" s="35" t="s">
        <v>158</v>
      </c>
      <c r="C129" s="14">
        <v>1</v>
      </c>
      <c r="D129" s="22" t="s">
        <v>59</v>
      </c>
      <c r="E129" s="101" t="s">
        <v>47</v>
      </c>
      <c r="F129" s="102"/>
      <c r="G129" s="102"/>
      <c r="H129" s="103"/>
      <c r="I129" s="2" t="s">
        <v>30</v>
      </c>
      <c r="J129" s="2">
        <f>letterToNumber(A129)</f>
        <v>6</v>
      </c>
      <c r="K129" s="7">
        <f ca="1">_xlfn.SHEET("وحدات علوية")</f>
        <v>6</v>
      </c>
      <c r="V129" s="1"/>
      <c r="W129" s="1"/>
      <c r="X129" s="1"/>
      <c r="Y129" s="1"/>
      <c r="Z129" s="1"/>
      <c r="AA129" s="1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  <c r="AX129" s="1"/>
      <c r="AY129" s="1"/>
      <c r="AZ129" s="1"/>
      <c r="BA129" s="1"/>
      <c r="BB129"/>
      <c r="BC129"/>
      <c r="BD129"/>
      <c r="BE129"/>
      <c r="BF129"/>
      <c r="BG129"/>
      <c r="BH129"/>
      <c r="BI129"/>
      <c r="BJ129"/>
      <c r="BK129" s="1"/>
      <c r="BL129" s="1"/>
      <c r="BM129" s="1"/>
      <c r="BN129" s="1"/>
      <c r="BO129" s="1"/>
      <c r="BP129" s="1"/>
      <c r="BQ129" s="1"/>
      <c r="BR129" s="1"/>
      <c r="BS129" s="1"/>
      <c r="BT129" s="1"/>
      <c r="BU129" s="1"/>
      <c r="BV129" s="1"/>
      <c r="BW129" s="1"/>
      <c r="BX129" s="1"/>
      <c r="BY129" s="1"/>
      <c r="BZ129" s="1"/>
      <c r="CA129" s="1"/>
      <c r="CB129" s="1"/>
      <c r="CC129" s="1"/>
    </row>
    <row r="130" spans="1:81" ht="31.2" x14ac:dyDescent="0.3">
      <c r="A130" s="35">
        <v>1</v>
      </c>
      <c r="C130" s="7"/>
      <c r="D130" s="7" t="s">
        <v>18</v>
      </c>
      <c r="E130" s="7"/>
      <c r="F130" s="7" t="s">
        <v>16</v>
      </c>
      <c r="G130" s="7" t="s">
        <v>115</v>
      </c>
      <c r="H130" s="7" t="s">
        <v>22</v>
      </c>
      <c r="I130" s="7" t="s">
        <v>3</v>
      </c>
      <c r="J130" s="7" t="s">
        <v>113</v>
      </c>
      <c r="K130" s="7"/>
      <c r="V130" s="1"/>
      <c r="W130" s="1"/>
      <c r="X130" s="1"/>
      <c r="Y130" s="1"/>
      <c r="Z130" s="1"/>
      <c r="AA130" s="1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  <c r="AX130" s="1"/>
      <c r="AY130" s="1"/>
      <c r="AZ130" s="1"/>
      <c r="BA130" s="1"/>
      <c r="BB130"/>
      <c r="BC130"/>
      <c r="BD130"/>
      <c r="BE130"/>
      <c r="BF130"/>
      <c r="BG130"/>
      <c r="BH130"/>
      <c r="BI130"/>
      <c r="BJ130"/>
      <c r="BK130" s="1"/>
      <c r="BL130" s="1"/>
      <c r="BM130" s="1"/>
      <c r="BN130" s="1"/>
      <c r="BO130" s="1"/>
      <c r="BP130" s="1"/>
      <c r="BQ130" s="1"/>
      <c r="BR130" s="1"/>
      <c r="BS130" s="1"/>
      <c r="BT130" s="1"/>
      <c r="BU130" s="1"/>
      <c r="BV130" s="1"/>
      <c r="BW130" s="1"/>
      <c r="BX130" s="1"/>
      <c r="BY130" s="1"/>
      <c r="BZ130" s="1"/>
      <c r="CA130" s="1"/>
      <c r="CB130" s="1"/>
      <c r="CC130" s="1"/>
    </row>
    <row r="131" spans="1:81" ht="15.6" x14ac:dyDescent="0.3">
      <c r="A131" s="35">
        <v>1</v>
      </c>
      <c r="C131" s="8"/>
      <c r="D131" s="8">
        <v>1</v>
      </c>
      <c r="E131" s="8"/>
      <c r="F131" s="27" cm="1">
        <f t="array" aca="1" ref="F131" ca="1">defaultValue(F130,K129)</f>
        <v>3.5</v>
      </c>
      <c r="G131" s="27" cm="1">
        <f t="array" aca="1" ref="G131" ca="1">defaultValue(G130,K129)</f>
        <v>0</v>
      </c>
      <c r="H131" s="8"/>
      <c r="I131" s="27" cm="1">
        <f t="array" aca="1" ref="I131" ca="1">defaultValue(I130,K129)</f>
        <v>70</v>
      </c>
      <c r="J131" s="27" cm="1">
        <f t="array" aca="1" ref="J131" ca="1">defaultValue(J130,K129)</f>
        <v>30</v>
      </c>
      <c r="K131" s="7"/>
      <c r="V131" s="1"/>
      <c r="W131" s="1"/>
      <c r="X131" s="1"/>
      <c r="Y131" s="1"/>
      <c r="Z131" s="1"/>
      <c r="AA131" s="1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  <c r="AX131" s="1"/>
      <c r="AY131" s="1"/>
      <c r="AZ131" s="1"/>
      <c r="BA131" s="1"/>
      <c r="BB131"/>
      <c r="BC131"/>
      <c r="BD131"/>
      <c r="BE131"/>
      <c r="BF131"/>
      <c r="BG131"/>
      <c r="BH131"/>
      <c r="BI131"/>
      <c r="BJ131"/>
      <c r="BK131" s="1"/>
      <c r="BL131" s="1"/>
      <c r="BM131" s="1"/>
      <c r="BN131" s="1"/>
      <c r="BO131" s="1"/>
      <c r="BP131" s="1"/>
      <c r="BQ131" s="1"/>
      <c r="BR131" s="1"/>
      <c r="BS131" s="1"/>
      <c r="BT131" s="1"/>
      <c r="BU131" s="1"/>
      <c r="BV131" s="1"/>
      <c r="BW131" s="1"/>
      <c r="BX131" s="1"/>
      <c r="BY131" s="1"/>
      <c r="BZ131" s="1"/>
      <c r="CA131" s="1"/>
      <c r="CB131" s="1"/>
      <c r="CC131" s="1"/>
    </row>
    <row r="132" spans="1:81" ht="15.6" x14ac:dyDescent="0.3">
      <c r="A132" s="35">
        <v>1</v>
      </c>
      <c r="C132" s="8"/>
      <c r="D132" s="8"/>
      <c r="E132" s="8"/>
      <c r="F132" s="108" t="b">
        <f ca="1">NOT(AND(F131&gt;0,G131&gt;0))</f>
        <v>1</v>
      </c>
      <c r="G132" s="108"/>
      <c r="H132" s="8"/>
      <c r="I132" s="27" cm="1">
        <f t="array" aca="1" ref="I132" ca="1">defaultValue(I130,K129)</f>
        <v>70</v>
      </c>
      <c r="J132" s="27" cm="1">
        <f t="array" aca="1" ref="J132" ca="1">defaultValue(J130,K129)</f>
        <v>30</v>
      </c>
      <c r="K132" s="7"/>
      <c r="V132" s="1"/>
      <c r="W132" s="1"/>
      <c r="X132" s="1"/>
      <c r="Y132" s="1"/>
      <c r="Z132" s="1"/>
      <c r="AA132" s="1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  <c r="AX132" s="1"/>
      <c r="AY132" s="1"/>
      <c r="AZ132" s="1"/>
      <c r="BA132" s="1"/>
      <c r="BB132"/>
      <c r="BC132"/>
      <c r="BD132"/>
      <c r="BE132"/>
      <c r="BF132"/>
      <c r="BG132"/>
      <c r="BH132"/>
      <c r="BI132"/>
      <c r="BJ132"/>
      <c r="BK132" s="1"/>
      <c r="BL132" s="1"/>
      <c r="BM132" s="1"/>
      <c r="BN132" s="1"/>
      <c r="BO132" s="1"/>
      <c r="BP132" s="1"/>
      <c r="BQ132" s="1"/>
      <c r="BR132" s="1"/>
      <c r="BS132" s="1"/>
      <c r="BT132" s="1"/>
      <c r="BU132" s="1"/>
      <c r="BV132" s="1"/>
      <c r="BW132" s="1"/>
      <c r="BX132" s="1"/>
      <c r="BY132" s="1"/>
      <c r="BZ132" s="1"/>
      <c r="CA132" s="1"/>
      <c r="CB132" s="1"/>
      <c r="CC132" s="1"/>
    </row>
    <row r="133" spans="1:81" ht="15.6" x14ac:dyDescent="0.3">
      <c r="A133" s="35">
        <v>1</v>
      </c>
      <c r="C133" s="8"/>
      <c r="D133" s="8"/>
      <c r="E133" s="8"/>
      <c r="F133" s="109" t="str">
        <f ca="1">IF(F132,"المقابض مظبوطة","مينفعش مقبض مخفي مع بيلت ان")</f>
        <v>المقابض مظبوطة</v>
      </c>
      <c r="G133" s="109"/>
      <c r="H133" s="8"/>
      <c r="I133" s="8"/>
      <c r="J133" s="8"/>
      <c r="K133" s="7"/>
      <c r="V133" s="1"/>
      <c r="W133" s="1"/>
      <c r="X133" s="1"/>
      <c r="Y133" s="1"/>
      <c r="Z133" s="1"/>
      <c r="AA133" s="1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  <c r="AX133" s="1"/>
      <c r="AY133" s="1"/>
      <c r="AZ133" s="1"/>
      <c r="BA133" s="1"/>
      <c r="BB133"/>
      <c r="BC133"/>
      <c r="BD133"/>
      <c r="BE133"/>
      <c r="BF133"/>
      <c r="BG133"/>
      <c r="BH133"/>
      <c r="BI133"/>
      <c r="BJ133"/>
      <c r="BK133" s="1"/>
      <c r="BL133" s="1"/>
      <c r="BM133" s="1"/>
      <c r="BN133" s="1"/>
      <c r="BO133" s="1"/>
      <c r="BP133" s="1"/>
      <c r="BQ133" s="1"/>
      <c r="BR133" s="1"/>
      <c r="BS133" s="1"/>
      <c r="BT133" s="1"/>
      <c r="BU133" s="1"/>
      <c r="BV133" s="1"/>
      <c r="BW133" s="1"/>
      <c r="BX133" s="1"/>
      <c r="BY133" s="1"/>
      <c r="BZ133" s="1"/>
      <c r="CA133" s="1"/>
      <c r="CB133" s="1"/>
      <c r="CC133" s="1"/>
    </row>
    <row r="134" spans="1:81" ht="31.2" x14ac:dyDescent="0.3">
      <c r="A134" s="35">
        <v>1</v>
      </c>
      <c r="C134" s="8"/>
      <c r="D134" s="27" t="str" cm="1">
        <f t="array" aca="1" ref="D134" ca="1">defaultValue(E134,K129)</f>
        <v>ظهر</v>
      </c>
      <c r="E134" s="7" t="s">
        <v>58</v>
      </c>
      <c r="F134" s="27" t="str" cm="1">
        <f t="array" aca="1" ref="F134" ca="1">defaultValue(G134,K129)</f>
        <v>يوفيلاك</v>
      </c>
      <c r="G134" s="7" t="s">
        <v>32</v>
      </c>
      <c r="H134" s="27" t="str" cm="1">
        <f t="array" aca="1" ref="H134" ca="1">defaultValue(I134,K129)</f>
        <v>HPL</v>
      </c>
      <c r="I134" s="7" t="s">
        <v>31</v>
      </c>
      <c r="J134" s="25" t="s">
        <v>111</v>
      </c>
      <c r="K134" s="7"/>
      <c r="V134" s="1"/>
      <c r="W134" s="1"/>
      <c r="X134" s="1"/>
      <c r="Y134" s="1"/>
      <c r="Z134" s="1"/>
      <c r="AA134" s="1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  <c r="AX134" s="1"/>
      <c r="AY134" s="1"/>
      <c r="AZ134" s="1"/>
      <c r="BA134" s="1"/>
      <c r="BB134"/>
      <c r="BC134"/>
      <c r="BD134"/>
      <c r="BE134"/>
      <c r="BF134"/>
      <c r="BG134"/>
      <c r="BH134"/>
      <c r="BI134"/>
      <c r="BJ134"/>
      <c r="BK134" s="1"/>
      <c r="BL134" s="1"/>
      <c r="BM134" s="1"/>
      <c r="BN134" s="1"/>
      <c r="BO134" s="1"/>
      <c r="BP134" s="1"/>
      <c r="BQ134" s="1"/>
      <c r="BR134" s="1"/>
      <c r="BS134" s="1"/>
      <c r="BT134" s="1"/>
      <c r="BU134" s="1"/>
      <c r="BV134" s="1"/>
      <c r="BW134" s="1"/>
      <c r="BX134" s="1"/>
      <c r="BY134" s="1"/>
      <c r="BZ134" s="1"/>
      <c r="CA134" s="1"/>
      <c r="CB134" s="1"/>
      <c r="CC134" s="1"/>
    </row>
    <row r="135" spans="1:81" x14ac:dyDescent="0.3">
      <c r="A135" s="35">
        <v>0</v>
      </c>
      <c r="B135"/>
      <c r="C135"/>
      <c r="D135"/>
      <c r="E135"/>
      <c r="F135"/>
      <c r="G135"/>
      <c r="H135"/>
      <c r="I135"/>
      <c r="J135"/>
      <c r="K135"/>
      <c r="V135" s="1"/>
      <c r="W135" s="1"/>
      <c r="X135" s="1"/>
      <c r="Y135" s="1"/>
      <c r="Z135" s="1"/>
      <c r="AA135" s="1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  <c r="AX135" s="1"/>
      <c r="AY135" s="1"/>
      <c r="AZ135" s="1"/>
      <c r="BA135" s="1"/>
      <c r="BB135"/>
      <c r="BC135"/>
      <c r="BD135"/>
      <c r="BE135"/>
      <c r="BF135"/>
      <c r="BG135"/>
      <c r="BH135"/>
      <c r="BI135"/>
      <c r="BJ135"/>
      <c r="BK135" s="1"/>
      <c r="BL135" s="1"/>
      <c r="BM135" s="1"/>
      <c r="BN135" s="1"/>
      <c r="BO135" s="1"/>
      <c r="BP135" s="1"/>
      <c r="BQ135" s="1"/>
      <c r="BR135" s="1"/>
      <c r="BS135" s="1"/>
      <c r="BT135" s="1"/>
      <c r="BU135" s="1"/>
      <c r="BV135" s="1"/>
      <c r="BW135" s="1"/>
      <c r="BX135" s="1"/>
      <c r="BY135" s="1"/>
      <c r="BZ135" s="1"/>
      <c r="CA135" s="1"/>
      <c r="CB135" s="1"/>
      <c r="CC135" s="1"/>
    </row>
    <row r="136" spans="1:81" x14ac:dyDescent="0.3">
      <c r="A136" s="35">
        <v>2</v>
      </c>
      <c r="C136" s="6" t="s">
        <v>4</v>
      </c>
      <c r="D136" s="6" t="s">
        <v>9</v>
      </c>
      <c r="E136" s="6" t="s">
        <v>5</v>
      </c>
      <c r="F136" s="6" t="s">
        <v>7</v>
      </c>
      <c r="G136" s="6" t="s">
        <v>1</v>
      </c>
      <c r="H136" s="6" t="s">
        <v>6</v>
      </c>
      <c r="I136" s="6" t="s">
        <v>33</v>
      </c>
      <c r="J136" s="6" t="s">
        <v>8</v>
      </c>
      <c r="K136" s="6" t="s">
        <v>185</v>
      </c>
      <c r="V136" s="1"/>
      <c r="W136" s="1"/>
      <c r="X136" s="1"/>
      <c r="Y136" s="1"/>
      <c r="Z136" s="1"/>
      <c r="AA136" s="1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  <c r="AX136" s="1"/>
      <c r="AY136" s="1"/>
      <c r="AZ136" s="1"/>
      <c r="BA136" s="1"/>
      <c r="BB136"/>
      <c r="BC136"/>
      <c r="BD136"/>
      <c r="BE136"/>
      <c r="BF136"/>
      <c r="BG136"/>
      <c r="BH136"/>
      <c r="BI136"/>
      <c r="BJ136"/>
      <c r="BK136" s="1"/>
      <c r="BL136" s="1"/>
      <c r="BM136" s="1"/>
      <c r="BN136" s="1"/>
      <c r="BO136" s="1"/>
      <c r="BP136" s="1"/>
      <c r="BQ136" s="1"/>
      <c r="BR136" s="1"/>
      <c r="BS136" s="1"/>
      <c r="BT136" s="1"/>
      <c r="BU136" s="1"/>
      <c r="BV136" s="1"/>
      <c r="BW136" s="1"/>
      <c r="BX136" s="1"/>
      <c r="BY136" s="1"/>
      <c r="BZ136" s="1"/>
      <c r="CA136" s="1"/>
      <c r="CB136" s="1"/>
      <c r="CC136" s="1"/>
    </row>
    <row r="137" spans="1:81" ht="15.6" customHeight="1" x14ac:dyDescent="0.3">
      <c r="A137" s="35">
        <v>0</v>
      </c>
      <c r="B137"/>
      <c r="C137"/>
      <c r="D137"/>
      <c r="E137"/>
      <c r="F137"/>
      <c r="G137"/>
      <c r="H137"/>
      <c r="I137"/>
      <c r="J137"/>
      <c r="K137"/>
      <c r="V137" s="1"/>
      <c r="W137" s="1"/>
      <c r="X137" s="1"/>
      <c r="Y137" s="1"/>
      <c r="Z137" s="1"/>
      <c r="AA137" s="1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  <c r="AX137" s="1"/>
      <c r="AY137" s="1"/>
      <c r="AZ137" s="1"/>
      <c r="BA137" s="1"/>
      <c r="BB137"/>
      <c r="BC137"/>
      <c r="BD137"/>
      <c r="BE137"/>
      <c r="BF137"/>
      <c r="BG137"/>
      <c r="BH137"/>
      <c r="BI137"/>
      <c r="BJ137"/>
      <c r="BK137" s="1"/>
      <c r="BL137" s="1"/>
      <c r="BM137" s="1"/>
      <c r="BN137" s="1"/>
      <c r="BO137" s="1"/>
      <c r="BP137" s="1"/>
      <c r="BQ137" s="1"/>
      <c r="BR137" s="1"/>
      <c r="BS137" s="1"/>
      <c r="BT137" s="1"/>
      <c r="BU137" s="1"/>
      <c r="BV137" s="1"/>
      <c r="BW137" s="1"/>
      <c r="BX137" s="1"/>
      <c r="BY137" s="1"/>
      <c r="BZ137" s="1"/>
      <c r="CA137" s="1"/>
      <c r="CB137" s="1"/>
      <c r="CC137" s="1"/>
    </row>
    <row r="138" spans="1:81" ht="15.6" customHeight="1" x14ac:dyDescent="0.3">
      <c r="A138" s="35">
        <v>3</v>
      </c>
      <c r="B138" s="3" t="str">
        <f>E129</f>
        <v>وحدة علوية  ركنة 45</v>
      </c>
      <c r="C138" s="6">
        <v>1</v>
      </c>
      <c r="D138" s="6" t="str">
        <f ca="1">H134</f>
        <v>HPL</v>
      </c>
      <c r="E138" s="6" t="s">
        <v>49</v>
      </c>
      <c r="F138" s="6">
        <f>H131-1.8</f>
        <v>-1.8</v>
      </c>
      <c r="G138" s="6">
        <f>H132-1.8</f>
        <v>-1.8</v>
      </c>
      <c r="H138" s="6">
        <f>1*C129</f>
        <v>1</v>
      </c>
      <c r="I138" s="6">
        <f ca="1">HLOOKUP(D138, materials[], 2,FALSE)</f>
        <v>2</v>
      </c>
      <c r="J138" s="6"/>
      <c r="K138" s="6" t="b">
        <v>1</v>
      </c>
      <c r="V138" s="1"/>
      <c r="W138" s="1"/>
      <c r="X138" s="1"/>
      <c r="Y138" s="1"/>
      <c r="Z138" s="1"/>
      <c r="AA138" s="1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  <c r="AX138" s="1"/>
      <c r="AY138" s="1"/>
      <c r="AZ138" s="1"/>
      <c r="BA138" s="1"/>
      <c r="BB138"/>
      <c r="BC138"/>
      <c r="BD138"/>
      <c r="BE138"/>
      <c r="BF138"/>
      <c r="BG138"/>
      <c r="BH138"/>
      <c r="BI138"/>
      <c r="BJ138"/>
      <c r="BK138" s="1"/>
      <c r="BL138" s="1"/>
      <c r="BM138" s="1"/>
      <c r="BN138" s="1"/>
      <c r="BO138" s="1"/>
      <c r="BP138" s="1"/>
      <c r="BQ138" s="1"/>
      <c r="BR138" s="1"/>
      <c r="BS138" s="1"/>
      <c r="BT138" s="1"/>
      <c r="BU138" s="1"/>
      <c r="BV138" s="1"/>
      <c r="BW138" s="1"/>
      <c r="BX138" s="1"/>
      <c r="BY138" s="1"/>
      <c r="BZ138" s="1"/>
      <c r="CA138" s="1"/>
      <c r="CB138" s="1"/>
      <c r="CC138" s="1"/>
    </row>
    <row r="139" spans="1:81" ht="15.6" customHeight="1" x14ac:dyDescent="0.3">
      <c r="A139" s="35">
        <v>3</v>
      </c>
      <c r="B139" s="3" t="str">
        <f>B138</f>
        <v>وحدة علوية  ركنة 45</v>
      </c>
      <c r="C139" s="6">
        <f>C138+1</f>
        <v>2</v>
      </c>
      <c r="D139" s="6" t="str">
        <f ca="1">H134</f>
        <v>HPL</v>
      </c>
      <c r="E139" s="6" t="s">
        <v>10</v>
      </c>
      <c r="F139" s="6">
        <f>H131-1.8</f>
        <v>-1.8</v>
      </c>
      <c r="G139" s="6">
        <f>H132-1.8</f>
        <v>-1.8</v>
      </c>
      <c r="H139" s="6">
        <f>1*C129</f>
        <v>1</v>
      </c>
      <c r="I139" s="6">
        <f ca="1">HLOOKUP(D139, materials[], 2,FALSE)</f>
        <v>2</v>
      </c>
      <c r="J139" s="6"/>
      <c r="K139" s="6" t="b">
        <v>1</v>
      </c>
      <c r="V139" s="1"/>
      <c r="W139" s="1"/>
      <c r="X139" s="1"/>
      <c r="Y139" s="1"/>
      <c r="Z139" s="1"/>
      <c r="AA139" s="1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  <c r="AX139" s="1"/>
      <c r="AY139" s="1"/>
      <c r="AZ139" s="1"/>
      <c r="BA139" s="1"/>
      <c r="BB139"/>
      <c r="BC139"/>
      <c r="BD139"/>
      <c r="BE139"/>
      <c r="BF139"/>
      <c r="BG139"/>
      <c r="BH139"/>
      <c r="BI139"/>
      <c r="BJ139"/>
      <c r="BK139" s="1"/>
      <c r="BL139" s="1"/>
      <c r="BM139" s="1"/>
      <c r="BN139" s="1"/>
      <c r="BO139" s="1"/>
      <c r="BP139" s="1"/>
      <c r="BQ139" s="1"/>
      <c r="BR139" s="1"/>
      <c r="BS139" s="1"/>
      <c r="BT139" s="1"/>
      <c r="BU139" s="1"/>
      <c r="BV139" s="1"/>
      <c r="BW139" s="1"/>
      <c r="BX139" s="1"/>
      <c r="BY139" s="1"/>
      <c r="BZ139" s="1"/>
      <c r="CA139" s="1"/>
      <c r="CB139" s="1"/>
      <c r="CC139" s="1"/>
    </row>
    <row r="140" spans="1:81" ht="15.6" customHeight="1" x14ac:dyDescent="0.3">
      <c r="A140" s="35">
        <v>3</v>
      </c>
      <c r="B140" s="3" t="str">
        <f>B138</f>
        <v>وحدة علوية  ركنة 45</v>
      </c>
      <c r="C140" s="6">
        <f>C139+1</f>
        <v>3</v>
      </c>
      <c r="D140" s="6" t="str">
        <f ca="1">H134</f>
        <v>HPL</v>
      </c>
      <c r="E140" s="6" t="s">
        <v>62</v>
      </c>
      <c r="F140" s="6">
        <f ca="1">I131</f>
        <v>70</v>
      </c>
      <c r="G140" s="6">
        <f ca="1">J131</f>
        <v>30</v>
      </c>
      <c r="H140" s="6">
        <f>1*C129</f>
        <v>1</v>
      </c>
      <c r="I140" s="6">
        <f ca="1">HLOOKUP(D140, materials[], 2,FALSE)</f>
        <v>2</v>
      </c>
      <c r="J140" s="6"/>
      <c r="K140" s="6" t="b">
        <v>1</v>
      </c>
      <c r="V140" s="1"/>
      <c r="W140" s="1"/>
      <c r="X140" s="1"/>
      <c r="Y140" s="1"/>
      <c r="Z140" s="1"/>
      <c r="AA140" s="1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  <c r="AX140" s="1"/>
      <c r="AY140" s="1"/>
      <c r="AZ140" s="1"/>
      <c r="BA140" s="1"/>
      <c r="BB140"/>
      <c r="BC140"/>
      <c r="BD140"/>
      <c r="BE140"/>
      <c r="BF140"/>
      <c r="BG140"/>
      <c r="BH140"/>
      <c r="BI140"/>
      <c r="BJ140"/>
      <c r="BK140" s="1"/>
      <c r="BL140" s="1"/>
      <c r="BM140" s="1"/>
      <c r="BN140" s="1"/>
      <c r="BO140" s="1"/>
      <c r="BP140" s="1"/>
      <c r="BQ140" s="1"/>
      <c r="BR140" s="1"/>
      <c r="BS140" s="1"/>
      <c r="BT140" s="1"/>
      <c r="BU140" s="1"/>
      <c r="BV140" s="1"/>
      <c r="BW140" s="1"/>
      <c r="BX140" s="1"/>
      <c r="BY140" s="1"/>
      <c r="BZ140" s="1"/>
      <c r="CA140" s="1"/>
      <c r="CB140" s="1"/>
      <c r="CC140" s="1"/>
    </row>
    <row r="141" spans="1:81" ht="15.6" customHeight="1" x14ac:dyDescent="0.3">
      <c r="A141" s="35">
        <v>3</v>
      </c>
      <c r="B141" s="3" t="str">
        <f>B138</f>
        <v>وحدة علوية  ركنة 45</v>
      </c>
      <c r="C141" s="6">
        <f>C140+1</f>
        <v>4</v>
      </c>
      <c r="D141" s="6" t="str">
        <f ca="1">H134</f>
        <v>HPL</v>
      </c>
      <c r="E141" s="6" t="s">
        <v>63</v>
      </c>
      <c r="F141" s="6">
        <f ca="1">I132</f>
        <v>70</v>
      </c>
      <c r="G141" s="6">
        <f ca="1">J132</f>
        <v>30</v>
      </c>
      <c r="H141" s="6">
        <f>1*C129</f>
        <v>1</v>
      </c>
      <c r="I141" s="6">
        <f ca="1">HLOOKUP(D141, materials[], 2,FALSE)</f>
        <v>2</v>
      </c>
      <c r="J141" s="6"/>
      <c r="K141" s="6" t="b">
        <v>1</v>
      </c>
      <c r="V141" s="1"/>
      <c r="W141" s="1"/>
      <c r="X141" s="1"/>
      <c r="Y141" s="1"/>
      <c r="Z141" s="1"/>
      <c r="AA141" s="1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  <c r="AX141" s="1"/>
      <c r="AY141" s="1"/>
      <c r="AZ141" s="1"/>
      <c r="BA141" s="1"/>
      <c r="BB141"/>
      <c r="BC141"/>
      <c r="BD141"/>
      <c r="BE141"/>
      <c r="BF141"/>
      <c r="BG141"/>
      <c r="BH141"/>
      <c r="BI141"/>
      <c r="BJ141"/>
      <c r="BK141" s="1"/>
      <c r="BL141" s="1"/>
      <c r="BM141" s="1"/>
      <c r="BN141" s="1"/>
      <c r="BO141" s="1"/>
      <c r="BP141" s="1"/>
      <c r="BQ141" s="1"/>
      <c r="BR141" s="1"/>
      <c r="BS141" s="1"/>
      <c r="BT141" s="1"/>
      <c r="BU141" s="1"/>
      <c r="BV141" s="1"/>
      <c r="BW141" s="1"/>
      <c r="BX141" s="1"/>
      <c r="BY141" s="1"/>
      <c r="BZ141" s="1"/>
      <c r="CA141" s="1"/>
      <c r="CB141" s="1"/>
      <c r="CC141" s="1"/>
    </row>
    <row r="142" spans="1:81" ht="15.6" customHeight="1" x14ac:dyDescent="0.3">
      <c r="A142" s="35">
        <v>3</v>
      </c>
      <c r="B142" s="3" t="str">
        <f>B138</f>
        <v>وحدة علوية  ركنة 45</v>
      </c>
      <c r="C142" s="6">
        <f>C141+1</f>
        <v>5</v>
      </c>
      <c r="D142" s="6" t="str">
        <f ca="1">H134</f>
        <v>HPL</v>
      </c>
      <c r="E142" s="6" t="s">
        <v>27</v>
      </c>
      <c r="F142" s="6">
        <f ca="1">I131</f>
        <v>70</v>
      </c>
      <c r="G142" s="6">
        <v>10</v>
      </c>
      <c r="H142" s="6">
        <f>1*C129</f>
        <v>1</v>
      </c>
      <c r="I142" s="6">
        <f ca="1">HLOOKUP(D142, materials[], 2,FALSE)</f>
        <v>2</v>
      </c>
      <c r="J142" s="6"/>
      <c r="K142" s="6" t="b">
        <v>1</v>
      </c>
      <c r="V142" s="1"/>
      <c r="W142" s="1"/>
      <c r="X142" s="1"/>
      <c r="Y142" s="1"/>
      <c r="Z142" s="1"/>
      <c r="AA142" s="1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  <c r="AX142" s="1"/>
      <c r="AY142" s="1"/>
      <c r="AZ142" s="1"/>
      <c r="BA142" s="1"/>
      <c r="BB142"/>
      <c r="BC142"/>
      <c r="BD142"/>
      <c r="BE142"/>
      <c r="BF142"/>
      <c r="BG142"/>
      <c r="BH142"/>
      <c r="BI142"/>
      <c r="BJ142"/>
      <c r="BK142" s="1"/>
      <c r="BL142" s="1"/>
      <c r="BM142" s="1"/>
      <c r="BN142" s="1"/>
      <c r="BO142" s="1"/>
      <c r="BP142" s="1"/>
      <c r="BQ142" s="1"/>
      <c r="BR142" s="1"/>
      <c r="BS142" s="1"/>
      <c r="BT142" s="1"/>
      <c r="BU142" s="1"/>
      <c r="BV142" s="1"/>
      <c r="BW142" s="1"/>
      <c r="BX142" s="1"/>
      <c r="BY142" s="1"/>
      <c r="BZ142" s="1"/>
      <c r="CA142" s="1"/>
      <c r="CB142" s="1"/>
      <c r="CC142" s="1"/>
    </row>
    <row r="143" spans="1:81" x14ac:dyDescent="0.3">
      <c r="A143" s="35">
        <v>3</v>
      </c>
      <c r="B143" s="3" t="str">
        <f>B138</f>
        <v>وحدة علوية  ركنة 45</v>
      </c>
      <c r="C143" s="6">
        <f t="shared" ref="C143" si="8">C142+1</f>
        <v>6</v>
      </c>
      <c r="D143" s="6" t="str">
        <f ca="1">H134</f>
        <v>HPL</v>
      </c>
      <c r="E143" s="6" t="s">
        <v>17</v>
      </c>
      <c r="F143" s="6">
        <f>H131-3.8</f>
        <v>-3.8</v>
      </c>
      <c r="G143" s="6">
        <f>H132-3.8</f>
        <v>-3.8</v>
      </c>
      <c r="H143" s="6">
        <f>D131*C129</f>
        <v>1</v>
      </c>
      <c r="I143" s="6">
        <f ca="1">HLOOKUP(D143, materials[], 2,FALSE)</f>
        <v>2</v>
      </c>
      <c r="J143" s="6"/>
      <c r="K143" s="6" t="b">
        <v>1</v>
      </c>
      <c r="V143" s="1"/>
      <c r="W143" s="1"/>
      <c r="X143" s="1"/>
      <c r="Y143" s="1"/>
      <c r="Z143" s="1"/>
      <c r="AA143" s="1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  <c r="AX143" s="1"/>
      <c r="AY143" s="1"/>
      <c r="AZ143" s="1"/>
      <c r="BA143" s="1"/>
      <c r="BB143"/>
      <c r="BC143"/>
      <c r="BD143"/>
      <c r="BE143"/>
      <c r="BF143"/>
      <c r="BG143"/>
      <c r="BH143"/>
      <c r="BI143"/>
      <c r="BJ143"/>
      <c r="BK143" s="1"/>
      <c r="BL143" s="1"/>
      <c r="BM143" s="1"/>
      <c r="BN143" s="1"/>
      <c r="BO143" s="1"/>
      <c r="BP143" s="1"/>
      <c r="BQ143" s="1"/>
      <c r="BR143" s="1"/>
      <c r="BS143" s="1"/>
      <c r="BT143" s="1"/>
      <c r="BU143" s="1"/>
      <c r="BV143" s="1"/>
      <c r="BW143" s="1"/>
      <c r="BX143" s="1"/>
      <c r="BY143" s="1"/>
      <c r="BZ143" s="1"/>
      <c r="CA143" s="1"/>
      <c r="CB143" s="1"/>
      <c r="CC143" s="1"/>
    </row>
    <row r="144" spans="1:81" x14ac:dyDescent="0.3">
      <c r="A144" s="35">
        <v>0</v>
      </c>
      <c r="B144"/>
      <c r="C144"/>
      <c r="D144"/>
      <c r="E144"/>
      <c r="F144"/>
      <c r="G144"/>
      <c r="H144"/>
      <c r="I144"/>
      <c r="J144"/>
      <c r="K144"/>
      <c r="V144" s="1"/>
      <c r="W144" s="1"/>
      <c r="X144" s="1"/>
      <c r="Y144" s="1"/>
      <c r="Z144" s="1"/>
      <c r="AA144" s="1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  <c r="AX144" s="1"/>
      <c r="AY144" s="1"/>
      <c r="AZ144" s="1"/>
      <c r="BA144" s="1"/>
      <c r="BB144"/>
      <c r="BC144"/>
      <c r="BD144"/>
      <c r="BE144"/>
      <c r="BF144"/>
      <c r="BG144"/>
      <c r="BH144"/>
      <c r="BI144"/>
      <c r="BJ144"/>
      <c r="BK144" s="1"/>
      <c r="BL144" s="1"/>
      <c r="BM144" s="1"/>
      <c r="BN144" s="1"/>
      <c r="BO144" s="1"/>
      <c r="BP144" s="1"/>
      <c r="BQ144" s="1"/>
      <c r="BR144" s="1"/>
      <c r="BS144" s="1"/>
      <c r="BT144" s="1"/>
      <c r="BU144" s="1"/>
      <c r="BV144" s="1"/>
      <c r="BW144" s="1"/>
      <c r="BX144" s="1"/>
      <c r="BY144" s="1"/>
      <c r="BZ144" s="1"/>
      <c r="CA144" s="1"/>
      <c r="CB144" s="1"/>
      <c r="CC144" s="1"/>
    </row>
    <row r="145" spans="1:81" x14ac:dyDescent="0.3">
      <c r="A145" s="35">
        <v>4</v>
      </c>
      <c r="B145" s="3" t="str">
        <f>B138</f>
        <v>وحدة علوية  ركنة 45</v>
      </c>
      <c r="C145" s="9">
        <f>C143+1</f>
        <v>7</v>
      </c>
      <c r="D145" s="9" t="str">
        <f ca="1">F134</f>
        <v>يوفيلاك</v>
      </c>
      <c r="E145" s="9" t="s">
        <v>28</v>
      </c>
      <c r="F145" s="9">
        <f ca="1">I131-0.5-F131</f>
        <v>66</v>
      </c>
      <c r="G145" s="17">
        <f ca="1">(SQRT((H131-J131)^2+(H132-J132)^2))-2</f>
        <v>40.426406871192853</v>
      </c>
      <c r="H145" s="9">
        <f>1*C129</f>
        <v>1</v>
      </c>
      <c r="I145" s="9">
        <f ca="1">HLOOKUP(D145, materials[], 2,FALSE)</f>
        <v>6</v>
      </c>
      <c r="J145" s="9"/>
      <c r="K145" s="9" t="b">
        <v>1</v>
      </c>
      <c r="V145" s="1"/>
      <c r="W145" s="1"/>
      <c r="X145" s="1"/>
      <c r="Y145" s="1"/>
      <c r="Z145" s="1"/>
      <c r="AA145" s="1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  <c r="AX145" s="1"/>
      <c r="AY145" s="1"/>
      <c r="AZ145" s="1"/>
      <c r="BA145" s="1"/>
      <c r="BB145"/>
      <c r="BC145"/>
      <c r="BD145"/>
      <c r="BE145"/>
      <c r="BF145"/>
      <c r="BG145"/>
      <c r="BH145"/>
      <c r="BI145"/>
      <c r="BJ145"/>
      <c r="BK145" s="1"/>
      <c r="BL145" s="1"/>
      <c r="BM145" s="1"/>
      <c r="BN145" s="1"/>
      <c r="BO145" s="1"/>
      <c r="BP145" s="1"/>
      <c r="BQ145" s="1"/>
      <c r="BR145" s="1"/>
      <c r="BS145" s="1"/>
      <c r="BT145" s="1"/>
      <c r="BU145" s="1"/>
      <c r="BV145" s="1"/>
      <c r="BW145" s="1"/>
      <c r="BX145" s="1"/>
      <c r="BY145" s="1"/>
      <c r="BZ145" s="1"/>
      <c r="CA145" s="1"/>
      <c r="CB145" s="1"/>
      <c r="CC145" s="1"/>
    </row>
    <row r="146" spans="1:81" x14ac:dyDescent="0.3">
      <c r="A146" s="35">
        <v>0</v>
      </c>
      <c r="B146"/>
      <c r="C146"/>
      <c r="D146"/>
      <c r="E146"/>
      <c r="F146"/>
      <c r="G146"/>
      <c r="H146"/>
      <c r="I146"/>
      <c r="J146"/>
      <c r="K146"/>
      <c r="V146" s="1"/>
      <c r="W146" s="1"/>
      <c r="X146" s="1"/>
      <c r="Y146" s="1"/>
      <c r="Z146" s="1"/>
      <c r="AA146" s="1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  <c r="AX146" s="1"/>
      <c r="AY146" s="1"/>
      <c r="AZ146" s="1"/>
      <c r="BA146" s="1"/>
      <c r="BB146"/>
      <c r="BC146"/>
      <c r="BD146"/>
      <c r="BE146"/>
      <c r="BF146"/>
      <c r="BG146"/>
      <c r="BH146"/>
      <c r="BI146"/>
      <c r="BJ146"/>
      <c r="BK146" s="1"/>
      <c r="BL146" s="1"/>
      <c r="BM146" s="1"/>
      <c r="BN146" s="1"/>
      <c r="BO146" s="1"/>
      <c r="BP146" s="1"/>
      <c r="BQ146" s="1"/>
      <c r="BR146" s="1"/>
      <c r="BS146" s="1"/>
      <c r="BT146" s="1"/>
      <c r="BU146" s="1"/>
      <c r="BV146" s="1"/>
      <c r="BW146" s="1"/>
      <c r="BX146" s="1"/>
      <c r="BY146" s="1"/>
      <c r="BZ146" s="1"/>
      <c r="CA146" s="1"/>
      <c r="CB146" s="1"/>
      <c r="CC146" s="1"/>
    </row>
    <row r="147" spans="1:81" x14ac:dyDescent="0.3">
      <c r="A147" s="35">
        <v>5</v>
      </c>
      <c r="B147" s="3" t="str">
        <f>B138</f>
        <v>وحدة علوية  ركنة 45</v>
      </c>
      <c r="C147" s="19">
        <f>C145+1</f>
        <v>8</v>
      </c>
      <c r="D147" s="19" t="str">
        <f ca="1">D134</f>
        <v>ظهر</v>
      </c>
      <c r="E147" s="19" t="s">
        <v>58</v>
      </c>
      <c r="F147" s="19">
        <f ca="1">I131-2</f>
        <v>68</v>
      </c>
      <c r="G147" s="19">
        <f>H131-1</f>
        <v>-1</v>
      </c>
      <c r="H147" s="19">
        <f>1*C129</f>
        <v>1</v>
      </c>
      <c r="I147" s="19">
        <f ca="1">HLOOKUP(D147, materials[], 2,FALSE)</f>
        <v>2</v>
      </c>
      <c r="J147" s="19"/>
      <c r="K147" s="19" t="b">
        <v>1</v>
      </c>
      <c r="V147" s="1"/>
      <c r="W147" s="1"/>
      <c r="X147" s="1"/>
      <c r="Y147" s="1"/>
      <c r="Z147" s="1"/>
      <c r="AA147" s="1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  <c r="AX147" s="1"/>
      <c r="AY147" s="1"/>
      <c r="AZ147" s="1"/>
      <c r="BA147" s="1"/>
      <c r="BB147"/>
      <c r="BC147"/>
      <c r="BD147"/>
      <c r="BE147"/>
      <c r="BF147"/>
      <c r="BG147"/>
      <c r="BH147"/>
      <c r="BI147"/>
      <c r="BJ147"/>
      <c r="BK147" s="1"/>
      <c r="BL147" s="1"/>
      <c r="BM147" s="1"/>
      <c r="BN147" s="1"/>
      <c r="BO147" s="1"/>
      <c r="BP147" s="1"/>
      <c r="BQ147" s="1"/>
      <c r="BR147" s="1"/>
      <c r="BS147" s="1"/>
      <c r="BT147" s="1"/>
      <c r="BU147" s="1"/>
      <c r="BV147" s="1"/>
      <c r="BW147" s="1"/>
      <c r="BX147" s="1"/>
      <c r="BY147" s="1"/>
      <c r="BZ147" s="1"/>
      <c r="CA147" s="1"/>
      <c r="CB147" s="1"/>
      <c r="CC147" s="1"/>
    </row>
    <row r="148" spans="1:81" x14ac:dyDescent="0.3">
      <c r="A148" s="35">
        <v>255</v>
      </c>
      <c r="V148" s="1"/>
      <c r="W148" s="1"/>
      <c r="X148" s="1"/>
      <c r="Y148" s="1"/>
      <c r="Z148" s="1"/>
      <c r="AA148" s="1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  <c r="AX148" s="1"/>
      <c r="AY148" s="1"/>
      <c r="AZ148" s="1"/>
      <c r="BA148" s="1"/>
      <c r="BB148"/>
      <c r="BC148"/>
      <c r="BD148"/>
      <c r="BE148"/>
      <c r="BF148"/>
      <c r="BG148"/>
      <c r="BH148"/>
      <c r="BI148"/>
      <c r="BJ148"/>
      <c r="BK148" s="1"/>
      <c r="BL148" s="1"/>
      <c r="BM148" s="1"/>
      <c r="BN148" s="1"/>
      <c r="BO148" s="1"/>
      <c r="BP148" s="1"/>
      <c r="BQ148" s="1"/>
      <c r="BR148" s="1"/>
      <c r="BS148" s="1"/>
      <c r="BT148" s="1"/>
      <c r="BU148" s="1"/>
      <c r="BV148" s="1"/>
      <c r="BW148" s="1"/>
      <c r="BX148" s="1"/>
      <c r="BY148" s="1"/>
      <c r="BZ148" s="1"/>
      <c r="CA148" s="1"/>
      <c r="CB148" s="1"/>
      <c r="CC148" s="1"/>
    </row>
    <row r="149" spans="1:81" x14ac:dyDescent="0.3">
      <c r="A149" s="35">
        <v>255</v>
      </c>
      <c r="V149" s="1"/>
      <c r="W149" s="1"/>
      <c r="X149" s="1"/>
      <c r="Y149" s="1"/>
      <c r="Z149" s="1"/>
      <c r="AA149" s="1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  <c r="AX149" s="1"/>
      <c r="AY149" s="1"/>
      <c r="AZ149" s="1"/>
      <c r="BA149" s="1"/>
      <c r="BB149"/>
      <c r="BC149"/>
      <c r="BD149"/>
      <c r="BE149"/>
      <c r="BF149"/>
      <c r="BG149"/>
      <c r="BH149"/>
      <c r="BI149"/>
      <c r="BJ149"/>
      <c r="BK149" s="1"/>
      <c r="BL149" s="1"/>
      <c r="BM149" s="1"/>
      <c r="BN149" s="1"/>
      <c r="BO149" s="1"/>
      <c r="BP149" s="1"/>
      <c r="BQ149" s="1"/>
      <c r="BR149" s="1"/>
      <c r="BS149" s="1"/>
      <c r="BT149" s="1"/>
      <c r="BU149" s="1"/>
      <c r="BV149" s="1"/>
      <c r="BW149" s="1"/>
      <c r="BX149" s="1"/>
      <c r="BY149" s="1"/>
      <c r="BZ149" s="1"/>
      <c r="CA149" s="1"/>
      <c r="CB149" s="1"/>
      <c r="CC149" s="1"/>
    </row>
    <row r="150" spans="1:81" ht="36" x14ac:dyDescent="0.3">
      <c r="A150" s="35" t="s">
        <v>159</v>
      </c>
      <c r="C150" s="14">
        <v>1</v>
      </c>
      <c r="D150" s="22" t="s">
        <v>59</v>
      </c>
      <c r="E150" s="101" t="s">
        <v>109</v>
      </c>
      <c r="F150" s="102"/>
      <c r="G150" s="102"/>
      <c r="H150" s="103"/>
      <c r="I150" s="2" t="s">
        <v>30</v>
      </c>
      <c r="J150" s="2">
        <f>letterToNumber(A150)</f>
        <v>7</v>
      </c>
      <c r="K150" s="7">
        <f ca="1">_xlfn.SHEET("وحدات علوية")</f>
        <v>6</v>
      </c>
      <c r="V150" s="1"/>
      <c r="W150" s="1"/>
      <c r="X150" s="1"/>
      <c r="Y150" s="1"/>
      <c r="Z150" s="1"/>
      <c r="AA150" s="1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  <c r="AX150" s="1"/>
      <c r="AY150" s="1"/>
      <c r="AZ150" s="1"/>
      <c r="BA150" s="1"/>
      <c r="BB150"/>
      <c r="BC150"/>
      <c r="BD150"/>
      <c r="BE150"/>
      <c r="BF150"/>
      <c r="BG150"/>
      <c r="BH150"/>
      <c r="BI150"/>
      <c r="BJ150"/>
      <c r="BK150" s="1"/>
      <c r="BL150" s="1"/>
      <c r="BM150" s="1"/>
      <c r="BN150" s="1"/>
      <c r="BO150" s="1"/>
      <c r="BP150" s="1"/>
      <c r="BQ150" s="1"/>
      <c r="BR150" s="1"/>
      <c r="BS150" s="1"/>
      <c r="BT150" s="1"/>
      <c r="BU150" s="1"/>
      <c r="BV150" s="1"/>
      <c r="BW150" s="1"/>
      <c r="BX150" s="1"/>
      <c r="BY150" s="1"/>
      <c r="BZ150" s="1"/>
      <c r="CA150" s="1"/>
      <c r="CB150" s="1"/>
      <c r="CC150" s="1"/>
    </row>
    <row r="151" spans="1:81" ht="31.2" x14ac:dyDescent="0.3">
      <c r="A151" s="35">
        <v>1</v>
      </c>
      <c r="C151" s="7" t="s">
        <v>54</v>
      </c>
      <c r="D151" s="7" t="s">
        <v>55</v>
      </c>
      <c r="E151" s="18" t="s">
        <v>18</v>
      </c>
      <c r="F151" s="7" t="s">
        <v>16</v>
      </c>
      <c r="G151" s="7" t="s">
        <v>115</v>
      </c>
      <c r="H151" s="7" t="s">
        <v>22</v>
      </c>
      <c r="I151" s="7" t="s">
        <v>3</v>
      </c>
      <c r="J151" s="7" t="s">
        <v>113</v>
      </c>
      <c r="K151" s="7"/>
      <c r="V151" s="1"/>
      <c r="W151" s="1"/>
      <c r="X151" s="1"/>
      <c r="Y151" s="1"/>
      <c r="Z151" s="1"/>
      <c r="AA151" s="1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  <c r="AX151" s="1"/>
      <c r="AY151" s="1"/>
      <c r="AZ151" s="1"/>
      <c r="BA151" s="1"/>
      <c r="BB151"/>
      <c r="BC151"/>
      <c r="BD151"/>
      <c r="BE151"/>
      <c r="BF151"/>
      <c r="BG151"/>
      <c r="BH151"/>
      <c r="BI151"/>
      <c r="BJ151"/>
      <c r="BK151" s="1"/>
      <c r="BL151" s="1"/>
      <c r="BM151" s="1"/>
      <c r="BN151" s="1"/>
      <c r="BO151" s="1"/>
      <c r="BP151" s="1"/>
      <c r="BQ151" s="1"/>
      <c r="BR151" s="1"/>
      <c r="BS151" s="1"/>
      <c r="BT151" s="1"/>
      <c r="BU151" s="1"/>
      <c r="BV151" s="1"/>
      <c r="BW151" s="1"/>
      <c r="BX151" s="1"/>
      <c r="BY151" s="1"/>
      <c r="BZ151" s="1"/>
      <c r="CA151" s="1"/>
      <c r="CB151" s="1"/>
      <c r="CC151" s="1"/>
    </row>
    <row r="152" spans="1:81" ht="15.6" x14ac:dyDescent="0.3">
      <c r="A152" s="35">
        <v>1</v>
      </c>
      <c r="C152" s="8">
        <v>1</v>
      </c>
      <c r="D152" s="8">
        <v>0</v>
      </c>
      <c r="E152" s="8">
        <v>2</v>
      </c>
      <c r="F152" s="27" cm="1">
        <f t="array" aca="1" ref="F152" ca="1">defaultValue(F151,K150)</f>
        <v>3.5</v>
      </c>
      <c r="G152" s="27" cm="1">
        <f t="array" aca="1" ref="G152" ca="1">defaultValue(G151,K150)</f>
        <v>0</v>
      </c>
      <c r="H152" s="8"/>
      <c r="I152" s="27" cm="1">
        <f t="array" aca="1" ref="I152" ca="1">defaultValue(I151,K150)</f>
        <v>70</v>
      </c>
      <c r="J152" s="27" cm="1">
        <f t="array" aca="1" ref="J152" ca="1">defaultValue(J151,K150)</f>
        <v>30</v>
      </c>
      <c r="K152" s="7"/>
      <c r="V152" s="1"/>
      <c r="W152" s="1"/>
      <c r="X152" s="1"/>
      <c r="Y152" s="1"/>
      <c r="Z152" s="1"/>
      <c r="AA152" s="1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  <c r="AX152" s="1"/>
      <c r="AY152" s="1"/>
      <c r="AZ152" s="1"/>
      <c r="BA152" s="1"/>
      <c r="BB152"/>
      <c r="BC152"/>
      <c r="BD152"/>
      <c r="BE152"/>
      <c r="BF152"/>
      <c r="BG152"/>
      <c r="BH152"/>
      <c r="BI152"/>
      <c r="BJ152"/>
      <c r="BK152" s="1"/>
      <c r="BL152" s="1"/>
      <c r="BM152" s="1"/>
      <c r="BN152" s="1"/>
      <c r="BO152" s="1"/>
      <c r="BP152" s="1"/>
      <c r="BQ152" s="1"/>
      <c r="BR152" s="1"/>
      <c r="BS152" s="1"/>
      <c r="BT152" s="1"/>
      <c r="BU152" s="1"/>
      <c r="BV152" s="1"/>
      <c r="BW152" s="1"/>
      <c r="BX152" s="1"/>
      <c r="BY152" s="1"/>
      <c r="BZ152" s="1"/>
      <c r="CA152" s="1"/>
      <c r="CB152" s="1"/>
      <c r="CC152" s="1"/>
    </row>
    <row r="153" spans="1:81" ht="15.6" x14ac:dyDescent="0.3">
      <c r="A153" s="35">
        <v>1</v>
      </c>
      <c r="C153" s="9" t="b">
        <f>C152=0</f>
        <v>0</v>
      </c>
      <c r="D153" s="9" t="b">
        <f>D152=0</f>
        <v>1</v>
      </c>
      <c r="E153" s="7" t="s">
        <v>106</v>
      </c>
      <c r="F153" s="6" t="b">
        <f ca="1">NOT(AND(F152&gt;0,G152&gt;0))</f>
        <v>1</v>
      </c>
      <c r="G153" s="8"/>
      <c r="H153" s="6" t="b">
        <f>_xlfn.XOR(H152&lt;=50,C154=2)</f>
        <v>1</v>
      </c>
      <c r="I153" s="46"/>
      <c r="J153" s="7" t="s">
        <v>110</v>
      </c>
      <c r="K153" s="7"/>
      <c r="V153" s="1"/>
      <c r="W153" s="1"/>
      <c r="X153" s="1"/>
      <c r="Y153" s="1"/>
      <c r="Z153" s="1"/>
      <c r="AA153" s="1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  <c r="AX153" s="1"/>
      <c r="AY153" s="1"/>
      <c r="AZ153" s="1"/>
      <c r="BA153" s="1"/>
      <c r="BB153"/>
      <c r="BC153"/>
      <c r="BD153"/>
      <c r="BE153"/>
      <c r="BF153"/>
      <c r="BG153"/>
      <c r="BH153"/>
      <c r="BI153"/>
      <c r="BJ153"/>
      <c r="BK153" s="1"/>
      <c r="BL153" s="1"/>
      <c r="BM153" s="1"/>
      <c r="BN153" s="1"/>
      <c r="BO153" s="1"/>
      <c r="BP153" s="1"/>
      <c r="BQ153" s="1"/>
      <c r="BR153" s="1"/>
      <c r="BS153" s="1"/>
      <c r="BT153" s="1"/>
      <c r="BU153" s="1"/>
      <c r="BV153" s="1"/>
      <c r="BW153" s="1"/>
      <c r="BX153" s="1"/>
      <c r="BY153" s="1"/>
      <c r="BZ153" s="1"/>
      <c r="CA153" s="1"/>
      <c r="CB153" s="1"/>
      <c r="CC153" s="1"/>
    </row>
    <row r="154" spans="1:81" ht="28.8" x14ac:dyDescent="0.3">
      <c r="A154" s="35">
        <v>1</v>
      </c>
      <c r="C154" s="112">
        <f>C152+D152</f>
        <v>1</v>
      </c>
      <c r="D154" s="113"/>
      <c r="E154" s="7">
        <v>0</v>
      </c>
      <c r="F154" s="6" t="str">
        <f ca="1">IF(F153,"المقابض مظبوطة","مينفعش مقبض مخفي مع بيلت ان")</f>
        <v>المقابض مظبوطة</v>
      </c>
      <c r="G154" s="8"/>
      <c r="H154" s="6" t="str">
        <f>IF(H153,"عدد الدلف صحيح","عدد الدلف غير صحيح")</f>
        <v>عدد الدلف صحيح</v>
      </c>
      <c r="I154" s="8"/>
      <c r="J154" s="8">
        <v>32</v>
      </c>
      <c r="K154" s="7"/>
      <c r="V154" s="1"/>
      <c r="W154" s="1"/>
      <c r="X154" s="1"/>
      <c r="Y154" s="1"/>
      <c r="Z154" s="1"/>
      <c r="AA154" s="1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  <c r="AX154" s="1"/>
      <c r="AY154" s="1"/>
      <c r="AZ154" s="1"/>
      <c r="BA154" s="1"/>
      <c r="BB154"/>
      <c r="BC154"/>
      <c r="BD154"/>
      <c r="BE154"/>
      <c r="BF154"/>
      <c r="BG154"/>
      <c r="BH154"/>
      <c r="BI154"/>
      <c r="BJ154"/>
      <c r="BK154" s="1"/>
      <c r="BL154" s="1"/>
      <c r="BM154" s="1"/>
      <c r="BN154" s="1"/>
      <c r="BO154" s="1"/>
      <c r="BP154" s="1"/>
      <c r="BQ154" s="1"/>
      <c r="BR154" s="1"/>
      <c r="BS154" s="1"/>
      <c r="BT154" s="1"/>
      <c r="BU154" s="1"/>
      <c r="BV154" s="1"/>
      <c r="BW154" s="1"/>
      <c r="BX154" s="1"/>
      <c r="BY154" s="1"/>
      <c r="BZ154" s="1"/>
      <c r="CA154" s="1"/>
      <c r="CB154" s="1"/>
      <c r="CC154" s="1"/>
    </row>
    <row r="155" spans="1:81" ht="15.6" x14ac:dyDescent="0.3">
      <c r="A155" s="35">
        <v>1</v>
      </c>
      <c r="C155" s="110" t="b">
        <f>C154&lt;=2</f>
        <v>1</v>
      </c>
      <c r="D155" s="114"/>
      <c r="E155" s="8"/>
      <c r="F155" s="8"/>
      <c r="G155" s="8"/>
      <c r="H155" s="8"/>
      <c r="I155" s="8"/>
      <c r="J155" s="8"/>
      <c r="K155" s="7"/>
      <c r="V155" s="1"/>
      <c r="W155" s="1"/>
      <c r="X155" s="1"/>
      <c r="Y155" s="1"/>
      <c r="Z155" s="1"/>
      <c r="AA155" s="1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  <c r="AX155" s="1"/>
      <c r="AY155" s="1"/>
      <c r="AZ155" s="1"/>
      <c r="BA155" s="1"/>
      <c r="BB155"/>
      <c r="BC155"/>
      <c r="BD155"/>
      <c r="BE155"/>
      <c r="BF155"/>
      <c r="BG155"/>
      <c r="BH155"/>
      <c r="BI155"/>
      <c r="BJ155"/>
      <c r="BK155" s="1"/>
      <c r="BL155" s="1"/>
      <c r="BM155" s="1"/>
      <c r="BN155" s="1"/>
      <c r="BO155" s="1"/>
      <c r="BP155" s="1"/>
      <c r="BQ155" s="1"/>
      <c r="BR155" s="1"/>
      <c r="BS155" s="1"/>
      <c r="BT155" s="1"/>
      <c r="BU155" s="1"/>
      <c r="BV155" s="1"/>
      <c r="BW155" s="1"/>
      <c r="BX155" s="1"/>
      <c r="BY155" s="1"/>
      <c r="BZ155" s="1"/>
      <c r="CA155" s="1"/>
      <c r="CB155" s="1"/>
      <c r="CC155" s="1"/>
    </row>
    <row r="156" spans="1:81" ht="31.2" x14ac:dyDescent="0.3">
      <c r="A156" s="35">
        <v>1</v>
      </c>
      <c r="C156" s="8"/>
      <c r="D156" s="27" t="str" cm="1">
        <f t="array" aca="1" ref="D156" ca="1">defaultValue(E156,K150)</f>
        <v>ظهر</v>
      </c>
      <c r="E156" s="7" t="s">
        <v>58</v>
      </c>
      <c r="F156" s="27" t="str" cm="1">
        <f t="array" aca="1" ref="F156" ca="1">defaultValue(G156,K150)</f>
        <v>يوفيلاك</v>
      </c>
      <c r="G156" s="7" t="s">
        <v>32</v>
      </c>
      <c r="H156" s="27" t="str" cm="1">
        <f t="array" aca="1" ref="H156" ca="1">defaultValue(I156,K150)</f>
        <v>HPL</v>
      </c>
      <c r="I156" s="7" t="s">
        <v>31</v>
      </c>
      <c r="J156" s="25" t="s">
        <v>111</v>
      </c>
      <c r="K156" s="7"/>
      <c r="V156" s="1"/>
      <c r="W156" s="1"/>
      <c r="X156" s="1"/>
      <c r="Y156" s="1"/>
      <c r="Z156" s="1"/>
      <c r="AA156" s="1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  <c r="AX156" s="1"/>
      <c r="AY156" s="1"/>
      <c r="AZ156" s="1"/>
      <c r="BA156" s="1"/>
      <c r="BB156"/>
      <c r="BC156"/>
      <c r="BD156"/>
      <c r="BE156"/>
      <c r="BF156"/>
      <c r="BG156"/>
      <c r="BH156"/>
      <c r="BI156"/>
      <c r="BJ156"/>
      <c r="BK156" s="1"/>
      <c r="BL156" s="1"/>
      <c r="BM156" s="1"/>
      <c r="BN156" s="1"/>
      <c r="BO156" s="1"/>
      <c r="BP156" s="1"/>
      <c r="BQ156" s="1"/>
      <c r="BR156" s="1"/>
      <c r="BS156" s="1"/>
      <c r="BT156" s="1"/>
      <c r="BU156" s="1"/>
      <c r="BV156" s="1"/>
      <c r="BW156" s="1"/>
      <c r="BX156" s="1"/>
      <c r="BY156" s="1"/>
      <c r="BZ156" s="1"/>
      <c r="CA156" s="1"/>
      <c r="CB156" s="1"/>
      <c r="CC156" s="1"/>
    </row>
    <row r="157" spans="1:81" x14ac:dyDescent="0.3">
      <c r="A157" s="35">
        <v>0</v>
      </c>
      <c r="B157"/>
      <c r="C157"/>
      <c r="D157"/>
      <c r="E157"/>
      <c r="F157"/>
      <c r="G157"/>
      <c r="H157"/>
      <c r="I157"/>
      <c r="J157"/>
      <c r="K157"/>
      <c r="V157" s="1"/>
      <c r="W157" s="1"/>
      <c r="X157" s="1"/>
      <c r="Y157" s="1"/>
      <c r="Z157" s="1"/>
      <c r="AA157" s="1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  <c r="AX157" s="1"/>
      <c r="AY157" s="1"/>
      <c r="AZ157" s="1"/>
      <c r="BA157" s="1"/>
      <c r="BB157"/>
      <c r="BC157"/>
      <c r="BD157"/>
      <c r="BE157"/>
      <c r="BF157"/>
      <c r="BG157"/>
      <c r="BH157"/>
      <c r="BI157"/>
      <c r="BJ157"/>
      <c r="BK157" s="1"/>
      <c r="BL157" s="1"/>
      <c r="BM157" s="1"/>
      <c r="BN157" s="1"/>
      <c r="BO157" s="1"/>
      <c r="BP157" s="1"/>
      <c r="BQ157" s="1"/>
      <c r="BR157" s="1"/>
      <c r="BS157" s="1"/>
      <c r="BT157" s="1"/>
      <c r="BU157" s="1"/>
      <c r="BV157" s="1"/>
      <c r="BW157" s="1"/>
      <c r="BX157" s="1"/>
      <c r="BY157" s="1"/>
      <c r="BZ157" s="1"/>
      <c r="CA157" s="1"/>
      <c r="CB157" s="1"/>
      <c r="CC157" s="1"/>
    </row>
    <row r="158" spans="1:81" x14ac:dyDescent="0.3">
      <c r="A158" s="35">
        <v>2</v>
      </c>
      <c r="C158" s="6" t="s">
        <v>4</v>
      </c>
      <c r="D158" s="6" t="s">
        <v>9</v>
      </c>
      <c r="E158" s="6" t="s">
        <v>5</v>
      </c>
      <c r="F158" s="6" t="s">
        <v>7</v>
      </c>
      <c r="G158" s="6" t="s">
        <v>1</v>
      </c>
      <c r="H158" s="6" t="s">
        <v>6</v>
      </c>
      <c r="I158" s="6" t="s">
        <v>33</v>
      </c>
      <c r="J158" s="6" t="s">
        <v>8</v>
      </c>
      <c r="K158" s="6" t="s">
        <v>185</v>
      </c>
      <c r="V158" s="1"/>
      <c r="W158" s="1"/>
      <c r="X158" s="1"/>
      <c r="Y158" s="1"/>
      <c r="Z158" s="1"/>
      <c r="AA158" s="1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  <c r="AX158" s="1"/>
      <c r="AY158" s="1"/>
      <c r="AZ158" s="1"/>
      <c r="BA158" s="1"/>
      <c r="BB158"/>
      <c r="BC158"/>
      <c r="BD158"/>
      <c r="BE158"/>
      <c r="BF158"/>
      <c r="BG158"/>
      <c r="BH158"/>
      <c r="BI158"/>
      <c r="BJ158"/>
      <c r="BK158" s="1"/>
      <c r="BL158" s="1"/>
      <c r="BM158" s="1"/>
      <c r="BN158" s="1"/>
      <c r="BO158" s="1"/>
      <c r="BP158" s="1"/>
      <c r="BQ158" s="1"/>
      <c r="BR158" s="1"/>
      <c r="BS158" s="1"/>
      <c r="BT158" s="1"/>
      <c r="BU158" s="1"/>
      <c r="BV158" s="1"/>
      <c r="BW158" s="1"/>
      <c r="BX158" s="1"/>
      <c r="BY158" s="1"/>
      <c r="BZ158" s="1"/>
      <c r="CA158" s="1"/>
      <c r="CB158" s="1"/>
      <c r="CC158" s="1"/>
    </row>
    <row r="159" spans="1:81" x14ac:dyDescent="0.3">
      <c r="A159" s="35">
        <v>0</v>
      </c>
      <c r="B159"/>
      <c r="C159"/>
      <c r="D159"/>
      <c r="E159"/>
      <c r="F159"/>
      <c r="G159"/>
      <c r="H159"/>
      <c r="I159"/>
      <c r="J159"/>
      <c r="K159"/>
      <c r="V159" s="1"/>
      <c r="W159" s="1"/>
      <c r="X159" s="1"/>
      <c r="Y159" s="1"/>
      <c r="Z159" s="1"/>
      <c r="AA159" s="1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  <c r="AX159" s="1"/>
      <c r="AY159" s="1"/>
      <c r="AZ159" s="1"/>
      <c r="BA159" s="1"/>
      <c r="BB159"/>
      <c r="BC159"/>
      <c r="BD159"/>
      <c r="BE159"/>
      <c r="BF159"/>
      <c r="BG159"/>
      <c r="BH159"/>
      <c r="BI159"/>
      <c r="BJ159"/>
      <c r="BK159" s="1"/>
      <c r="BL159" s="1"/>
      <c r="BM159" s="1"/>
      <c r="BN159" s="1"/>
      <c r="BO159" s="1"/>
      <c r="BP159" s="1"/>
      <c r="BQ159" s="1"/>
      <c r="BR159" s="1"/>
      <c r="BS159" s="1"/>
      <c r="BT159" s="1"/>
      <c r="BU159" s="1"/>
      <c r="BV159" s="1"/>
      <c r="BW159" s="1"/>
      <c r="BX159" s="1"/>
      <c r="BY159" s="1"/>
      <c r="BZ159" s="1"/>
      <c r="CA159" s="1"/>
      <c r="CB159" s="1"/>
      <c r="CC159" s="1"/>
    </row>
    <row r="160" spans="1:81" x14ac:dyDescent="0.3">
      <c r="A160" s="35">
        <v>3</v>
      </c>
      <c r="B160" s="3" t="str">
        <f>E150</f>
        <v xml:space="preserve">وحدة علوية ميكروويف دلفة /دلفتين </v>
      </c>
      <c r="C160" s="6">
        <v>1</v>
      </c>
      <c r="D160" s="6" t="str">
        <f ca="1">H156</f>
        <v>HPL</v>
      </c>
      <c r="E160" s="6" t="s">
        <v>49</v>
      </c>
      <c r="F160" s="6">
        <f>H152-3.6</f>
        <v>-3.6</v>
      </c>
      <c r="G160" s="6">
        <f ca="1">J152-E154</f>
        <v>30</v>
      </c>
      <c r="H160" s="6">
        <f>1*C150</f>
        <v>1</v>
      </c>
      <c r="I160" s="6">
        <f ca="1">HLOOKUP(D160, materials[], 2,FALSE)</f>
        <v>2</v>
      </c>
      <c r="J160" s="6"/>
      <c r="K160" s="6" t="b">
        <v>1</v>
      </c>
      <c r="V160" s="1"/>
      <c r="W160" s="1"/>
      <c r="X160" s="1"/>
      <c r="Y160" s="1"/>
      <c r="Z160" s="1"/>
      <c r="AA160" s="1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  <c r="AX160" s="1"/>
      <c r="AY160" s="1"/>
      <c r="AZ160" s="1"/>
      <c r="BA160" s="1"/>
      <c r="BB160"/>
      <c r="BC160"/>
      <c r="BD160"/>
      <c r="BE160"/>
      <c r="BF160"/>
      <c r="BG160"/>
      <c r="BH160"/>
      <c r="BI160"/>
      <c r="BJ160"/>
      <c r="BK160" s="1"/>
      <c r="BL160" s="1"/>
      <c r="BM160" s="1"/>
      <c r="BN160" s="1"/>
      <c r="BO160" s="1"/>
      <c r="BP160" s="1"/>
      <c r="BQ160" s="1"/>
      <c r="BR160" s="1"/>
      <c r="BS160" s="1"/>
      <c r="BT160" s="1"/>
      <c r="BU160" s="1"/>
      <c r="BV160" s="1"/>
      <c r="BW160" s="1"/>
      <c r="BX160" s="1"/>
      <c r="BY160" s="1"/>
      <c r="BZ160" s="1"/>
      <c r="CA160" s="1"/>
      <c r="CB160" s="1"/>
      <c r="CC160" s="1"/>
    </row>
    <row r="161" spans="1:81" x14ac:dyDescent="0.3">
      <c r="A161" s="35">
        <v>3</v>
      </c>
      <c r="B161" s="3" t="str">
        <f>B160</f>
        <v xml:space="preserve">وحدة علوية ميكروويف دلفة /دلفتين </v>
      </c>
      <c r="C161" s="6">
        <f>C160+1</f>
        <v>2</v>
      </c>
      <c r="D161" s="6" t="str">
        <f ca="1">H156</f>
        <v>HPL</v>
      </c>
      <c r="E161" s="6" t="s">
        <v>10</v>
      </c>
      <c r="F161" s="6">
        <f>H152-3.6</f>
        <v>-3.6</v>
      </c>
      <c r="G161" s="6">
        <f ca="1">40-G152-E154</f>
        <v>40</v>
      </c>
      <c r="H161" s="6">
        <f>1*C150</f>
        <v>1</v>
      </c>
      <c r="I161" s="6">
        <f ca="1">HLOOKUP(D161, materials[], 2,FALSE)</f>
        <v>2</v>
      </c>
      <c r="J161" s="6"/>
      <c r="K161" s="6" t="b">
        <v>1</v>
      </c>
      <c r="V161" s="1"/>
      <c r="W161" s="1"/>
      <c r="X161" s="1"/>
      <c r="Y161" s="1"/>
      <c r="Z161" s="1"/>
      <c r="AA161" s="1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  <c r="AX161" s="1"/>
      <c r="AY161" s="1"/>
      <c r="AZ161" s="1"/>
      <c r="BA161" s="1"/>
      <c r="BB161"/>
      <c r="BC161"/>
      <c r="BD161"/>
      <c r="BE161"/>
      <c r="BF161"/>
      <c r="BG161"/>
      <c r="BH161"/>
      <c r="BI161"/>
      <c r="BJ161"/>
      <c r="BK161" s="1"/>
      <c r="BL161" s="1"/>
      <c r="BM161" s="1"/>
      <c r="BN161" s="1"/>
      <c r="BO161" s="1"/>
      <c r="BP161" s="1"/>
      <c r="BQ161" s="1"/>
      <c r="BR161" s="1"/>
      <c r="BS161" s="1"/>
      <c r="BT161" s="1"/>
      <c r="BU161" s="1"/>
      <c r="BV161" s="1"/>
      <c r="BW161" s="1"/>
      <c r="BX161" s="1"/>
      <c r="BY161" s="1"/>
      <c r="BZ161" s="1"/>
      <c r="CA161" s="1"/>
      <c r="CB161" s="1"/>
      <c r="CC161" s="1"/>
    </row>
    <row r="162" spans="1:81" x14ac:dyDescent="0.3">
      <c r="A162" s="35">
        <v>3</v>
      </c>
      <c r="B162" s="3" t="str">
        <f>B160</f>
        <v xml:space="preserve">وحدة علوية ميكروويف دلفة /دلفتين </v>
      </c>
      <c r="C162" s="6">
        <f t="shared" ref="C162:C164" si="9">C161+1</f>
        <v>3</v>
      </c>
      <c r="D162" s="6" t="str">
        <f ca="1">H156</f>
        <v>HPL</v>
      </c>
      <c r="E162" s="6" t="s">
        <v>11</v>
      </c>
      <c r="F162" s="6">
        <f ca="1">I152</f>
        <v>70</v>
      </c>
      <c r="G162" s="6">
        <f ca="1">J152</f>
        <v>30</v>
      </c>
      <c r="H162" s="6">
        <f>2*C150</f>
        <v>2</v>
      </c>
      <c r="I162" s="6">
        <f ca="1">HLOOKUP(D162, materials[], 2,FALSE)</f>
        <v>2</v>
      </c>
      <c r="J162" s="6"/>
      <c r="K162" s="6" t="b">
        <v>1</v>
      </c>
      <c r="V162" s="1"/>
      <c r="W162" s="1"/>
      <c r="X162" s="1"/>
      <c r="Y162" s="1"/>
      <c r="Z162" s="1"/>
      <c r="AA162" s="1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  <c r="AX162" s="1"/>
      <c r="AY162" s="1"/>
      <c r="AZ162" s="1"/>
      <c r="BA162" s="1"/>
      <c r="BB162"/>
      <c r="BC162"/>
      <c r="BD162"/>
      <c r="BE162"/>
      <c r="BF162"/>
      <c r="BG162"/>
      <c r="BH162"/>
      <c r="BI162"/>
      <c r="BJ162"/>
      <c r="BK162" s="1"/>
      <c r="BL162" s="1"/>
      <c r="BM162" s="1"/>
      <c r="BN162" s="1"/>
      <c r="BO162" s="1"/>
      <c r="BP162" s="1"/>
      <c r="BQ162" s="1"/>
      <c r="BR162" s="1"/>
      <c r="BS162" s="1"/>
      <c r="BT162" s="1"/>
      <c r="BU162" s="1"/>
      <c r="BV162" s="1"/>
      <c r="BW162" s="1"/>
      <c r="BX162" s="1"/>
      <c r="BY162" s="1"/>
      <c r="BZ162" s="1"/>
      <c r="CA162" s="1"/>
      <c r="CB162" s="1"/>
      <c r="CC162" s="1"/>
    </row>
    <row r="163" spans="1:81" x14ac:dyDescent="0.3">
      <c r="A163" s="35">
        <v>3</v>
      </c>
      <c r="B163" s="3" t="str">
        <f>B160</f>
        <v xml:space="preserve">وحدة علوية ميكروويف دلفة /دلفتين </v>
      </c>
      <c r="C163" s="6">
        <f t="shared" si="9"/>
        <v>4</v>
      </c>
      <c r="D163" s="6" t="str">
        <f ca="1">H156</f>
        <v>HPL</v>
      </c>
      <c r="E163" s="6" t="s">
        <v>17</v>
      </c>
      <c r="F163" s="6">
        <f>H152-3.8</f>
        <v>-3.8</v>
      </c>
      <c r="G163" s="6">
        <f ca="1">J152-5-E154</f>
        <v>25</v>
      </c>
      <c r="H163" s="6">
        <f>E152*C150</f>
        <v>2</v>
      </c>
      <c r="I163" s="6">
        <f ca="1">HLOOKUP(D163, materials[], 2,FALSE)</f>
        <v>2</v>
      </c>
      <c r="J163" s="6"/>
      <c r="K163" s="6" t="b">
        <v>1</v>
      </c>
      <c r="V163" s="1"/>
      <c r="W163" s="1"/>
      <c r="X163" s="1"/>
      <c r="Y163" s="1"/>
      <c r="Z163" s="1"/>
      <c r="AA163" s="1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  <c r="AX163" s="1"/>
      <c r="AY163" s="1"/>
      <c r="AZ163" s="1"/>
      <c r="BA163" s="1"/>
      <c r="BB163"/>
      <c r="BC163"/>
      <c r="BD163"/>
      <c r="BE163"/>
      <c r="BF163"/>
      <c r="BG163"/>
      <c r="BH163"/>
      <c r="BI163"/>
      <c r="BJ163"/>
      <c r="BK163" s="1"/>
      <c r="BL163" s="1"/>
      <c r="BM163" s="1"/>
      <c r="BN163" s="1"/>
      <c r="BO163" s="1"/>
      <c r="BP163" s="1"/>
      <c r="BQ163" s="1"/>
      <c r="BR163" s="1"/>
      <c r="BS163" s="1"/>
      <c r="BT163" s="1"/>
      <c r="BU163" s="1"/>
      <c r="BV163" s="1"/>
      <c r="BW163" s="1"/>
      <c r="BX163" s="1"/>
      <c r="BY163" s="1"/>
      <c r="BZ163" s="1"/>
      <c r="CA163" s="1"/>
      <c r="CB163" s="1"/>
      <c r="CC163" s="1"/>
    </row>
    <row r="164" spans="1:81" x14ac:dyDescent="0.3">
      <c r="A164" s="35">
        <v>3</v>
      </c>
      <c r="B164" s="3" t="str">
        <f>B160</f>
        <v xml:space="preserve">وحدة علوية ميكروويف دلفة /دلفتين </v>
      </c>
      <c r="C164" s="6">
        <f t="shared" si="9"/>
        <v>5</v>
      </c>
      <c r="D164" s="6" t="str">
        <f ca="1">H156</f>
        <v>HPL</v>
      </c>
      <c r="E164" s="6" t="s">
        <v>51</v>
      </c>
      <c r="F164" s="6">
        <f>H152-3.6</f>
        <v>-3.6</v>
      </c>
      <c r="G164" s="6">
        <f ca="1">J152-G152-E154</f>
        <v>30</v>
      </c>
      <c r="H164" s="6">
        <f>1*C150</f>
        <v>1</v>
      </c>
      <c r="I164" s="6">
        <f ca="1">HLOOKUP(D164, materials[], 2,FALSE)</f>
        <v>2</v>
      </c>
      <c r="J164" s="6"/>
      <c r="K164" s="6" t="b">
        <v>1</v>
      </c>
      <c r="V164" s="1"/>
      <c r="W164" s="1"/>
      <c r="X164" s="1"/>
      <c r="Y164" s="1"/>
      <c r="Z164" s="1"/>
      <c r="AA164" s="1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  <c r="AX164" s="1"/>
      <c r="AY164" s="1"/>
      <c r="AZ164" s="1"/>
      <c r="BA164" s="1"/>
      <c r="BB164"/>
      <c r="BC164"/>
      <c r="BD164"/>
      <c r="BE164"/>
      <c r="BF164"/>
      <c r="BG164"/>
      <c r="BH164"/>
      <c r="BI164"/>
      <c r="BJ164"/>
      <c r="BK164" s="1"/>
      <c r="BL164" s="1"/>
      <c r="BM164" s="1"/>
      <c r="BN164" s="1"/>
      <c r="BO164" s="1"/>
      <c r="BP164" s="1"/>
      <c r="BQ164" s="1"/>
      <c r="BR164" s="1"/>
      <c r="BS164" s="1"/>
      <c r="BT164" s="1"/>
      <c r="BU164" s="1"/>
      <c r="BV164" s="1"/>
      <c r="BW164" s="1"/>
      <c r="BX164" s="1"/>
      <c r="BY164" s="1"/>
      <c r="BZ164" s="1"/>
      <c r="CA164" s="1"/>
      <c r="CB164" s="1"/>
      <c r="CC164" s="1"/>
    </row>
    <row r="165" spans="1:81" x14ac:dyDescent="0.3">
      <c r="A165" s="35">
        <v>0</v>
      </c>
      <c r="B165"/>
      <c r="C165"/>
      <c r="D165"/>
      <c r="E165"/>
      <c r="F165"/>
      <c r="G165"/>
      <c r="H165"/>
      <c r="I165"/>
      <c r="J165"/>
      <c r="K165"/>
      <c r="V165" s="1"/>
      <c r="W165" s="1"/>
      <c r="X165" s="1"/>
      <c r="Y165" s="1"/>
      <c r="Z165" s="1"/>
      <c r="AA165" s="1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  <c r="AX165" s="1"/>
      <c r="AY165" s="1"/>
      <c r="AZ165" s="1"/>
      <c r="BA165" s="1"/>
      <c r="BB165"/>
      <c r="BC165"/>
      <c r="BD165"/>
      <c r="BE165"/>
      <c r="BF165"/>
      <c r="BG165"/>
      <c r="BH165"/>
      <c r="BI165"/>
      <c r="BJ165"/>
      <c r="BK165" s="1"/>
      <c r="BL165" s="1"/>
      <c r="BM165" s="1"/>
      <c r="BN165" s="1"/>
      <c r="BO165" s="1"/>
      <c r="BP165" s="1"/>
      <c r="BQ165" s="1"/>
      <c r="BR165" s="1"/>
      <c r="BS165" s="1"/>
      <c r="BT165" s="1"/>
      <c r="BU165" s="1"/>
      <c r="BV165" s="1"/>
      <c r="BW165" s="1"/>
      <c r="BX165" s="1"/>
      <c r="BY165" s="1"/>
      <c r="BZ165" s="1"/>
      <c r="CA165" s="1"/>
      <c r="CB165" s="1"/>
      <c r="CC165" s="1"/>
    </row>
    <row r="166" spans="1:81" x14ac:dyDescent="0.3">
      <c r="A166" s="35">
        <v>4</v>
      </c>
      <c r="B166" s="3" t="str">
        <f>B160</f>
        <v xml:space="preserve">وحدة علوية ميكروويف دلفة /دلفتين </v>
      </c>
      <c r="C166" s="9">
        <f>C164+1</f>
        <v>6</v>
      </c>
      <c r="D166" s="9" t="str">
        <f ca="1">F156</f>
        <v>يوفيلاك</v>
      </c>
      <c r="E166" s="9" t="s">
        <v>52</v>
      </c>
      <c r="F166" s="9">
        <f ca="1">IF(C153,"",I152-0.5-F152-J154)</f>
        <v>34</v>
      </c>
      <c r="G166" s="9">
        <f>IF(C153,"",(H152/C154)-0.5)</f>
        <v>-0.5</v>
      </c>
      <c r="H166" s="9">
        <f>C152*C150</f>
        <v>1</v>
      </c>
      <c r="I166" s="9">
        <f ca="1">HLOOKUP(D166, materials[], 2,FALSE)</f>
        <v>6</v>
      </c>
      <c r="J166" s="9"/>
      <c r="K166" s="9" t="b">
        <v>1</v>
      </c>
      <c r="V166" s="1"/>
      <c r="W166" s="1"/>
      <c r="X166" s="1"/>
      <c r="Y166" s="1"/>
      <c r="Z166" s="1"/>
      <c r="AA166" s="1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  <c r="AX166" s="1"/>
      <c r="AY166" s="1"/>
      <c r="AZ166" s="1"/>
      <c r="BA166" s="1"/>
      <c r="BB166"/>
      <c r="BC166"/>
      <c r="BD166"/>
      <c r="BE166"/>
      <c r="BF166"/>
      <c r="BG166"/>
      <c r="BH166"/>
      <c r="BI166"/>
      <c r="BJ166"/>
      <c r="BK166" s="1"/>
      <c r="BL166" s="1"/>
      <c r="BM166" s="1"/>
      <c r="BN166" s="1"/>
      <c r="BO166" s="1"/>
      <c r="BP166" s="1"/>
      <c r="BQ166" s="1"/>
      <c r="BR166" s="1"/>
      <c r="BS166" s="1"/>
      <c r="BT166" s="1"/>
      <c r="BU166" s="1"/>
      <c r="BV166" s="1"/>
      <c r="BW166" s="1"/>
      <c r="BX166" s="1"/>
      <c r="BY166" s="1"/>
      <c r="BZ166" s="1"/>
      <c r="CA166" s="1"/>
      <c r="CB166" s="1"/>
      <c r="CC166" s="1"/>
    </row>
    <row r="167" spans="1:81" x14ac:dyDescent="0.3">
      <c r="A167" s="35">
        <v>4</v>
      </c>
      <c r="B167" s="3" t="str">
        <f>B160</f>
        <v xml:space="preserve">وحدة علوية ميكروويف دلفة /دلفتين </v>
      </c>
      <c r="C167" s="9">
        <f>C166+1</f>
        <v>7</v>
      </c>
      <c r="D167" s="9" t="s">
        <v>53</v>
      </c>
      <c r="E167" s="9" t="s">
        <v>71</v>
      </c>
      <c r="F167" s="9">
        <f ca="1">I152-0.5-J154</f>
        <v>37.5</v>
      </c>
      <c r="G167" s="9">
        <f>(H152/C154)-0.7</f>
        <v>-0.7</v>
      </c>
      <c r="H167" s="9">
        <f>C150*D152</f>
        <v>0</v>
      </c>
      <c r="I167" s="9"/>
      <c r="J167" s="9"/>
      <c r="K167" s="9" t="b">
        <v>1</v>
      </c>
      <c r="V167" s="1"/>
      <c r="W167" s="1"/>
      <c r="X167" s="1"/>
      <c r="Y167" s="1"/>
      <c r="Z167" s="1"/>
      <c r="AA167" s="1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  <c r="AX167" s="1"/>
      <c r="AY167" s="1"/>
      <c r="AZ167" s="1"/>
      <c r="BA167" s="1"/>
      <c r="BB167"/>
      <c r="BC167"/>
      <c r="BD167"/>
      <c r="BE167"/>
      <c r="BF167"/>
      <c r="BG167"/>
      <c r="BH167"/>
      <c r="BI167"/>
      <c r="BJ167"/>
      <c r="BK167" s="1"/>
      <c r="BL167" s="1"/>
      <c r="BM167" s="1"/>
      <c r="BN167" s="1"/>
      <c r="BO167" s="1"/>
      <c r="BP167" s="1"/>
      <c r="BQ167" s="1"/>
      <c r="BR167" s="1"/>
      <c r="BS167" s="1"/>
      <c r="BT167" s="1"/>
      <c r="BU167" s="1"/>
      <c r="BV167" s="1"/>
      <c r="BW167" s="1"/>
      <c r="BX167" s="1"/>
      <c r="BY167" s="1"/>
      <c r="BZ167" s="1"/>
      <c r="CA167" s="1"/>
      <c r="CB167" s="1"/>
      <c r="CC167" s="1"/>
    </row>
    <row r="168" spans="1:81" x14ac:dyDescent="0.3">
      <c r="A168" s="35">
        <v>0</v>
      </c>
      <c r="B168"/>
      <c r="C168"/>
      <c r="D168"/>
      <c r="E168"/>
      <c r="F168"/>
      <c r="G168"/>
      <c r="H168"/>
      <c r="I168"/>
      <c r="J168"/>
      <c r="K168"/>
      <c r="V168" s="1"/>
      <c r="W168" s="1"/>
      <c r="X168" s="1"/>
      <c r="Y168" s="1"/>
      <c r="Z168" s="1"/>
      <c r="AA168" s="1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  <c r="AX168" s="1"/>
      <c r="AY168" s="1"/>
      <c r="AZ168" s="1"/>
      <c r="BA168" s="1"/>
      <c r="BB168"/>
      <c r="BC168"/>
      <c r="BD168"/>
      <c r="BE168"/>
      <c r="BF168"/>
      <c r="BG168"/>
      <c r="BH168"/>
      <c r="BI168"/>
      <c r="BJ168"/>
      <c r="BK168" s="1"/>
      <c r="BL168" s="1"/>
      <c r="BM168" s="1"/>
      <c r="BN168" s="1"/>
      <c r="BO168" s="1"/>
      <c r="BP168" s="1"/>
      <c r="BQ168" s="1"/>
      <c r="BR168" s="1"/>
      <c r="BS168" s="1"/>
      <c r="BT168" s="1"/>
      <c r="BU168" s="1"/>
      <c r="BV168" s="1"/>
      <c r="BW168" s="1"/>
      <c r="BX168" s="1"/>
      <c r="BY168" s="1"/>
      <c r="BZ168" s="1"/>
      <c r="CA168" s="1"/>
      <c r="CB168" s="1"/>
      <c r="CC168" s="1"/>
    </row>
    <row r="169" spans="1:81" x14ac:dyDescent="0.3">
      <c r="A169" s="35">
        <v>5</v>
      </c>
      <c r="B169" s="3" t="str">
        <f>B160</f>
        <v xml:space="preserve">وحدة علوية ميكروويف دلفة /دلفتين </v>
      </c>
      <c r="C169" s="19">
        <f>C167+1</f>
        <v>8</v>
      </c>
      <c r="D169" s="19" t="str">
        <f ca="1">D156</f>
        <v>ظهر</v>
      </c>
      <c r="E169" s="19" t="s">
        <v>58</v>
      </c>
      <c r="F169" s="19">
        <f ca="1">I152-2</f>
        <v>68</v>
      </c>
      <c r="G169" s="19">
        <f>H152-2</f>
        <v>-2</v>
      </c>
      <c r="H169" s="19">
        <f>1*C150</f>
        <v>1</v>
      </c>
      <c r="I169" s="19">
        <f ca="1">HLOOKUP(D169, materials[], 2,FALSE)</f>
        <v>2</v>
      </c>
      <c r="J169" s="19"/>
      <c r="K169" s="19" t="b">
        <v>1</v>
      </c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  <c r="AX169" s="1"/>
      <c r="AY169" s="1"/>
      <c r="AZ169" s="1"/>
      <c r="BA169" s="1"/>
      <c r="BB169"/>
      <c r="BC169"/>
      <c r="BD169"/>
      <c r="BE169"/>
      <c r="BF169"/>
      <c r="BG169"/>
      <c r="BH169"/>
      <c r="BI169"/>
      <c r="BJ169"/>
      <c r="BK169" s="1"/>
      <c r="BL169" s="1"/>
      <c r="BM169" s="1"/>
      <c r="BN169" s="1"/>
      <c r="BO169" s="1"/>
      <c r="BP169" s="1"/>
      <c r="BQ169" s="1"/>
      <c r="BR169" s="1"/>
      <c r="BS169" s="1"/>
      <c r="BT169" s="1"/>
      <c r="BU169" s="1"/>
      <c r="BV169" s="1"/>
      <c r="BW169" s="1"/>
      <c r="BX169" s="1"/>
      <c r="BY169" s="1"/>
      <c r="BZ169" s="1"/>
      <c r="CA169" s="1"/>
      <c r="CB169" s="1"/>
      <c r="CC169" s="1"/>
    </row>
    <row r="170" spans="1:81" x14ac:dyDescent="0.3">
      <c r="A170" s="35">
        <v>255</v>
      </c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  <c r="AX170" s="1"/>
      <c r="AY170" s="1"/>
      <c r="AZ170" s="1"/>
      <c r="BA170" s="1"/>
      <c r="BB170"/>
      <c r="BC170"/>
      <c r="BD170"/>
      <c r="BE170"/>
      <c r="BF170"/>
      <c r="BG170"/>
      <c r="BH170"/>
      <c r="BI170"/>
      <c r="BJ170"/>
      <c r="BK170" s="1"/>
      <c r="BL170" s="1"/>
      <c r="BM170" s="1"/>
      <c r="BN170" s="1"/>
      <c r="BO170" s="1"/>
      <c r="BP170" s="1"/>
      <c r="BQ170" s="1"/>
      <c r="BR170" s="1"/>
      <c r="BS170" s="1"/>
      <c r="BT170" s="1"/>
      <c r="BU170" s="1"/>
      <c r="BV170" s="1"/>
      <c r="BW170" s="1"/>
      <c r="BX170" s="1"/>
      <c r="BY170" s="1"/>
      <c r="BZ170" s="1"/>
      <c r="CA170" s="1"/>
      <c r="CB170" s="1"/>
      <c r="CC170" s="1"/>
    </row>
    <row r="171" spans="1:81" x14ac:dyDescent="0.3">
      <c r="A171" s="35">
        <v>255</v>
      </c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  <c r="AX171" s="1"/>
      <c r="AY171" s="1"/>
      <c r="AZ171" s="1"/>
      <c r="BA171" s="1"/>
      <c r="BB171"/>
      <c r="BC171"/>
      <c r="BD171"/>
      <c r="BE171"/>
      <c r="BF171"/>
      <c r="BG171"/>
      <c r="BH171"/>
      <c r="BI171"/>
      <c r="BJ171"/>
      <c r="BK171" s="1"/>
      <c r="BL171" s="1"/>
      <c r="BM171" s="1"/>
      <c r="BN171" s="1"/>
      <c r="BO171" s="1"/>
      <c r="BP171" s="1"/>
      <c r="BQ171" s="1"/>
      <c r="BR171" s="1"/>
      <c r="BS171" s="1"/>
      <c r="BT171" s="1"/>
      <c r="BU171" s="1"/>
      <c r="BV171" s="1"/>
      <c r="BW171" s="1"/>
      <c r="BX171" s="1"/>
      <c r="BY171" s="1"/>
      <c r="BZ171" s="1"/>
      <c r="CA171" s="1"/>
      <c r="CB171" s="1"/>
      <c r="CC171" s="1"/>
    </row>
    <row r="172" spans="1:81" x14ac:dyDescent="0.3"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  <c r="AX172" s="1"/>
      <c r="AY172" s="1"/>
      <c r="AZ172" s="1"/>
      <c r="BA172" s="1"/>
      <c r="BB172"/>
      <c r="BC172"/>
      <c r="BD172"/>
      <c r="BE172"/>
      <c r="BF172"/>
      <c r="BG172"/>
      <c r="BH172"/>
      <c r="BI172"/>
      <c r="BJ172"/>
      <c r="BK172" s="1"/>
      <c r="BL172" s="1"/>
      <c r="BM172" s="1"/>
      <c r="BN172" s="1"/>
      <c r="BO172" s="1"/>
      <c r="BP172" s="1"/>
      <c r="BQ172" s="1"/>
      <c r="BR172" s="1"/>
      <c r="BS172" s="1"/>
      <c r="BT172" s="1"/>
      <c r="BU172" s="1"/>
      <c r="BV172" s="1"/>
      <c r="BW172" s="1"/>
      <c r="BX172" s="1"/>
      <c r="BY172" s="1"/>
      <c r="BZ172" s="1"/>
      <c r="CA172" s="1"/>
      <c r="CB172" s="1"/>
      <c r="CC172" s="1"/>
    </row>
    <row r="173" spans="1:81" x14ac:dyDescent="0.3"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  <c r="AX173" s="1"/>
      <c r="AY173" s="1"/>
      <c r="AZ173" s="1"/>
      <c r="BA173" s="1"/>
      <c r="BB173" s="1"/>
      <c r="BC173" s="1"/>
      <c r="BD173" s="1"/>
      <c r="BE173" s="1"/>
      <c r="BF173" s="1"/>
      <c r="BG173" s="1"/>
      <c r="BH173" s="1"/>
      <c r="BI173" s="1"/>
      <c r="BJ173" s="1"/>
      <c r="BK173" s="1"/>
      <c r="BL173" s="1"/>
      <c r="BM173" s="1"/>
      <c r="BN173" s="1"/>
      <c r="BO173" s="1"/>
      <c r="BP173" s="1"/>
      <c r="BQ173" s="1"/>
      <c r="BR173" s="1"/>
      <c r="BS173" s="1"/>
      <c r="BT173" s="1"/>
      <c r="BU173" s="1"/>
      <c r="BV173" s="1"/>
      <c r="BW173" s="1"/>
      <c r="BX173" s="1"/>
      <c r="BY173" s="1"/>
      <c r="BZ173" s="1"/>
      <c r="CA173" s="1"/>
      <c r="CB173" s="1"/>
      <c r="CC173" s="1"/>
    </row>
    <row r="174" spans="1:81" x14ac:dyDescent="0.3"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  <c r="AX174" s="1"/>
      <c r="AY174" s="1"/>
      <c r="AZ174" s="1"/>
      <c r="BA174" s="1"/>
      <c r="BB174" s="1"/>
      <c r="BC174" s="1"/>
      <c r="BD174" s="1"/>
      <c r="BE174" s="1"/>
      <c r="BF174" s="1"/>
      <c r="BG174" s="1"/>
      <c r="BH174" s="1"/>
      <c r="BI174" s="1"/>
      <c r="BJ174" s="1"/>
      <c r="BK174" s="1"/>
      <c r="BL174" s="1"/>
      <c r="BM174" s="1"/>
      <c r="BN174" s="1"/>
      <c r="BO174" s="1"/>
      <c r="BP174" s="1"/>
      <c r="BQ174" s="1"/>
      <c r="BR174" s="1"/>
      <c r="BS174" s="1"/>
      <c r="BT174" s="1"/>
      <c r="BU174" s="1"/>
      <c r="BV174" s="1"/>
      <c r="BW174" s="1"/>
      <c r="BX174" s="1"/>
      <c r="BY174" s="1"/>
      <c r="BZ174" s="1"/>
      <c r="CA174" s="1"/>
      <c r="CB174" s="1"/>
      <c r="CC174" s="1"/>
    </row>
    <row r="175" spans="1:81" x14ac:dyDescent="0.3"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  <c r="AX175" s="1"/>
      <c r="AY175" s="1"/>
      <c r="AZ175" s="1"/>
      <c r="BA175" s="1"/>
      <c r="BB175" s="1"/>
      <c r="BC175" s="1"/>
      <c r="BD175" s="1"/>
      <c r="BE175" s="1"/>
      <c r="BF175" s="1"/>
      <c r="BG175" s="1"/>
      <c r="BH175" s="1"/>
      <c r="BI175" s="1"/>
      <c r="BJ175" s="1"/>
      <c r="BK175" s="1"/>
      <c r="BL175" s="1"/>
      <c r="BM175" s="1"/>
      <c r="BN175" s="1"/>
      <c r="BO175" s="1"/>
      <c r="BP175" s="1"/>
      <c r="BQ175" s="1"/>
      <c r="BR175" s="1"/>
      <c r="BS175" s="1"/>
      <c r="BT175" s="1"/>
      <c r="BU175" s="1"/>
      <c r="BV175" s="1"/>
      <c r="BW175" s="1"/>
      <c r="BX175" s="1"/>
      <c r="BY175" s="1"/>
      <c r="BZ175" s="1"/>
      <c r="CA175" s="1"/>
      <c r="CB175" s="1"/>
      <c r="CC175" s="1"/>
    </row>
    <row r="176" spans="1:81" x14ac:dyDescent="0.3"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  <c r="AX176" s="1"/>
      <c r="AY176" s="1"/>
      <c r="AZ176" s="1"/>
      <c r="BA176" s="1"/>
      <c r="BB176" s="1"/>
      <c r="BC176" s="1"/>
      <c r="BD176" s="1"/>
      <c r="BE176" s="1"/>
      <c r="BF176" s="1"/>
      <c r="BG176" s="1"/>
      <c r="BH176" s="1"/>
      <c r="BI176" s="1"/>
      <c r="BJ176" s="1"/>
      <c r="BK176" s="1"/>
      <c r="BL176" s="1"/>
      <c r="BM176" s="1"/>
      <c r="BN176" s="1"/>
      <c r="BO176" s="1"/>
      <c r="BP176" s="1"/>
      <c r="BQ176" s="1"/>
      <c r="BR176" s="1"/>
      <c r="BS176" s="1"/>
      <c r="BT176" s="1"/>
      <c r="BU176" s="1"/>
      <c r="BV176" s="1"/>
      <c r="BW176" s="1"/>
      <c r="BX176" s="1"/>
      <c r="BY176" s="1"/>
      <c r="BZ176" s="1"/>
      <c r="CA176" s="1"/>
      <c r="CB176" s="1"/>
      <c r="CC176" s="1"/>
    </row>
    <row r="177" spans="2:81" x14ac:dyDescent="0.3"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  <c r="AX177" s="1"/>
      <c r="AY177" s="1"/>
      <c r="AZ177" s="1"/>
      <c r="BA177" s="1"/>
      <c r="BB177" s="1"/>
      <c r="BC177" s="1"/>
      <c r="BD177" s="1"/>
      <c r="BE177" s="1"/>
      <c r="BF177" s="1"/>
      <c r="BG177" s="1"/>
      <c r="BH177" s="1"/>
      <c r="BI177" s="1"/>
      <c r="BJ177" s="1"/>
      <c r="BK177" s="1"/>
      <c r="BL177" s="1"/>
      <c r="BM177" s="1"/>
      <c r="BN177" s="1"/>
      <c r="BO177" s="1"/>
      <c r="BP177" s="1"/>
      <c r="BQ177" s="1"/>
      <c r="BR177" s="1"/>
      <c r="BS177" s="1"/>
      <c r="BT177" s="1"/>
      <c r="BU177" s="1"/>
      <c r="BV177" s="1"/>
      <c r="BW177" s="1"/>
      <c r="BX177" s="1"/>
      <c r="BY177" s="1"/>
      <c r="BZ177" s="1"/>
      <c r="CA177" s="1"/>
      <c r="CB177" s="1"/>
      <c r="CC177" s="1"/>
    </row>
    <row r="178" spans="2:81" x14ac:dyDescent="0.3"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  <c r="AX178" s="1"/>
      <c r="AY178" s="1"/>
      <c r="AZ178" s="1"/>
      <c r="BA178" s="1"/>
      <c r="BB178" s="1"/>
      <c r="BC178" s="1"/>
      <c r="BD178" s="1"/>
      <c r="BE178" s="1"/>
      <c r="BF178" s="1"/>
      <c r="BG178" s="1"/>
      <c r="BH178" s="1"/>
      <c r="BI178" s="1"/>
      <c r="BJ178" s="1"/>
      <c r="BK178" s="1"/>
      <c r="BL178" s="1"/>
      <c r="BM178" s="1"/>
      <c r="BN178" s="1"/>
      <c r="BO178" s="1"/>
      <c r="BP178" s="1"/>
      <c r="BQ178" s="1"/>
      <c r="BR178" s="1"/>
      <c r="BS178" s="1"/>
      <c r="BT178" s="1"/>
      <c r="BU178" s="1"/>
      <c r="BV178" s="1"/>
      <c r="BW178" s="1"/>
      <c r="BX178" s="1"/>
      <c r="BY178" s="1"/>
      <c r="BZ178" s="1"/>
      <c r="CA178" s="1"/>
      <c r="CB178" s="1"/>
      <c r="CC178" s="1"/>
    </row>
    <row r="179" spans="2:81" x14ac:dyDescent="0.3"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  <c r="AX179" s="1"/>
      <c r="AY179" s="1"/>
      <c r="AZ179" s="1"/>
      <c r="BA179" s="1"/>
      <c r="BB179" s="1"/>
      <c r="BC179" s="1"/>
      <c r="BD179" s="1"/>
      <c r="BE179" s="1"/>
      <c r="BF179" s="1"/>
      <c r="BG179" s="1"/>
      <c r="BH179" s="1"/>
      <c r="BI179" s="1"/>
      <c r="BJ179" s="1"/>
      <c r="BK179" s="1"/>
      <c r="BL179" s="1"/>
      <c r="BM179" s="1"/>
      <c r="BN179" s="1"/>
      <c r="BO179" s="1"/>
      <c r="BP179" s="1"/>
      <c r="BQ179" s="1"/>
      <c r="BR179" s="1"/>
      <c r="BS179" s="1"/>
      <c r="BT179" s="1"/>
      <c r="BU179" s="1"/>
      <c r="BV179" s="1"/>
      <c r="BW179" s="1"/>
      <c r="BX179" s="1"/>
      <c r="BY179" s="1"/>
      <c r="BZ179" s="1"/>
      <c r="CA179" s="1"/>
      <c r="CB179" s="1"/>
      <c r="CC179" s="1"/>
    </row>
    <row r="180" spans="2:81" x14ac:dyDescent="0.3"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  <c r="AX180" s="1"/>
      <c r="AY180" s="1"/>
      <c r="AZ180" s="1"/>
      <c r="BA180" s="1"/>
      <c r="BB180" s="1"/>
      <c r="BC180" s="1"/>
      <c r="BD180" s="1"/>
      <c r="BE180" s="1"/>
      <c r="BF180" s="1"/>
      <c r="BG180" s="1"/>
      <c r="BH180" s="1"/>
      <c r="BI180" s="1"/>
      <c r="BJ180" s="1"/>
      <c r="BK180" s="1"/>
      <c r="BL180" s="1"/>
      <c r="BM180" s="1"/>
      <c r="BN180" s="1"/>
      <c r="BO180" s="1"/>
      <c r="BP180" s="1"/>
      <c r="BQ180" s="1"/>
      <c r="BR180" s="1"/>
      <c r="BS180" s="1"/>
      <c r="BT180" s="1"/>
      <c r="BU180" s="1"/>
      <c r="BV180" s="1"/>
      <c r="BW180" s="1"/>
      <c r="BX180" s="1"/>
      <c r="BY180" s="1"/>
      <c r="BZ180" s="1"/>
      <c r="CA180" s="1"/>
      <c r="CB180" s="1"/>
      <c r="CC180" s="1"/>
    </row>
    <row r="181" spans="2:81" x14ac:dyDescent="0.3"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  <c r="AX181" s="1"/>
      <c r="AY181" s="1"/>
      <c r="AZ181" s="1"/>
      <c r="BA181" s="1"/>
      <c r="BB181" s="1"/>
      <c r="BC181" s="1"/>
      <c r="BD181" s="1"/>
      <c r="BE181" s="1"/>
      <c r="BF181" s="1"/>
      <c r="BG181" s="1"/>
      <c r="BH181" s="1"/>
      <c r="BI181" s="1"/>
      <c r="BJ181" s="1"/>
      <c r="BK181" s="1"/>
      <c r="BL181" s="1"/>
      <c r="BM181" s="1"/>
      <c r="BN181" s="1"/>
      <c r="BO181" s="1"/>
      <c r="BP181" s="1"/>
      <c r="BQ181" s="1"/>
      <c r="BR181" s="1"/>
      <c r="BS181" s="1"/>
      <c r="BT181" s="1"/>
      <c r="BU181" s="1"/>
      <c r="BV181" s="1"/>
      <c r="BW181" s="1"/>
      <c r="BX181" s="1"/>
      <c r="BY181" s="1"/>
      <c r="BZ181" s="1"/>
      <c r="CA181" s="1"/>
      <c r="CB181" s="1"/>
      <c r="CC181" s="1"/>
    </row>
    <row r="182" spans="2:81" x14ac:dyDescent="0.3"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  <c r="AX182" s="1"/>
      <c r="AY182" s="1"/>
      <c r="AZ182" s="1"/>
      <c r="BA182" s="1"/>
      <c r="BB182" s="1"/>
      <c r="BC182" s="1"/>
      <c r="BD182" s="1"/>
      <c r="BE182" s="1"/>
      <c r="BF182" s="1"/>
      <c r="BG182" s="1"/>
      <c r="BH182" s="1"/>
      <c r="BI182" s="1"/>
      <c r="BJ182" s="1"/>
      <c r="BK182" s="1"/>
      <c r="BL182" s="1"/>
      <c r="BM182" s="1"/>
      <c r="BN182" s="1"/>
      <c r="BO182" s="1"/>
      <c r="BP182" s="1"/>
      <c r="BQ182" s="1"/>
      <c r="BR182" s="1"/>
      <c r="BS182" s="1"/>
      <c r="BT182" s="1"/>
      <c r="BU182" s="1"/>
      <c r="BV182" s="1"/>
      <c r="BW182" s="1"/>
      <c r="BX182" s="1"/>
      <c r="BY182" s="1"/>
      <c r="BZ182" s="1"/>
      <c r="CA182" s="1"/>
      <c r="CB182" s="1"/>
      <c r="CC182" s="1"/>
    </row>
    <row r="183" spans="2:81" x14ac:dyDescent="0.3"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  <c r="AX183" s="1"/>
      <c r="AY183" s="1"/>
      <c r="AZ183" s="1"/>
      <c r="BA183" s="1"/>
      <c r="BB183" s="1"/>
      <c r="BC183" s="1"/>
      <c r="BD183" s="1"/>
      <c r="BE183" s="1"/>
      <c r="BF183" s="1"/>
      <c r="BG183" s="1"/>
      <c r="BH183" s="1"/>
      <c r="BI183" s="1"/>
      <c r="BJ183" s="1"/>
      <c r="BK183" s="1"/>
      <c r="BL183" s="1"/>
      <c r="BM183" s="1"/>
      <c r="BN183" s="1"/>
      <c r="BO183" s="1"/>
      <c r="BP183" s="1"/>
      <c r="BQ183" s="1"/>
      <c r="BR183" s="1"/>
      <c r="BS183" s="1"/>
      <c r="BT183" s="1"/>
      <c r="BU183" s="1"/>
      <c r="BV183" s="1"/>
      <c r="BW183" s="1"/>
      <c r="BX183" s="1"/>
      <c r="BY183" s="1"/>
      <c r="BZ183" s="1"/>
      <c r="CA183" s="1"/>
      <c r="CB183" s="1"/>
      <c r="CC183" s="1"/>
    </row>
    <row r="184" spans="2:81" x14ac:dyDescent="0.3"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  <c r="AX184" s="1"/>
      <c r="AY184" s="1"/>
      <c r="AZ184" s="1"/>
      <c r="BA184" s="1"/>
      <c r="BB184" s="1"/>
      <c r="BC184" s="1"/>
      <c r="BD184" s="1"/>
      <c r="BE184" s="1"/>
      <c r="BF184" s="1"/>
      <c r="BG184" s="1"/>
      <c r="BH184" s="1"/>
      <c r="BI184" s="1"/>
      <c r="BJ184" s="1"/>
      <c r="BK184" s="1"/>
      <c r="BL184" s="1"/>
      <c r="BM184" s="1"/>
      <c r="BN184" s="1"/>
      <c r="BO184" s="1"/>
      <c r="BP184" s="1"/>
      <c r="BQ184" s="1"/>
      <c r="BR184" s="1"/>
      <c r="BS184" s="1"/>
      <c r="BT184" s="1"/>
      <c r="BU184" s="1"/>
      <c r="BV184" s="1"/>
      <c r="BW184" s="1"/>
      <c r="BX184" s="1"/>
      <c r="BY184" s="1"/>
      <c r="BZ184" s="1"/>
      <c r="CA184" s="1"/>
      <c r="CB184" s="1"/>
      <c r="CC184" s="1"/>
    </row>
    <row r="185" spans="2:81" x14ac:dyDescent="0.3"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  <c r="AX185" s="1"/>
      <c r="AY185" s="1"/>
      <c r="AZ185" s="1"/>
      <c r="BA185" s="1"/>
      <c r="BB185" s="1"/>
      <c r="BC185" s="1"/>
      <c r="BD185" s="1"/>
      <c r="BE185" s="1"/>
      <c r="BF185" s="1"/>
      <c r="BG185" s="1"/>
      <c r="BH185" s="1"/>
      <c r="BI185" s="1"/>
      <c r="BJ185" s="1"/>
      <c r="BK185" s="1"/>
      <c r="BL185" s="1"/>
      <c r="BM185" s="1"/>
      <c r="BN185" s="1"/>
      <c r="BO185" s="1"/>
      <c r="BP185" s="1"/>
      <c r="BQ185" s="1"/>
      <c r="BR185" s="1"/>
      <c r="BS185" s="1"/>
      <c r="BT185" s="1"/>
      <c r="BU185" s="1"/>
      <c r="BV185" s="1"/>
      <c r="BW185" s="1"/>
      <c r="BX185" s="1"/>
      <c r="BY185" s="1"/>
      <c r="BZ185" s="1"/>
      <c r="CA185" s="1"/>
      <c r="CB185" s="1"/>
      <c r="CC185" s="1"/>
    </row>
    <row r="186" spans="2:81" x14ac:dyDescent="0.3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 s="1"/>
      <c r="BD186" s="1"/>
      <c r="BE186" s="1"/>
      <c r="BF186" s="1"/>
      <c r="BG186" s="1"/>
      <c r="BH186" s="1"/>
      <c r="BI186" s="1"/>
      <c r="BJ186" s="1"/>
      <c r="BK186" s="1"/>
      <c r="BL186" s="1"/>
      <c r="BM186" s="1"/>
      <c r="BN186" s="1"/>
      <c r="BO186" s="1"/>
      <c r="BP186" s="1"/>
      <c r="BQ186" s="1"/>
      <c r="BR186" s="1"/>
      <c r="BS186" s="1"/>
      <c r="BT186" s="1"/>
      <c r="BU186" s="1"/>
      <c r="BV186" s="1"/>
      <c r="BW186" s="1"/>
      <c r="BX186" s="1"/>
      <c r="BY186" s="1"/>
      <c r="BZ186" s="1"/>
      <c r="CA186" s="1"/>
      <c r="CB186" s="1"/>
      <c r="CC186" s="1"/>
    </row>
    <row r="187" spans="2:81" x14ac:dyDescent="0.3"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  <c r="AX187" s="1"/>
      <c r="AY187" s="1"/>
      <c r="AZ187" s="1"/>
      <c r="BA187" s="1"/>
      <c r="BB187" s="1"/>
      <c r="BC187" s="1"/>
      <c r="BD187" s="1"/>
      <c r="BE187" s="1"/>
      <c r="BF187" s="1"/>
      <c r="BG187" s="1"/>
      <c r="BH187" s="1"/>
      <c r="BI187" s="1"/>
      <c r="BJ187" s="1"/>
      <c r="BK187" s="1"/>
      <c r="BL187" s="1"/>
      <c r="BM187" s="1"/>
      <c r="BN187" s="1"/>
      <c r="BO187" s="1"/>
      <c r="BP187" s="1"/>
      <c r="BQ187" s="1"/>
      <c r="BR187" s="1"/>
      <c r="BS187" s="1"/>
      <c r="BT187" s="1"/>
      <c r="BU187" s="1"/>
      <c r="BV187" s="1"/>
      <c r="BW187" s="1"/>
      <c r="BX187" s="1"/>
      <c r="BY187" s="1"/>
      <c r="BZ187" s="1"/>
      <c r="CA187" s="1"/>
      <c r="CB187" s="1"/>
      <c r="CC187" s="1"/>
    </row>
  </sheetData>
  <mergeCells count="31">
    <mergeCell ref="C2:J2"/>
    <mergeCell ref="C154:D154"/>
    <mergeCell ref="C155:D155"/>
    <mergeCell ref="C17:D17"/>
    <mergeCell ref="F16:G16"/>
    <mergeCell ref="F17:G17"/>
    <mergeCell ref="H17:J17"/>
    <mergeCell ref="C18:D18"/>
    <mergeCell ref="E13:H13"/>
    <mergeCell ref="E34:H34"/>
    <mergeCell ref="E55:H55"/>
    <mergeCell ref="F37:G37"/>
    <mergeCell ref="F38:G38"/>
    <mergeCell ref="F58:G58"/>
    <mergeCell ref="C59:D59"/>
    <mergeCell ref="F59:G59"/>
    <mergeCell ref="E150:H150"/>
    <mergeCell ref="C38:D38"/>
    <mergeCell ref="C39:D39"/>
    <mergeCell ref="C60:D60"/>
    <mergeCell ref="E103:H103"/>
    <mergeCell ref="F106:G106"/>
    <mergeCell ref="F107:G107"/>
    <mergeCell ref="E129:H129"/>
    <mergeCell ref="F132:G132"/>
    <mergeCell ref="F133:G133"/>
    <mergeCell ref="E79:H79"/>
    <mergeCell ref="F82:G82"/>
    <mergeCell ref="C83:D83"/>
    <mergeCell ref="F83:G83"/>
    <mergeCell ref="C84:D84"/>
  </mergeCells>
  <conditionalFormatting sqref="C18">
    <cfRule type="cellIs" dxfId="41" priority="95" operator="equal">
      <formula>TRUE</formula>
    </cfRule>
    <cfRule type="cellIs" dxfId="40" priority="96" operator="equal">
      <formula>FALSE</formula>
    </cfRule>
  </conditionalFormatting>
  <conditionalFormatting sqref="C155">
    <cfRule type="cellIs" dxfId="39" priority="15" operator="equal">
      <formula>TRUE</formula>
    </cfRule>
    <cfRule type="cellIs" dxfId="38" priority="16" operator="equal">
      <formula>FALSE</formula>
    </cfRule>
  </conditionalFormatting>
  <conditionalFormatting sqref="E58:F58">
    <cfRule type="cellIs" dxfId="37" priority="85" operator="equal">
      <formula>TRUE</formula>
    </cfRule>
    <cfRule type="cellIs" dxfId="36" priority="86" operator="equal">
      <formula>FALSE</formula>
    </cfRule>
  </conditionalFormatting>
  <conditionalFormatting sqref="F16">
    <cfRule type="cellIs" dxfId="35" priority="93" operator="equal">
      <formula>TRUE</formula>
    </cfRule>
    <cfRule type="cellIs" dxfId="34" priority="94" operator="equal">
      <formula>FALSE</formula>
    </cfRule>
  </conditionalFormatting>
  <conditionalFormatting sqref="F106">
    <cfRule type="cellIs" dxfId="33" priority="83" operator="equal">
      <formula>TRUE</formula>
    </cfRule>
    <cfRule type="cellIs" dxfId="32" priority="84" operator="equal">
      <formula>FALSE</formula>
    </cfRule>
  </conditionalFormatting>
  <conditionalFormatting sqref="F132">
    <cfRule type="cellIs" dxfId="31" priority="81" operator="equal">
      <formula>TRUE</formula>
    </cfRule>
    <cfRule type="cellIs" dxfId="30" priority="82" operator="equal">
      <formula>FALSE</formula>
    </cfRule>
  </conditionalFormatting>
  <conditionalFormatting sqref="F153">
    <cfRule type="cellIs" dxfId="29" priority="13" operator="equal">
      <formula>TRUE</formula>
    </cfRule>
    <cfRule type="cellIs" dxfId="28" priority="14" operator="equal">
      <formula>FALSE</formula>
    </cfRule>
  </conditionalFormatting>
  <conditionalFormatting sqref="H16">
    <cfRule type="cellIs" dxfId="27" priority="91" operator="equal">
      <formula>TRUE</formula>
    </cfRule>
    <cfRule type="cellIs" dxfId="26" priority="92" operator="equal">
      <formula>FALSE</formula>
    </cfRule>
  </conditionalFormatting>
  <conditionalFormatting sqref="H153">
    <cfRule type="cellIs" dxfId="25" priority="11" operator="equal">
      <formula>TRUE</formula>
    </cfRule>
    <cfRule type="cellIs" dxfId="24" priority="12" operator="equal">
      <formula>FALSE</formula>
    </cfRule>
  </conditionalFormatting>
  <conditionalFormatting sqref="H58 C60">
    <cfRule type="cellIs" dxfId="23" priority="87" operator="equal">
      <formula>TRUE</formula>
    </cfRule>
    <cfRule type="cellIs" dxfId="22" priority="88" operator="equal">
      <formula>FALSE</formula>
    </cfRule>
  </conditionalFormatting>
  <conditionalFormatting sqref="F37 I37 C39">
    <cfRule type="cellIs" dxfId="21" priority="97" operator="equal">
      <formula>TRUE</formula>
    </cfRule>
    <cfRule type="cellIs" dxfId="20" priority="98" operator="equal">
      <formula>FALSE</formula>
    </cfRule>
  </conditionalFormatting>
  <conditionalFormatting sqref="E82:F82">
    <cfRule type="cellIs" dxfId="19" priority="1" operator="equal">
      <formula>TRUE</formula>
    </cfRule>
    <cfRule type="cellIs" dxfId="18" priority="2" operator="equal">
      <formula>FALSE</formula>
    </cfRule>
  </conditionalFormatting>
  <conditionalFormatting sqref="H82 C84">
    <cfRule type="cellIs" dxfId="17" priority="3" operator="equal">
      <formula>TRUE</formula>
    </cfRule>
    <cfRule type="cellIs" dxfId="16" priority="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7620</xdr:colOff>
                    <xdr:row>5</xdr:row>
                    <xdr:rowOff>7620</xdr:rowOff>
                  </from>
                  <to>
                    <xdr:col>11</xdr:col>
                    <xdr:colOff>464820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6" r:id="rId5" name="Button 4">
              <controlPr defaultSize="0" print="0" autoFill="0" autoPict="0" macro="[0]!insertBlock">
                <anchor moveWithCells="1" sizeWithCells="1">
                  <from>
                    <xdr:col>2</xdr:col>
                    <xdr:colOff>274320</xdr:colOff>
                    <xdr:row>4</xdr:row>
                    <xdr:rowOff>121920</xdr:rowOff>
                  </from>
                  <to>
                    <xdr:col>4</xdr:col>
                    <xdr:colOff>960120</xdr:colOff>
                    <xdr:row>6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7" r:id="rId6" name="Button 5">
              <controlPr defaultSize="0" print="0" autoFill="0" autoPict="0" macro="[0]!deleteBlock">
                <anchor moveWithCells="1" sizeWithCells="1">
                  <from>
                    <xdr:col>4</xdr:col>
                    <xdr:colOff>1097280</xdr:colOff>
                    <xdr:row>4</xdr:row>
                    <xdr:rowOff>121920</xdr:rowOff>
                  </from>
                  <to>
                    <xdr:col>8</xdr:col>
                    <xdr:colOff>60960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BB273"/>
  <sheetViews>
    <sheetView topLeftCell="B1" zoomScale="70" zoomScaleNormal="70" workbookViewId="0">
      <selection activeCell="M13" sqref="M13"/>
    </sheetView>
  </sheetViews>
  <sheetFormatPr defaultRowHeight="14.4" x14ac:dyDescent="0.3"/>
  <cols>
    <col min="1" max="1" width="7.77734375" style="35" hidden="1" customWidth="1"/>
    <col min="2" max="2" width="18.77734375" style="3" customWidth="1"/>
    <col min="3" max="3" width="8.109375" style="3" bestFit="1" customWidth="1"/>
    <col min="4" max="4" width="10.77734375" style="3" customWidth="1"/>
    <col min="5" max="5" width="16.33203125" style="3" customWidth="1"/>
    <col min="6" max="6" width="7.88671875" style="3" customWidth="1"/>
    <col min="7" max="7" width="11.44140625" style="3" customWidth="1"/>
    <col min="8" max="8" width="10.5546875" style="3" customWidth="1"/>
    <col min="9" max="9" width="8.21875" style="3" bestFit="1" customWidth="1"/>
    <col min="10" max="10" width="13.77734375" style="3" customWidth="1"/>
    <col min="11" max="11" width="7.21875" style="3" customWidth="1"/>
    <col min="12" max="12" width="8" style="3" customWidth="1"/>
    <col min="13" max="13" width="7.6640625" style="3" customWidth="1"/>
    <col min="14" max="14" width="12.88671875" style="3" customWidth="1"/>
    <col min="15" max="15" width="10.6640625" style="3" customWidth="1"/>
    <col min="16" max="17" width="8.88671875" style="3" customWidth="1"/>
    <col min="18" max="18" width="19.6640625" style="3" customWidth="1"/>
    <col min="19" max="19" width="21.44140625" style="3" customWidth="1"/>
    <col min="20" max="52" width="8.88671875" style="3" customWidth="1"/>
    <col min="53" max="16384" width="8.88671875" style="3"/>
  </cols>
  <sheetData>
    <row r="1" spans="1:23" s="35" customFormat="1" x14ac:dyDescent="0.3">
      <c r="A1" s="35">
        <v>40</v>
      </c>
      <c r="B1" s="55">
        <v>2</v>
      </c>
    </row>
    <row r="2" spans="1:23" s="35" customFormat="1" ht="31.2" x14ac:dyDescent="0.3">
      <c r="A2" s="35">
        <v>91</v>
      </c>
      <c r="B2" s="50" t="s">
        <v>124</v>
      </c>
      <c r="C2" s="106" t="s">
        <v>64</v>
      </c>
      <c r="D2" s="106"/>
      <c r="E2" s="106"/>
      <c r="F2" s="106"/>
      <c r="G2" s="106"/>
      <c r="H2" s="106"/>
      <c r="I2" s="106"/>
      <c r="J2" s="106"/>
    </row>
    <row r="3" spans="1:23" s="35" customFormat="1" x14ac:dyDescent="0.3">
      <c r="B3" s="55" t="s">
        <v>177</v>
      </c>
      <c r="C3" s="45"/>
      <c r="D3" s="45"/>
      <c r="E3" s="45"/>
      <c r="F3" s="45"/>
      <c r="G3" s="45"/>
      <c r="H3" s="45"/>
      <c r="I3" s="45"/>
      <c r="J3" s="45"/>
      <c r="K3" s="45"/>
      <c r="L3" s="45"/>
      <c r="M3" s="45"/>
      <c r="N3" s="45"/>
      <c r="R3" s="34"/>
      <c r="S3" s="34"/>
      <c r="T3" s="34"/>
      <c r="U3" s="34"/>
      <c r="V3" s="40"/>
      <c r="W3" s="40"/>
    </row>
    <row r="4" spans="1:23" s="35" customFormat="1" x14ac:dyDescent="0.3">
      <c r="B4" s="55"/>
      <c r="C4" s="45"/>
      <c r="D4" s="45"/>
      <c r="E4" s="45"/>
      <c r="F4" s="45"/>
      <c r="G4" s="45"/>
      <c r="H4" s="45"/>
      <c r="I4" s="45"/>
      <c r="J4" s="45"/>
      <c r="K4" s="45"/>
      <c r="L4" s="45"/>
      <c r="M4" s="45"/>
      <c r="N4" s="45"/>
      <c r="R4" s="34"/>
      <c r="S4" s="34"/>
      <c r="T4" s="34"/>
      <c r="U4" s="34"/>
      <c r="V4" s="34"/>
      <c r="W4" s="34"/>
    </row>
    <row r="5" spans="1:23" s="35" customFormat="1" x14ac:dyDescent="0.3">
      <c r="B5" s="55"/>
      <c r="C5" s="45"/>
      <c r="D5" s="45"/>
      <c r="E5" s="45"/>
      <c r="F5" s="45"/>
      <c r="G5" s="45"/>
      <c r="H5" s="45"/>
      <c r="I5" s="45"/>
      <c r="J5" s="45"/>
      <c r="K5" s="45"/>
      <c r="L5" s="45"/>
      <c r="M5" s="45"/>
      <c r="N5" s="45"/>
    </row>
    <row r="6" spans="1:23" s="35" customFormat="1" x14ac:dyDescent="0.3">
      <c r="B6" s="55"/>
    </row>
    <row r="7" spans="1:23" s="35" customFormat="1" ht="18" x14ac:dyDescent="0.3">
      <c r="B7" s="55"/>
      <c r="C7" s="37"/>
      <c r="D7" s="37"/>
      <c r="E7" s="45"/>
      <c r="F7" s="45"/>
      <c r="G7" s="45"/>
      <c r="H7" s="45"/>
      <c r="I7" s="45"/>
      <c r="J7" s="45"/>
      <c r="K7" s="37"/>
      <c r="L7" s="37"/>
      <c r="M7" s="37"/>
      <c r="N7" s="37"/>
    </row>
    <row r="8" spans="1:23" s="38" customFormat="1" ht="18" x14ac:dyDescent="0.3">
      <c r="A8" s="35"/>
      <c r="B8" s="55"/>
      <c r="E8" s="45"/>
      <c r="F8" s="45"/>
      <c r="G8" s="45"/>
      <c r="H8" s="45"/>
      <c r="I8" s="45"/>
      <c r="J8" s="45"/>
      <c r="K8" s="45"/>
      <c r="L8" s="45"/>
      <c r="M8" s="45"/>
      <c r="N8" s="45"/>
      <c r="O8" s="45"/>
    </row>
    <row r="9" spans="1:23" customFormat="1" x14ac:dyDescent="0.3">
      <c r="A9" s="35"/>
    </row>
    <row r="10" spans="1:23" customFormat="1" x14ac:dyDescent="0.3">
      <c r="A10" s="35"/>
    </row>
    <row r="13" spans="1:23" s="4" customFormat="1" ht="36" x14ac:dyDescent="0.3">
      <c r="A13" s="35" t="s">
        <v>155</v>
      </c>
      <c r="B13" s="3"/>
      <c r="C13" s="14">
        <v>1</v>
      </c>
      <c r="D13" s="22" t="s">
        <v>59</v>
      </c>
      <c r="E13" s="118" t="s">
        <v>65</v>
      </c>
      <c r="F13" s="118"/>
      <c r="G13" s="118"/>
      <c r="H13" s="118"/>
      <c r="I13" s="2" t="s">
        <v>30</v>
      </c>
      <c r="J13" s="2">
        <f>letterToNumber(A13)</f>
        <v>1</v>
      </c>
      <c r="K13" s="7">
        <f ca="1">_xlfn.SHEET("دواليب")</f>
        <v>7</v>
      </c>
    </row>
    <row r="14" spans="1:23" ht="31.2" x14ac:dyDescent="0.3">
      <c r="A14" s="35">
        <v>1</v>
      </c>
      <c r="C14" s="18"/>
      <c r="D14" s="18"/>
      <c r="E14" s="18" t="s">
        <v>18</v>
      </c>
      <c r="F14" s="7" t="s">
        <v>51</v>
      </c>
      <c r="G14" s="7" t="s">
        <v>16</v>
      </c>
      <c r="H14" s="7" t="s">
        <v>22</v>
      </c>
      <c r="I14" s="7" t="s">
        <v>3</v>
      </c>
      <c r="J14" s="7" t="s">
        <v>2</v>
      </c>
      <c r="K14" s="7"/>
    </row>
    <row r="15" spans="1:23" ht="15.6" x14ac:dyDescent="0.3">
      <c r="A15" s="35">
        <v>1</v>
      </c>
      <c r="C15" s="18"/>
      <c r="D15" s="18"/>
      <c r="E15" s="8">
        <v>2</v>
      </c>
      <c r="F15" s="8">
        <v>1</v>
      </c>
      <c r="G15" s="8">
        <v>3.5</v>
      </c>
      <c r="H15" s="8"/>
      <c r="I15" s="8">
        <v>210</v>
      </c>
      <c r="J15" s="8">
        <v>56</v>
      </c>
      <c r="K15" s="7"/>
    </row>
    <row r="16" spans="1:23" ht="15.6" x14ac:dyDescent="0.3">
      <c r="A16" s="35">
        <v>1</v>
      </c>
      <c r="C16" s="8"/>
      <c r="D16" s="8"/>
      <c r="E16" s="8"/>
      <c r="F16" s="8"/>
      <c r="G16" s="7" t="s">
        <v>54</v>
      </c>
      <c r="H16" s="7" t="s">
        <v>55</v>
      </c>
      <c r="I16" s="8"/>
      <c r="J16" s="8"/>
      <c r="K16" s="7"/>
    </row>
    <row r="17" spans="1:13" ht="15.6" x14ac:dyDescent="0.3">
      <c r="A17" s="35">
        <v>1</v>
      </c>
      <c r="C17" s="8"/>
      <c r="D17" s="8"/>
      <c r="E17" s="8"/>
      <c r="F17" s="8"/>
      <c r="G17" s="8">
        <v>1</v>
      </c>
      <c r="H17" s="8">
        <v>1</v>
      </c>
      <c r="I17" s="8">
        <v>140</v>
      </c>
      <c r="J17" s="8" t="s">
        <v>69</v>
      </c>
      <c r="K17" s="7"/>
    </row>
    <row r="18" spans="1:13" ht="25.8" customHeight="1" x14ac:dyDescent="0.3">
      <c r="A18" s="35">
        <v>1</v>
      </c>
      <c r="C18" s="9" t="b">
        <f>G17=0</f>
        <v>0</v>
      </c>
      <c r="D18" s="9" t="b">
        <f>H17=0</f>
        <v>0</v>
      </c>
      <c r="E18" s="8"/>
      <c r="F18" s="46"/>
      <c r="G18" s="8">
        <v>1</v>
      </c>
      <c r="H18" s="8">
        <v>1</v>
      </c>
      <c r="I18" s="8">
        <v>70</v>
      </c>
      <c r="J18" s="8" t="s">
        <v>70</v>
      </c>
      <c r="K18" s="7"/>
    </row>
    <row r="19" spans="1:13" ht="15.6" x14ac:dyDescent="0.3">
      <c r="A19" s="35">
        <v>1</v>
      </c>
      <c r="C19" s="107">
        <f>G17+H17</f>
        <v>2</v>
      </c>
      <c r="D19" s="107"/>
      <c r="E19" s="8"/>
      <c r="F19" s="46"/>
      <c r="G19" s="46"/>
      <c r="H19" s="46"/>
      <c r="I19" s="8">
        <f>SUM(I17:I18)</f>
        <v>210</v>
      </c>
      <c r="J19" s="109" t="str">
        <f>IF(I20,"مقاس الدلف صحيح","مقاس الدلف غير صحيح")</f>
        <v>مقاس الدلف صحيح</v>
      </c>
      <c r="K19" s="7"/>
    </row>
    <row r="20" spans="1:13" ht="15.6" x14ac:dyDescent="0.3">
      <c r="A20" s="35">
        <v>1</v>
      </c>
      <c r="C20" s="108" t="b">
        <f>C19&lt;=2</f>
        <v>1</v>
      </c>
      <c r="D20" s="108"/>
      <c r="E20" s="8"/>
      <c r="F20" s="8"/>
      <c r="G20" s="8"/>
      <c r="H20" s="8"/>
      <c r="I20" s="6" t="b">
        <f>I19=I15</f>
        <v>1</v>
      </c>
      <c r="J20" s="109"/>
      <c r="K20" s="7"/>
    </row>
    <row r="21" spans="1:13" ht="31.2" x14ac:dyDescent="0.3">
      <c r="A21" s="35">
        <v>1</v>
      </c>
      <c r="B21" s="1"/>
      <c r="C21" s="8"/>
      <c r="D21" s="27" t="str" cm="1">
        <f t="array" aca="1" ref="D21" ca="1">defaultValue(E21,K13)</f>
        <v>ظهر</v>
      </c>
      <c r="E21" s="7" t="s">
        <v>58</v>
      </c>
      <c r="F21" s="27" t="str" cm="1">
        <f t="array" aca="1" ref="F21" ca="1">defaultValue(G21,K13)</f>
        <v>يوفيلاك</v>
      </c>
      <c r="G21" s="7" t="s">
        <v>32</v>
      </c>
      <c r="H21" s="27" t="str" cm="1">
        <f t="array" aca="1" ref="H21" ca="1">defaultValue(I21,K13)</f>
        <v>HPL</v>
      </c>
      <c r="I21" s="7" t="s">
        <v>31</v>
      </c>
      <c r="J21" s="25" t="s">
        <v>111</v>
      </c>
      <c r="K21" s="7"/>
    </row>
    <row r="22" spans="1:13" x14ac:dyDescent="0.3">
      <c r="A22" s="35">
        <v>0</v>
      </c>
      <c r="B22"/>
      <c r="C22"/>
      <c r="D22"/>
      <c r="E22"/>
      <c r="F22"/>
      <c r="G22"/>
      <c r="H22"/>
      <c r="I22"/>
      <c r="J22"/>
      <c r="K22"/>
    </row>
    <row r="23" spans="1:13" x14ac:dyDescent="0.3">
      <c r="A23" s="35">
        <v>2</v>
      </c>
      <c r="C23" s="6" t="s">
        <v>4</v>
      </c>
      <c r="D23" s="6" t="s">
        <v>9</v>
      </c>
      <c r="E23" s="6" t="s">
        <v>5</v>
      </c>
      <c r="F23" s="6" t="s">
        <v>7</v>
      </c>
      <c r="G23" s="6" t="s">
        <v>1</v>
      </c>
      <c r="H23" s="6" t="s">
        <v>6</v>
      </c>
      <c r="I23" s="6" t="s">
        <v>33</v>
      </c>
      <c r="J23" s="6" t="s">
        <v>8</v>
      </c>
      <c r="K23" s="6" t="s">
        <v>185</v>
      </c>
    </row>
    <row r="24" spans="1:13" x14ac:dyDescent="0.3">
      <c r="A24" s="35">
        <v>0</v>
      </c>
      <c r="B24"/>
      <c r="C24"/>
      <c r="D24"/>
      <c r="E24"/>
      <c r="F24"/>
      <c r="G24"/>
      <c r="H24"/>
      <c r="I24"/>
      <c r="J24"/>
      <c r="K24"/>
    </row>
    <row r="25" spans="1:13" ht="15.6" customHeight="1" x14ac:dyDescent="0.3">
      <c r="A25" s="35">
        <v>3</v>
      </c>
      <c r="B25" s="3" t="str">
        <f>E13</f>
        <v xml:space="preserve">دواليب دلفة /دلفتين </v>
      </c>
      <c r="C25" s="6">
        <v>1</v>
      </c>
      <c r="D25" s="6" t="str">
        <f ca="1">H21</f>
        <v>HPL</v>
      </c>
      <c r="E25" s="6" t="s">
        <v>49</v>
      </c>
      <c r="F25" s="6">
        <f>H15-3.6</f>
        <v>-3.6</v>
      </c>
      <c r="G25" s="6">
        <f>J15</f>
        <v>56</v>
      </c>
      <c r="H25" s="6">
        <f>1*C13</f>
        <v>1</v>
      </c>
      <c r="I25" s="6">
        <f ca="1">HLOOKUP(D25, materials[], 2,FALSE)</f>
        <v>2</v>
      </c>
      <c r="J25" s="6"/>
      <c r="K25" s="6" t="b">
        <v>1</v>
      </c>
    </row>
    <row r="26" spans="1:13" ht="15.6" customHeight="1" x14ac:dyDescent="0.3">
      <c r="A26" s="35">
        <v>3</v>
      </c>
      <c r="B26" s="3" t="str">
        <f>B25</f>
        <v xml:space="preserve">دواليب دلفة /دلفتين </v>
      </c>
      <c r="C26" s="6">
        <f>C25+1</f>
        <v>2</v>
      </c>
      <c r="D26" s="6" t="str">
        <f ca="1">H21</f>
        <v>HPL</v>
      </c>
      <c r="E26" s="6" t="s">
        <v>10</v>
      </c>
      <c r="F26" s="6">
        <f>H15-3.6</f>
        <v>-3.6</v>
      </c>
      <c r="G26" s="6">
        <f>J15</f>
        <v>56</v>
      </c>
      <c r="H26" s="6">
        <f>1*C13</f>
        <v>1</v>
      </c>
      <c r="I26" s="6">
        <f ca="1">HLOOKUP(D26, materials[], 2,FALSE)</f>
        <v>2</v>
      </c>
      <c r="J26" s="6"/>
      <c r="K26" s="6" t="b">
        <v>1</v>
      </c>
    </row>
    <row r="27" spans="1:13" ht="15.6" customHeight="1" x14ac:dyDescent="0.3">
      <c r="A27" s="35">
        <v>3</v>
      </c>
      <c r="B27" s="3" t="str">
        <f>B25</f>
        <v xml:space="preserve">دواليب دلفة /دلفتين </v>
      </c>
      <c r="C27" s="6">
        <f>C26+1</f>
        <v>3</v>
      </c>
      <c r="D27" s="6" t="str">
        <f ca="1">H21</f>
        <v>HPL</v>
      </c>
      <c r="E27" s="6" t="s">
        <v>51</v>
      </c>
      <c r="F27" s="6">
        <f>H15-3.6</f>
        <v>-3.6</v>
      </c>
      <c r="G27" s="6">
        <f>J15-2.5</f>
        <v>53.5</v>
      </c>
      <c r="H27" s="6">
        <f>1*C13*F15</f>
        <v>1</v>
      </c>
      <c r="I27" s="6">
        <f ca="1">HLOOKUP(D27, materials[], 2,FALSE)</f>
        <v>2</v>
      </c>
      <c r="J27" s="6"/>
      <c r="K27" s="6" t="b">
        <v>1</v>
      </c>
    </row>
    <row r="28" spans="1:13" ht="15.6" customHeight="1" x14ac:dyDescent="0.3">
      <c r="A28" s="35">
        <v>3</v>
      </c>
      <c r="B28" s="3" t="str">
        <f>B25</f>
        <v xml:space="preserve">دواليب دلفة /دلفتين </v>
      </c>
      <c r="C28" s="6">
        <f>C27+1</f>
        <v>4</v>
      </c>
      <c r="D28" s="6" t="str">
        <f ca="1">H21</f>
        <v>HPL</v>
      </c>
      <c r="E28" s="6" t="s">
        <v>11</v>
      </c>
      <c r="F28" s="6">
        <f>I15</f>
        <v>210</v>
      </c>
      <c r="G28" s="6">
        <f>J15</f>
        <v>56</v>
      </c>
      <c r="H28" s="6">
        <f>2*C13</f>
        <v>2</v>
      </c>
      <c r="I28" s="6">
        <f ca="1">HLOOKUP(D28, materials[], 2,FALSE)</f>
        <v>2</v>
      </c>
      <c r="J28" s="6"/>
      <c r="K28" s="6" t="b">
        <v>1</v>
      </c>
    </row>
    <row r="29" spans="1:13" x14ac:dyDescent="0.3">
      <c r="A29" s="35">
        <v>3</v>
      </c>
      <c r="B29" s="3" t="str">
        <f>B25</f>
        <v xml:space="preserve">دواليب دلفة /دلفتين </v>
      </c>
      <c r="C29" s="6">
        <f t="shared" ref="C29" si="0">C28+1</f>
        <v>5</v>
      </c>
      <c r="D29" s="6" t="str">
        <f ca="1">H21</f>
        <v>HPL</v>
      </c>
      <c r="E29" s="6" t="s">
        <v>17</v>
      </c>
      <c r="F29" s="6">
        <f>H15-3.8</f>
        <v>-3.8</v>
      </c>
      <c r="G29" s="6">
        <f>J15-5</f>
        <v>51</v>
      </c>
      <c r="H29" s="6">
        <f>E15*C13</f>
        <v>2</v>
      </c>
      <c r="I29" s="6">
        <f ca="1">HLOOKUP(D29, materials[], 2,FALSE)</f>
        <v>2</v>
      </c>
      <c r="J29" s="6"/>
      <c r="K29" s="6" t="b">
        <v>1</v>
      </c>
    </row>
    <row r="30" spans="1:13" x14ac:dyDescent="0.3">
      <c r="A30" s="35">
        <v>0</v>
      </c>
      <c r="B30"/>
      <c r="C30"/>
      <c r="D30"/>
      <c r="E30"/>
      <c r="F30"/>
      <c r="G30"/>
      <c r="H30"/>
      <c r="I30"/>
      <c r="J30"/>
      <c r="K30"/>
      <c r="M30" s="3" t="str">
        <f>IF(K170=0, "",F56)</f>
        <v/>
      </c>
    </row>
    <row r="31" spans="1:13" x14ac:dyDescent="0.3">
      <c r="A31" s="35">
        <v>4</v>
      </c>
      <c r="B31" s="3" t="str">
        <f>B25</f>
        <v xml:space="preserve">دواليب دلفة /دلفتين </v>
      </c>
      <c r="C31" s="9">
        <f>C29+1</f>
        <v>6</v>
      </c>
      <c r="D31" s="9" t="str">
        <f ca="1">F21</f>
        <v>يوفيلاك</v>
      </c>
      <c r="E31" s="9" t="s">
        <v>72</v>
      </c>
      <c r="F31" s="9">
        <f>I17-0.5-G15</f>
        <v>136</v>
      </c>
      <c r="G31" s="9">
        <f>(H15/C19)-0.5</f>
        <v>-0.5</v>
      </c>
      <c r="H31" s="9">
        <f>G17*C13</f>
        <v>1</v>
      </c>
      <c r="I31" s="9">
        <f ca="1">HLOOKUP(D31, materials[], 2,FALSE)</f>
        <v>6</v>
      </c>
      <c r="J31" s="9"/>
      <c r="K31" s="9" t="b">
        <v>1</v>
      </c>
    </row>
    <row r="32" spans="1:13" x14ac:dyDescent="0.3">
      <c r="A32" s="35">
        <v>4</v>
      </c>
      <c r="B32" s="3" t="str">
        <f>B25</f>
        <v xml:space="preserve">دواليب دلفة /دلفتين </v>
      </c>
      <c r="C32" s="9">
        <f>C31+1</f>
        <v>7</v>
      </c>
      <c r="D32" s="9" t="str">
        <f ca="1">F21</f>
        <v>يوفيلاك</v>
      </c>
      <c r="E32" s="9" t="s">
        <v>73</v>
      </c>
      <c r="F32" s="9">
        <f>I18-0.5-G15</f>
        <v>66</v>
      </c>
      <c r="G32" s="9">
        <f>(H15/C19)-0.5</f>
        <v>-0.5</v>
      </c>
      <c r="H32" s="9">
        <f>G18*C13</f>
        <v>1</v>
      </c>
      <c r="I32" s="9">
        <f ca="1">HLOOKUP(D32, materials[], 2,FALSE)</f>
        <v>6</v>
      </c>
      <c r="J32" s="9"/>
      <c r="K32" s="9" t="b">
        <v>1</v>
      </c>
    </row>
    <row r="33" spans="1:13" x14ac:dyDescent="0.3">
      <c r="A33" s="35">
        <v>0</v>
      </c>
      <c r="B33"/>
      <c r="C33"/>
      <c r="D33"/>
      <c r="E33"/>
      <c r="F33"/>
      <c r="G33"/>
      <c r="H33"/>
      <c r="I33"/>
      <c r="J33"/>
      <c r="K33"/>
    </row>
    <row r="34" spans="1:13" x14ac:dyDescent="0.3">
      <c r="A34" s="35">
        <v>4</v>
      </c>
      <c r="B34" s="3" t="str">
        <f>B25</f>
        <v xml:space="preserve">دواليب دلفة /دلفتين </v>
      </c>
      <c r="C34" s="9">
        <f>C32+1</f>
        <v>8</v>
      </c>
      <c r="D34" s="9" t="s">
        <v>53</v>
      </c>
      <c r="E34" s="9" t="s">
        <v>74</v>
      </c>
      <c r="F34" s="9">
        <f>I17-0.5</f>
        <v>139.5</v>
      </c>
      <c r="G34" s="9">
        <f>(H15/C19)-0.5</f>
        <v>-0.5</v>
      </c>
      <c r="H34" s="9">
        <f>H17*C13</f>
        <v>1</v>
      </c>
      <c r="I34" s="9"/>
      <c r="J34" s="9"/>
      <c r="K34" s="9" t="b">
        <v>1</v>
      </c>
    </row>
    <row r="35" spans="1:13" x14ac:dyDescent="0.3">
      <c r="A35" s="35">
        <v>4</v>
      </c>
      <c r="B35" s="3" t="str">
        <f>B25</f>
        <v xml:space="preserve">دواليب دلفة /دلفتين </v>
      </c>
      <c r="C35" s="9">
        <f>C34+1</f>
        <v>9</v>
      </c>
      <c r="D35" s="9" t="s">
        <v>53</v>
      </c>
      <c r="E35" s="9" t="s">
        <v>75</v>
      </c>
      <c r="F35" s="9">
        <f>I18-0.5</f>
        <v>69.5</v>
      </c>
      <c r="G35" s="9">
        <f>(H15/C19)-0.5</f>
        <v>-0.5</v>
      </c>
      <c r="H35" s="9">
        <f>H18*C13</f>
        <v>1</v>
      </c>
      <c r="I35" s="9"/>
      <c r="J35" s="9"/>
      <c r="K35" s="9" t="b">
        <v>1</v>
      </c>
    </row>
    <row r="36" spans="1:13" x14ac:dyDescent="0.3">
      <c r="A36" s="35">
        <v>0</v>
      </c>
      <c r="B36"/>
      <c r="C36"/>
      <c r="D36"/>
      <c r="E36"/>
      <c r="F36"/>
      <c r="G36"/>
      <c r="H36"/>
      <c r="I36"/>
      <c r="J36"/>
      <c r="K36"/>
    </row>
    <row r="37" spans="1:13" x14ac:dyDescent="0.3">
      <c r="A37" s="35">
        <v>5</v>
      </c>
      <c r="B37" s="3" t="str">
        <f>B25</f>
        <v xml:space="preserve">دواليب دلفة /دلفتين </v>
      </c>
      <c r="C37" s="19">
        <f>C35+1</f>
        <v>10</v>
      </c>
      <c r="D37" s="19" t="str">
        <f ca="1">D21</f>
        <v>ظهر</v>
      </c>
      <c r="E37" s="19" t="s">
        <v>58</v>
      </c>
      <c r="F37" s="19">
        <f>I15-2</f>
        <v>208</v>
      </c>
      <c r="G37" s="19">
        <f>H15-2</f>
        <v>-2</v>
      </c>
      <c r="H37" s="19">
        <f>1*C13</f>
        <v>1</v>
      </c>
      <c r="I37" s="19">
        <f ca="1">HLOOKUP(D37, materials[], 2,FALSE)</f>
        <v>2</v>
      </c>
      <c r="J37" s="19"/>
      <c r="K37" s="19" t="b">
        <v>1</v>
      </c>
    </row>
    <row r="38" spans="1:13" x14ac:dyDescent="0.3">
      <c r="A38" s="35">
        <v>255</v>
      </c>
    </row>
    <row r="39" spans="1:13" x14ac:dyDescent="0.3">
      <c r="A39" s="35">
        <v>255</v>
      </c>
      <c r="K39" s="1"/>
      <c r="L39" s="1"/>
      <c r="M39" s="1"/>
    </row>
    <row r="40" spans="1:13" ht="36" x14ac:dyDescent="0.3">
      <c r="A40" s="35" t="s">
        <v>160</v>
      </c>
      <c r="C40" s="14">
        <v>1</v>
      </c>
      <c r="D40" s="22" t="s">
        <v>59</v>
      </c>
      <c r="E40" s="118" t="s">
        <v>76</v>
      </c>
      <c r="F40" s="118"/>
      <c r="G40" s="118"/>
      <c r="H40" s="118"/>
      <c r="I40" s="2" t="s">
        <v>30</v>
      </c>
      <c r="J40" s="2">
        <f>letterToNumber(A40)</f>
        <v>2</v>
      </c>
      <c r="K40" s="7">
        <f ca="1">_xlfn.SHEET("دواليب")</f>
        <v>7</v>
      </c>
      <c r="L40" s="1"/>
      <c r="M40" s="1"/>
    </row>
    <row r="41" spans="1:13" ht="31.2" x14ac:dyDescent="0.3">
      <c r="A41" s="35">
        <v>1</v>
      </c>
      <c r="C41" s="18"/>
      <c r="D41" s="16" t="s">
        <v>19</v>
      </c>
      <c r="E41" s="18" t="s">
        <v>18</v>
      </c>
      <c r="F41" s="7" t="s">
        <v>51</v>
      </c>
      <c r="G41" s="7" t="s">
        <v>16</v>
      </c>
      <c r="H41" s="7" t="s">
        <v>22</v>
      </c>
      <c r="I41" s="7" t="s">
        <v>3</v>
      </c>
      <c r="J41" s="7" t="s">
        <v>2</v>
      </c>
      <c r="K41" s="7"/>
      <c r="L41" s="1"/>
      <c r="M41" s="1"/>
    </row>
    <row r="42" spans="1:13" ht="15.6" x14ac:dyDescent="0.3">
      <c r="A42" s="35">
        <v>1</v>
      </c>
      <c r="C42" s="18"/>
      <c r="D42" s="9">
        <v>45</v>
      </c>
      <c r="E42" s="8">
        <v>2</v>
      </c>
      <c r="F42" s="8">
        <v>1</v>
      </c>
      <c r="G42" s="8">
        <v>3.5</v>
      </c>
      <c r="H42" s="8">
        <v>60</v>
      </c>
      <c r="I42" s="8">
        <v>220</v>
      </c>
      <c r="J42" s="8">
        <v>56</v>
      </c>
      <c r="K42" s="7"/>
      <c r="L42" s="1"/>
      <c r="M42" s="1"/>
    </row>
    <row r="43" spans="1:13" ht="15.6" x14ac:dyDescent="0.3">
      <c r="A43" s="35">
        <v>1</v>
      </c>
      <c r="C43" s="8"/>
      <c r="D43" s="8"/>
      <c r="E43" s="8"/>
      <c r="F43" s="8"/>
      <c r="G43" s="7" t="s">
        <v>54</v>
      </c>
      <c r="H43" s="7" t="s">
        <v>55</v>
      </c>
      <c r="I43" s="8"/>
      <c r="J43" s="8"/>
      <c r="K43" s="7"/>
      <c r="L43" s="1"/>
      <c r="M43" s="1"/>
    </row>
    <row r="44" spans="1:13" ht="15.6" x14ac:dyDescent="0.3">
      <c r="A44" s="35">
        <v>1</v>
      </c>
      <c r="C44" s="8"/>
      <c r="D44" s="8"/>
      <c r="E44" s="8"/>
      <c r="F44" s="8"/>
      <c r="G44" s="7">
        <v>1</v>
      </c>
      <c r="H44" s="7"/>
      <c r="I44" s="8">
        <v>20</v>
      </c>
      <c r="J44" s="8" t="s">
        <v>77</v>
      </c>
      <c r="K44" s="7"/>
    </row>
    <row r="45" spans="1:13" ht="15.6" x14ac:dyDescent="0.3">
      <c r="A45" s="35">
        <v>1</v>
      </c>
      <c r="C45" s="8"/>
      <c r="D45" s="8"/>
      <c r="E45" s="8"/>
      <c r="F45" s="8"/>
      <c r="G45" s="7">
        <v>1</v>
      </c>
      <c r="H45" s="7"/>
      <c r="I45" s="8">
        <v>20</v>
      </c>
      <c r="J45" s="8" t="s">
        <v>78</v>
      </c>
      <c r="K45" s="7"/>
      <c r="L45" s="1"/>
      <c r="M45" s="1"/>
    </row>
    <row r="46" spans="1:13" ht="15.6" x14ac:dyDescent="0.3">
      <c r="A46" s="35">
        <v>1</v>
      </c>
      <c r="C46" s="8"/>
      <c r="D46" s="8"/>
      <c r="E46" s="8"/>
      <c r="F46" s="8"/>
      <c r="G46" s="7"/>
      <c r="H46" s="7"/>
      <c r="I46" s="8"/>
      <c r="J46" s="8" t="s">
        <v>79</v>
      </c>
      <c r="K46" s="7"/>
      <c r="L46" s="1"/>
      <c r="M46" s="1"/>
    </row>
    <row r="47" spans="1:13" ht="15.6" x14ac:dyDescent="0.3">
      <c r="A47" s="35">
        <v>1</v>
      </c>
      <c r="C47" s="8"/>
      <c r="D47" s="8"/>
      <c r="E47" s="8"/>
      <c r="F47" s="8"/>
      <c r="G47" s="8"/>
      <c r="H47" s="8"/>
      <c r="I47" s="8"/>
      <c r="J47" s="8" t="s">
        <v>69</v>
      </c>
      <c r="K47" s="7"/>
      <c r="L47" s="1"/>
      <c r="M47" s="1"/>
    </row>
    <row r="48" spans="1:13" ht="15.6" x14ac:dyDescent="0.3">
      <c r="A48" s="35">
        <v>1</v>
      </c>
      <c r="C48" s="8"/>
      <c r="D48" s="8"/>
      <c r="E48" s="8"/>
      <c r="F48" s="8"/>
      <c r="G48" s="8">
        <v>1</v>
      </c>
      <c r="H48" s="8"/>
      <c r="I48" s="8">
        <v>67</v>
      </c>
      <c r="J48" s="8" t="s">
        <v>80</v>
      </c>
      <c r="K48" s="7"/>
      <c r="L48" s="1"/>
      <c r="M48" s="1"/>
    </row>
    <row r="49" spans="1:13" ht="15.6" x14ac:dyDescent="0.3">
      <c r="A49" s="35">
        <v>1</v>
      </c>
      <c r="C49" s="8"/>
      <c r="D49" s="8"/>
      <c r="E49" s="8"/>
      <c r="F49" s="8"/>
      <c r="G49" s="8">
        <v>1</v>
      </c>
      <c r="H49" s="8"/>
      <c r="I49" s="8">
        <v>35</v>
      </c>
      <c r="J49" s="8" t="s">
        <v>81</v>
      </c>
      <c r="K49" s="7"/>
      <c r="L49" s="1"/>
      <c r="M49" s="1"/>
    </row>
    <row r="50" spans="1:13" ht="15.6" x14ac:dyDescent="0.3">
      <c r="A50" s="35">
        <v>1</v>
      </c>
      <c r="C50" s="8"/>
      <c r="D50" s="8"/>
      <c r="E50" s="8"/>
      <c r="F50" s="8"/>
      <c r="G50" s="8">
        <v>2</v>
      </c>
      <c r="H50" s="8"/>
      <c r="I50" s="8">
        <v>78</v>
      </c>
      <c r="J50" s="8" t="s">
        <v>82</v>
      </c>
      <c r="K50" s="7"/>
      <c r="L50" s="1"/>
      <c r="M50" s="1"/>
    </row>
    <row r="51" spans="1:13" ht="15.6" x14ac:dyDescent="0.3">
      <c r="A51" s="35">
        <v>1</v>
      </c>
      <c r="C51" s="9" t="b">
        <f>G47=0</f>
        <v>1</v>
      </c>
      <c r="D51" s="9" t="b">
        <f>H47=0</f>
        <v>1</v>
      </c>
      <c r="E51" s="8"/>
      <c r="F51" s="46"/>
      <c r="G51" s="8"/>
      <c r="H51" s="8"/>
      <c r="I51" s="8"/>
      <c r="J51" s="8" t="s">
        <v>83</v>
      </c>
      <c r="K51" s="7"/>
      <c r="L51" s="1"/>
      <c r="M51" s="1"/>
    </row>
    <row r="52" spans="1:13" ht="15.6" x14ac:dyDescent="0.3">
      <c r="A52" s="35">
        <v>1</v>
      </c>
      <c r="C52" s="107">
        <f>G47+H47</f>
        <v>0</v>
      </c>
      <c r="D52" s="107"/>
      <c r="E52" s="8"/>
      <c r="F52" s="46"/>
      <c r="G52" s="46"/>
      <c r="H52" s="46"/>
      <c r="I52" s="8">
        <f>SUM(I44:I51)</f>
        <v>220</v>
      </c>
      <c r="J52" s="109" t="str">
        <f>IF(I53,"مقاس الدلف صحيح","مقاس الدلف غير صحيح")</f>
        <v>مقاس الدلف صحيح</v>
      </c>
      <c r="K52" s="7"/>
      <c r="L52" s="1"/>
      <c r="M52" s="1"/>
    </row>
    <row r="53" spans="1:13" ht="15.6" x14ac:dyDescent="0.3">
      <c r="A53" s="35">
        <v>1</v>
      </c>
      <c r="C53" s="108" t="b">
        <f>C52&lt;=2</f>
        <v>1</v>
      </c>
      <c r="D53" s="108"/>
      <c r="E53" s="8"/>
      <c r="F53" s="8"/>
      <c r="G53" s="8"/>
      <c r="H53" s="8"/>
      <c r="I53" s="6" t="b">
        <f>I52=I42</f>
        <v>1</v>
      </c>
      <c r="J53" s="109"/>
      <c r="K53" s="7"/>
      <c r="L53" s="1"/>
      <c r="M53" s="1"/>
    </row>
    <row r="54" spans="1:13" ht="31.2" x14ac:dyDescent="0.3">
      <c r="A54" s="35">
        <v>1</v>
      </c>
      <c r="B54" s="1"/>
      <c r="C54" s="8"/>
      <c r="D54" s="27" t="str" cm="1">
        <f t="array" aca="1" ref="D54" ca="1">defaultValue(E54,K40)</f>
        <v>ظهر</v>
      </c>
      <c r="E54" s="7" t="s">
        <v>58</v>
      </c>
      <c r="F54" s="27" t="str" cm="1">
        <f t="array" aca="1" ref="F54" ca="1">defaultValue(G54,K40)</f>
        <v>يوفيلاك</v>
      </c>
      <c r="G54" s="7" t="s">
        <v>32</v>
      </c>
      <c r="H54" s="27" t="str" cm="1">
        <f t="array" aca="1" ref="H54" ca="1">defaultValue(I54,K40)</f>
        <v>HPL</v>
      </c>
      <c r="I54" s="7" t="s">
        <v>31</v>
      </c>
      <c r="J54" s="25" t="s">
        <v>111</v>
      </c>
      <c r="K54" s="7"/>
      <c r="L54" s="1"/>
      <c r="M54" s="1"/>
    </row>
    <row r="55" spans="1:13" ht="15.6" customHeight="1" x14ac:dyDescent="0.3">
      <c r="A55" s="35">
        <v>0</v>
      </c>
      <c r="B55"/>
      <c r="C55"/>
      <c r="D55"/>
      <c r="E55"/>
      <c r="F55"/>
      <c r="G55"/>
      <c r="H55"/>
      <c r="I55"/>
      <c r="J55"/>
      <c r="K55"/>
      <c r="L55" s="1"/>
      <c r="M55" s="1"/>
    </row>
    <row r="56" spans="1:13" ht="15.6" customHeight="1" x14ac:dyDescent="0.3">
      <c r="A56" s="35">
        <v>2</v>
      </c>
      <c r="C56" s="6" t="s">
        <v>4</v>
      </c>
      <c r="D56" s="6" t="s">
        <v>9</v>
      </c>
      <c r="E56" s="6" t="s">
        <v>5</v>
      </c>
      <c r="F56" s="6" t="s">
        <v>7</v>
      </c>
      <c r="G56" s="6" t="s">
        <v>1</v>
      </c>
      <c r="H56" s="6" t="s">
        <v>6</v>
      </c>
      <c r="I56" s="6" t="s">
        <v>33</v>
      </c>
      <c r="J56" s="6" t="s">
        <v>8</v>
      </c>
      <c r="K56" s="6" t="s">
        <v>185</v>
      </c>
      <c r="L56" s="1"/>
      <c r="M56" s="1"/>
    </row>
    <row r="57" spans="1:13" ht="15.6" customHeight="1" x14ac:dyDescent="0.3">
      <c r="A57" s="35">
        <v>0</v>
      </c>
      <c r="B57"/>
      <c r="C57"/>
      <c r="D57"/>
      <c r="E57"/>
      <c r="F57"/>
      <c r="G57"/>
      <c r="H57"/>
      <c r="I57"/>
      <c r="J57"/>
      <c r="K57"/>
      <c r="L57" s="1"/>
      <c r="M57" s="1"/>
    </row>
    <row r="58" spans="1:13" ht="15.6" customHeight="1" x14ac:dyDescent="0.3">
      <c r="A58" s="35">
        <v>3</v>
      </c>
      <c r="B58" s="3" t="str">
        <f>E40</f>
        <v>دواليب منوع /فرن /أدراج</v>
      </c>
      <c r="C58" s="6">
        <v>1</v>
      </c>
      <c r="D58" s="6" t="str">
        <f ca="1">H54</f>
        <v>HPL</v>
      </c>
      <c r="E58" s="6" t="s">
        <v>49</v>
      </c>
      <c r="F58" s="6">
        <f>H42-3.6</f>
        <v>56.4</v>
      </c>
      <c r="G58" s="6">
        <f>J42</f>
        <v>56</v>
      </c>
      <c r="H58" s="6">
        <f>1*C40</f>
        <v>1</v>
      </c>
      <c r="I58" s="6">
        <f ca="1">HLOOKUP(D58, materials[], 2,FALSE)</f>
        <v>2</v>
      </c>
      <c r="J58" s="6"/>
      <c r="K58" s="6" t="b">
        <v>1</v>
      </c>
      <c r="L58" s="1"/>
      <c r="M58" s="1"/>
    </row>
    <row r="59" spans="1:13" x14ac:dyDescent="0.3">
      <c r="A59" s="35">
        <v>3</v>
      </c>
      <c r="B59" s="3" t="str">
        <f>B58</f>
        <v>دواليب منوع /فرن /أدراج</v>
      </c>
      <c r="C59" s="6">
        <f>C58+1</f>
        <v>2</v>
      </c>
      <c r="D59" s="6" t="str">
        <f ca="1">H54</f>
        <v>HPL</v>
      </c>
      <c r="E59" s="6" t="s">
        <v>10</v>
      </c>
      <c r="F59" s="6">
        <f>H42-3.6</f>
        <v>56.4</v>
      </c>
      <c r="G59" s="6">
        <f>J42</f>
        <v>56</v>
      </c>
      <c r="H59" s="6">
        <f>1*C40</f>
        <v>1</v>
      </c>
      <c r="I59" s="6">
        <f ca="1">HLOOKUP(D59, materials[], 2,FALSE)</f>
        <v>2</v>
      </c>
      <c r="J59" s="6"/>
      <c r="K59" s="6" t="b">
        <v>1</v>
      </c>
      <c r="L59" s="1"/>
      <c r="M59" s="1"/>
    </row>
    <row r="60" spans="1:13" x14ac:dyDescent="0.3">
      <c r="A60" s="35">
        <v>3</v>
      </c>
      <c r="B60" s="3" t="str">
        <f>B58</f>
        <v>دواليب منوع /فرن /أدراج</v>
      </c>
      <c r="C60" s="6">
        <f>C59+1</f>
        <v>3</v>
      </c>
      <c r="D60" s="6" t="str">
        <f ca="1">H54</f>
        <v>HPL</v>
      </c>
      <c r="E60" s="6" t="s">
        <v>51</v>
      </c>
      <c r="F60" s="6">
        <f>H42-3.6</f>
        <v>56.4</v>
      </c>
      <c r="G60" s="6">
        <f>J42-2.5</f>
        <v>53.5</v>
      </c>
      <c r="H60" s="6">
        <f>1*C40*F42</f>
        <v>1</v>
      </c>
      <c r="I60" s="6">
        <f ca="1">HLOOKUP(D60, materials[], 2,FALSE)</f>
        <v>2</v>
      </c>
      <c r="J60" s="6"/>
      <c r="K60" s="6" t="b">
        <v>1</v>
      </c>
      <c r="L60" s="1"/>
      <c r="M60" s="1"/>
    </row>
    <row r="61" spans="1:13" ht="15.6" customHeight="1" x14ac:dyDescent="0.3">
      <c r="A61" s="35">
        <v>3</v>
      </c>
      <c r="B61" s="3" t="str">
        <f>B58</f>
        <v>دواليب منوع /فرن /أدراج</v>
      </c>
      <c r="C61" s="6">
        <f>C60+1</f>
        <v>4</v>
      </c>
      <c r="D61" s="6" t="str">
        <f ca="1">H54</f>
        <v>HPL</v>
      </c>
      <c r="E61" s="6" t="s">
        <v>11</v>
      </c>
      <c r="F61" s="6">
        <f>I42</f>
        <v>220</v>
      </c>
      <c r="G61" s="6">
        <f>J42</f>
        <v>56</v>
      </c>
      <c r="H61" s="6">
        <f>2*C40</f>
        <v>2</v>
      </c>
      <c r="I61" s="6">
        <f ca="1">HLOOKUP(D61, materials[], 2,FALSE)</f>
        <v>2</v>
      </c>
      <c r="J61" s="6"/>
      <c r="K61" s="6" t="b">
        <v>1</v>
      </c>
      <c r="L61" s="1"/>
      <c r="M61" s="1"/>
    </row>
    <row r="62" spans="1:13" x14ac:dyDescent="0.3">
      <c r="A62" s="35">
        <v>3</v>
      </c>
      <c r="B62" s="3" t="str">
        <f>B58</f>
        <v>دواليب منوع /فرن /أدراج</v>
      </c>
      <c r="C62" s="6">
        <f t="shared" ref="C62" si="1">C61+1</f>
        <v>5</v>
      </c>
      <c r="D62" s="6" t="str">
        <f ca="1">H54</f>
        <v>HPL</v>
      </c>
      <c r="E62" s="6" t="s">
        <v>17</v>
      </c>
      <c r="F62" s="6">
        <f>H42-3.8</f>
        <v>56.2</v>
      </c>
      <c r="G62" s="6">
        <f>J42-5</f>
        <v>51</v>
      </c>
      <c r="H62" s="6">
        <f>E42*C40</f>
        <v>2</v>
      </c>
      <c r="I62" s="6">
        <f ca="1">HLOOKUP(D62, materials[], 2,FALSE)</f>
        <v>2</v>
      </c>
      <c r="J62" s="6"/>
      <c r="K62" s="6" t="b">
        <v>1</v>
      </c>
      <c r="L62" s="1"/>
      <c r="M62" s="1"/>
    </row>
    <row r="63" spans="1:13" x14ac:dyDescent="0.3">
      <c r="A63" s="35">
        <v>0</v>
      </c>
      <c r="B63"/>
      <c r="C63"/>
      <c r="D63"/>
      <c r="E63"/>
      <c r="F63"/>
      <c r="G63"/>
      <c r="H63"/>
      <c r="I63"/>
      <c r="J63"/>
      <c r="K63"/>
      <c r="L63" s="1"/>
      <c r="M63" s="1"/>
    </row>
    <row r="64" spans="1:13" x14ac:dyDescent="0.3">
      <c r="A64" s="35">
        <v>3</v>
      </c>
      <c r="B64" s="3" t="str">
        <f>B58</f>
        <v>دواليب منوع /فرن /أدراج</v>
      </c>
      <c r="C64" s="20">
        <f>C62+1</f>
        <v>6</v>
      </c>
      <c r="D64" s="20" t="str">
        <f ca="1">H54</f>
        <v>HPL</v>
      </c>
      <c r="E64" s="20" t="s">
        <v>84</v>
      </c>
      <c r="F64" s="20">
        <f>IF(H64=0, "",(H42-3.6-3.6-2.5))</f>
        <v>50.3</v>
      </c>
      <c r="G64" s="20">
        <f>IF(H64=0, "",(I44-6))</f>
        <v>14</v>
      </c>
      <c r="H64" s="20">
        <f>G44*C40</f>
        <v>1</v>
      </c>
      <c r="I64" s="20">
        <f ca="1">HLOOKUP(D64, materials[], 2,FALSE)</f>
        <v>2</v>
      </c>
      <c r="J64" s="20"/>
      <c r="K64" s="20" t="b">
        <v>1</v>
      </c>
    </row>
    <row r="65" spans="1:12" x14ac:dyDescent="0.3">
      <c r="A65" s="35">
        <v>3</v>
      </c>
      <c r="B65" s="3" t="str">
        <f>B58</f>
        <v>دواليب منوع /فرن /أدراج</v>
      </c>
      <c r="C65" s="20">
        <f>C64+1</f>
        <v>7</v>
      </c>
      <c r="D65" s="20" t="str">
        <f ca="1">H54</f>
        <v>HPL</v>
      </c>
      <c r="E65" s="20" t="s">
        <v>85</v>
      </c>
      <c r="F65" s="20">
        <f>IF(H65=0, "",D42)</f>
        <v>45</v>
      </c>
      <c r="G65" s="20">
        <f>IF(H65=0, "",(I44-6))</f>
        <v>14</v>
      </c>
      <c r="H65" s="20">
        <f>2*G44*C40</f>
        <v>2</v>
      </c>
      <c r="I65" s="20">
        <f ca="1">HLOOKUP(D65, materials[], 2,FALSE)</f>
        <v>2</v>
      </c>
      <c r="J65" s="20"/>
      <c r="K65" s="20" t="b">
        <v>1</v>
      </c>
    </row>
    <row r="66" spans="1:12" x14ac:dyDescent="0.3">
      <c r="A66" s="35">
        <v>3</v>
      </c>
      <c r="B66" s="3" t="str">
        <f>B58</f>
        <v>دواليب منوع /فرن /أدراج</v>
      </c>
      <c r="C66" s="20">
        <f t="shared" ref="C66:C72" si="2">C65+1</f>
        <v>8</v>
      </c>
      <c r="D66" s="20" t="str">
        <f ca="1">H54</f>
        <v>HPL</v>
      </c>
      <c r="E66" s="20" t="s">
        <v>86</v>
      </c>
      <c r="F66" s="20">
        <f>IF(H66=0, "",(H42-3.6-3.6-2.5))</f>
        <v>50.3</v>
      </c>
      <c r="G66" s="20">
        <f>IF(H66=0, "",(I44-6-3))</f>
        <v>11</v>
      </c>
      <c r="H66" s="20">
        <f>G44*C40</f>
        <v>1</v>
      </c>
      <c r="I66" s="20">
        <f ca="1">HLOOKUP(D66, materials[], 2,FALSE)</f>
        <v>2</v>
      </c>
      <c r="J66" s="20"/>
      <c r="K66" s="20" t="b">
        <v>1</v>
      </c>
    </row>
    <row r="67" spans="1:12" x14ac:dyDescent="0.3">
      <c r="A67" s="35">
        <v>3</v>
      </c>
      <c r="B67" s="3" t="str">
        <f>B58</f>
        <v>دواليب منوع /فرن /أدراج</v>
      </c>
      <c r="C67" s="10">
        <f t="shared" si="2"/>
        <v>9</v>
      </c>
      <c r="D67" s="10" t="str">
        <f ca="1">H54</f>
        <v>HPL</v>
      </c>
      <c r="E67" s="10" t="s">
        <v>87</v>
      </c>
      <c r="F67" s="10">
        <f>IF(H67=0, "",(H42-3.6-3.6-2.5))</f>
        <v>50.3</v>
      </c>
      <c r="G67" s="10">
        <f>IF(H67=0, "",(I45-6))</f>
        <v>14</v>
      </c>
      <c r="H67" s="10">
        <f>G45*C40</f>
        <v>1</v>
      </c>
      <c r="I67" s="10">
        <f ca="1">HLOOKUP(D67, materials[], 2,FALSE)</f>
        <v>2</v>
      </c>
      <c r="J67" s="10"/>
      <c r="K67" s="10" t="b">
        <v>1</v>
      </c>
    </row>
    <row r="68" spans="1:12" x14ac:dyDescent="0.3">
      <c r="A68" s="35">
        <v>3</v>
      </c>
      <c r="B68" s="3" t="str">
        <f>B58</f>
        <v>دواليب منوع /فرن /أدراج</v>
      </c>
      <c r="C68" s="10">
        <f t="shared" si="2"/>
        <v>10</v>
      </c>
      <c r="D68" s="10" t="str">
        <f ca="1">H54</f>
        <v>HPL</v>
      </c>
      <c r="E68" s="10" t="s">
        <v>88</v>
      </c>
      <c r="F68" s="10">
        <f>IF(H68=0, "",D42)</f>
        <v>45</v>
      </c>
      <c r="G68" s="10">
        <f>IF(H68=0, "",(I45-6))</f>
        <v>14</v>
      </c>
      <c r="H68" s="10">
        <f>2*G45*C40</f>
        <v>2</v>
      </c>
      <c r="I68" s="10">
        <f ca="1">HLOOKUP(D68, materials[], 2,FALSE)</f>
        <v>2</v>
      </c>
      <c r="J68" s="10"/>
      <c r="K68" s="10" t="b">
        <v>1</v>
      </c>
    </row>
    <row r="69" spans="1:12" x14ac:dyDescent="0.3">
      <c r="A69" s="35">
        <v>3</v>
      </c>
      <c r="B69" s="3" t="str">
        <f>B58</f>
        <v>دواليب منوع /فرن /أدراج</v>
      </c>
      <c r="C69" s="10">
        <f t="shared" si="2"/>
        <v>11</v>
      </c>
      <c r="D69" s="10" t="str">
        <f ca="1">H54</f>
        <v>HPL</v>
      </c>
      <c r="E69" s="10" t="s">
        <v>89</v>
      </c>
      <c r="F69" s="10">
        <f>IF(H69=0, "",(H42-3.6-3.6-2.5))</f>
        <v>50.3</v>
      </c>
      <c r="G69" s="10">
        <f>IF(H69=0, "",(I45-6-3))</f>
        <v>11</v>
      </c>
      <c r="H69" s="10">
        <f>G45*C40</f>
        <v>1</v>
      </c>
      <c r="I69" s="10">
        <f ca="1">HLOOKUP(D69, materials[], 2,FALSE)</f>
        <v>2</v>
      </c>
      <c r="J69" s="10"/>
      <c r="K69" s="10" t="b">
        <v>1</v>
      </c>
    </row>
    <row r="70" spans="1:12" x14ac:dyDescent="0.3">
      <c r="A70" s="35">
        <v>3</v>
      </c>
      <c r="B70" s="3" t="str">
        <f>B58</f>
        <v>دواليب منوع /فرن /أدراج</v>
      </c>
      <c r="C70" s="20">
        <f t="shared" si="2"/>
        <v>12</v>
      </c>
      <c r="D70" s="20" t="str">
        <f ca="1">H54</f>
        <v>HPL</v>
      </c>
      <c r="E70" s="20" t="s">
        <v>90</v>
      </c>
      <c r="F70" s="20" t="str">
        <f>IF(H70=0, "",(H42-3.6-3.6-2.5))</f>
        <v/>
      </c>
      <c r="G70" s="20" t="str">
        <f>IF(H70=0, "",(I46-6))</f>
        <v/>
      </c>
      <c r="H70" s="20">
        <f>G46*C40</f>
        <v>0</v>
      </c>
      <c r="I70" s="20">
        <f ca="1">HLOOKUP(D70, materials[], 2,FALSE)</f>
        <v>2</v>
      </c>
      <c r="J70" s="20"/>
      <c r="K70" s="20" t="b">
        <v>1</v>
      </c>
    </row>
    <row r="71" spans="1:12" x14ac:dyDescent="0.3">
      <c r="A71" s="35">
        <v>3</v>
      </c>
      <c r="B71" s="3" t="str">
        <f>B58</f>
        <v>دواليب منوع /فرن /أدراج</v>
      </c>
      <c r="C71" s="20">
        <f t="shared" si="2"/>
        <v>13</v>
      </c>
      <c r="D71" s="20" t="str">
        <f ca="1">H54</f>
        <v>HPL</v>
      </c>
      <c r="E71" s="20" t="s">
        <v>91</v>
      </c>
      <c r="F71" s="20" t="str">
        <f>IF(H71=0, "",D42)</f>
        <v/>
      </c>
      <c r="G71" s="20" t="str">
        <f>IF(H71=0, "",(I46-6))</f>
        <v/>
      </c>
      <c r="H71" s="20">
        <f>2*G46*C40</f>
        <v>0</v>
      </c>
      <c r="I71" s="20">
        <f ca="1">HLOOKUP(D71, materials[], 2,FALSE)</f>
        <v>2</v>
      </c>
      <c r="J71" s="20"/>
      <c r="K71" s="20" t="b">
        <v>1</v>
      </c>
    </row>
    <row r="72" spans="1:12" x14ac:dyDescent="0.3">
      <c r="A72" s="35">
        <v>3</v>
      </c>
      <c r="B72" s="3" t="str">
        <f>B58</f>
        <v>دواليب منوع /فرن /أدراج</v>
      </c>
      <c r="C72" s="20">
        <f t="shared" si="2"/>
        <v>14</v>
      </c>
      <c r="D72" s="20" t="str">
        <f ca="1">H54</f>
        <v>HPL</v>
      </c>
      <c r="E72" s="20" t="s">
        <v>92</v>
      </c>
      <c r="F72" s="20" t="str">
        <f>IF(H72=0, "",(H42-3.6-3.6-2.5))</f>
        <v/>
      </c>
      <c r="G72" s="20" t="str">
        <f>IF(H72=0, "",(I46-6-3))</f>
        <v/>
      </c>
      <c r="H72" s="20">
        <f>G46*C40</f>
        <v>0</v>
      </c>
      <c r="I72" s="20">
        <f ca="1">HLOOKUP(D72, materials[], 2,FALSE)</f>
        <v>2</v>
      </c>
      <c r="J72" s="20"/>
      <c r="K72" s="20" t="b">
        <v>1</v>
      </c>
    </row>
    <row r="73" spans="1:12" x14ac:dyDescent="0.3">
      <c r="A73" s="35">
        <v>0</v>
      </c>
      <c r="B73"/>
      <c r="C73"/>
      <c r="D73"/>
      <c r="E73"/>
      <c r="F73"/>
      <c r="G73"/>
      <c r="H73"/>
      <c r="I73"/>
      <c r="J73"/>
      <c r="K73"/>
      <c r="L73" s="3">
        <f>IF(H74=0, "",(I44-0.5-G42))</f>
        <v>16</v>
      </c>
    </row>
    <row r="74" spans="1:12" x14ac:dyDescent="0.3">
      <c r="A74" s="35">
        <v>4</v>
      </c>
      <c r="B74" s="3" t="str">
        <f>B58</f>
        <v>دواليب منوع /فرن /أدراج</v>
      </c>
      <c r="C74" s="9">
        <f>C72+1</f>
        <v>15</v>
      </c>
      <c r="D74" s="9" t="str">
        <f ca="1">F54</f>
        <v>يوفيلاك</v>
      </c>
      <c r="E74" s="9" t="s">
        <v>95</v>
      </c>
      <c r="F74" s="9">
        <f>IF(H74=0, "",(I44-0.5-G42))</f>
        <v>16</v>
      </c>
      <c r="G74" s="9">
        <f>IF(H74=0, "",(H42-0.5))</f>
        <v>59.5</v>
      </c>
      <c r="H74" s="9">
        <f>G44*C40</f>
        <v>1</v>
      </c>
      <c r="I74" s="9">
        <f ca="1">HLOOKUP(D74, materials[], 2,FALSE)</f>
        <v>6</v>
      </c>
      <c r="J74" s="9"/>
      <c r="K74" s="9" t="b">
        <v>1</v>
      </c>
      <c r="L74" s="3" t="e">
        <f>IF(H75=0, "",(I45-0.5-G43))</f>
        <v>#VALUE!</v>
      </c>
    </row>
    <row r="75" spans="1:12" x14ac:dyDescent="0.3">
      <c r="A75" s="35">
        <v>4</v>
      </c>
      <c r="B75" s="3" t="str">
        <f>B58</f>
        <v>دواليب منوع /فرن /أدراج</v>
      </c>
      <c r="C75" s="9">
        <f t="shared" ref="C75:C82" si="3">C74+1</f>
        <v>16</v>
      </c>
      <c r="D75" s="9" t="str">
        <f ca="1">F54</f>
        <v>يوفيلاك</v>
      </c>
      <c r="E75" s="9" t="s">
        <v>96</v>
      </c>
      <c r="F75" s="9">
        <f>IF(H75=0, "",(I45-0.5-G42))</f>
        <v>16</v>
      </c>
      <c r="G75" s="9">
        <f>IF(H75=0, "",(H42-0.5))</f>
        <v>59.5</v>
      </c>
      <c r="H75" s="9">
        <f>G45*C40</f>
        <v>1</v>
      </c>
      <c r="I75" s="9">
        <f ca="1">HLOOKUP(D75, materials[], 2,FALSE)</f>
        <v>6</v>
      </c>
      <c r="J75" s="9"/>
      <c r="K75" s="9" t="b">
        <v>1</v>
      </c>
      <c r="L75" s="3" t="str">
        <f>IF(H76=0, "",(I46-0.5-G44))</f>
        <v/>
      </c>
    </row>
    <row r="76" spans="1:12" x14ac:dyDescent="0.3">
      <c r="A76" s="35">
        <v>4</v>
      </c>
      <c r="B76" s="3" t="str">
        <f>B58</f>
        <v>دواليب منوع /فرن /أدراج</v>
      </c>
      <c r="C76" s="9">
        <f t="shared" si="3"/>
        <v>17</v>
      </c>
      <c r="D76" s="9" t="str">
        <f ca="1">F54</f>
        <v>يوفيلاك</v>
      </c>
      <c r="E76" s="9" t="s">
        <v>97</v>
      </c>
      <c r="F76" s="9" t="str">
        <f>IF(H76=0, "",(I46-0.5-G42))</f>
        <v/>
      </c>
      <c r="G76" s="9" t="str">
        <f>IF(H76=0, "",(H42-0.5))</f>
        <v/>
      </c>
      <c r="H76" s="9">
        <f>G46*C40</f>
        <v>0</v>
      </c>
      <c r="I76" s="9">
        <f ca="1">HLOOKUP(D76, materials[], 2,FALSE)</f>
        <v>6</v>
      </c>
      <c r="J76" s="9"/>
      <c r="K76" s="9" t="b">
        <v>1</v>
      </c>
    </row>
    <row r="77" spans="1:12" x14ac:dyDescent="0.3">
      <c r="A77" s="35">
        <v>4</v>
      </c>
      <c r="B77" s="3" t="str">
        <f>B58</f>
        <v>دواليب منوع /فرن /أدراج</v>
      </c>
      <c r="C77" s="9">
        <f t="shared" si="3"/>
        <v>18</v>
      </c>
      <c r="D77" s="9" t="str">
        <f ca="1">F54</f>
        <v>يوفيلاك</v>
      </c>
      <c r="E77" s="9" t="s">
        <v>72</v>
      </c>
      <c r="F77" s="9" t="str">
        <f>IF(H77=0, "",(I47-0.5-G42))</f>
        <v/>
      </c>
      <c r="G77" s="9" t="str">
        <f>IF(H77=0, "",((H42/G47)-0.5))</f>
        <v/>
      </c>
      <c r="H77" s="9">
        <f>(G47+H47)*C40</f>
        <v>0</v>
      </c>
      <c r="I77" s="9">
        <f ca="1">HLOOKUP(D77, materials[], 2,FALSE)</f>
        <v>6</v>
      </c>
      <c r="J77" s="9"/>
      <c r="K77" s="9" t="b">
        <v>1</v>
      </c>
      <c r="L77" s="3">
        <f>IF(H78=0, "",(I48-0.5-G46))</f>
        <v>66.5</v>
      </c>
    </row>
    <row r="78" spans="1:12" x14ac:dyDescent="0.3">
      <c r="A78" s="35">
        <v>4</v>
      </c>
      <c r="B78" s="3" t="str">
        <f>B58</f>
        <v>دواليب منوع /فرن /أدراج</v>
      </c>
      <c r="C78" s="9">
        <f t="shared" si="3"/>
        <v>19</v>
      </c>
      <c r="D78" s="9" t="str">
        <f ca="1">F54</f>
        <v>يوفيلاك</v>
      </c>
      <c r="E78" s="9" t="s">
        <v>98</v>
      </c>
      <c r="F78" s="9">
        <f>IF(H78=0, "",(H42-0.5))</f>
        <v>59.5</v>
      </c>
      <c r="G78" s="24">
        <f>IF(H78=0, "",(I48-60.5))</f>
        <v>6.5</v>
      </c>
      <c r="H78" s="9">
        <f>G48*C40</f>
        <v>1</v>
      </c>
      <c r="I78" s="9">
        <f ca="1">HLOOKUP(D78, materials[], 2,FALSE)</f>
        <v>6</v>
      </c>
      <c r="J78" s="9"/>
      <c r="K78" s="9" t="b">
        <v>1</v>
      </c>
      <c r="L78" s="3" t="str">
        <f>IF(H79=0, "",(I49-0.5-G47))</f>
        <v/>
      </c>
    </row>
    <row r="79" spans="1:12" x14ac:dyDescent="0.3">
      <c r="A79" s="35">
        <v>4</v>
      </c>
      <c r="B79" s="3" t="str">
        <f>B58</f>
        <v>دواليب منوع /فرن /أدراج</v>
      </c>
      <c r="C79" s="9">
        <f t="shared" si="3"/>
        <v>20</v>
      </c>
      <c r="D79" s="9" t="str">
        <f ca="1">F54</f>
        <v>يوفيلاك</v>
      </c>
      <c r="E79" s="9" t="s">
        <v>99</v>
      </c>
      <c r="F79" s="9"/>
      <c r="G79" s="9"/>
      <c r="H79" s="9"/>
      <c r="I79" s="9">
        <f ca="1">HLOOKUP(D79, materials[], 2,FALSE)</f>
        <v>6</v>
      </c>
      <c r="J79" s="9"/>
      <c r="K79" s="9" t="b">
        <v>1</v>
      </c>
      <c r="L79" s="3" t="str">
        <f>IF(H80=0, "",(I50-0.5-G48))</f>
        <v/>
      </c>
    </row>
    <row r="80" spans="1:12" x14ac:dyDescent="0.3">
      <c r="A80" s="35">
        <v>4</v>
      </c>
      <c r="B80" s="3" t="str">
        <f>B58</f>
        <v>دواليب منوع /فرن /أدراج</v>
      </c>
      <c r="C80" s="9">
        <f t="shared" si="3"/>
        <v>21</v>
      </c>
      <c r="D80" s="9" t="str">
        <f ca="1">F54</f>
        <v>يوفيلاك</v>
      </c>
      <c r="E80" s="9" t="s">
        <v>100</v>
      </c>
      <c r="F80" s="9"/>
      <c r="G80" s="9"/>
      <c r="H80" s="9"/>
      <c r="I80" s="9">
        <f ca="1">HLOOKUP(D80, materials[], 2,FALSE)</f>
        <v>6</v>
      </c>
      <c r="J80" s="9"/>
      <c r="K80" s="9" t="b">
        <v>1</v>
      </c>
    </row>
    <row r="81" spans="1:11" x14ac:dyDescent="0.3">
      <c r="A81" s="35">
        <v>4</v>
      </c>
      <c r="B81" s="3" t="str">
        <f>B58</f>
        <v>دواليب منوع /فرن /أدراج</v>
      </c>
      <c r="C81" s="9">
        <f t="shared" si="3"/>
        <v>22</v>
      </c>
      <c r="D81" s="9" t="str">
        <f ca="1">F54</f>
        <v>يوفيلاك</v>
      </c>
      <c r="E81" s="9" t="s">
        <v>93</v>
      </c>
      <c r="F81" s="9">
        <f>IF(H81=0, "",(I50-0.5-G42))</f>
        <v>74</v>
      </c>
      <c r="G81" s="9">
        <f>IF(H81=0, "",((H42/G50)-0.5))</f>
        <v>29.5</v>
      </c>
      <c r="H81" s="9">
        <f>G50*C40</f>
        <v>2</v>
      </c>
      <c r="I81" s="9">
        <f ca="1">HLOOKUP(D81, materials[], 2,FALSE)</f>
        <v>6</v>
      </c>
      <c r="J81" s="9"/>
      <c r="K81" s="9" t="b">
        <v>1</v>
      </c>
    </row>
    <row r="82" spans="1:11" x14ac:dyDescent="0.3">
      <c r="A82" s="35">
        <v>4</v>
      </c>
      <c r="B82" s="3" t="str">
        <f>B58</f>
        <v>دواليب منوع /فرن /أدراج</v>
      </c>
      <c r="C82" s="9">
        <f t="shared" si="3"/>
        <v>23</v>
      </c>
      <c r="D82" s="9" t="str">
        <f ca="1">F54</f>
        <v>يوفيلاك</v>
      </c>
      <c r="E82" s="9" t="s">
        <v>94</v>
      </c>
      <c r="F82" s="9" t="str">
        <f>IF(H82=0, "",(I51-0.5-G42))</f>
        <v/>
      </c>
      <c r="G82" s="9" t="str">
        <f>IF(H82=0, "",((H42/G51)-0.5))</f>
        <v/>
      </c>
      <c r="H82" s="9">
        <f>G51*C40</f>
        <v>0</v>
      </c>
      <c r="I82" s="9">
        <f ca="1">HLOOKUP(D82, materials[], 2,FALSE)</f>
        <v>6</v>
      </c>
      <c r="J82" s="9"/>
      <c r="K82" s="9" t="b">
        <v>1</v>
      </c>
    </row>
    <row r="83" spans="1:11" x14ac:dyDescent="0.3">
      <c r="A83" s="35">
        <v>0</v>
      </c>
      <c r="B83"/>
      <c r="C83"/>
      <c r="D83"/>
      <c r="E83"/>
      <c r="F83"/>
      <c r="G83"/>
      <c r="H83"/>
      <c r="I83"/>
      <c r="J83"/>
      <c r="K83"/>
    </row>
    <row r="84" spans="1:11" x14ac:dyDescent="0.3">
      <c r="A84" s="35">
        <v>0</v>
      </c>
      <c r="B84"/>
      <c r="C84"/>
      <c r="D84"/>
      <c r="E84"/>
      <c r="F84"/>
      <c r="G84"/>
      <c r="H84"/>
      <c r="I84"/>
      <c r="J84"/>
      <c r="K84"/>
    </row>
    <row r="85" spans="1:11" x14ac:dyDescent="0.3">
      <c r="A85" s="35">
        <v>4</v>
      </c>
      <c r="B85" s="3" t="str">
        <f>B58</f>
        <v>دواليب منوع /فرن /أدراج</v>
      </c>
      <c r="C85" s="9">
        <f>C81+1</f>
        <v>23</v>
      </c>
      <c r="D85" s="9" t="s">
        <v>53</v>
      </c>
      <c r="E85" s="9" t="s">
        <v>74</v>
      </c>
      <c r="F85" s="9" t="str">
        <f>IF(H85=0, "",(I47-0.5-G42))</f>
        <v/>
      </c>
      <c r="G85" s="9" t="str">
        <f>IF(H85=0, "",((H42/G47)-0.5))</f>
        <v/>
      </c>
      <c r="H85" s="9">
        <f>H47*C40</f>
        <v>0</v>
      </c>
      <c r="I85" s="9"/>
      <c r="J85" s="9"/>
      <c r="K85" s="9" t="b">
        <v>1</v>
      </c>
    </row>
    <row r="86" spans="1:11" x14ac:dyDescent="0.3">
      <c r="A86" s="35">
        <v>4</v>
      </c>
      <c r="B86" s="3" t="str">
        <f>B58</f>
        <v>دواليب منوع /فرن /أدراج</v>
      </c>
      <c r="C86" s="9">
        <f>C85+1</f>
        <v>24</v>
      </c>
      <c r="D86" s="9" t="s">
        <v>53</v>
      </c>
      <c r="E86" s="9" t="s">
        <v>101</v>
      </c>
      <c r="F86" s="9" t="str">
        <f>IF(H86=0, "",(I50-0.5))</f>
        <v/>
      </c>
      <c r="G86" s="9" t="str">
        <f>IF(H86=0, "",((H42/H50)-0.5))</f>
        <v/>
      </c>
      <c r="H86" s="9">
        <f>H50*C40</f>
        <v>0</v>
      </c>
      <c r="I86" s="9"/>
      <c r="J86" s="9"/>
      <c r="K86" s="9" t="b">
        <v>1</v>
      </c>
    </row>
    <row r="87" spans="1:11" x14ac:dyDescent="0.3">
      <c r="A87" s="35">
        <v>4</v>
      </c>
      <c r="B87" s="3" t="str">
        <f>B58</f>
        <v>دواليب منوع /فرن /أدراج</v>
      </c>
      <c r="C87" s="9">
        <f>C86+1</f>
        <v>25</v>
      </c>
      <c r="D87" s="9" t="s">
        <v>53</v>
      </c>
      <c r="E87" s="9" t="s">
        <v>102</v>
      </c>
      <c r="F87" s="9" t="str">
        <f>IF(H87=0, "",(I51-0.5))</f>
        <v/>
      </c>
      <c r="G87" s="9" t="str">
        <f>IF(H87=0, "",((H42/H51)-0.5))</f>
        <v/>
      </c>
      <c r="H87" s="9">
        <f>H51*C40</f>
        <v>0</v>
      </c>
      <c r="I87" s="9"/>
      <c r="J87" s="9"/>
      <c r="K87" s="9" t="b">
        <v>1</v>
      </c>
    </row>
    <row r="88" spans="1:11" x14ac:dyDescent="0.3">
      <c r="A88" s="35">
        <v>0</v>
      </c>
      <c r="B88"/>
      <c r="C88"/>
      <c r="D88"/>
      <c r="E88"/>
      <c r="F88"/>
      <c r="G88"/>
      <c r="H88"/>
      <c r="I88"/>
      <c r="J88"/>
      <c r="K88"/>
    </row>
    <row r="89" spans="1:11" x14ac:dyDescent="0.3">
      <c r="A89" s="35">
        <v>5</v>
      </c>
      <c r="B89" s="3" t="str">
        <f>B58</f>
        <v>دواليب منوع /فرن /أدراج</v>
      </c>
      <c r="C89" s="19">
        <f>C86+1</f>
        <v>25</v>
      </c>
      <c r="D89" s="19" t="str">
        <f ca="1">D54</f>
        <v>ظهر</v>
      </c>
      <c r="E89" s="19" t="s">
        <v>58</v>
      </c>
      <c r="F89" s="19">
        <f>I42-2</f>
        <v>218</v>
      </c>
      <c r="G89" s="19">
        <f>H42-2</f>
        <v>58</v>
      </c>
      <c r="H89" s="19">
        <f>1*C40</f>
        <v>1</v>
      </c>
      <c r="I89" s="19">
        <f ca="1">HLOOKUP(D89, materials[], 2,FALSE)</f>
        <v>2</v>
      </c>
      <c r="J89" s="19"/>
      <c r="K89" s="19" t="b">
        <v>1</v>
      </c>
    </row>
    <row r="90" spans="1:11" x14ac:dyDescent="0.3">
      <c r="A90" s="35">
        <v>255</v>
      </c>
    </row>
    <row r="91" spans="1:11" x14ac:dyDescent="0.3">
      <c r="A91" s="35">
        <v>255</v>
      </c>
    </row>
    <row r="98" spans="2:10" ht="36" hidden="1" customHeight="1" x14ac:dyDescent="0.3">
      <c r="B98" s="3" t="str">
        <f>E98</f>
        <v xml:space="preserve">دواليب  تلبيسة دلفة /دلفتين </v>
      </c>
      <c r="C98" s="14">
        <v>2</v>
      </c>
      <c r="D98" s="22" t="s">
        <v>59</v>
      </c>
      <c r="E98" s="101" t="s">
        <v>66</v>
      </c>
      <c r="F98" s="102"/>
      <c r="G98" s="102"/>
      <c r="H98" s="103"/>
      <c r="I98" s="2" t="s">
        <v>30</v>
      </c>
      <c r="J98" s="2">
        <f>J40+1</f>
        <v>3</v>
      </c>
    </row>
    <row r="99" spans="2:10" ht="31.2" hidden="1" customHeight="1" x14ac:dyDescent="0.3">
      <c r="C99" s="7" t="s">
        <v>12</v>
      </c>
      <c r="D99" s="7"/>
      <c r="E99" s="7" t="s">
        <v>18</v>
      </c>
      <c r="F99" s="7" t="s">
        <v>16</v>
      </c>
      <c r="G99" s="7" t="s">
        <v>48</v>
      </c>
      <c r="H99" s="7" t="s">
        <v>22</v>
      </c>
      <c r="I99" s="7" t="s">
        <v>3</v>
      </c>
      <c r="J99" s="7" t="s">
        <v>2</v>
      </c>
    </row>
    <row r="100" spans="2:10" ht="15.6" hidden="1" customHeight="1" x14ac:dyDescent="0.3">
      <c r="C100" s="8">
        <v>2</v>
      </c>
      <c r="D100" s="8"/>
      <c r="E100" s="8">
        <v>1</v>
      </c>
      <c r="F100" s="8">
        <v>3.5</v>
      </c>
      <c r="G100" s="8"/>
      <c r="H100" s="8">
        <v>120</v>
      </c>
      <c r="I100" s="8">
        <v>80</v>
      </c>
      <c r="J100" s="8">
        <v>30</v>
      </c>
    </row>
    <row r="101" spans="2:10" ht="15.6" hidden="1" customHeight="1" x14ac:dyDescent="0.3">
      <c r="C101" s="9" t="b">
        <f>C100=0</f>
        <v>0</v>
      </c>
      <c r="D101" s="9" t="b">
        <f>E100=0</f>
        <v>0</v>
      </c>
      <c r="E101" s="3" t="b">
        <f>_xlfn.XOR(I100&lt;=50,E100=1)</f>
        <v>1</v>
      </c>
      <c r="F101" s="108" t="b">
        <f>NOT(AND(F100&gt;0,G100&gt;0))</f>
        <v>1</v>
      </c>
      <c r="G101" s="108"/>
      <c r="I101" s="3" t="b">
        <f>_xlfn.XOR(I100&lt;=50,C102=2)</f>
        <v>0</v>
      </c>
    </row>
    <row r="102" spans="2:10" ht="24" hidden="1" customHeight="1" x14ac:dyDescent="0.3">
      <c r="C102" s="108">
        <f>C100+E100</f>
        <v>3</v>
      </c>
      <c r="D102" s="108"/>
      <c r="E102" s="33"/>
      <c r="F102" s="111" t="str">
        <f>IF(F101,"المقابض مظبوطة","مينفعش مقبض مخفي مع بيلت ان")</f>
        <v>المقابض مظبوطة</v>
      </c>
      <c r="G102" s="111"/>
      <c r="H102" s="23"/>
      <c r="I102" s="33" t="str">
        <f>IF(I101,"عدد الدلف صحيح","عدد الدلف غير صحيح")</f>
        <v>عدد الدلف غير صحيح</v>
      </c>
      <c r="J102" s="31"/>
    </row>
    <row r="103" spans="2:10" ht="15.6" hidden="1" customHeight="1" x14ac:dyDescent="0.3">
      <c r="C103" s="108" t="b">
        <f>C102&lt;=2</f>
        <v>0</v>
      </c>
      <c r="D103" s="108"/>
      <c r="E103" s="1"/>
    </row>
    <row r="104" spans="2:10" ht="15.6" hidden="1" customHeight="1" x14ac:dyDescent="0.3">
      <c r="C104" s="6" t="s">
        <v>4</v>
      </c>
      <c r="D104" s="6" t="s">
        <v>9</v>
      </c>
      <c r="E104" s="6" t="s">
        <v>5</v>
      </c>
      <c r="F104" s="6" t="s">
        <v>7</v>
      </c>
      <c r="G104" s="6" t="s">
        <v>1</v>
      </c>
      <c r="H104" s="6" t="s">
        <v>6</v>
      </c>
      <c r="I104" s="6" t="s">
        <v>33</v>
      </c>
      <c r="J104" s="6" t="s">
        <v>8</v>
      </c>
    </row>
    <row r="105" spans="2:10" ht="15.6" hidden="1" customHeight="1" x14ac:dyDescent="0.3">
      <c r="C105" s="6"/>
      <c r="D105" s="6"/>
      <c r="E105" s="6"/>
      <c r="F105" s="6"/>
      <c r="G105" s="6"/>
      <c r="H105" s="6"/>
      <c r="I105" s="6"/>
      <c r="J105" s="6"/>
    </row>
    <row r="106" spans="2:10" ht="15.6" hidden="1" customHeight="1" x14ac:dyDescent="0.3">
      <c r="C106" s="6">
        <v>1</v>
      </c>
      <c r="D106" s="6">
        <f>H7</f>
        <v>0</v>
      </c>
      <c r="E106" s="6" t="s">
        <v>49</v>
      </c>
      <c r="F106" s="6">
        <f>H100-3.6</f>
        <v>116.4</v>
      </c>
      <c r="G106" s="6">
        <f>J100</f>
        <v>30</v>
      </c>
      <c r="H106" s="6">
        <f>1*C98</f>
        <v>2</v>
      </c>
      <c r="I106" s="6">
        <f>F7</f>
        <v>0</v>
      </c>
      <c r="J106" s="6"/>
    </row>
    <row r="107" spans="2:10" ht="15.6" hidden="1" customHeight="1" x14ac:dyDescent="0.3">
      <c r="C107" s="6">
        <f t="shared" ref="C107:C110" si="4">C106+1</f>
        <v>2</v>
      </c>
      <c r="D107" s="6">
        <f>D106</f>
        <v>0</v>
      </c>
      <c r="E107" s="6" t="s">
        <v>10</v>
      </c>
      <c r="F107" s="6">
        <f>H100-3.6</f>
        <v>116.4</v>
      </c>
      <c r="G107" s="6">
        <f>J100-G100</f>
        <v>30</v>
      </c>
      <c r="H107" s="6">
        <f>1*C98</f>
        <v>2</v>
      </c>
      <c r="I107" s="6">
        <f>I106</f>
        <v>0</v>
      </c>
      <c r="J107" s="6"/>
    </row>
    <row r="108" spans="2:10" ht="15.6" hidden="1" customHeight="1" x14ac:dyDescent="0.3">
      <c r="C108" s="6">
        <f t="shared" si="4"/>
        <v>3</v>
      </c>
      <c r="D108" s="6">
        <f>D106</f>
        <v>0</v>
      </c>
      <c r="E108" s="6" t="s">
        <v>11</v>
      </c>
      <c r="F108" s="6">
        <f>I100</f>
        <v>80</v>
      </c>
      <c r="G108" s="6">
        <f>J100</f>
        <v>30</v>
      </c>
      <c r="H108" s="6">
        <f>2*C98</f>
        <v>4</v>
      </c>
      <c r="I108" s="6">
        <f>I106</f>
        <v>0</v>
      </c>
      <c r="J108" s="6"/>
    </row>
    <row r="109" spans="2:10" ht="15.6" hidden="1" customHeight="1" x14ac:dyDescent="0.3">
      <c r="C109" s="6">
        <f t="shared" si="4"/>
        <v>4</v>
      </c>
      <c r="D109" s="6">
        <f>D106</f>
        <v>0</v>
      </c>
      <c r="E109" s="6" t="s">
        <v>17</v>
      </c>
      <c r="F109" s="6">
        <f>H100-3.8</f>
        <v>116.2</v>
      </c>
      <c r="G109" s="6">
        <f>J100-6</f>
        <v>24</v>
      </c>
      <c r="H109" s="6">
        <f>E100*C98</f>
        <v>2</v>
      </c>
      <c r="I109" s="6">
        <f>I106</f>
        <v>0</v>
      </c>
      <c r="J109" s="6"/>
    </row>
    <row r="110" spans="2:10" ht="15.6" hidden="1" customHeight="1" x14ac:dyDescent="0.3">
      <c r="C110" s="6">
        <f t="shared" si="4"/>
        <v>5</v>
      </c>
      <c r="D110" s="6">
        <f>D106</f>
        <v>0</v>
      </c>
      <c r="E110" s="6" t="s">
        <v>24</v>
      </c>
      <c r="F110" s="6">
        <f>I100</f>
        <v>80</v>
      </c>
      <c r="G110" s="6">
        <f>J100</f>
        <v>30</v>
      </c>
      <c r="H110" s="6">
        <f>1*C98</f>
        <v>2</v>
      </c>
      <c r="I110" s="6">
        <f>I106</f>
        <v>0</v>
      </c>
      <c r="J110" s="6"/>
    </row>
    <row r="111" spans="2:10" ht="15.6" hidden="1" customHeight="1" x14ac:dyDescent="0.3">
      <c r="C111" s="6"/>
      <c r="D111" s="6"/>
      <c r="E111" s="6"/>
      <c r="F111" s="6"/>
      <c r="G111" s="6"/>
      <c r="H111" s="6"/>
      <c r="I111" s="6"/>
      <c r="J111" s="6"/>
    </row>
    <row r="112" spans="2:10" ht="15.6" hidden="1" customHeight="1" x14ac:dyDescent="0.3">
      <c r="C112" s="9">
        <f>C110+1</f>
        <v>6</v>
      </c>
      <c r="D112" s="9">
        <f>H8</f>
        <v>0</v>
      </c>
      <c r="E112" s="9" t="s">
        <v>15</v>
      </c>
      <c r="F112" s="9">
        <f>I100-0.5-F100</f>
        <v>76</v>
      </c>
      <c r="G112" s="9">
        <f>(H100-J100-G113)/C100-0.5</f>
        <v>42.5</v>
      </c>
      <c r="H112" s="9">
        <f>C100*C98</f>
        <v>4</v>
      </c>
      <c r="I112" s="9">
        <f>F8</f>
        <v>0</v>
      </c>
      <c r="J112" s="9"/>
    </row>
    <row r="113" spans="2:10" ht="15.6" hidden="1" customHeight="1" x14ac:dyDescent="0.3">
      <c r="C113" s="9">
        <f t="shared" ref="C113:C114" si="5">C112+1</f>
        <v>7</v>
      </c>
      <c r="D113" s="9">
        <f>D112</f>
        <v>0</v>
      </c>
      <c r="E113" s="9" t="s">
        <v>25</v>
      </c>
      <c r="F113" s="9">
        <f>I100</f>
        <v>80</v>
      </c>
      <c r="G113" s="9">
        <v>4</v>
      </c>
      <c r="H113" s="9">
        <f>1*C98</f>
        <v>2</v>
      </c>
      <c r="I113" s="9">
        <f>I112</f>
        <v>0</v>
      </c>
      <c r="J113" s="9"/>
    </row>
    <row r="114" spans="2:10" ht="15.6" hidden="1" customHeight="1" x14ac:dyDescent="0.3">
      <c r="C114" s="9">
        <f t="shared" si="5"/>
        <v>8</v>
      </c>
      <c r="D114" s="9">
        <f>D113</f>
        <v>0</v>
      </c>
      <c r="E114" s="9"/>
      <c r="F114" s="9"/>
      <c r="G114" s="9"/>
      <c r="H114" s="9"/>
      <c r="I114" s="9"/>
      <c r="J114" s="9"/>
    </row>
    <row r="115" spans="2:10" ht="15.6" hidden="1" customHeight="1" x14ac:dyDescent="0.3">
      <c r="C115" s="6"/>
      <c r="D115" s="6"/>
      <c r="E115" s="6"/>
      <c r="F115" s="6"/>
      <c r="G115" s="6"/>
      <c r="H115" s="6"/>
      <c r="I115" s="6"/>
      <c r="J115" s="6"/>
    </row>
    <row r="116" spans="2:10" ht="15.6" hidden="1" customHeight="1" x14ac:dyDescent="0.3">
      <c r="C116" s="19">
        <f>C114+1</f>
        <v>9</v>
      </c>
      <c r="D116" s="19" t="s">
        <v>58</v>
      </c>
      <c r="E116" s="19" t="s">
        <v>58</v>
      </c>
      <c r="F116" s="19">
        <f>I100-2</f>
        <v>78</v>
      </c>
      <c r="G116" s="19">
        <f>H100-2</f>
        <v>118</v>
      </c>
      <c r="H116" s="19">
        <f>1*C98</f>
        <v>2</v>
      </c>
      <c r="I116" s="19">
        <f>F9</f>
        <v>0</v>
      </c>
      <c r="J116" s="19"/>
    </row>
    <row r="117" spans="2:10" ht="15.6" hidden="1" customHeight="1" x14ac:dyDescent="0.3"/>
    <row r="118" spans="2:10" ht="36" hidden="1" customHeight="1" x14ac:dyDescent="0.3">
      <c r="B118" s="3" t="str">
        <f>E118</f>
        <v>دواليب  زاوية 90</v>
      </c>
      <c r="C118" s="14">
        <v>1</v>
      </c>
      <c r="D118" s="22" t="s">
        <v>59</v>
      </c>
      <c r="E118" s="101" t="s">
        <v>67</v>
      </c>
      <c r="F118" s="102"/>
      <c r="G118" s="102"/>
      <c r="H118" s="103"/>
      <c r="I118" s="2" t="s">
        <v>30</v>
      </c>
      <c r="J118" s="2">
        <f>J98+1</f>
        <v>4</v>
      </c>
    </row>
    <row r="119" spans="2:10" ht="31.2" hidden="1" customHeight="1" x14ac:dyDescent="0.3">
      <c r="C119" s="7"/>
      <c r="D119" s="7" t="s">
        <v>18</v>
      </c>
      <c r="E119" s="7"/>
      <c r="F119" s="7" t="s">
        <v>16</v>
      </c>
      <c r="G119" s="7" t="s">
        <v>48</v>
      </c>
      <c r="H119" s="7" t="s">
        <v>22</v>
      </c>
      <c r="I119" s="7" t="s">
        <v>3</v>
      </c>
      <c r="J119" s="7" t="s">
        <v>2</v>
      </c>
    </row>
    <row r="120" spans="2:10" ht="15.6" hidden="1" customHeight="1" x14ac:dyDescent="0.3">
      <c r="C120" s="8"/>
      <c r="D120" s="8">
        <v>2</v>
      </c>
      <c r="E120" s="8"/>
      <c r="F120" s="8">
        <v>3.5</v>
      </c>
      <c r="G120" s="8"/>
      <c r="H120" s="8">
        <v>70</v>
      </c>
      <c r="I120" s="8">
        <v>80</v>
      </c>
      <c r="J120" s="8">
        <v>30</v>
      </c>
    </row>
    <row r="121" spans="2:10" ht="15.6" hidden="1" customHeight="1" x14ac:dyDescent="0.3">
      <c r="C121" s="12"/>
      <c r="D121" s="12"/>
      <c r="E121" s="12"/>
      <c r="F121" s="108" t="b">
        <f>NOT(AND(F120&gt;0,G120&gt;0))</f>
        <v>1</v>
      </c>
      <c r="G121" s="108"/>
      <c r="H121" s="8">
        <v>70</v>
      </c>
      <c r="I121" s="8">
        <v>80</v>
      </c>
      <c r="J121" s="8">
        <v>30</v>
      </c>
    </row>
    <row r="122" spans="2:10" ht="15.6" hidden="1" customHeight="1" x14ac:dyDescent="0.3">
      <c r="F122" s="111" t="str">
        <f>IF(F121,"المقابض مظبوطة","مينفعش مقبض مخفي مع بيلت ان")</f>
        <v>المقابض مظبوطة</v>
      </c>
      <c r="G122" s="111"/>
    </row>
    <row r="123" spans="2:10" ht="15.6" hidden="1" customHeight="1" x14ac:dyDescent="0.3"/>
    <row r="124" spans="2:10" ht="15.6" hidden="1" customHeight="1" x14ac:dyDescent="0.3">
      <c r="C124" s="6" t="s">
        <v>4</v>
      </c>
      <c r="D124" s="6" t="s">
        <v>9</v>
      </c>
      <c r="E124" s="6" t="s">
        <v>5</v>
      </c>
      <c r="F124" s="6" t="s">
        <v>7</v>
      </c>
      <c r="G124" s="6" t="s">
        <v>1</v>
      </c>
      <c r="H124" s="6" t="s">
        <v>6</v>
      </c>
      <c r="I124" s="6" t="s">
        <v>33</v>
      </c>
      <c r="J124" s="6" t="s">
        <v>8</v>
      </c>
    </row>
    <row r="125" spans="2:10" ht="15.6" hidden="1" customHeight="1" x14ac:dyDescent="0.3">
      <c r="C125" s="6"/>
      <c r="D125" s="6"/>
      <c r="E125" s="6"/>
      <c r="F125" s="6"/>
      <c r="G125" s="6"/>
      <c r="H125" s="6"/>
      <c r="I125" s="6"/>
      <c r="J125" s="6"/>
    </row>
    <row r="126" spans="2:10" ht="15.6" hidden="1" customHeight="1" x14ac:dyDescent="0.3">
      <c r="C126" s="6">
        <v>1</v>
      </c>
      <c r="D126" s="6">
        <f>H7</f>
        <v>0</v>
      </c>
      <c r="E126" s="6" t="s">
        <v>49</v>
      </c>
      <c r="F126" s="6">
        <f>H120-1.8</f>
        <v>68.2</v>
      </c>
      <c r="G126" s="6">
        <f>H121-1.8</f>
        <v>68.2</v>
      </c>
      <c r="H126" s="6">
        <f>1*C118</f>
        <v>1</v>
      </c>
      <c r="I126" s="6">
        <f>F7</f>
        <v>0</v>
      </c>
      <c r="J126" s="6"/>
    </row>
    <row r="127" spans="2:10" ht="15.6" hidden="1" customHeight="1" x14ac:dyDescent="0.3">
      <c r="C127" s="6">
        <f>C126+1</f>
        <v>2</v>
      </c>
      <c r="D127" s="6">
        <f>D126</f>
        <v>0</v>
      </c>
      <c r="E127" s="6" t="s">
        <v>10</v>
      </c>
      <c r="F127" s="6">
        <f>H120-1.8</f>
        <v>68.2</v>
      </c>
      <c r="G127" s="6">
        <f>H121-1.8</f>
        <v>68.2</v>
      </c>
      <c r="H127" s="6">
        <f>1*C118</f>
        <v>1</v>
      </c>
      <c r="I127" s="6">
        <f>I126</f>
        <v>0</v>
      </c>
      <c r="J127" s="6"/>
    </row>
    <row r="128" spans="2:10" ht="15.6" hidden="1" customHeight="1" x14ac:dyDescent="0.3">
      <c r="C128" s="6">
        <f>C127+1</f>
        <v>3</v>
      </c>
      <c r="D128" s="6">
        <f>D126</f>
        <v>0</v>
      </c>
      <c r="E128" s="6" t="s">
        <v>62</v>
      </c>
      <c r="F128" s="6">
        <f>I120</f>
        <v>80</v>
      </c>
      <c r="G128" s="6">
        <f>J120</f>
        <v>30</v>
      </c>
      <c r="H128" s="6">
        <f>1*C118</f>
        <v>1</v>
      </c>
      <c r="I128" s="6">
        <f>I126</f>
        <v>0</v>
      </c>
      <c r="J128" s="6"/>
    </row>
    <row r="129" spans="2:10" ht="15.6" hidden="1" customHeight="1" x14ac:dyDescent="0.3">
      <c r="C129" s="6">
        <f>C128+1</f>
        <v>4</v>
      </c>
      <c r="D129" s="6">
        <f>D126</f>
        <v>0</v>
      </c>
      <c r="E129" s="6" t="s">
        <v>63</v>
      </c>
      <c r="F129" s="6">
        <f>I121</f>
        <v>80</v>
      </c>
      <c r="G129" s="6">
        <f>J121</f>
        <v>30</v>
      </c>
      <c r="H129" s="6">
        <f>1*C118</f>
        <v>1</v>
      </c>
      <c r="I129" s="6">
        <f>I126</f>
        <v>0</v>
      </c>
      <c r="J129" s="6"/>
    </row>
    <row r="130" spans="2:10" ht="15.6" hidden="1" customHeight="1" x14ac:dyDescent="0.3">
      <c r="C130" s="6">
        <f>C129+1</f>
        <v>5</v>
      </c>
      <c r="D130" s="6">
        <f>D126</f>
        <v>0</v>
      </c>
      <c r="E130" s="6" t="s">
        <v>27</v>
      </c>
      <c r="F130" s="6">
        <f>I120</f>
        <v>80</v>
      </c>
      <c r="G130" s="6">
        <v>10</v>
      </c>
      <c r="H130" s="6">
        <f>1*C118</f>
        <v>1</v>
      </c>
      <c r="I130" s="6">
        <f>I126</f>
        <v>0</v>
      </c>
      <c r="J130" s="6"/>
    </row>
    <row r="131" spans="2:10" ht="15.6" hidden="1" customHeight="1" x14ac:dyDescent="0.3">
      <c r="C131" s="6">
        <f t="shared" ref="C131" si="6">C130+1</f>
        <v>6</v>
      </c>
      <c r="D131" s="6">
        <f>D126</f>
        <v>0</v>
      </c>
      <c r="E131" s="6" t="s">
        <v>17</v>
      </c>
      <c r="F131" s="6">
        <f>H120-3.8</f>
        <v>66.2</v>
      </c>
      <c r="G131" s="6">
        <f>H121-3.8</f>
        <v>66.2</v>
      </c>
      <c r="H131" s="6">
        <f>D120*C118</f>
        <v>2</v>
      </c>
      <c r="I131" s="6">
        <f>I126</f>
        <v>0</v>
      </c>
      <c r="J131" s="6"/>
    </row>
    <row r="132" spans="2:10" ht="15.6" hidden="1" customHeight="1" x14ac:dyDescent="0.3">
      <c r="C132" s="6"/>
      <c r="D132" s="6"/>
      <c r="E132" s="6"/>
      <c r="F132" s="6"/>
      <c r="G132" s="6"/>
      <c r="H132" s="6"/>
      <c r="I132" s="6"/>
      <c r="J132" s="6"/>
    </row>
    <row r="133" spans="2:10" ht="15.6" hidden="1" customHeight="1" x14ac:dyDescent="0.3">
      <c r="C133" s="9">
        <f>C131+1</f>
        <v>7</v>
      </c>
      <c r="D133" s="9">
        <f>H8</f>
        <v>0</v>
      </c>
      <c r="E133" s="9" t="s">
        <v>28</v>
      </c>
      <c r="F133" s="9">
        <f>I120-0.5-F120</f>
        <v>76</v>
      </c>
      <c r="G133" s="9">
        <f>H120-J120-3</f>
        <v>37</v>
      </c>
      <c r="H133" s="9">
        <f>1*C118</f>
        <v>1</v>
      </c>
      <c r="I133" s="9">
        <f>F8</f>
        <v>0</v>
      </c>
      <c r="J133" s="9"/>
    </row>
    <row r="134" spans="2:10" ht="15.6" hidden="1" customHeight="1" x14ac:dyDescent="0.3">
      <c r="C134" s="9">
        <f t="shared" ref="C134" si="7">C133+1</f>
        <v>8</v>
      </c>
      <c r="D134" s="9">
        <f>D133</f>
        <v>0</v>
      </c>
      <c r="E134" s="9" t="s">
        <v>41</v>
      </c>
      <c r="F134" s="9">
        <f>I121-0.5-F120</f>
        <v>76</v>
      </c>
      <c r="G134" s="9">
        <f>H121-J121-3</f>
        <v>37</v>
      </c>
      <c r="H134" s="9">
        <f>1*C118</f>
        <v>1</v>
      </c>
      <c r="I134" s="9">
        <f>I133</f>
        <v>0</v>
      </c>
      <c r="J134" s="9"/>
    </row>
    <row r="135" spans="2:10" ht="15.6" hidden="1" customHeight="1" x14ac:dyDescent="0.3">
      <c r="C135" s="6"/>
      <c r="D135" s="6"/>
      <c r="E135" s="6"/>
      <c r="F135" s="6"/>
      <c r="G135" s="6"/>
      <c r="H135" s="6"/>
      <c r="I135" s="6"/>
      <c r="J135" s="6"/>
    </row>
    <row r="136" spans="2:10" ht="15.6" hidden="1" customHeight="1" x14ac:dyDescent="0.3">
      <c r="C136" s="19">
        <f>C134+1</f>
        <v>9</v>
      </c>
      <c r="D136" s="19" t="s">
        <v>58</v>
      </c>
      <c r="E136" s="19" t="s">
        <v>58</v>
      </c>
      <c r="F136" s="19">
        <f>I120-2</f>
        <v>78</v>
      </c>
      <c r="G136" s="19">
        <f>H120-2</f>
        <v>68</v>
      </c>
      <c r="H136" s="19">
        <f>2*C118</f>
        <v>2</v>
      </c>
      <c r="I136" s="19">
        <f>F9</f>
        <v>0</v>
      </c>
      <c r="J136" s="19"/>
    </row>
    <row r="137" spans="2:10" ht="15.6" hidden="1" customHeight="1" x14ac:dyDescent="0.3"/>
    <row r="138" spans="2:10" ht="36" hidden="1" customHeight="1" x14ac:dyDescent="0.3">
      <c r="B138" s="3" t="str">
        <f>E138</f>
        <v>دواليب  ركنة 45</v>
      </c>
      <c r="C138" s="14">
        <v>2</v>
      </c>
      <c r="D138" s="22" t="s">
        <v>59</v>
      </c>
      <c r="E138" s="101" t="s">
        <v>68</v>
      </c>
      <c r="F138" s="102"/>
      <c r="G138" s="102"/>
      <c r="H138" s="103"/>
      <c r="I138" s="2" t="s">
        <v>30</v>
      </c>
      <c r="J138" s="2">
        <f>J118+1</f>
        <v>5</v>
      </c>
    </row>
    <row r="139" spans="2:10" ht="31.2" hidden="1" customHeight="1" x14ac:dyDescent="0.3">
      <c r="C139" s="7"/>
      <c r="D139" s="7" t="s">
        <v>18</v>
      </c>
      <c r="E139" s="7"/>
      <c r="F139" s="7" t="s">
        <v>16</v>
      </c>
      <c r="G139" s="7" t="s">
        <v>48</v>
      </c>
      <c r="H139" s="7" t="s">
        <v>22</v>
      </c>
      <c r="I139" s="7" t="s">
        <v>3</v>
      </c>
      <c r="J139" s="7" t="s">
        <v>2</v>
      </c>
    </row>
    <row r="140" spans="2:10" ht="15.6" hidden="1" customHeight="1" x14ac:dyDescent="0.3">
      <c r="C140" s="8"/>
      <c r="D140" s="8">
        <v>1</v>
      </c>
      <c r="E140" s="8"/>
      <c r="F140" s="8">
        <v>3.5</v>
      </c>
      <c r="G140" s="8"/>
      <c r="H140" s="8">
        <v>60</v>
      </c>
      <c r="I140" s="8">
        <v>80</v>
      </c>
      <c r="J140" s="8">
        <v>30</v>
      </c>
    </row>
    <row r="141" spans="2:10" ht="15.6" hidden="1" customHeight="1" x14ac:dyDescent="0.3">
      <c r="C141" s="12"/>
      <c r="D141" s="12"/>
      <c r="E141" s="12"/>
      <c r="F141" s="108" t="b">
        <f>NOT(AND(F140&gt;0,G140&gt;0))</f>
        <v>1</v>
      </c>
      <c r="G141" s="108"/>
      <c r="H141" s="8">
        <v>60</v>
      </c>
      <c r="I141" s="8">
        <v>80</v>
      </c>
      <c r="J141" s="8">
        <v>30</v>
      </c>
    </row>
    <row r="142" spans="2:10" ht="15.6" hidden="1" customHeight="1" x14ac:dyDescent="0.3">
      <c r="F142" s="111" t="str">
        <f>IF(F141,"المقابض مظبوطة","مينفعش مقبض مخفي مع بيلت ان")</f>
        <v>المقابض مظبوطة</v>
      </c>
      <c r="G142" s="111"/>
    </row>
    <row r="143" spans="2:10" ht="15.6" hidden="1" customHeight="1" x14ac:dyDescent="0.3"/>
    <row r="144" spans="2:10" ht="15.6" hidden="1" customHeight="1" x14ac:dyDescent="0.3">
      <c r="C144" s="6" t="s">
        <v>4</v>
      </c>
      <c r="D144" s="6" t="s">
        <v>9</v>
      </c>
      <c r="E144" s="6" t="s">
        <v>5</v>
      </c>
      <c r="F144" s="6" t="s">
        <v>7</v>
      </c>
      <c r="G144" s="6" t="s">
        <v>1</v>
      </c>
      <c r="H144" s="6" t="s">
        <v>6</v>
      </c>
      <c r="I144" s="6" t="s">
        <v>33</v>
      </c>
      <c r="J144" s="6" t="s">
        <v>8</v>
      </c>
    </row>
    <row r="145" spans="1:54" ht="15.6" hidden="1" customHeight="1" x14ac:dyDescent="0.3">
      <c r="C145" s="6"/>
      <c r="D145" s="6"/>
      <c r="E145" s="6"/>
      <c r="F145" s="6"/>
      <c r="G145" s="6"/>
      <c r="H145" s="6"/>
      <c r="I145" s="6"/>
      <c r="J145" s="6"/>
    </row>
    <row r="146" spans="1:54" ht="15.6" hidden="1" customHeight="1" x14ac:dyDescent="0.3">
      <c r="C146" s="6">
        <v>1</v>
      </c>
      <c r="D146" s="6">
        <f>H7</f>
        <v>0</v>
      </c>
      <c r="E146" s="6" t="s">
        <v>49</v>
      </c>
      <c r="F146" s="6">
        <f>H140-1.8</f>
        <v>58.2</v>
      </c>
      <c r="G146" s="6">
        <f>H141-1.8</f>
        <v>58.2</v>
      </c>
      <c r="H146" s="6">
        <f>1*C138</f>
        <v>2</v>
      </c>
      <c r="I146" s="6">
        <f>F7</f>
        <v>0</v>
      </c>
      <c r="J146" s="6"/>
    </row>
    <row r="147" spans="1:54" ht="15.6" hidden="1" customHeight="1" x14ac:dyDescent="0.3">
      <c r="C147" s="6">
        <f>C146+1</f>
        <v>2</v>
      </c>
      <c r="D147" s="6">
        <f>D146</f>
        <v>0</v>
      </c>
      <c r="E147" s="6" t="s">
        <v>10</v>
      </c>
      <c r="F147" s="6">
        <f>H140-1.8</f>
        <v>58.2</v>
      </c>
      <c r="G147" s="6">
        <f>H141-1.8</f>
        <v>58.2</v>
      </c>
      <c r="H147" s="6">
        <f>1*C138</f>
        <v>2</v>
      </c>
      <c r="I147" s="6">
        <f>I146</f>
        <v>0</v>
      </c>
      <c r="J147" s="6"/>
    </row>
    <row r="148" spans="1:54" ht="15.6" hidden="1" customHeight="1" x14ac:dyDescent="0.3">
      <c r="C148" s="6">
        <f>C147+1</f>
        <v>3</v>
      </c>
      <c r="D148" s="6">
        <f>D146</f>
        <v>0</v>
      </c>
      <c r="E148" s="6" t="s">
        <v>62</v>
      </c>
      <c r="F148" s="6">
        <f>I140</f>
        <v>80</v>
      </c>
      <c r="G148" s="6">
        <f>J140</f>
        <v>30</v>
      </c>
      <c r="H148" s="6">
        <f>1*C138</f>
        <v>2</v>
      </c>
      <c r="I148" s="6">
        <f>I146</f>
        <v>0</v>
      </c>
      <c r="J148" s="6"/>
    </row>
    <row r="149" spans="1:54" ht="15.6" hidden="1" customHeight="1" x14ac:dyDescent="0.3">
      <c r="C149" s="6">
        <f>C148+1</f>
        <v>4</v>
      </c>
      <c r="D149" s="6">
        <f>D146</f>
        <v>0</v>
      </c>
      <c r="E149" s="6" t="s">
        <v>63</v>
      </c>
      <c r="F149" s="6">
        <f>I141</f>
        <v>80</v>
      </c>
      <c r="G149" s="6">
        <f>J141</f>
        <v>30</v>
      </c>
      <c r="H149" s="6">
        <f>1*C138</f>
        <v>2</v>
      </c>
      <c r="I149" s="6">
        <f>I146</f>
        <v>0</v>
      </c>
      <c r="J149" s="6"/>
    </row>
    <row r="150" spans="1:54" ht="15.6" hidden="1" customHeight="1" x14ac:dyDescent="0.3">
      <c r="C150" s="6">
        <f>C149+1</f>
        <v>5</v>
      </c>
      <c r="D150" s="6">
        <f>D146</f>
        <v>0</v>
      </c>
      <c r="E150" s="6" t="s">
        <v>27</v>
      </c>
      <c r="F150" s="6">
        <f>I140</f>
        <v>80</v>
      </c>
      <c r="G150" s="6">
        <v>10</v>
      </c>
      <c r="H150" s="6">
        <f>1*C138</f>
        <v>2</v>
      </c>
      <c r="I150" s="6">
        <f>I146</f>
        <v>0</v>
      </c>
      <c r="J150" s="6"/>
    </row>
    <row r="151" spans="1:54" ht="15.6" hidden="1" customHeight="1" x14ac:dyDescent="0.3">
      <c r="C151" s="6">
        <f t="shared" ref="C151" si="8">C150+1</f>
        <v>6</v>
      </c>
      <c r="D151" s="6">
        <f>D146</f>
        <v>0</v>
      </c>
      <c r="E151" s="6" t="s">
        <v>17</v>
      </c>
      <c r="F151" s="6">
        <f>H140-3.8</f>
        <v>56.2</v>
      </c>
      <c r="G151" s="6">
        <f>H141-3.8</f>
        <v>56.2</v>
      </c>
      <c r="H151" s="6">
        <f>D140*C138</f>
        <v>2</v>
      </c>
      <c r="I151" s="6">
        <f>I146</f>
        <v>0</v>
      </c>
      <c r="J151" s="6"/>
    </row>
    <row r="152" spans="1:54" ht="15.6" hidden="1" customHeight="1" x14ac:dyDescent="0.3">
      <c r="C152" s="6"/>
      <c r="D152" s="6"/>
      <c r="E152" s="6"/>
      <c r="F152" s="6"/>
      <c r="G152" s="6"/>
      <c r="H152" s="6"/>
      <c r="I152" s="6"/>
      <c r="J152" s="6"/>
    </row>
    <row r="153" spans="1:54" ht="15.6" hidden="1" customHeight="1" x14ac:dyDescent="0.3">
      <c r="C153" s="9">
        <f>C151+1</f>
        <v>7</v>
      </c>
      <c r="D153" s="9">
        <f>H8</f>
        <v>0</v>
      </c>
      <c r="E153" s="9" t="s">
        <v>28</v>
      </c>
      <c r="F153" s="9">
        <f>I140-0.5-F140</f>
        <v>76</v>
      </c>
      <c r="G153" s="17">
        <f>(SQRT((H140-J140)^2+(H141-J141)^2))-2</f>
        <v>40.426406871192853</v>
      </c>
      <c r="H153" s="9">
        <f>1*C138</f>
        <v>2</v>
      </c>
      <c r="I153" s="9">
        <f>F8</f>
        <v>0</v>
      </c>
      <c r="J153" s="9"/>
    </row>
    <row r="154" spans="1:54" ht="15.6" hidden="1" customHeight="1" x14ac:dyDescent="0.3">
      <c r="C154" s="9">
        <f t="shared" ref="C154" si="9">C153+1</f>
        <v>8</v>
      </c>
      <c r="D154" s="9">
        <f>D153</f>
        <v>0</v>
      </c>
      <c r="E154" s="9"/>
      <c r="F154" s="9"/>
      <c r="G154" s="9"/>
      <c r="H154" s="9"/>
      <c r="I154" s="9"/>
      <c r="J154" s="9"/>
    </row>
    <row r="155" spans="1:54" ht="15.6" hidden="1" customHeight="1" x14ac:dyDescent="0.3">
      <c r="C155" s="6"/>
      <c r="D155" s="6"/>
      <c r="E155" s="6"/>
      <c r="F155" s="6"/>
      <c r="G155" s="6"/>
      <c r="H155" s="6"/>
      <c r="I155" s="6"/>
      <c r="J155" s="6"/>
    </row>
    <row r="156" spans="1:54" ht="15.6" hidden="1" customHeight="1" x14ac:dyDescent="0.3">
      <c r="C156" s="19">
        <f>C154+1</f>
        <v>9</v>
      </c>
      <c r="D156" s="19" t="s">
        <v>58</v>
      </c>
      <c r="E156" s="19" t="s">
        <v>58</v>
      </c>
      <c r="F156" s="19">
        <f>I140-2</f>
        <v>78</v>
      </c>
      <c r="G156" s="19">
        <f>H140-2</f>
        <v>58</v>
      </c>
      <c r="H156" s="19">
        <f>1*C138</f>
        <v>2</v>
      </c>
      <c r="I156" s="19">
        <f>F9</f>
        <v>0</v>
      </c>
      <c r="J156" s="19"/>
      <c r="L156" s="3">
        <v>30</v>
      </c>
    </row>
    <row r="157" spans="1:54" x14ac:dyDescent="0.3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</row>
    <row r="158" spans="1:54" x14ac:dyDescent="0.3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</row>
    <row r="159" spans="1:54" x14ac:dyDescent="0.3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</row>
    <row r="160" spans="1:54" ht="21" customHeight="1" x14ac:dyDescent="0.3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</row>
    <row r="161" spans="1:54" x14ac:dyDescent="0.3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</row>
    <row r="162" spans="1:54" s="5" customFormat="1" ht="18" x14ac:dyDescent="0.3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</row>
    <row r="163" spans="1:54" x14ac:dyDescent="0.3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</row>
    <row r="164" spans="1:54" ht="15.6" customHeight="1" x14ac:dyDescent="0.3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</row>
    <row r="165" spans="1:54" ht="15.6" customHeight="1" x14ac:dyDescent="0.3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</row>
    <row r="166" spans="1:54" ht="15.6" customHeight="1" x14ac:dyDescent="0.3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</row>
    <row r="167" spans="1:54" ht="15.6" customHeight="1" x14ac:dyDescent="0.3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</row>
    <row r="168" spans="1:54" ht="15.6" customHeight="1" x14ac:dyDescent="0.3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</row>
    <row r="169" spans="1:54" x14ac:dyDescent="0.3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</row>
    <row r="170" spans="1:54" ht="15.6" customHeight="1" x14ac:dyDescent="0.3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</row>
    <row r="171" spans="1:54" ht="15.6" customHeight="1" x14ac:dyDescent="0.3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</row>
    <row r="172" spans="1:54" ht="15.6" customHeight="1" x14ac:dyDescent="0.3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</row>
    <row r="173" spans="1:54" ht="15.6" customHeight="1" x14ac:dyDescent="0.3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</row>
    <row r="174" spans="1:54" ht="15.6" customHeight="1" x14ac:dyDescent="0.3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</row>
    <row r="175" spans="1:54" ht="15.6" customHeight="1" x14ac:dyDescent="0.3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</row>
    <row r="176" spans="1:54" ht="15.6" customHeight="1" x14ac:dyDescent="0.3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</row>
    <row r="177" spans="1:54" ht="15.6" customHeight="1" x14ac:dyDescent="0.3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</row>
    <row r="178" spans="1:54" ht="15.6" customHeight="1" x14ac:dyDescent="0.3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</row>
    <row r="179" spans="1:54" ht="15.6" customHeight="1" x14ac:dyDescent="0.3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</row>
    <row r="180" spans="1:54" ht="15.6" customHeight="1" x14ac:dyDescent="0.3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</row>
    <row r="181" spans="1:54" ht="15.6" customHeight="1" x14ac:dyDescent="0.3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</row>
    <row r="182" spans="1:54" ht="15.6" customHeight="1" x14ac:dyDescent="0.3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</row>
    <row r="183" spans="1:54" ht="15.6" customHeight="1" x14ac:dyDescent="0.3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</row>
    <row r="184" spans="1:54" ht="15.6" customHeight="1" x14ac:dyDescent="0.3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</row>
    <row r="185" spans="1:54" ht="15.6" customHeight="1" x14ac:dyDescent="0.3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</row>
    <row r="186" spans="1:54" ht="15.6" customHeight="1" x14ac:dyDescent="0.3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</row>
    <row r="187" spans="1:54" x14ac:dyDescent="0.3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</row>
    <row r="188" spans="1:54" ht="15.6" hidden="1" customHeight="1" x14ac:dyDescent="0.3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</row>
    <row r="189" spans="1:54" ht="15.6" hidden="1" customHeight="1" x14ac:dyDescent="0.3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</row>
    <row r="190" spans="1:54" ht="15.6" hidden="1" customHeight="1" x14ac:dyDescent="0.3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</row>
    <row r="191" spans="1:54" ht="15.6" hidden="1" customHeight="1" x14ac:dyDescent="0.3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</row>
    <row r="192" spans="1:54" ht="15.6" hidden="1" customHeight="1" x14ac:dyDescent="0.3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</row>
    <row r="193" spans="1:54" ht="15.6" hidden="1" customHeight="1" x14ac:dyDescent="0.3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</row>
    <row r="194" spans="1:54" ht="15.6" hidden="1" customHeight="1" x14ac:dyDescent="0.3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</row>
    <row r="195" spans="1:54" ht="15.6" hidden="1" customHeight="1" x14ac:dyDescent="0.3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</row>
    <row r="196" spans="1:54" ht="15.6" hidden="1" customHeight="1" x14ac:dyDescent="0.3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</row>
    <row r="197" spans="1:54" ht="15.6" hidden="1" customHeight="1" x14ac:dyDescent="0.3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</row>
    <row r="198" spans="1:54" ht="15.6" hidden="1" customHeight="1" x14ac:dyDescent="0.3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</row>
    <row r="199" spans="1:54" ht="15.6" hidden="1" customHeight="1" x14ac:dyDescent="0.3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</row>
    <row r="200" spans="1:54" ht="15.6" hidden="1" customHeight="1" x14ac:dyDescent="0.3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</row>
    <row r="201" spans="1:54" ht="15.6" hidden="1" customHeight="1" x14ac:dyDescent="0.3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</row>
    <row r="202" spans="1:54" ht="15.6" hidden="1" customHeight="1" x14ac:dyDescent="0.3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</row>
    <row r="203" spans="1:54" ht="15.6" hidden="1" customHeight="1" x14ac:dyDescent="0.3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</row>
    <row r="204" spans="1:54" ht="15.6" hidden="1" customHeight="1" x14ac:dyDescent="0.3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</row>
    <row r="205" spans="1:54" ht="15.6" hidden="1" customHeight="1" x14ac:dyDescent="0.3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</row>
    <row r="206" spans="1:54" ht="15.6" hidden="1" customHeight="1" x14ac:dyDescent="0.3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</row>
    <row r="207" spans="1:54" ht="15.6" hidden="1" customHeight="1" x14ac:dyDescent="0.3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</row>
    <row r="208" spans="1:54" x14ac:dyDescent="0.3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</row>
    <row r="209" spans="1:54" x14ac:dyDescent="0.3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</row>
    <row r="210" spans="1:54" ht="21" customHeight="1" x14ac:dyDescent="0.3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</row>
    <row r="211" spans="1:54" x14ac:dyDescent="0.3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</row>
    <row r="212" spans="1:54" x14ac:dyDescent="0.3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</row>
    <row r="213" spans="1:54" x14ac:dyDescent="0.3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</row>
    <row r="214" spans="1:54" x14ac:dyDescent="0.3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</row>
    <row r="215" spans="1:54" x14ac:dyDescent="0.3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</row>
    <row r="216" spans="1:54" x14ac:dyDescent="0.3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</row>
    <row r="217" spans="1:54" x14ac:dyDescent="0.3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</row>
    <row r="218" spans="1:54" x14ac:dyDescent="0.3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</row>
    <row r="219" spans="1:54" x14ac:dyDescent="0.3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</row>
    <row r="220" spans="1:54" x14ac:dyDescent="0.3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</row>
    <row r="221" spans="1:54" x14ac:dyDescent="0.3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</row>
    <row r="222" spans="1:54" x14ac:dyDescent="0.3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</row>
    <row r="223" spans="1:54" x14ac:dyDescent="0.3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</row>
    <row r="224" spans="1:54" x14ac:dyDescent="0.3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</row>
    <row r="225" spans="1:54" x14ac:dyDescent="0.3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</row>
    <row r="226" spans="1:54" ht="15.6" hidden="1" customHeight="1" x14ac:dyDescent="0.3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</row>
    <row r="227" spans="1:54" ht="15.6" hidden="1" customHeight="1" x14ac:dyDescent="0.3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</row>
    <row r="228" spans="1:54" ht="15.6" hidden="1" customHeight="1" x14ac:dyDescent="0.3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</row>
    <row r="229" spans="1:54" ht="15.6" hidden="1" customHeight="1" x14ac:dyDescent="0.3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</row>
    <row r="230" spans="1:54" ht="15.6" hidden="1" customHeight="1" x14ac:dyDescent="0.3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</row>
    <row r="231" spans="1:54" x14ac:dyDescent="0.3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</row>
    <row r="232" spans="1:54" x14ac:dyDescent="0.3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</row>
    <row r="233" spans="1:54" x14ac:dyDescent="0.3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</row>
    <row r="234" spans="1:54" x14ac:dyDescent="0.3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</row>
    <row r="235" spans="1:54" x14ac:dyDescent="0.3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</row>
    <row r="236" spans="1:54" x14ac:dyDescent="0.3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</row>
    <row r="237" spans="1:54" x14ac:dyDescent="0.3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</row>
    <row r="238" spans="1:54" x14ac:dyDescent="0.3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</row>
    <row r="239" spans="1:54" x14ac:dyDescent="0.3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</row>
    <row r="240" spans="1:54" x14ac:dyDescent="0.3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</row>
    <row r="241" spans="1:54" x14ac:dyDescent="0.3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</row>
    <row r="242" spans="1:54" x14ac:dyDescent="0.3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</row>
    <row r="243" spans="1:54" x14ac:dyDescent="0.3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</row>
    <row r="244" spans="1:54" x14ac:dyDescent="0.3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</row>
    <row r="245" spans="1:54" x14ac:dyDescent="0.3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</row>
    <row r="246" spans="1:54" x14ac:dyDescent="0.3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</row>
    <row r="247" spans="1:54" x14ac:dyDescent="0.3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</row>
    <row r="248" spans="1:54" x14ac:dyDescent="0.3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</row>
    <row r="249" spans="1:54" x14ac:dyDescent="0.3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</row>
    <row r="250" spans="1:54" x14ac:dyDescent="0.3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</row>
    <row r="251" spans="1:54" x14ac:dyDescent="0.3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</row>
    <row r="252" spans="1:54" x14ac:dyDescent="0.3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</row>
    <row r="253" spans="1:54" x14ac:dyDescent="0.3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</row>
    <row r="254" spans="1:54" x14ac:dyDescent="0.3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</row>
    <row r="255" spans="1:54" x14ac:dyDescent="0.3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</row>
    <row r="256" spans="1:54" x14ac:dyDescent="0.3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</row>
    <row r="273" spans="3:14" ht="21" x14ac:dyDescent="0.3">
      <c r="C273" s="117" t="s">
        <v>42</v>
      </c>
      <c r="D273" s="117"/>
      <c r="E273" s="117"/>
      <c r="F273" s="117"/>
      <c r="G273" s="117"/>
      <c r="H273" s="117"/>
      <c r="I273" s="117"/>
      <c r="J273" s="117"/>
      <c r="K273" s="117"/>
      <c r="L273" s="117"/>
      <c r="M273" s="117"/>
      <c r="N273" s="117"/>
    </row>
  </sheetData>
  <mergeCells count="21">
    <mergeCell ref="C2:J2"/>
    <mergeCell ref="E118:H118"/>
    <mergeCell ref="F121:G121"/>
    <mergeCell ref="F122:G122"/>
    <mergeCell ref="E138:H138"/>
    <mergeCell ref="E13:H13"/>
    <mergeCell ref="C273:N273"/>
    <mergeCell ref="J19:J20"/>
    <mergeCell ref="C52:D52"/>
    <mergeCell ref="J52:J53"/>
    <mergeCell ref="C53:D53"/>
    <mergeCell ref="F142:G142"/>
    <mergeCell ref="E98:H98"/>
    <mergeCell ref="F101:G101"/>
    <mergeCell ref="C102:D102"/>
    <mergeCell ref="F102:G102"/>
    <mergeCell ref="C103:D103"/>
    <mergeCell ref="E40:H40"/>
    <mergeCell ref="C19:D19"/>
    <mergeCell ref="C20:D20"/>
    <mergeCell ref="F141:G141"/>
  </mergeCells>
  <conditionalFormatting sqref="C20">
    <cfRule type="cellIs" dxfId="15" priority="19" operator="equal">
      <formula>TRUE</formula>
    </cfRule>
    <cfRule type="cellIs" dxfId="14" priority="20" operator="equal">
      <formula>FALSE</formula>
    </cfRule>
  </conditionalFormatting>
  <conditionalFormatting sqref="C53">
    <cfRule type="cellIs" dxfId="13" priority="3" operator="equal">
      <formula>TRUE</formula>
    </cfRule>
    <cfRule type="cellIs" dxfId="12" priority="4" operator="equal">
      <formula>FALSE</formula>
    </cfRule>
  </conditionalFormatting>
  <conditionalFormatting sqref="E101:F101">
    <cfRule type="cellIs" dxfId="11" priority="11" operator="equal">
      <formula>TRUE</formula>
    </cfRule>
    <cfRule type="cellIs" dxfId="10" priority="12" operator="equal">
      <formula>FALSE</formula>
    </cfRule>
  </conditionalFormatting>
  <conditionalFormatting sqref="F121">
    <cfRule type="cellIs" dxfId="9" priority="9" operator="equal">
      <formula>TRUE</formula>
    </cfRule>
    <cfRule type="cellIs" dxfId="8" priority="10" operator="equal">
      <formula>FALSE</formula>
    </cfRule>
  </conditionalFormatting>
  <conditionalFormatting sqref="F141">
    <cfRule type="cellIs" dxfId="7" priority="7" operator="equal">
      <formula>TRUE</formula>
    </cfRule>
    <cfRule type="cellIs" dxfId="6" priority="8" operator="equal">
      <formula>FALSE</formula>
    </cfRule>
  </conditionalFormatting>
  <conditionalFormatting sqref="I20">
    <cfRule type="cellIs" dxfId="5" priority="5" operator="equal">
      <formula>TRUE</formula>
    </cfRule>
    <cfRule type="cellIs" dxfId="4" priority="6" operator="equal">
      <formula>FALSE</formula>
    </cfRule>
  </conditionalFormatting>
  <conditionalFormatting sqref="I53">
    <cfRule type="cellIs" dxfId="3" priority="1" operator="equal">
      <formula>TRUE</formula>
    </cfRule>
    <cfRule type="cellIs" dxfId="2" priority="2" operator="equal">
      <formula>FALSE</formula>
    </cfRule>
  </conditionalFormatting>
  <conditionalFormatting sqref="I101 C103">
    <cfRule type="cellIs" dxfId="1" priority="13" operator="equal">
      <formula>TRUE</formula>
    </cfRule>
    <cfRule type="cellIs" dxfId="0" priority="14" operator="equal">
      <formula>FALSE</formula>
    </cfRule>
  </conditionalFormatting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22860</xdr:colOff>
                    <xdr:row>5</xdr:row>
                    <xdr:rowOff>38100</xdr:rowOff>
                  </from>
                  <to>
                    <xdr:col>12</xdr:col>
                    <xdr:colOff>15240</xdr:colOff>
                    <xdr:row>6</xdr:row>
                    <xdr:rowOff>213360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403860</xdr:colOff>
                    <xdr:row>5</xdr:row>
                    <xdr:rowOff>7620</xdr:rowOff>
                  </from>
                  <to>
                    <xdr:col>4</xdr:col>
                    <xdr:colOff>1104900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deleteBlock">
                <anchor moveWithCells="1" sizeWithCells="1">
                  <from>
                    <xdr:col>5</xdr:col>
                    <xdr:colOff>121920</xdr:colOff>
                    <xdr:row>5</xdr:row>
                    <xdr:rowOff>7620</xdr:rowOff>
                  </from>
                  <to>
                    <xdr:col>8</xdr:col>
                    <xdr:colOff>220980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BJ48"/>
  <sheetViews>
    <sheetView topLeftCell="B1" zoomScale="70" zoomScaleNormal="70" workbookViewId="0">
      <selection activeCell="G10" sqref="G10"/>
    </sheetView>
  </sheetViews>
  <sheetFormatPr defaultRowHeight="15.6" x14ac:dyDescent="0.3"/>
  <cols>
    <col min="1" max="1" width="9" style="36" hidden="1" customWidth="1"/>
    <col min="2" max="2" width="24.6640625" style="3" customWidth="1"/>
    <col min="3" max="3" width="10.77734375" style="3" customWidth="1"/>
    <col min="4" max="4" width="16.33203125" style="3" customWidth="1"/>
    <col min="5" max="5" width="7.5546875" style="3" bestFit="1" customWidth="1"/>
    <col min="6" max="6" width="11.44140625" style="3" customWidth="1"/>
    <col min="7" max="7" width="10.5546875" style="3" customWidth="1"/>
    <col min="8" max="8" width="8.21875" style="3" bestFit="1" customWidth="1"/>
    <col min="9" max="9" width="11.5546875" style="3" bestFit="1" customWidth="1"/>
    <col min="10" max="10" width="12.109375" style="3" customWidth="1"/>
    <col min="11" max="17" width="8.88671875" style="3" customWidth="1"/>
    <col min="18" max="18" width="11.5546875" style="3" customWidth="1"/>
    <col min="19" max="52" width="8.88671875" style="3" customWidth="1"/>
    <col min="53" max="16384" width="8.88671875" style="3"/>
  </cols>
  <sheetData>
    <row r="1" spans="1:62" s="35" customFormat="1" x14ac:dyDescent="0.3">
      <c r="A1" s="36">
        <v>13</v>
      </c>
      <c r="B1" s="55">
        <v>3</v>
      </c>
    </row>
    <row r="2" spans="1:62" s="35" customFormat="1" ht="31.2" x14ac:dyDescent="0.3">
      <c r="A2" s="36">
        <v>20</v>
      </c>
      <c r="B2" s="50" t="s">
        <v>125</v>
      </c>
      <c r="C2" s="119" t="s">
        <v>103</v>
      </c>
      <c r="D2" s="120"/>
      <c r="E2" s="120"/>
      <c r="F2" s="120"/>
      <c r="G2" s="120"/>
      <c r="H2" s="120"/>
      <c r="I2" s="120"/>
      <c r="J2" s="121"/>
    </row>
    <row r="3" spans="1:62" s="35" customFormat="1" x14ac:dyDescent="0.3">
      <c r="A3" s="36"/>
      <c r="B3" s="55" t="s">
        <v>178</v>
      </c>
      <c r="R3" s="34"/>
      <c r="S3" s="34"/>
      <c r="T3" s="34"/>
      <c r="U3" s="34"/>
      <c r="V3" s="40"/>
      <c r="W3" s="40"/>
    </row>
    <row r="4" spans="1:62" s="35" customFormat="1" x14ac:dyDescent="0.3">
      <c r="A4" s="36"/>
      <c r="B4" s="55"/>
      <c r="R4" s="34"/>
      <c r="S4" s="34"/>
      <c r="T4" s="34"/>
      <c r="U4" s="34"/>
      <c r="V4" s="34"/>
      <c r="W4" s="34"/>
    </row>
    <row r="5" spans="1:62" s="35" customFormat="1" x14ac:dyDescent="0.3">
      <c r="A5" s="36"/>
      <c r="B5" s="55"/>
    </row>
    <row r="6" spans="1:62" s="35" customFormat="1" x14ac:dyDescent="0.3">
      <c r="A6" s="36"/>
      <c r="B6" s="55"/>
    </row>
    <row r="7" spans="1:62" s="35" customFormat="1" ht="18" x14ac:dyDescent="0.3">
      <c r="A7" s="37"/>
      <c r="B7" s="56"/>
      <c r="C7" s="37"/>
      <c r="D7" s="37"/>
      <c r="E7" s="38"/>
      <c r="F7" s="38"/>
      <c r="G7" s="38"/>
      <c r="H7" s="38"/>
      <c r="I7" s="37"/>
      <c r="J7" s="37"/>
      <c r="K7" s="37"/>
      <c r="L7" s="37"/>
      <c r="M7" s="37"/>
    </row>
    <row r="8" spans="1:62" s="38" customFormat="1" ht="18" x14ac:dyDescent="0.3">
      <c r="A8" s="39"/>
      <c r="B8" s="57"/>
    </row>
    <row r="9" spans="1:62" customFormat="1" x14ac:dyDescent="0.3">
      <c r="A9" s="39"/>
    </row>
    <row r="10" spans="1:62" customFormat="1" x14ac:dyDescent="0.3">
      <c r="A10" s="39"/>
    </row>
    <row r="13" spans="1:62" ht="18" x14ac:dyDescent="0.3">
      <c r="A13" s="36" t="s">
        <v>155</v>
      </c>
      <c r="B13" s="15"/>
      <c r="C13" s="14">
        <v>1</v>
      </c>
      <c r="D13" s="22" t="s">
        <v>59</v>
      </c>
      <c r="E13" s="101" t="s">
        <v>170</v>
      </c>
      <c r="F13" s="102"/>
      <c r="G13" s="102"/>
      <c r="H13" s="103"/>
      <c r="I13" s="2" t="s">
        <v>30</v>
      </c>
      <c r="J13" s="2">
        <f>letterToNumber(A13)</f>
        <v>1</v>
      </c>
      <c r="K13" s="7">
        <f ca="1">_xlfn.SHEET("تجاليد")</f>
        <v>8</v>
      </c>
      <c r="BB13"/>
      <c r="BC13"/>
      <c r="BD13"/>
      <c r="BE13"/>
      <c r="BF13"/>
      <c r="BG13"/>
      <c r="BH13"/>
      <c r="BI13"/>
      <c r="BJ13"/>
    </row>
    <row r="14" spans="1:62" x14ac:dyDescent="0.3">
      <c r="A14" s="36">
        <v>1</v>
      </c>
      <c r="B14" s="15"/>
      <c r="C14" s="7"/>
      <c r="D14" s="18"/>
      <c r="E14" s="27" t="str" cm="1">
        <f t="array" aca="1" ref="E14" ca="1">defaultValue(F14,K13)</f>
        <v>يوفيلاك</v>
      </c>
      <c r="F14" s="7" t="s">
        <v>9</v>
      </c>
      <c r="G14" s="7">
        <v>62</v>
      </c>
      <c r="H14" s="7" t="s">
        <v>1</v>
      </c>
      <c r="I14" s="8"/>
      <c r="J14" s="7" t="s">
        <v>22</v>
      </c>
      <c r="K14" s="7"/>
      <c r="BB14"/>
      <c r="BC14"/>
      <c r="BD14"/>
      <c r="BE14"/>
      <c r="BF14"/>
      <c r="BG14"/>
      <c r="BH14"/>
      <c r="BI14"/>
      <c r="BJ14"/>
    </row>
    <row r="15" spans="1:62" ht="15.6" customHeight="1" x14ac:dyDescent="0.3">
      <c r="A15" s="36">
        <v>0</v>
      </c>
      <c r="B15"/>
      <c r="C15"/>
      <c r="D15"/>
      <c r="E15"/>
      <c r="F15"/>
      <c r="G15"/>
      <c r="H15"/>
      <c r="I15"/>
      <c r="J15"/>
      <c r="K15"/>
      <c r="BB15"/>
      <c r="BC15"/>
      <c r="BD15"/>
      <c r="BE15"/>
      <c r="BF15"/>
      <c r="BG15"/>
      <c r="BH15"/>
      <c r="BI15"/>
      <c r="BJ15"/>
    </row>
    <row r="16" spans="1:62" ht="15.6" customHeight="1" x14ac:dyDescent="0.3">
      <c r="A16" s="36">
        <v>2</v>
      </c>
      <c r="B16" s="15"/>
      <c r="C16" s="6" t="s">
        <v>4</v>
      </c>
      <c r="D16" s="6" t="s">
        <v>9</v>
      </c>
      <c r="E16" s="6" t="s">
        <v>5</v>
      </c>
      <c r="F16" s="6" t="s">
        <v>7</v>
      </c>
      <c r="G16" s="6" t="s">
        <v>1</v>
      </c>
      <c r="H16" s="6" t="s">
        <v>6</v>
      </c>
      <c r="I16" s="6" t="s">
        <v>33</v>
      </c>
      <c r="J16" s="6" t="s">
        <v>8</v>
      </c>
      <c r="K16" s="6" t="s">
        <v>185</v>
      </c>
      <c r="BB16"/>
      <c r="BC16"/>
      <c r="BD16"/>
      <c r="BE16"/>
      <c r="BF16"/>
      <c r="BG16"/>
      <c r="BH16"/>
      <c r="BI16"/>
      <c r="BJ16"/>
    </row>
    <row r="17" spans="1:62" x14ac:dyDescent="0.3">
      <c r="A17" s="36">
        <v>0</v>
      </c>
      <c r="B17"/>
      <c r="C17"/>
      <c r="D17"/>
      <c r="E17"/>
      <c r="F17"/>
      <c r="G17"/>
      <c r="H17"/>
      <c r="I17"/>
      <c r="J17"/>
      <c r="K17"/>
      <c r="BB17"/>
      <c r="BC17"/>
      <c r="BD17"/>
      <c r="BE17"/>
      <c r="BF17"/>
      <c r="BG17"/>
      <c r="BH17"/>
      <c r="BI17"/>
      <c r="BJ17"/>
    </row>
    <row r="18" spans="1:62" x14ac:dyDescent="0.3">
      <c r="A18" s="35">
        <v>4</v>
      </c>
      <c r="B18" s="15" t="str">
        <f>E13</f>
        <v>تجليدة سفلية</v>
      </c>
      <c r="C18" s="9">
        <v>1</v>
      </c>
      <c r="D18" s="9" t="str">
        <f ca="1">E14</f>
        <v>يوفيلاك</v>
      </c>
      <c r="E18" s="9" t="s">
        <v>120</v>
      </c>
      <c r="F18" s="9"/>
      <c r="G18" s="9">
        <f>G14</f>
        <v>62</v>
      </c>
      <c r="H18" s="9"/>
      <c r="I18" s="9">
        <f ca="1">HLOOKUP(D18, materials[], 2,FALSE)</f>
        <v>6</v>
      </c>
      <c r="J18" s="9"/>
      <c r="K18" s="9" t="b">
        <v>1</v>
      </c>
      <c r="BB18"/>
      <c r="BC18"/>
      <c r="BD18"/>
      <c r="BE18"/>
      <c r="BF18"/>
      <c r="BG18"/>
      <c r="BH18"/>
      <c r="BI18"/>
      <c r="BJ18"/>
    </row>
    <row r="19" spans="1:62" x14ac:dyDescent="0.3">
      <c r="A19" s="35">
        <v>4</v>
      </c>
      <c r="B19" s="15" t="str">
        <f>E13</f>
        <v>تجليدة سفلية</v>
      </c>
      <c r="C19" s="9">
        <f>C18+1</f>
        <v>2</v>
      </c>
      <c r="D19" s="9" t="str">
        <f ca="1">E14</f>
        <v>يوفيلاك</v>
      </c>
      <c r="E19" s="9" t="s">
        <v>120</v>
      </c>
      <c r="F19" s="9"/>
      <c r="G19" s="9">
        <f>G14</f>
        <v>62</v>
      </c>
      <c r="H19" s="9"/>
      <c r="I19" s="9">
        <f ca="1">HLOOKUP(D19, materials[], 2,FALSE)</f>
        <v>6</v>
      </c>
      <c r="J19" s="9"/>
      <c r="K19" s="9" t="b">
        <v>1</v>
      </c>
      <c r="BB19"/>
      <c r="BC19"/>
      <c r="BD19"/>
      <c r="BE19"/>
      <c r="BF19"/>
      <c r="BG19"/>
      <c r="BH19"/>
      <c r="BI19"/>
      <c r="BJ19"/>
    </row>
    <row r="20" spans="1:62" x14ac:dyDescent="0.3">
      <c r="A20" s="35">
        <v>4</v>
      </c>
      <c r="B20" s="15" t="str">
        <f>E13</f>
        <v>تجليدة سفلية</v>
      </c>
      <c r="C20" s="9">
        <f t="shared" ref="C20:C22" si="0">C19+1</f>
        <v>3</v>
      </c>
      <c r="D20" s="9" t="str">
        <f ca="1">E14</f>
        <v>يوفيلاك</v>
      </c>
      <c r="E20" s="9" t="s">
        <v>120</v>
      </c>
      <c r="F20" s="9"/>
      <c r="G20" s="9">
        <f>G14</f>
        <v>62</v>
      </c>
      <c r="H20" s="9"/>
      <c r="I20" s="9">
        <f ca="1">HLOOKUP(D20, materials[], 2,FALSE)</f>
        <v>6</v>
      </c>
      <c r="J20" s="9"/>
      <c r="K20" s="9" t="b">
        <v>1</v>
      </c>
      <c r="BB20"/>
      <c r="BC20"/>
      <c r="BD20"/>
      <c r="BE20"/>
      <c r="BF20"/>
      <c r="BG20"/>
      <c r="BH20"/>
      <c r="BI20"/>
      <c r="BJ20"/>
    </row>
    <row r="21" spans="1:62" x14ac:dyDescent="0.3">
      <c r="A21" s="35">
        <v>4</v>
      </c>
      <c r="B21" s="15" t="str">
        <f>E13</f>
        <v>تجليدة سفلية</v>
      </c>
      <c r="C21" s="9">
        <f t="shared" si="0"/>
        <v>4</v>
      </c>
      <c r="D21" s="9" t="str">
        <f ca="1">E14</f>
        <v>يوفيلاك</v>
      </c>
      <c r="E21" s="9" t="s">
        <v>120</v>
      </c>
      <c r="F21" s="9"/>
      <c r="G21" s="9">
        <f>G14</f>
        <v>62</v>
      </c>
      <c r="H21" s="9"/>
      <c r="I21" s="9">
        <f ca="1">HLOOKUP(D21, materials[], 2,FALSE)</f>
        <v>6</v>
      </c>
      <c r="J21" s="9"/>
      <c r="K21" s="9" t="b">
        <v>1</v>
      </c>
      <c r="BB21"/>
      <c r="BC21"/>
      <c r="BD21"/>
      <c r="BE21"/>
      <c r="BF21"/>
      <c r="BG21"/>
      <c r="BH21"/>
      <c r="BI21"/>
      <c r="BJ21"/>
    </row>
    <row r="22" spans="1:62" x14ac:dyDescent="0.3">
      <c r="A22" s="35">
        <v>4</v>
      </c>
      <c r="B22" s="15" t="str">
        <f>E13</f>
        <v>تجليدة سفلية</v>
      </c>
      <c r="C22" s="9">
        <f t="shared" si="0"/>
        <v>5</v>
      </c>
      <c r="D22" s="9" t="str">
        <f ca="1">E14</f>
        <v>يوفيلاك</v>
      </c>
      <c r="E22" s="9" t="s">
        <v>120</v>
      </c>
      <c r="F22" s="9"/>
      <c r="G22" s="9">
        <f>G14</f>
        <v>62</v>
      </c>
      <c r="H22" s="9"/>
      <c r="I22" s="9">
        <f ca="1">HLOOKUP(D22, materials[], 2,FALSE)</f>
        <v>6</v>
      </c>
      <c r="J22" s="9"/>
      <c r="K22" s="9" t="b">
        <v>1</v>
      </c>
      <c r="BB22"/>
      <c r="BC22"/>
      <c r="BD22"/>
      <c r="BE22"/>
      <c r="BF22"/>
      <c r="BG22"/>
      <c r="BH22"/>
      <c r="BI22"/>
      <c r="BJ22"/>
    </row>
    <row r="23" spans="1:62" customFormat="1" ht="14.4" x14ac:dyDescent="0.3">
      <c r="A23" s="45">
        <v>255</v>
      </c>
    </row>
    <row r="24" spans="1:62" customFormat="1" ht="14.4" x14ac:dyDescent="0.3">
      <c r="A24" s="45">
        <v>255</v>
      </c>
    </row>
    <row r="25" spans="1:62" ht="18" x14ac:dyDescent="0.3">
      <c r="A25" s="36" t="s">
        <v>160</v>
      </c>
      <c r="B25" s="15"/>
      <c r="C25" s="14">
        <v>1</v>
      </c>
      <c r="D25" s="22" t="s">
        <v>59</v>
      </c>
      <c r="E25" s="101" t="s">
        <v>171</v>
      </c>
      <c r="F25" s="102"/>
      <c r="G25" s="102"/>
      <c r="H25" s="103"/>
      <c r="I25" s="2" t="s">
        <v>30</v>
      </c>
      <c r="J25" s="2">
        <f>letterToNumber(A25)</f>
        <v>2</v>
      </c>
      <c r="K25" s="7">
        <f ca="1">_xlfn.SHEET("تجاليد")</f>
        <v>8</v>
      </c>
      <c r="BB25"/>
      <c r="BC25"/>
      <c r="BD25"/>
      <c r="BE25"/>
      <c r="BF25"/>
      <c r="BG25"/>
      <c r="BH25"/>
      <c r="BI25"/>
      <c r="BJ25"/>
    </row>
    <row r="26" spans="1:62" x14ac:dyDescent="0.3">
      <c r="A26" s="36">
        <v>1</v>
      </c>
      <c r="B26" s="15"/>
      <c r="C26" s="7"/>
      <c r="D26" s="18"/>
      <c r="E26" s="27" t="str" cm="1">
        <f t="array" aca="1" ref="E26" ca="1">defaultValue(F26,K25)</f>
        <v>يوفيلاك</v>
      </c>
      <c r="F26" s="7" t="s">
        <v>9</v>
      </c>
      <c r="G26" s="7">
        <v>32</v>
      </c>
      <c r="H26" s="7" t="s">
        <v>1</v>
      </c>
      <c r="I26" s="8"/>
      <c r="J26" s="7" t="s">
        <v>22</v>
      </c>
      <c r="K26" s="7"/>
      <c r="BB26"/>
      <c r="BC26"/>
      <c r="BD26"/>
      <c r="BE26"/>
      <c r="BF26"/>
      <c r="BG26"/>
      <c r="BH26"/>
      <c r="BI26"/>
      <c r="BJ26"/>
    </row>
    <row r="27" spans="1:62" ht="15.6" customHeight="1" x14ac:dyDescent="0.3">
      <c r="A27" s="36">
        <v>0</v>
      </c>
      <c r="B27"/>
      <c r="C27"/>
      <c r="D27"/>
      <c r="E27"/>
      <c r="F27"/>
      <c r="G27"/>
      <c r="H27"/>
      <c r="I27"/>
      <c r="J27"/>
      <c r="K27"/>
      <c r="BB27"/>
      <c r="BC27"/>
      <c r="BD27"/>
      <c r="BE27"/>
      <c r="BF27"/>
      <c r="BG27"/>
      <c r="BH27"/>
      <c r="BI27"/>
      <c r="BJ27"/>
    </row>
    <row r="28" spans="1:62" ht="15.6" customHeight="1" x14ac:dyDescent="0.3">
      <c r="A28" s="36">
        <v>2</v>
      </c>
      <c r="B28" s="15"/>
      <c r="C28" s="6" t="s">
        <v>4</v>
      </c>
      <c r="D28" s="6" t="s">
        <v>9</v>
      </c>
      <c r="E28" s="6" t="s">
        <v>5</v>
      </c>
      <c r="F28" s="6" t="s">
        <v>7</v>
      </c>
      <c r="G28" s="6" t="s">
        <v>1</v>
      </c>
      <c r="H28" s="6" t="s">
        <v>6</v>
      </c>
      <c r="I28" s="6" t="s">
        <v>33</v>
      </c>
      <c r="J28" s="6" t="s">
        <v>8</v>
      </c>
      <c r="K28" s="6" t="s">
        <v>185</v>
      </c>
      <c r="BB28"/>
      <c r="BC28"/>
      <c r="BD28"/>
      <c r="BE28"/>
      <c r="BF28"/>
      <c r="BG28"/>
      <c r="BH28"/>
      <c r="BI28"/>
      <c r="BJ28"/>
    </row>
    <row r="29" spans="1:62" x14ac:dyDescent="0.3">
      <c r="A29" s="36">
        <v>0</v>
      </c>
      <c r="B29"/>
      <c r="C29"/>
      <c r="D29"/>
      <c r="E29"/>
      <c r="F29"/>
      <c r="G29"/>
      <c r="H29"/>
      <c r="I29"/>
      <c r="J29"/>
      <c r="K29"/>
      <c r="BB29"/>
      <c r="BC29"/>
      <c r="BD29"/>
      <c r="BE29"/>
      <c r="BF29"/>
      <c r="BG29"/>
      <c r="BH29"/>
      <c r="BI29"/>
      <c r="BJ29"/>
    </row>
    <row r="30" spans="1:62" x14ac:dyDescent="0.3">
      <c r="A30" s="35">
        <v>4</v>
      </c>
      <c r="B30" s="15" t="str">
        <f>E25</f>
        <v>تجليدة علوية</v>
      </c>
      <c r="C30" s="9">
        <v>1</v>
      </c>
      <c r="D30" s="9" t="str">
        <f ca="1">E26</f>
        <v>يوفيلاك</v>
      </c>
      <c r="E30" s="9" t="s">
        <v>120</v>
      </c>
      <c r="F30" s="9"/>
      <c r="G30" s="9">
        <f>G26</f>
        <v>32</v>
      </c>
      <c r="H30" s="9"/>
      <c r="I30" s="9">
        <f ca="1">HLOOKUP(D30, materials[], 2,FALSE)</f>
        <v>6</v>
      </c>
      <c r="J30" s="9"/>
      <c r="K30" s="9" t="b">
        <v>1</v>
      </c>
      <c r="BB30"/>
      <c r="BC30"/>
      <c r="BD30"/>
      <c r="BE30"/>
      <c r="BF30"/>
      <c r="BG30"/>
      <c r="BH30"/>
      <c r="BI30"/>
      <c r="BJ30"/>
    </row>
    <row r="31" spans="1:62" x14ac:dyDescent="0.3">
      <c r="A31" s="35">
        <v>4</v>
      </c>
      <c r="B31" s="15" t="str">
        <f>E25</f>
        <v>تجليدة علوية</v>
      </c>
      <c r="C31" s="9">
        <v>1</v>
      </c>
      <c r="D31" s="9" t="str">
        <f ca="1">E26</f>
        <v>يوفيلاك</v>
      </c>
      <c r="E31" s="9" t="s">
        <v>120</v>
      </c>
      <c r="F31" s="9"/>
      <c r="G31" s="9">
        <f>G26</f>
        <v>32</v>
      </c>
      <c r="H31" s="9"/>
      <c r="I31" s="9">
        <f ca="1">HLOOKUP(D31, materials[], 2,FALSE)</f>
        <v>6</v>
      </c>
      <c r="J31" s="9"/>
      <c r="K31" s="9" t="b">
        <v>1</v>
      </c>
      <c r="BB31"/>
      <c r="BC31"/>
      <c r="BD31"/>
      <c r="BE31"/>
      <c r="BF31"/>
      <c r="BG31"/>
      <c r="BH31"/>
      <c r="BI31"/>
      <c r="BJ31"/>
    </row>
    <row r="32" spans="1:62" x14ac:dyDescent="0.3">
      <c r="A32" s="35">
        <v>4</v>
      </c>
      <c r="B32" s="15" t="str">
        <f>E25</f>
        <v>تجليدة علوية</v>
      </c>
      <c r="C32" s="9">
        <v>1</v>
      </c>
      <c r="D32" s="9" t="str">
        <f ca="1">E26</f>
        <v>يوفيلاك</v>
      </c>
      <c r="E32" s="9" t="s">
        <v>120</v>
      </c>
      <c r="F32" s="9"/>
      <c r="G32" s="9">
        <f>G26</f>
        <v>32</v>
      </c>
      <c r="H32" s="9"/>
      <c r="I32" s="9">
        <f ca="1">HLOOKUP(D32, materials[], 2,FALSE)</f>
        <v>6</v>
      </c>
      <c r="J32" s="9"/>
      <c r="K32" s="9" t="b">
        <v>1</v>
      </c>
      <c r="BB32"/>
      <c r="BC32"/>
      <c r="BD32"/>
      <c r="BE32"/>
      <c r="BF32"/>
      <c r="BG32"/>
      <c r="BH32"/>
      <c r="BI32"/>
      <c r="BJ32"/>
    </row>
    <row r="33" spans="1:62" x14ac:dyDescent="0.3">
      <c r="A33" s="35">
        <v>4</v>
      </c>
      <c r="B33" s="15" t="str">
        <f>E25</f>
        <v>تجليدة علوية</v>
      </c>
      <c r="C33" s="9">
        <v>1</v>
      </c>
      <c r="D33" s="9" t="str">
        <f ca="1">E26</f>
        <v>يوفيلاك</v>
      </c>
      <c r="E33" s="9" t="s">
        <v>120</v>
      </c>
      <c r="F33" s="9"/>
      <c r="G33" s="9">
        <f>G26</f>
        <v>32</v>
      </c>
      <c r="H33" s="9"/>
      <c r="I33" s="9">
        <f ca="1">HLOOKUP(D33, materials[], 2,FALSE)</f>
        <v>6</v>
      </c>
      <c r="J33" s="9"/>
      <c r="K33" s="9" t="b">
        <v>1</v>
      </c>
      <c r="BB33"/>
      <c r="BC33"/>
      <c r="BD33"/>
      <c r="BE33"/>
      <c r="BF33"/>
      <c r="BG33"/>
      <c r="BH33"/>
      <c r="BI33"/>
      <c r="BJ33"/>
    </row>
    <row r="34" spans="1:62" x14ac:dyDescent="0.3">
      <c r="A34" s="35">
        <v>4</v>
      </c>
      <c r="B34" s="15" t="str">
        <f>E25</f>
        <v>تجليدة علوية</v>
      </c>
      <c r="C34" s="9">
        <v>1</v>
      </c>
      <c r="D34" s="9" t="str">
        <f ca="1">E26</f>
        <v>يوفيلاك</v>
      </c>
      <c r="E34" s="9" t="s">
        <v>120</v>
      </c>
      <c r="F34" s="9"/>
      <c r="G34" s="9">
        <f>G26</f>
        <v>32</v>
      </c>
      <c r="H34" s="9"/>
      <c r="I34" s="9">
        <f ca="1">HLOOKUP(D34, materials[], 2,FALSE)</f>
        <v>6</v>
      </c>
      <c r="J34" s="9"/>
      <c r="K34" s="9" t="b">
        <v>1</v>
      </c>
      <c r="BB34"/>
      <c r="BC34"/>
      <c r="BD34"/>
      <c r="BE34"/>
      <c r="BF34"/>
      <c r="BG34"/>
      <c r="BH34"/>
      <c r="BI34"/>
      <c r="BJ34"/>
    </row>
    <row r="35" spans="1:62" customFormat="1" ht="14.4" x14ac:dyDescent="0.3">
      <c r="A35" s="45">
        <v>255</v>
      </c>
    </row>
    <row r="36" spans="1:62" customFormat="1" ht="14.4" x14ac:dyDescent="0.3">
      <c r="A36" s="45">
        <v>255</v>
      </c>
    </row>
    <row r="37" spans="1:62" ht="18" x14ac:dyDescent="0.3">
      <c r="A37" s="36" t="s">
        <v>156</v>
      </c>
      <c r="B37" s="15"/>
      <c r="C37" s="14">
        <v>1</v>
      </c>
      <c r="D37" s="22" t="s">
        <v>59</v>
      </c>
      <c r="E37" s="101" t="s">
        <v>172</v>
      </c>
      <c r="F37" s="102"/>
      <c r="G37" s="102"/>
      <c r="H37" s="103"/>
      <c r="I37" s="2" t="s">
        <v>30</v>
      </c>
      <c r="J37" s="2">
        <f>letterToNumber(A37)</f>
        <v>3</v>
      </c>
      <c r="K37" s="7">
        <f ca="1">_xlfn.SHEET("تجاليد")</f>
        <v>8</v>
      </c>
      <c r="BB37"/>
      <c r="BC37"/>
      <c r="BD37"/>
      <c r="BE37"/>
      <c r="BF37"/>
      <c r="BG37"/>
      <c r="BH37"/>
      <c r="BI37"/>
      <c r="BJ37"/>
    </row>
    <row r="38" spans="1:62" x14ac:dyDescent="0.3">
      <c r="A38" s="36">
        <v>1</v>
      </c>
      <c r="B38" s="15"/>
      <c r="C38" s="7"/>
      <c r="D38" s="18"/>
      <c r="E38" s="27" t="str" cm="1">
        <f t="array" aca="1" ref="E38" ca="1">defaultValue(F38,K37)</f>
        <v>يوفيلاك</v>
      </c>
      <c r="F38" s="7" t="s">
        <v>9</v>
      </c>
      <c r="G38" s="7">
        <v>20</v>
      </c>
      <c r="H38" s="7" t="s">
        <v>1</v>
      </c>
      <c r="I38" s="8"/>
      <c r="J38" s="7" t="s">
        <v>22</v>
      </c>
      <c r="K38" s="7"/>
      <c r="BB38"/>
      <c r="BC38"/>
      <c r="BD38"/>
      <c r="BE38"/>
      <c r="BF38"/>
      <c r="BG38"/>
      <c r="BH38"/>
      <c r="BI38"/>
      <c r="BJ38"/>
    </row>
    <row r="39" spans="1:62" ht="15.6" customHeight="1" x14ac:dyDescent="0.3">
      <c r="A39" s="36">
        <v>0</v>
      </c>
      <c r="B39"/>
      <c r="C39"/>
      <c r="D39"/>
      <c r="E39"/>
      <c r="F39"/>
      <c r="G39"/>
      <c r="H39"/>
      <c r="I39"/>
      <c r="J39"/>
      <c r="K39"/>
      <c r="BB39"/>
      <c r="BC39"/>
      <c r="BD39"/>
      <c r="BE39"/>
      <c r="BF39"/>
      <c r="BG39"/>
      <c r="BH39"/>
      <c r="BI39"/>
      <c r="BJ39"/>
    </row>
    <row r="40" spans="1:62" ht="15.6" customHeight="1" x14ac:dyDescent="0.3">
      <c r="A40" s="36">
        <v>2</v>
      </c>
      <c r="B40" s="15"/>
      <c r="C40" s="6" t="s">
        <v>4</v>
      </c>
      <c r="D40" s="6" t="s">
        <v>9</v>
      </c>
      <c r="E40" s="6" t="s">
        <v>5</v>
      </c>
      <c r="F40" s="6" t="s">
        <v>7</v>
      </c>
      <c r="G40" s="6" t="s">
        <v>1</v>
      </c>
      <c r="H40" s="6" t="s">
        <v>6</v>
      </c>
      <c r="I40" s="6" t="s">
        <v>33</v>
      </c>
      <c r="J40" s="6" t="s">
        <v>8</v>
      </c>
      <c r="K40" s="6" t="s">
        <v>185</v>
      </c>
      <c r="BB40"/>
      <c r="BC40"/>
      <c r="BD40"/>
      <c r="BE40"/>
      <c r="BF40"/>
      <c r="BG40"/>
      <c r="BH40"/>
      <c r="BI40"/>
      <c r="BJ40"/>
    </row>
    <row r="41" spans="1:62" x14ac:dyDescent="0.3">
      <c r="A41" s="36">
        <v>0</v>
      </c>
      <c r="B41"/>
      <c r="C41"/>
      <c r="D41"/>
      <c r="E41"/>
      <c r="F41"/>
      <c r="G41"/>
      <c r="H41"/>
      <c r="I41"/>
      <c r="J41"/>
      <c r="K41"/>
      <c r="BB41"/>
      <c r="BC41"/>
      <c r="BD41"/>
      <c r="BE41"/>
      <c r="BF41"/>
      <c r="BG41"/>
      <c r="BH41"/>
      <c r="BI41"/>
      <c r="BJ41"/>
    </row>
    <row r="42" spans="1:62" x14ac:dyDescent="0.3">
      <c r="A42" s="35">
        <v>4</v>
      </c>
      <c r="B42" s="15" t="str">
        <f>E37</f>
        <v>تجليدة مختلفة</v>
      </c>
      <c r="C42" s="9">
        <v>1</v>
      </c>
      <c r="D42" s="9" t="str">
        <f ca="1">E38</f>
        <v>يوفيلاك</v>
      </c>
      <c r="E42" s="9" t="s">
        <v>120</v>
      </c>
      <c r="F42" s="9"/>
      <c r="G42" s="9">
        <f>G38</f>
        <v>20</v>
      </c>
      <c r="H42" s="9"/>
      <c r="I42" s="9">
        <f ca="1">HLOOKUP(D42, materials[], 2,FALSE)</f>
        <v>6</v>
      </c>
      <c r="J42" s="9"/>
      <c r="K42" s="9" t="b">
        <v>1</v>
      </c>
      <c r="BB42"/>
      <c r="BC42"/>
      <c r="BD42"/>
      <c r="BE42"/>
      <c r="BF42"/>
      <c r="BG42"/>
      <c r="BH42"/>
      <c r="BI42"/>
      <c r="BJ42"/>
    </row>
    <row r="43" spans="1:62" x14ac:dyDescent="0.3">
      <c r="A43" s="35">
        <v>4</v>
      </c>
      <c r="B43" s="15" t="str">
        <f>E37</f>
        <v>تجليدة مختلفة</v>
      </c>
      <c r="C43" s="9">
        <v>1</v>
      </c>
      <c r="D43" s="9" t="str">
        <f ca="1">E38</f>
        <v>يوفيلاك</v>
      </c>
      <c r="E43" s="9" t="s">
        <v>120</v>
      </c>
      <c r="F43" s="9"/>
      <c r="G43" s="9">
        <f>G38</f>
        <v>20</v>
      </c>
      <c r="H43" s="9"/>
      <c r="I43" s="9">
        <f ca="1">HLOOKUP(D43, materials[], 2,FALSE)</f>
        <v>6</v>
      </c>
      <c r="J43" s="9"/>
      <c r="K43" s="9" t="b">
        <v>1</v>
      </c>
      <c r="BB43"/>
      <c r="BC43"/>
      <c r="BD43"/>
      <c r="BE43"/>
      <c r="BF43"/>
      <c r="BG43"/>
      <c r="BH43"/>
      <c r="BI43"/>
      <c r="BJ43"/>
    </row>
    <row r="44" spans="1:62" x14ac:dyDescent="0.3">
      <c r="A44" s="35">
        <v>4</v>
      </c>
      <c r="B44" s="15" t="str">
        <f>E37</f>
        <v>تجليدة مختلفة</v>
      </c>
      <c r="C44" s="9">
        <v>1</v>
      </c>
      <c r="D44" s="9" t="str">
        <f ca="1">E38</f>
        <v>يوفيلاك</v>
      </c>
      <c r="E44" s="9" t="s">
        <v>120</v>
      </c>
      <c r="F44" s="9"/>
      <c r="G44" s="9">
        <f>G38</f>
        <v>20</v>
      </c>
      <c r="H44" s="9"/>
      <c r="I44" s="9">
        <f ca="1">HLOOKUP(D44, materials[], 2,FALSE)</f>
        <v>6</v>
      </c>
      <c r="J44" s="9"/>
      <c r="K44" s="9" t="b">
        <v>1</v>
      </c>
      <c r="BB44"/>
      <c r="BC44"/>
      <c r="BD44"/>
      <c r="BE44"/>
      <c r="BF44"/>
      <c r="BG44"/>
      <c r="BH44"/>
      <c r="BI44"/>
      <c r="BJ44"/>
    </row>
    <row r="45" spans="1:62" x14ac:dyDescent="0.3">
      <c r="A45" s="35">
        <v>4</v>
      </c>
      <c r="B45" s="15" t="str">
        <f>E37</f>
        <v>تجليدة مختلفة</v>
      </c>
      <c r="C45" s="9">
        <v>1</v>
      </c>
      <c r="D45" s="9" t="str">
        <f ca="1">E38</f>
        <v>يوفيلاك</v>
      </c>
      <c r="E45" s="9" t="s">
        <v>120</v>
      </c>
      <c r="F45" s="9"/>
      <c r="G45" s="9">
        <f>G38</f>
        <v>20</v>
      </c>
      <c r="H45" s="9"/>
      <c r="I45" s="9">
        <f ca="1">HLOOKUP(D45, materials[], 2,FALSE)</f>
        <v>6</v>
      </c>
      <c r="J45" s="9"/>
      <c r="K45" s="9" t="b">
        <v>1</v>
      </c>
      <c r="BB45"/>
      <c r="BC45"/>
      <c r="BD45"/>
      <c r="BE45"/>
      <c r="BF45"/>
      <c r="BG45"/>
      <c r="BH45"/>
      <c r="BI45"/>
      <c r="BJ45"/>
    </row>
    <row r="46" spans="1:62" x14ac:dyDescent="0.3">
      <c r="A46" s="35">
        <v>4</v>
      </c>
      <c r="B46" s="15" t="str">
        <f>E37</f>
        <v>تجليدة مختلفة</v>
      </c>
      <c r="C46" s="9">
        <v>1</v>
      </c>
      <c r="D46" s="9" t="str">
        <f ca="1">E38</f>
        <v>يوفيلاك</v>
      </c>
      <c r="E46" s="9" t="s">
        <v>120</v>
      </c>
      <c r="F46" s="9"/>
      <c r="G46" s="9">
        <f>G38</f>
        <v>20</v>
      </c>
      <c r="H46" s="9"/>
      <c r="I46" s="9">
        <f ca="1">HLOOKUP(D46, materials[], 2,FALSE)</f>
        <v>6</v>
      </c>
      <c r="J46" s="9"/>
      <c r="K46" s="9" t="b">
        <v>1</v>
      </c>
      <c r="BB46"/>
      <c r="BC46"/>
      <c r="BD46"/>
      <c r="BE46"/>
      <c r="BF46"/>
      <c r="BG46"/>
      <c r="BH46"/>
      <c r="BI46"/>
      <c r="BJ46"/>
    </row>
    <row r="47" spans="1:62" customFormat="1" ht="14.4" x14ac:dyDescent="0.3">
      <c r="A47" s="45">
        <v>255</v>
      </c>
    </row>
    <row r="48" spans="1:62" customFormat="1" ht="14.4" x14ac:dyDescent="0.3">
      <c r="A48" s="45">
        <v>255</v>
      </c>
    </row>
  </sheetData>
  <mergeCells count="4">
    <mergeCell ref="E13:H13"/>
    <mergeCell ref="C2:J2"/>
    <mergeCell ref="E25:H25"/>
    <mergeCell ref="E37:H37"/>
  </mergeCells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toggleOutputVisibility">
                <anchor moveWithCells="1" sizeWithCells="1">
                  <from>
                    <xdr:col>9</xdr:col>
                    <xdr:colOff>15240</xdr:colOff>
                    <xdr:row>5</xdr:row>
                    <xdr:rowOff>60960</xdr:rowOff>
                  </from>
                  <to>
                    <xdr:col>11</xdr:col>
                    <xdr:colOff>563880</xdr:colOff>
                    <xdr:row>6</xdr:row>
                    <xdr:rowOff>220980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insertBlock">
                <anchor moveWithCells="1" sizeWithCells="1">
                  <from>
                    <xdr:col>2</xdr:col>
                    <xdr:colOff>228600</xdr:colOff>
                    <xdr:row>4</xdr:row>
                    <xdr:rowOff>182880</xdr:rowOff>
                  </from>
                  <to>
                    <xdr:col>4</xdr:col>
                    <xdr:colOff>373380</xdr:colOff>
                    <xdr:row>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6" name="Button 3">
              <controlPr defaultSize="0" print="0" autoFill="0" autoPict="0" macro="[0]!deleteBlock">
                <anchor moveWithCells="1" sizeWithCells="1">
                  <from>
                    <xdr:col>4</xdr:col>
                    <xdr:colOff>510540</xdr:colOff>
                    <xdr:row>4</xdr:row>
                    <xdr:rowOff>182880</xdr:rowOff>
                  </from>
                  <to>
                    <xdr:col>8</xdr:col>
                    <xdr:colOff>60960</xdr:colOff>
                    <xdr:row>6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إعدادات</vt:lpstr>
      <vt:lpstr>نماذج</vt:lpstr>
      <vt:lpstr>وحدات</vt:lpstr>
      <vt:lpstr>وحدات سفلية</vt:lpstr>
      <vt:lpstr>بورديوم</vt:lpstr>
      <vt:lpstr>وحدات علوية</vt:lpstr>
      <vt:lpstr>دواليب</vt:lpstr>
      <vt:lpstr>تجاليد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Legion</dc:creator>
  <cp:lastModifiedBy>Rafat Wael Rezk Sagid Aldagen</cp:lastModifiedBy>
  <dcterms:created xsi:type="dcterms:W3CDTF">2024-09-07T11:48:13Z</dcterms:created>
  <dcterms:modified xsi:type="dcterms:W3CDTF">2024-09-21T15:05:58Z</dcterms:modified>
</cp:coreProperties>
</file>