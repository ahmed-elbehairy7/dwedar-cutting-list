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92BBBD1F-5CB8-4CD7-B30F-489C047FD904}" xr6:coauthVersionLast="47" xr6:coauthVersionMax="47" xr10:uidLastSave="{00000000-0000-0000-0000-000000000000}"/>
  <bookViews>
    <workbookView xWindow="-108" yWindow="-108" windowWidth="23256" windowHeight="12456" tabRatio="627" activeTab="4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10" l="1"/>
  <c r="G35" i="10"/>
  <c r="B35" i="10"/>
  <c r="H33" i="10"/>
  <c r="G33" i="10"/>
  <c r="B33" i="10"/>
  <c r="H32" i="10"/>
  <c r="G32" i="10"/>
  <c r="B32" i="10"/>
  <c r="H30" i="10"/>
  <c r="G30" i="10"/>
  <c r="F30" i="10"/>
  <c r="B30" i="10"/>
  <c r="H29" i="10"/>
  <c r="B29" i="10"/>
  <c r="H28" i="10"/>
  <c r="F28" i="10"/>
  <c r="B28" i="10"/>
  <c r="H27" i="10"/>
  <c r="F27" i="10"/>
  <c r="B27" i="10"/>
  <c r="H26" i="10"/>
  <c r="C26" i="10"/>
  <c r="C27" i="10" s="1"/>
  <c r="C28" i="10" s="1"/>
  <c r="C29" i="10" s="1"/>
  <c r="C30" i="10" s="1"/>
  <c r="C32" i="10" s="1"/>
  <c r="C33" i="10" s="1"/>
  <c r="C35" i="10" s="1"/>
  <c r="B26" i="10"/>
  <c r="H25" i="10"/>
  <c r="G25" i="10"/>
  <c r="F25" i="10"/>
  <c r="B25" i="10"/>
  <c r="K17" i="10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J17" i="10"/>
  <c r="J20" i="10" a="1"/>
  <c r="I19" i="10" a="1"/>
  <c r="I20" i="10" a="1"/>
  <c r="J19" i="10" a="1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I38" i="5"/>
  <c r="I39" i="5"/>
  <c r="I90" i="5"/>
  <c r="I89" i="5"/>
  <c r="I91" i="5"/>
  <c r="I127" i="4"/>
  <c r="I33" i="4"/>
  <c r="I171" i="4"/>
  <c r="I126" i="4"/>
  <c r="I102" i="4"/>
  <c r="I78" i="4"/>
  <c r="I54" i="4"/>
  <c r="C166" i="3"/>
  <c r="C169" i="3"/>
  <c r="H168" i="3" a="1"/>
  <c r="B171" i="3" a="1"/>
  <c r="E172" i="3" a="1"/>
  <c r="B167" i="3" a="1"/>
  <c r="H166" i="3" a="1"/>
  <c r="C165" i="3"/>
  <c r="C164" i="3"/>
  <c r="B172" i="3"/>
  <c r="F167" i="3" a="1"/>
  <c r="C167" i="3"/>
  <c r="H164" i="3" a="1"/>
  <c r="C172" i="3"/>
  <c r="F168" i="3" a="1"/>
  <c r="C168" i="3"/>
  <c r="G172" i="3" a="1"/>
  <c r="H165" i="3" a="1"/>
  <c r="E169" i="3" a="1"/>
  <c r="H172" i="3"/>
  <c r="E166" i="3" a="1"/>
  <c r="G167" i="3" a="1"/>
  <c r="C171" i="3"/>
  <c r="E168" i="3" a="1"/>
  <c r="E167" i="3" a="1"/>
  <c r="H167" i="3" a="1"/>
  <c r="B166" i="3" a="1"/>
  <c r="B169" i="3"/>
  <c r="J157" i="3"/>
  <c r="B164" i="3" a="1"/>
  <c r="B165" i="3" a="1"/>
  <c r="H171" i="3" a="1"/>
  <c r="F164" i="3" a="1"/>
  <c r="E171" i="3" a="1"/>
  <c r="F166" i="3" a="1"/>
  <c r="E164" i="3" a="1"/>
  <c r="B168" i="3" a="1"/>
  <c r="G166" i="3" a="1"/>
  <c r="H169" i="3"/>
  <c r="E165" i="3" a="1"/>
  <c r="J19" i="10" l="1"/>
  <c r="G26" i="10" s="1"/>
  <c r="I20" i="10"/>
  <c r="I19" i="10"/>
  <c r="J20" i="10"/>
  <c r="F166" i="3"/>
  <c r="G172" i="3"/>
  <c r="F164" i="3"/>
  <c r="F168" i="3"/>
  <c r="H164" i="3"/>
  <c r="E166" i="3"/>
  <c r="H168" i="3"/>
  <c r="H165" i="3"/>
  <c r="E167" i="3"/>
  <c r="H171" i="3"/>
  <c r="B165" i="3"/>
  <c r="G166" i="3"/>
  <c r="B171" i="3"/>
  <c r="F167" i="3"/>
  <c r="E164" i="3"/>
  <c r="H166" i="3"/>
  <c r="E168" i="3"/>
  <c r="B164" i="3"/>
  <c r="B168" i="3"/>
  <c r="B166" i="3"/>
  <c r="G167" i="3"/>
  <c r="E169" i="3"/>
  <c r="E165" i="3"/>
  <c r="H167" i="3"/>
  <c r="E171" i="3"/>
  <c r="B167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89" i="5"/>
  <c r="J90" i="5"/>
  <c r="J39" i="5"/>
  <c r="J38" i="5"/>
  <c r="J78" i="4"/>
  <c r="J102" i="4"/>
  <c r="J171" i="4"/>
  <c r="J33" i="4"/>
  <c r="J127" i="4"/>
  <c r="J126" i="4"/>
  <c r="J54" i="4"/>
  <c r="F26" i="10" l="1"/>
  <c r="F29" i="10"/>
  <c r="F35" i="10"/>
  <c r="K122" i="3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B140" i="3"/>
  <c r="H147" i="3"/>
  <c r="H144" i="3" a="1"/>
  <c r="G149" i="3" a="1"/>
  <c r="C136" i="3"/>
  <c r="H132" i="3" a="1"/>
  <c r="B142" i="3"/>
  <c r="G136" i="3" a="1"/>
  <c r="C154" i="3"/>
  <c r="E130" i="3" a="1"/>
  <c r="F140" i="3" a="1"/>
  <c r="H138" i="3" a="1"/>
  <c r="C138" i="3"/>
  <c r="H142" i="3" a="1"/>
  <c r="C137" i="3"/>
  <c r="B149" i="3"/>
  <c r="E140" i="3" a="1"/>
  <c r="E149" i="3" a="1"/>
  <c r="H152" i="3"/>
  <c r="F134" i="3" a="1"/>
  <c r="C143" i="3"/>
  <c r="C139" i="3"/>
  <c r="B146" i="3" a="1"/>
  <c r="F130" i="3" a="1"/>
  <c r="E141" i="3" a="1"/>
  <c r="G133" i="3" a="1"/>
  <c r="E147" i="3" a="1"/>
  <c r="H154" i="3"/>
  <c r="B130" i="3" a="1"/>
  <c r="C131" i="3"/>
  <c r="B133" i="3" a="1"/>
  <c r="B143" i="3"/>
  <c r="E148" i="3" a="1"/>
  <c r="E134" i="3" a="1"/>
  <c r="H140" i="3" a="1"/>
  <c r="B132" i="3" a="1"/>
  <c r="H130" i="3" a="1"/>
  <c r="F142" i="3" a="1"/>
  <c r="G143" i="3" a="1"/>
  <c r="G146" i="3" a="1"/>
  <c r="B144" i="3"/>
  <c r="E136" i="3" a="1"/>
  <c r="J122" i="3"/>
  <c r="G142" i="3" a="1"/>
  <c r="H153" i="3"/>
  <c r="G138" i="3" a="1"/>
  <c r="C153" i="3"/>
  <c r="F136" i="3" a="1"/>
  <c r="E153" i="3" a="1"/>
  <c r="C142" i="3"/>
  <c r="B153" i="3"/>
  <c r="H146" i="3" a="1"/>
  <c r="F133" i="3" a="1"/>
  <c r="H141" i="3" a="1"/>
  <c r="H149" i="3"/>
  <c r="H136" i="3" a="1"/>
  <c r="G139" i="3" a="1"/>
  <c r="C149" i="3"/>
  <c r="H143" i="3" a="1"/>
  <c r="C152" i="3"/>
  <c r="H137" i="3" a="1"/>
  <c r="B138" i="3"/>
  <c r="C132" i="3"/>
  <c r="G148" i="3" a="1"/>
  <c r="E144" i="3" a="1"/>
  <c r="E138" i="3" a="1"/>
  <c r="F132" i="3" a="1"/>
  <c r="G144" i="3" a="1"/>
  <c r="E135" i="3" a="1"/>
  <c r="H139" i="3" a="1"/>
  <c r="G132" i="3" a="1"/>
  <c r="B135" i="3"/>
  <c r="H133" i="3" a="1"/>
  <c r="E132" i="3" a="1"/>
  <c r="G137" i="3" a="1"/>
  <c r="B131" i="3" a="1"/>
  <c r="H135" i="3" a="1"/>
  <c r="B134" i="3" a="1"/>
  <c r="H134" i="3" a="1"/>
  <c r="C148" i="3"/>
  <c r="E154" i="3" a="1"/>
  <c r="C134" i="3"/>
  <c r="C146" i="3"/>
  <c r="C133" i="3"/>
  <c r="F154" i="3" a="1"/>
  <c r="B152" i="3"/>
  <c r="G135" i="3" a="1"/>
  <c r="B139" i="3"/>
  <c r="C130" i="3"/>
  <c r="C141" i="3"/>
  <c r="B141" i="3"/>
  <c r="E137" i="3" a="1"/>
  <c r="B137" i="3"/>
  <c r="F139" i="3" a="1"/>
  <c r="C144" i="3"/>
  <c r="F143" i="3" a="1"/>
  <c r="F152" i="3" a="1"/>
  <c r="H148" i="3"/>
  <c r="G141" i="3" a="1"/>
  <c r="C147" i="3"/>
  <c r="C140" i="3"/>
  <c r="G147" i="3" a="1"/>
  <c r="G140" i="3" a="1"/>
  <c r="G134" i="3" a="1"/>
  <c r="B147" i="3"/>
  <c r="E146" i="3" a="1"/>
  <c r="E139" i="3" a="1"/>
  <c r="C135" i="3"/>
  <c r="E143" i="3" a="1"/>
  <c r="E152" i="3" a="1"/>
  <c r="E142" i="3" a="1"/>
  <c r="E133" i="3" a="1"/>
  <c r="H131" i="3" a="1"/>
  <c r="B136" i="3"/>
  <c r="B148" i="3"/>
  <c r="B154" i="3"/>
  <c r="F153" i="3" a="1"/>
  <c r="E131" i="3" a="1"/>
  <c r="F137" i="3" a="1"/>
  <c r="G139" i="3" l="1"/>
  <c r="G149" i="3"/>
  <c r="E140" i="3"/>
  <c r="E143" i="3"/>
  <c r="H133" i="3"/>
  <c r="F154" i="3"/>
  <c r="G142" i="3"/>
  <c r="E132" i="3"/>
  <c r="B133" i="3"/>
  <c r="F134" i="3"/>
  <c r="H136" i="3"/>
  <c r="F137" i="3"/>
  <c r="H139" i="3"/>
  <c r="F140" i="3"/>
  <c r="H142" i="3"/>
  <c r="F143" i="3"/>
  <c r="G146" i="3"/>
  <c r="E147" i="3"/>
  <c r="B130" i="3"/>
  <c r="E154" i="3"/>
  <c r="G134" i="3"/>
  <c r="G137" i="3"/>
  <c r="G140" i="3"/>
  <c r="E141" i="3"/>
  <c r="G143" i="3"/>
  <c r="E144" i="3"/>
  <c r="H146" i="3"/>
  <c r="F132" i="3"/>
  <c r="E138" i="3"/>
  <c r="B146" i="3"/>
  <c r="E148" i="3"/>
  <c r="E152" i="3"/>
  <c r="F130" i="3"/>
  <c r="G132" i="3"/>
  <c r="H134" i="3"/>
  <c r="H137" i="3"/>
  <c r="H140" i="3"/>
  <c r="H143" i="3"/>
  <c r="G147" i="3"/>
  <c r="E133" i="3"/>
  <c r="B134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B131" i="3"/>
  <c r="E135" i="3"/>
  <c r="B132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C22" i="6"/>
  <c r="C36" i="6"/>
  <c r="C49" i="6"/>
  <c r="C50" i="6"/>
  <c r="C48" i="6"/>
  <c r="C37" i="6"/>
  <c r="C23" i="6"/>
  <c r="C35" i="6"/>
  <c r="C24" i="6"/>
  <c r="C47" i="6"/>
  <c r="C34" i="6"/>
  <c r="C26" i="6"/>
  <c r="C38" i="6"/>
  <c r="C46" i="6"/>
  <c r="C25" i="6"/>
  <c r="B115" i="3" a="1"/>
  <c r="E115" i="3" a="1"/>
  <c r="E114" i="3" a="1"/>
  <c r="B112" i="3" a="1"/>
  <c r="F111" i="3" a="1"/>
  <c r="E113" i="3" a="1"/>
  <c r="H117" i="3" a="1"/>
  <c r="F113" i="3" a="1"/>
  <c r="C113" i="3" a="1"/>
  <c r="E111" i="3" a="1"/>
  <c r="C117" i="3" a="1"/>
  <c r="B117" i="3" a="1"/>
  <c r="H114" i="3" a="1"/>
  <c r="F114" i="3" a="1"/>
  <c r="H112" i="3" a="1"/>
  <c r="G113" i="3" a="1"/>
  <c r="E112" i="3" a="1"/>
  <c r="B114" i="3" a="1"/>
  <c r="C114" i="3" a="1"/>
  <c r="E117" i="3" a="1"/>
  <c r="B111" i="3" a="1"/>
  <c r="H115" i="3" a="1"/>
  <c r="F115" i="3" a="1"/>
  <c r="C111" i="3" a="1"/>
  <c r="G114" i="3" a="1"/>
  <c r="G117" i="3" a="1"/>
  <c r="B113" i="3" a="1"/>
  <c r="H113" i="3" a="1"/>
  <c r="C112" i="3" a="1"/>
  <c r="J104" i="3"/>
  <c r="C115" i="3" a="1"/>
  <c r="H111" i="3" a="1"/>
  <c r="F111" i="3" l="1"/>
  <c r="C112" i="3"/>
  <c r="F113" i="3"/>
  <c r="C114" i="3"/>
  <c r="F115" i="3"/>
  <c r="C117" i="3"/>
  <c r="G113" i="3"/>
  <c r="B111" i="3"/>
  <c r="B113" i="3"/>
  <c r="H115" i="3"/>
  <c r="E117" i="3"/>
  <c r="H113" i="3"/>
  <c r="E112" i="3"/>
  <c r="B115" i="3"/>
  <c r="C111" i="3"/>
  <c r="C113" i="3"/>
  <c r="F114" i="3"/>
  <c r="C115" i="3"/>
  <c r="E114" i="3"/>
  <c r="G114" i="3"/>
  <c r="G117" i="3"/>
  <c r="H111" i="3"/>
  <c r="E111" i="3"/>
  <c r="B112" i="3"/>
  <c r="H112" i="3"/>
  <c r="E113" i="3"/>
  <c r="B114" i="3"/>
  <c r="H114" i="3"/>
  <c r="E115" i="3"/>
  <c r="B117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41" i="8" a="1"/>
  <c r="O40" i="8" a="1"/>
  <c r="O39" i="8" a="1"/>
  <c r="O38" i="8" a="1"/>
  <c r="O37" i="8" a="1"/>
  <c r="O36" i="8" a="1"/>
  <c r="O35" i="8" a="1"/>
  <c r="O34" i="8" a="1"/>
  <c r="O33" i="8" a="1"/>
  <c r="O32" i="8" a="1"/>
  <c r="O31" i="8" a="1"/>
  <c r="O30" i="8" a="1"/>
  <c r="O29" i="8" a="1"/>
  <c r="L39" i="8" a="1"/>
  <c r="L32" i="8" a="1"/>
  <c r="L30" i="8" a="1"/>
  <c r="L37" i="8" a="1"/>
  <c r="L38" i="8" a="1"/>
  <c r="L33" i="8" a="1"/>
  <c r="L34" i="8" a="1"/>
  <c r="L40" i="8" a="1"/>
  <c r="L36" i="8" a="1"/>
  <c r="L31" i="8" a="1"/>
  <c r="L29" i="8" a="1"/>
  <c r="L41" i="8" a="1"/>
  <c r="L35" i="8" a="1"/>
  <c r="I38" i="8" a="1"/>
  <c r="I37" i="8" a="1"/>
  <c r="I39" i="8" a="1"/>
  <c r="I41" i="8" a="1"/>
  <c r="I34" i="8" a="1"/>
  <c r="I40" i="8" a="1"/>
  <c r="I35" i="8" a="1"/>
  <c r="I30" i="8" a="1"/>
  <c r="I29" i="8" a="1"/>
  <c r="I31" i="8" a="1"/>
  <c r="F38" i="8" a="1"/>
  <c r="F40" i="8" a="1"/>
  <c r="F37" i="8" a="1"/>
  <c r="F39" i="8" a="1"/>
  <c r="F36" i="8" a="1"/>
  <c r="F41" i="8" a="1"/>
  <c r="F34" i="8" a="1"/>
  <c r="F35" i="8" a="1"/>
  <c r="F30" i="8" a="1"/>
  <c r="F31" i="8" a="1"/>
  <c r="F29" i="8" a="1"/>
  <c r="J26" i="11"/>
  <c r="J24" i="11"/>
  <c r="J27" i="11"/>
  <c r="J25" i="11"/>
  <c r="O29" i="8" l="1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G50" i="6"/>
  <c r="B50" i="6"/>
  <c r="G49" i="6"/>
  <c r="B49" i="6"/>
  <c r="G48" i="6"/>
  <c r="B48" i="6"/>
  <c r="G47" i="6"/>
  <c r="B47" i="6"/>
  <c r="G46" i="6"/>
  <c r="B46" i="6"/>
  <c r="G38" i="6"/>
  <c r="B38" i="6"/>
  <c r="G37" i="6"/>
  <c r="B37" i="6"/>
  <c r="G36" i="6"/>
  <c r="B36" i="6"/>
  <c r="G35" i="6"/>
  <c r="B35" i="6"/>
  <c r="G34" i="6"/>
  <c r="B34" i="6"/>
  <c r="G26" i="6"/>
  <c r="G25" i="6"/>
  <c r="G24" i="6"/>
  <c r="G23" i="6"/>
  <c r="B26" i="6"/>
  <c r="B25" i="6"/>
  <c r="B24" i="6"/>
  <c r="B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C94" i="4"/>
  <c r="C95" i="4" s="1"/>
  <c r="C96" i="4" s="1"/>
  <c r="C97" i="4" s="1"/>
  <c r="C99" i="4" s="1"/>
  <c r="C100" i="4" s="1"/>
  <c r="C102" i="4" s="1"/>
  <c r="C104" i="4" s="1"/>
  <c r="H93" i="4"/>
  <c r="F93" i="4"/>
  <c r="B93" i="4"/>
  <c r="B96" i="4" s="1"/>
  <c r="B102" i="4" s="1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C89" i="3"/>
  <c r="C90" i="3" s="1"/>
  <c r="C91" i="3" s="1"/>
  <c r="C92" i="3" s="1"/>
  <c r="C93" i="3" s="1"/>
  <c r="C94" i="3" s="1"/>
  <c r="C95" i="3" s="1"/>
  <c r="C97" i="3" s="1"/>
  <c r="C98" i="3" s="1"/>
  <c r="H88" i="3"/>
  <c r="F88" i="3"/>
  <c r="B88" i="3"/>
  <c r="B92" i="3" s="1"/>
  <c r="E19" i="10" a="1"/>
  <c r="D21" i="10" a="1"/>
  <c r="F21" i="10" a="1"/>
  <c r="H21" i="10" a="1"/>
  <c r="J29" i="6"/>
  <c r="J41" i="6"/>
  <c r="J83" i="4"/>
  <c r="J81" i="3"/>
  <c r="I38" i="11" a="1"/>
  <c r="I56" i="11" a="1"/>
  <c r="I107" i="3" a="1"/>
  <c r="I125" i="3" a="1"/>
  <c r="I91" i="11" a="1"/>
  <c r="I160" i="3" a="1"/>
  <c r="J38" i="11" a="1"/>
  <c r="J56" i="11" a="1"/>
  <c r="J107" i="3" a="1"/>
  <c r="J125" i="3" a="1"/>
  <c r="J91" i="11" a="1"/>
  <c r="J160" i="3" a="1"/>
  <c r="G109" i="4" a="1"/>
  <c r="G135" i="4" a="1"/>
  <c r="I89" i="11" a="1"/>
  <c r="J156" i="4" a="1"/>
  <c r="I61" i="4" a="1"/>
  <c r="G91" i="11" a="1"/>
  <c r="I105" i="3" a="1"/>
  <c r="I123" i="3" a="1"/>
  <c r="K56" i="11" a="1"/>
  <c r="I19" i="4" a="1"/>
  <c r="G107" i="3" a="1"/>
  <c r="F160" i="3" a="1"/>
  <c r="G40" i="4" a="1"/>
  <c r="K125" i="3" a="1"/>
  <c r="J19" i="4" a="1"/>
  <c r="C123" i="3" a="1"/>
  <c r="I158" i="3" a="1"/>
  <c r="C89" i="11" a="1"/>
  <c r="J136" i="4" a="1"/>
  <c r="J40" i="4" a="1"/>
  <c r="J135" i="4" a="1"/>
  <c r="I110" i="4" a="1"/>
  <c r="G160" i="3" a="1"/>
  <c r="I36" i="11" a="1"/>
  <c r="J110" i="4" a="1"/>
  <c r="G125" i="3" a="1"/>
  <c r="J85" i="4" a="1"/>
  <c r="G56" i="11" a="1"/>
  <c r="I40" i="4" a="1"/>
  <c r="I85" i="4" a="1"/>
  <c r="G19" i="4" a="1"/>
  <c r="C54" i="11" a="1"/>
  <c r="J61" i="4" a="1"/>
  <c r="G61" i="4" a="1"/>
  <c r="J109" i="4" a="1"/>
  <c r="F107" i="3" a="1"/>
  <c r="I109" i="4" a="1"/>
  <c r="I135" i="4" a="1"/>
  <c r="C36" i="11" a="1"/>
  <c r="G38" i="11" a="1"/>
  <c r="I136" i="4" a="1"/>
  <c r="G85" i="4" a="1"/>
  <c r="I156" i="4" a="1"/>
  <c r="I54" i="11" a="1"/>
  <c r="G156" i="4" a="1"/>
  <c r="H21" i="10" l="1"/>
  <c r="F21" i="10"/>
  <c r="D21" i="10"/>
  <c r="D35" i="10" s="1"/>
  <c r="E19" i="10"/>
  <c r="J160" i="3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B98" i="3"/>
  <c r="B101" i="3"/>
  <c r="B99" i="4"/>
  <c r="B95" i="4"/>
  <c r="B97" i="4"/>
  <c r="B104" i="4"/>
  <c r="B100" i="4"/>
  <c r="B94" i="4"/>
  <c r="C100" i="3"/>
  <c r="C101" i="3" s="1"/>
  <c r="B100" i="3"/>
  <c r="B91" i="3"/>
  <c r="B95" i="3" s="1"/>
  <c r="B89" i="3"/>
  <c r="B93" i="3" s="1"/>
  <c r="B97" i="3"/>
  <c r="B90" i="3"/>
  <c r="B94" i="3" s="1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I35" i="10"/>
  <c r="J35" i="10" s="1"/>
  <c r="J17" i="6"/>
  <c r="J44" i="5"/>
  <c r="J17" i="5"/>
  <c r="J154" i="4"/>
  <c r="J17" i="4"/>
  <c r="J133" i="4"/>
  <c r="J107" i="4"/>
  <c r="J38" i="4"/>
  <c r="J59" i="4"/>
  <c r="J17" i="3"/>
  <c r="J38" i="3"/>
  <c r="J58" i="3"/>
  <c r="G168" i="3" a="1"/>
  <c r="G164" i="3" a="1"/>
  <c r="G165" i="3" a="1"/>
  <c r="G130" i="3" a="1"/>
  <c r="G131" i="3" a="1"/>
  <c r="G115" i="3" a="1"/>
  <c r="G112" i="3" a="1"/>
  <c r="G111" i="3" a="1"/>
  <c r="G46" i="11" a="1"/>
  <c r="G43" i="11" a="1"/>
  <c r="G42" i="11" a="1"/>
  <c r="F131" i="3" a="1"/>
  <c r="G99" i="11" a="1"/>
  <c r="G96" i="11" a="1"/>
  <c r="G95" i="11" a="1"/>
  <c r="F165" i="3" a="1"/>
  <c r="F172" i="3" a="1"/>
  <c r="F169" i="3" a="1"/>
  <c r="G62" i="11" a="1"/>
  <c r="G61" i="11" a="1"/>
  <c r="F62" i="11" a="1"/>
  <c r="F103" i="11" a="1"/>
  <c r="F96" i="11" a="1"/>
  <c r="F100" i="11" a="1"/>
  <c r="F112" i="3" a="1"/>
  <c r="F43" i="11" a="1"/>
  <c r="C174" i="3"/>
  <c r="D113" i="3" a="1"/>
  <c r="E40" i="3" a="1"/>
  <c r="G50" i="11" a="1"/>
  <c r="D43" i="11" a="1"/>
  <c r="D69" i="11"/>
  <c r="D46" i="11" a="1"/>
  <c r="D42" i="11" a="1"/>
  <c r="D97" i="11" a="1"/>
  <c r="F50" i="11" a="1"/>
  <c r="D70" i="11"/>
  <c r="D99" i="11" a="1"/>
  <c r="J60" i="3" a="1"/>
  <c r="H50" i="11" a="1"/>
  <c r="D95" i="11" a="1"/>
  <c r="F66" i="11" a="1"/>
  <c r="F48" i="11" a="1"/>
  <c r="F85" i="4" a="1"/>
  <c r="D64" i="11" a="1"/>
  <c r="F78" i="11" a="1"/>
  <c r="D66" i="11"/>
  <c r="I20" i="3" a="1"/>
  <c r="E105" i="11" a="1"/>
  <c r="D132" i="3" a="1"/>
  <c r="D74" i="11"/>
  <c r="E174" i="3" a="1"/>
  <c r="D133" i="3" a="1"/>
  <c r="D143" i="3"/>
  <c r="J83" i="3" a="1"/>
  <c r="E50" i="11" a="1"/>
  <c r="H119" i="3" a="1"/>
  <c r="B119" i="3" a="1"/>
  <c r="I19" i="3" a="1"/>
  <c r="J40" i="3" a="1"/>
  <c r="D72" i="11"/>
  <c r="B50" i="11" a="1"/>
  <c r="G83" i="3" a="1"/>
  <c r="F61" i="4" a="1"/>
  <c r="D168" i="3" a="1"/>
  <c r="C119" i="3" a="1"/>
  <c r="I83" i="3" a="1"/>
  <c r="F117" i="3" a="1"/>
  <c r="D137" i="3"/>
  <c r="F119" i="3" a="1"/>
  <c r="G105" i="11" a="1"/>
  <c r="F151" i="3" a="1"/>
  <c r="D75" i="11"/>
  <c r="G174" i="3" a="1"/>
  <c r="F144" i="3" a="1"/>
  <c r="D131" i="3" a="1"/>
  <c r="I60" i="3" a="1"/>
  <c r="B151" i="3" a="1"/>
  <c r="J20" i="3" a="1"/>
  <c r="F102" i="11" a="1"/>
  <c r="J41" i="3" a="1"/>
  <c r="C50" i="11" a="1"/>
  <c r="D138" i="3"/>
  <c r="F69" i="11" a="1"/>
  <c r="G151" i="3" a="1"/>
  <c r="D61" i="11" a="1"/>
  <c r="G60" i="3" a="1"/>
  <c r="H174" i="3" a="1"/>
  <c r="D134" i="3" a="1"/>
  <c r="F141" i="3" a="1"/>
  <c r="E60" i="3" a="1"/>
  <c r="F72" i="11" a="1"/>
  <c r="I41" i="3" a="1"/>
  <c r="D73" i="11"/>
  <c r="E151" i="3" a="1"/>
  <c r="C82" i="11"/>
  <c r="C151" i="3"/>
  <c r="E83" i="3" a="1"/>
  <c r="J19" i="3" a="1"/>
  <c r="D112" i="3" a="1"/>
  <c r="F19" i="4" a="1"/>
  <c r="E19" i="3" a="1"/>
  <c r="D96" i="11" a="1"/>
  <c r="F174" i="3" a="1"/>
  <c r="F171" i="3" a="1"/>
  <c r="B174" i="3" a="1"/>
  <c r="F135" i="3" a="1"/>
  <c r="D136" i="3"/>
  <c r="F105" i="11" a="1"/>
  <c r="F109" i="4" a="1"/>
  <c r="D65" i="11" a="1"/>
  <c r="D144" i="3"/>
  <c r="G119" i="3" a="1"/>
  <c r="D139" i="3"/>
  <c r="D141" i="3"/>
  <c r="F75" i="11" a="1"/>
  <c r="D140" i="3"/>
  <c r="D44" i="11" a="1"/>
  <c r="D167" i="3" a="1"/>
  <c r="D115" i="3" a="1"/>
  <c r="D142" i="3"/>
  <c r="C105" i="11"/>
  <c r="F40" i="4" a="1"/>
  <c r="I40" i="3" a="1"/>
  <c r="D164" i="3" a="1"/>
  <c r="D111" i="3" a="1"/>
  <c r="D114" i="3" a="1"/>
  <c r="D135" i="3"/>
  <c r="H105" i="11" a="1"/>
  <c r="E119" i="3" a="1"/>
  <c r="F135" i="4" a="1"/>
  <c r="D67" i="11"/>
  <c r="H151" i="3" a="1"/>
  <c r="D71" i="11"/>
  <c r="D169" i="3"/>
  <c r="D62" i="11" a="1"/>
  <c r="D100" i="11"/>
  <c r="F156" i="4" a="1"/>
  <c r="D68" i="11"/>
  <c r="D98" i="11" a="1"/>
  <c r="D63" i="11" a="1"/>
  <c r="D130" i="3" a="1"/>
  <c r="D165" i="3" a="1"/>
  <c r="D45" i="11" a="1"/>
  <c r="F77" i="11" a="1"/>
  <c r="F138" i="3" a="1"/>
  <c r="D166" i="3" a="1"/>
  <c r="B105" i="11" a="1"/>
  <c r="G85" i="11" a="1"/>
  <c r="D33" i="10" l="1"/>
  <c r="D32" i="10"/>
  <c r="F32" i="10"/>
  <c r="F33" i="10"/>
  <c r="D29" i="10"/>
  <c r="D27" i="10"/>
  <c r="D30" i="10"/>
  <c r="D25" i="10"/>
  <c r="D28" i="10"/>
  <c r="D26" i="10"/>
  <c r="F43" i="1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B174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B151" i="3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8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C119" i="3"/>
  <c r="H119" i="3"/>
  <c r="B119" i="3"/>
  <c r="G119" i="3"/>
  <c r="F119" i="3"/>
  <c r="C50" i="11"/>
  <c r="E50" i="11"/>
  <c r="G50" i="11"/>
  <c r="B50" i="11"/>
  <c r="H50" i="11"/>
  <c r="F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B22" i="6"/>
  <c r="F127" i="4"/>
  <c r="F126" i="4"/>
  <c r="F78" i="4"/>
  <c r="I33" i="10"/>
  <c r="J33" i="10" s="1"/>
  <c r="I32" i="10"/>
  <c r="J32" i="10" s="1"/>
  <c r="I29" i="10"/>
  <c r="J29" i="10" s="1"/>
  <c r="I27" i="10"/>
  <c r="J27" i="10" s="1"/>
  <c r="I30" i="10"/>
  <c r="J30" i="10" s="1"/>
  <c r="I25" i="10"/>
  <c r="J25" i="10" s="1"/>
  <c r="I28" i="10"/>
  <c r="J28" i="10" s="1"/>
  <c r="I26" i="10"/>
  <c r="J26" i="10" s="1"/>
  <c r="G102" i="11" a="1"/>
  <c r="G100" i="11" a="1"/>
  <c r="G171" i="3" a="1"/>
  <c r="G169" i="3" a="1"/>
  <c r="I68" i="11"/>
  <c r="I73" i="11"/>
  <c r="I61" i="11"/>
  <c r="I97" i="11"/>
  <c r="H82" i="11" a="1"/>
  <c r="E82" i="11" a="1"/>
  <c r="I43" i="11"/>
  <c r="I100" i="11"/>
  <c r="I138" i="3"/>
  <c r="I113" i="3"/>
  <c r="I95" i="11"/>
  <c r="G83" i="11" a="1"/>
  <c r="F148" i="3" a="1"/>
  <c r="I115" i="3"/>
  <c r="F80" i="11" a="1"/>
  <c r="I169" i="3"/>
  <c r="I75" i="11"/>
  <c r="I96" i="11"/>
  <c r="F146" i="3" a="1"/>
  <c r="I111" i="3"/>
  <c r="I46" i="11"/>
  <c r="F79" i="11" a="1"/>
  <c r="I42" i="11"/>
  <c r="F82" i="11" a="1"/>
  <c r="I71" i="11"/>
  <c r="I137" i="3"/>
  <c r="I166" i="3"/>
  <c r="I114" i="3"/>
  <c r="I134" i="3"/>
  <c r="G153" i="3" a="1"/>
  <c r="F149" i="3" a="1"/>
  <c r="I165" i="3"/>
  <c r="I64" i="11"/>
  <c r="I130" i="3"/>
  <c r="G154" i="3" a="1"/>
  <c r="I63" i="11"/>
  <c r="I67" i="11"/>
  <c r="I72" i="11"/>
  <c r="I135" i="3"/>
  <c r="I143" i="3"/>
  <c r="I168" i="3"/>
  <c r="I45" i="11"/>
  <c r="I98" i="11"/>
  <c r="F147" i="3" a="1"/>
  <c r="I167" i="3"/>
  <c r="I44" i="11"/>
  <c r="I132" i="3"/>
  <c r="I133" i="3"/>
  <c r="G82" i="11" a="1"/>
  <c r="I142" i="3"/>
  <c r="I74" i="11"/>
  <c r="I164" i="3"/>
  <c r="I65" i="11"/>
  <c r="I131" i="3"/>
  <c r="G152" i="3" a="1"/>
  <c r="I140" i="3"/>
  <c r="I66" i="11"/>
  <c r="I62" i="11"/>
  <c r="B82" i="11" a="1"/>
  <c r="I141" i="3"/>
  <c r="I70" i="11"/>
  <c r="I139" i="3"/>
  <c r="I69" i="11"/>
  <c r="I144" i="3"/>
  <c r="G84" i="11" a="1"/>
  <c r="I136" i="3"/>
  <c r="I112" i="3"/>
  <c r="I99" i="11"/>
  <c r="G169" i="3" l="1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C165" i="4"/>
  <c r="C166" i="4" s="1"/>
  <c r="C167" i="4" s="1"/>
  <c r="C168" i="4" s="1"/>
  <c r="C170" i="4" s="1"/>
  <c r="C171" i="4" s="1"/>
  <c r="C173" i="4" s="1"/>
  <c r="H164" i="4"/>
  <c r="G164" i="4"/>
  <c r="F164" i="4"/>
  <c r="C158" i="4"/>
  <c r="F157" i="4"/>
  <c r="F158" i="4" s="1"/>
  <c r="D157" i="4"/>
  <c r="C157" i="4"/>
  <c r="F170" i="4" s="1"/>
  <c r="B164" i="4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C66" i="3"/>
  <c r="C67" i="3" s="1"/>
  <c r="C68" i="3" s="1"/>
  <c r="C69" i="3" s="1"/>
  <c r="G65" i="3"/>
  <c r="F65" i="3"/>
  <c r="B65" i="3"/>
  <c r="B142" i="4"/>
  <c r="B116" i="4"/>
  <c r="B124" i="4" s="1"/>
  <c r="B69" i="4"/>
  <c r="B48" i="4"/>
  <c r="B53" i="4" s="1"/>
  <c r="B46" i="3"/>
  <c r="B53" i="3" s="1"/>
  <c r="B29" i="3"/>
  <c r="J99" i="11"/>
  <c r="J131" i="3"/>
  <c r="J143" i="3"/>
  <c r="J71" i="11"/>
  <c r="J43" i="11"/>
  <c r="F160" i="4" a="1"/>
  <c r="F58" i="5" a="1"/>
  <c r="J100" i="11"/>
  <c r="E42" i="6" a="1"/>
  <c r="J112" i="3"/>
  <c r="J65" i="11"/>
  <c r="J135" i="3"/>
  <c r="J42" i="11"/>
  <c r="J97" i="11"/>
  <c r="F112" i="4" a="1"/>
  <c r="F65" i="4" a="1"/>
  <c r="J136" i="3"/>
  <c r="J164" i="3"/>
  <c r="J72" i="11"/>
  <c r="J46" i="11"/>
  <c r="J61" i="11"/>
  <c r="F42" i="3" a="1"/>
  <c r="F61" i="3" a="1"/>
  <c r="G89" i="11" a="1"/>
  <c r="J168" i="3"/>
  <c r="J74" i="11"/>
  <c r="J67" i="11"/>
  <c r="J111" i="3"/>
  <c r="J73" i="11"/>
  <c r="E18" i="11" a="1"/>
  <c r="E30" i="6" a="1"/>
  <c r="G36" i="11" a="1"/>
  <c r="J137" i="3"/>
  <c r="F89" i="4" a="1"/>
  <c r="J144" i="3"/>
  <c r="J142" i="3"/>
  <c r="J63" i="11"/>
  <c r="J96" i="11"/>
  <c r="J68" i="11"/>
  <c r="F138" i="4" a="1"/>
  <c r="J169" i="3"/>
  <c r="G123" i="3" a="1"/>
  <c r="F44" i="4" a="1"/>
  <c r="D29" i="11" a="1"/>
  <c r="J69" i="11"/>
  <c r="J133" i="3"/>
  <c r="J130" i="3"/>
  <c r="J75" i="11"/>
  <c r="E18" i="6" a="1"/>
  <c r="J139" i="3"/>
  <c r="J132" i="3"/>
  <c r="J64" i="11"/>
  <c r="J70" i="11"/>
  <c r="J44" i="11"/>
  <c r="J165" i="3"/>
  <c r="J115" i="3"/>
  <c r="G105" i="3" a="1"/>
  <c r="F84" i="3" a="1"/>
  <c r="G54" i="11" a="1"/>
  <c r="D30" i="11" a="1"/>
  <c r="F25" i="5" a="1"/>
  <c r="J141" i="3"/>
  <c r="J167" i="3"/>
  <c r="J134" i="3"/>
  <c r="J95" i="11"/>
  <c r="F23" i="4" a="1"/>
  <c r="G158" i="3" a="1"/>
  <c r="F21" i="3" a="1"/>
  <c r="J62" i="11"/>
  <c r="J98" i="11"/>
  <c r="J114" i="3"/>
  <c r="J113" i="3"/>
  <c r="J66" i="11"/>
  <c r="J45" i="11"/>
  <c r="J166" i="3"/>
  <c r="J138" i="3"/>
  <c r="J140" i="3"/>
  <c r="G158" i="3" l="1"/>
  <c r="G54" i="11"/>
  <c r="G89" i="11"/>
  <c r="G105" i="3"/>
  <c r="G123" i="3"/>
  <c r="G36" i="11"/>
  <c r="E18" i="11"/>
  <c r="D29" i="11"/>
  <c r="D30" i="11"/>
  <c r="C70" i="3"/>
  <c r="C71" i="3" s="1"/>
  <c r="C72" i="3" s="1"/>
  <c r="C74" i="3" s="1"/>
  <c r="C75" i="3" s="1"/>
  <c r="C77" i="3" s="1"/>
  <c r="C78" i="3" s="1"/>
  <c r="F160" i="4"/>
  <c r="D170" i="4" s="1"/>
  <c r="F112" i="4"/>
  <c r="D124" i="4" s="1"/>
  <c r="F89" i="4"/>
  <c r="D100" i="4" s="1"/>
  <c r="F23" i="4"/>
  <c r="D32" i="4" s="1"/>
  <c r="F138" i="4"/>
  <c r="D149" i="4" s="1"/>
  <c r="F65" i="4"/>
  <c r="D76" i="4" s="1"/>
  <c r="F44" i="4"/>
  <c r="D53" i="4" s="1"/>
  <c r="F58" i="5"/>
  <c r="D79" i="5" s="1"/>
  <c r="F25" i="5"/>
  <c r="D35" i="5" s="1"/>
  <c r="E42" i="6"/>
  <c r="E30" i="6"/>
  <c r="E18" i="6"/>
  <c r="F84" i="3"/>
  <c r="D98" i="3" s="1"/>
  <c r="F61" i="3"/>
  <c r="D74" i="3" s="1"/>
  <c r="F42" i="3"/>
  <c r="D53" i="3" s="1"/>
  <c r="F21" i="3"/>
  <c r="C159" i="4"/>
  <c r="G171" i="4"/>
  <c r="B77" i="3"/>
  <c r="B78" i="3"/>
  <c r="H157" i="4"/>
  <c r="H158" i="4" s="1"/>
  <c r="B170" i="4"/>
  <c r="B165" i="4"/>
  <c r="B173" i="4"/>
  <c r="B54" i="4"/>
  <c r="B56" i="4"/>
  <c r="B166" i="4"/>
  <c r="B167" i="4"/>
  <c r="B168" i="4"/>
  <c r="B171" i="4"/>
  <c r="G170" i="4"/>
  <c r="B68" i="3"/>
  <c r="B72" i="3" s="1"/>
  <c r="G74" i="3"/>
  <c r="B67" i="3"/>
  <c r="B71" i="3" s="1"/>
  <c r="B69" i="3"/>
  <c r="B75" i="3"/>
  <c r="B66" i="3"/>
  <c r="B70" i="3" s="1"/>
  <c r="B74" i="3"/>
  <c r="B75" i="4"/>
  <c r="B76" i="4"/>
  <c r="B149" i="4"/>
  <c r="B151" i="4"/>
  <c r="B147" i="4"/>
  <c r="B143" i="4"/>
  <c r="B144" i="4"/>
  <c r="B145" i="4"/>
  <c r="B146" i="4"/>
  <c r="B130" i="4"/>
  <c r="B121" i="4"/>
  <c r="B127" i="4" s="1"/>
  <c r="B129" i="4"/>
  <c r="B117" i="4"/>
  <c r="B118" i="4"/>
  <c r="B119" i="4"/>
  <c r="B120" i="4"/>
  <c r="B126" i="4" s="1"/>
  <c r="B123" i="4"/>
  <c r="B80" i="4"/>
  <c r="B70" i="4"/>
  <c r="B71" i="4"/>
  <c r="B72" i="4"/>
  <c r="B78" i="4" s="1"/>
  <c r="B73" i="4"/>
  <c r="B49" i="4"/>
  <c r="B50" i="4"/>
  <c r="B51" i="4"/>
  <c r="B48" i="3"/>
  <c r="B49" i="3"/>
  <c r="B50" i="3"/>
  <c r="B55" i="3"/>
  <c r="B47" i="3"/>
  <c r="B32" i="3"/>
  <c r="B33" i="3"/>
  <c r="B30" i="3"/>
  <c r="B35" i="3"/>
  <c r="B25" i="3"/>
  <c r="B26" i="3"/>
  <c r="B27" i="3"/>
  <c r="B51" i="3"/>
  <c r="B28" i="3"/>
  <c r="I170" i="4"/>
  <c r="D79" i="11"/>
  <c r="D147" i="3"/>
  <c r="H138" i="4" a="1"/>
  <c r="H61" i="3" a="1"/>
  <c r="D172" i="3"/>
  <c r="I98" i="3"/>
  <c r="D80" i="11"/>
  <c r="D146" i="3" a="1"/>
  <c r="D58" i="5" a="1"/>
  <c r="H25" i="5" a="1"/>
  <c r="D61" i="3" a="1"/>
  <c r="D23" i="4" a="1"/>
  <c r="I30" i="11"/>
  <c r="I76" i="4"/>
  <c r="D77" i="11" a="1"/>
  <c r="D148" i="3"/>
  <c r="D84" i="3" a="1"/>
  <c r="H44" i="4" a="1"/>
  <c r="H42" i="3" a="1"/>
  <c r="D44" i="4" a="1"/>
  <c r="E89" i="11" a="1"/>
  <c r="I149" i="4"/>
  <c r="I124" i="4"/>
  <c r="D78" i="11"/>
  <c r="D149" i="3"/>
  <c r="H160" i="4" a="1"/>
  <c r="H58" i="5" a="1"/>
  <c r="H112" i="4" a="1"/>
  <c r="D65" i="4" a="1"/>
  <c r="D89" i="4" a="1"/>
  <c r="H21" i="3" a="1"/>
  <c r="E105" i="3" a="1"/>
  <c r="H23" i="4" a="1"/>
  <c r="H84" i="3" a="1"/>
  <c r="I100" i="4"/>
  <c r="D102" i="11" a="1"/>
  <c r="D48" i="11" a="1"/>
  <c r="H65" i="4" a="1"/>
  <c r="D160" i="4" a="1"/>
  <c r="D21" i="3" a="1"/>
  <c r="E54" i="11" a="1"/>
  <c r="I53" i="3"/>
  <c r="D103" i="11"/>
  <c r="D32" i="11" a="1"/>
  <c r="D42" i="3" a="1"/>
  <c r="D117" i="3" a="1"/>
  <c r="D25" i="5" a="1"/>
  <c r="I29" i="11"/>
  <c r="D171" i="3" a="1"/>
  <c r="I32" i="4"/>
  <c r="E36" i="11" a="1"/>
  <c r="D112" i="4" a="1"/>
  <c r="E158" i="3" a="1"/>
  <c r="I79" i="5"/>
  <c r="I74" i="3"/>
  <c r="I35" i="5"/>
  <c r="E123" i="3" a="1"/>
  <c r="D138" i="4" a="1"/>
  <c r="I53" i="4"/>
  <c r="H89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84" i="5"/>
  <c r="D83" i="5"/>
  <c r="D82" i="5"/>
  <c r="D85" i="5"/>
  <c r="D86" i="5"/>
  <c r="D99" i="4"/>
  <c r="D123" i="4"/>
  <c r="D75" i="4"/>
  <c r="D80" i="5"/>
  <c r="D81" i="5"/>
  <c r="D78" i="5"/>
  <c r="D138" i="4"/>
  <c r="D151" i="4" s="1"/>
  <c r="D65" i="4"/>
  <c r="D80" i="4" s="1"/>
  <c r="D89" i="4"/>
  <c r="D104" i="4" s="1"/>
  <c r="D23" i="4"/>
  <c r="D35" i="4" s="1"/>
  <c r="D160" i="4"/>
  <c r="D173" i="4" s="1"/>
  <c r="D112" i="4"/>
  <c r="D130" i="4" s="1"/>
  <c r="D44" i="4"/>
  <c r="D56" i="4" s="1"/>
  <c r="H89" i="4"/>
  <c r="D94" i="4" s="1"/>
  <c r="H160" i="4"/>
  <c r="D168" i="4" s="1"/>
  <c r="H138" i="4"/>
  <c r="D143" i="4" s="1"/>
  <c r="H23" i="4"/>
  <c r="D27" i="4" s="1"/>
  <c r="H65" i="4"/>
  <c r="D71" i="4" s="1"/>
  <c r="H112" i="4"/>
  <c r="D119" i="4" s="1"/>
  <c r="H44" i="4"/>
  <c r="D49" i="4" s="1"/>
  <c r="D58" i="5"/>
  <c r="D93" i="5" s="1"/>
  <c r="D25" i="5"/>
  <c r="D41" i="5" s="1"/>
  <c r="H25" i="5"/>
  <c r="D30" i="5" s="1"/>
  <c r="H58" i="5"/>
  <c r="D63" i="5" s="1"/>
  <c r="D36" i="5"/>
  <c r="D97" i="3"/>
  <c r="H84" i="3"/>
  <c r="H61" i="3"/>
  <c r="H42" i="3"/>
  <c r="D49" i="3" s="1"/>
  <c r="H21" i="3"/>
  <c r="D26" i="3" s="1"/>
  <c r="D84" i="3"/>
  <c r="D100" i="3" s="1"/>
  <c r="D61" i="3"/>
  <c r="D77" i="3" s="1"/>
  <c r="D42" i="3"/>
  <c r="D55" i="3" s="1"/>
  <c r="D21" i="3"/>
  <c r="D35" i="3" s="1"/>
  <c r="D48" i="6"/>
  <c r="D49" i="6"/>
  <c r="D46" i="6"/>
  <c r="D47" i="6"/>
  <c r="D50" i="6"/>
  <c r="D38" i="6"/>
  <c r="D37" i="6"/>
  <c r="D35" i="6"/>
  <c r="D34" i="6"/>
  <c r="D36" i="6"/>
  <c r="D22" i="6"/>
  <c r="D26" i="6"/>
  <c r="D25" i="6"/>
  <c r="D24" i="6"/>
  <c r="D23" i="6"/>
  <c r="D75" i="3"/>
  <c r="D32" i="3"/>
  <c r="D33" i="3"/>
  <c r="J53" i="4"/>
  <c r="J149" i="4"/>
  <c r="I104" i="4"/>
  <c r="I82" i="5"/>
  <c r="J35" i="5"/>
  <c r="I148" i="3"/>
  <c r="I93" i="5"/>
  <c r="I35" i="4"/>
  <c r="I22" i="6"/>
  <c r="I168" i="4"/>
  <c r="I71" i="4"/>
  <c r="D83" i="11"/>
  <c r="D85" i="11"/>
  <c r="I97" i="3"/>
  <c r="I147" i="3"/>
  <c r="I32" i="3"/>
  <c r="I56" i="4"/>
  <c r="D82" i="11" a="1"/>
  <c r="J74" i="3"/>
  <c r="J76" i="4"/>
  <c r="I77" i="3"/>
  <c r="I41" i="5"/>
  <c r="I78" i="5"/>
  <c r="I26" i="3"/>
  <c r="I38" i="6"/>
  <c r="D152" i="3"/>
  <c r="I49" i="6"/>
  <c r="I143" i="4"/>
  <c r="I48" i="6"/>
  <c r="I75" i="4"/>
  <c r="J79" i="5"/>
  <c r="J30" i="11"/>
  <c r="I34" i="6"/>
  <c r="I55" i="3"/>
  <c r="I100" i="3"/>
  <c r="I80" i="4"/>
  <c r="I80" i="5"/>
  <c r="D84" i="11"/>
  <c r="I117" i="3"/>
  <c r="I47" i="6"/>
  <c r="I27" i="4"/>
  <c r="I81" i="5"/>
  <c r="J32" i="4"/>
  <c r="I80" i="11"/>
  <c r="I46" i="6"/>
  <c r="I36" i="6"/>
  <c r="I86" i="5"/>
  <c r="I123" i="4"/>
  <c r="I49" i="3"/>
  <c r="D151" i="3" a="1"/>
  <c r="I172" i="3"/>
  <c r="I75" i="3"/>
  <c r="I24" i="6"/>
  <c r="D154" i="3"/>
  <c r="I99" i="4"/>
  <c r="I119" i="4"/>
  <c r="D105" i="11" a="1"/>
  <c r="D50" i="11" a="1"/>
  <c r="J29" i="11"/>
  <c r="J98" i="3"/>
  <c r="I23" i="6"/>
  <c r="I26" i="6"/>
  <c r="I130" i="4"/>
  <c r="I94" i="4"/>
  <c r="I33" i="3"/>
  <c r="D153" i="3"/>
  <c r="I103" i="11"/>
  <c r="I63" i="5"/>
  <c r="J53" i="3"/>
  <c r="I50" i="6"/>
  <c r="I102" i="11"/>
  <c r="J170" i="4"/>
  <c r="I171" i="3"/>
  <c r="I83" i="5"/>
  <c r="I48" i="11"/>
  <c r="I35" i="3"/>
  <c r="J100" i="4"/>
  <c r="I79" i="11"/>
  <c r="D174" i="3" a="1"/>
  <c r="I151" i="4"/>
  <c r="I146" i="3"/>
  <c r="D119" i="3" a="1"/>
  <c r="I149" i="3"/>
  <c r="I85" i="5"/>
  <c r="I37" i="6"/>
  <c r="I30" i="5"/>
  <c r="I25" i="6"/>
  <c r="I78" i="11"/>
  <c r="I32" i="11"/>
  <c r="I49" i="4"/>
  <c r="I173" i="4"/>
  <c r="I36" i="5"/>
  <c r="I84" i="5"/>
  <c r="I77" i="11"/>
  <c r="J124" i="4"/>
  <c r="I35" i="6"/>
  <c r="D174" i="3" l="1"/>
  <c r="D105" i="11"/>
  <c r="D119" i="3"/>
  <c r="D151" i="3"/>
  <c r="D82" i="11"/>
  <c r="D50" i="11"/>
  <c r="D70" i="3"/>
  <c r="D71" i="3"/>
  <c r="D72" i="3"/>
  <c r="D93" i="3"/>
  <c r="D94" i="3"/>
  <c r="D95" i="3"/>
  <c r="D117" i="4"/>
  <c r="D116" i="4"/>
  <c r="D120" i="4"/>
  <c r="D118" i="4"/>
  <c r="D69" i="3"/>
  <c r="D121" i="4"/>
  <c r="D67" i="3"/>
  <c r="D51" i="3"/>
  <c r="D50" i="4"/>
  <c r="D51" i="4"/>
  <c r="D31" i="5"/>
  <c r="D32" i="5"/>
  <c r="D33" i="5"/>
  <c r="D75" i="5"/>
  <c r="D48" i="3"/>
  <c r="D48" i="4"/>
  <c r="D142" i="4"/>
  <c r="D144" i="4"/>
  <c r="D166" i="4"/>
  <c r="D145" i="4"/>
  <c r="D165" i="4"/>
  <c r="D146" i="4"/>
  <c r="D164" i="4"/>
  <c r="D28" i="4"/>
  <c r="D129" i="4"/>
  <c r="D29" i="4"/>
  <c r="D30" i="4"/>
  <c r="D64" i="5"/>
  <c r="D29" i="5"/>
  <c r="D69" i="4"/>
  <c r="D70" i="4"/>
  <c r="D76" i="5"/>
  <c r="D27" i="3"/>
  <c r="D25" i="3"/>
  <c r="D72" i="4"/>
  <c r="D66" i="5"/>
  <c r="D73" i="5"/>
  <c r="D70" i="5"/>
  <c r="D73" i="4"/>
  <c r="D69" i="5"/>
  <c r="D71" i="5"/>
  <c r="D29" i="3"/>
  <c r="D147" i="4"/>
  <c r="D65" i="5"/>
  <c r="D167" i="4"/>
  <c r="D68" i="5"/>
  <c r="D74" i="5"/>
  <c r="D72" i="5"/>
  <c r="D28" i="3"/>
  <c r="D62" i="5"/>
  <c r="D95" i="4"/>
  <c r="D96" i="4"/>
  <c r="D97" i="4"/>
  <c r="D93" i="4"/>
  <c r="D30" i="3"/>
  <c r="D46" i="3"/>
  <c r="D50" i="3"/>
  <c r="D47" i="3"/>
  <c r="D92" i="3"/>
  <c r="D88" i="3"/>
  <c r="D90" i="3"/>
  <c r="D91" i="3"/>
  <c r="D89" i="3"/>
  <c r="D78" i="3"/>
  <c r="D68" i="3"/>
  <c r="D65" i="3"/>
  <c r="D101" i="3"/>
  <c r="D66" i="3"/>
  <c r="H130" i="4"/>
  <c r="H129" i="4"/>
  <c r="F130" i="4"/>
  <c r="G30" i="4"/>
  <c r="G28" i="4"/>
  <c r="G27" i="4"/>
  <c r="J35" i="6"/>
  <c r="J149" i="3"/>
  <c r="I153" i="3"/>
  <c r="J49" i="3"/>
  <c r="J80" i="4"/>
  <c r="J41" i="5"/>
  <c r="J93" i="5"/>
  <c r="I28" i="3"/>
  <c r="I92" i="3"/>
  <c r="I72" i="4"/>
  <c r="I121" i="4"/>
  <c r="I29" i="3"/>
  <c r="I72" i="3"/>
  <c r="I88" i="3"/>
  <c r="I28" i="4"/>
  <c r="I96" i="4"/>
  <c r="I66" i="3"/>
  <c r="I29" i="5"/>
  <c r="I119" i="3"/>
  <c r="I118" i="4"/>
  <c r="I82" i="11"/>
  <c r="I97" i="4"/>
  <c r="I145" i="4"/>
  <c r="I48" i="3"/>
  <c r="J77" i="11"/>
  <c r="J146" i="3"/>
  <c r="J33" i="3"/>
  <c r="J123" i="4"/>
  <c r="J100" i="3"/>
  <c r="J77" i="3"/>
  <c r="J148" i="3"/>
  <c r="I90" i="3"/>
  <c r="I72" i="5"/>
  <c r="I101" i="3"/>
  <c r="I144" i="4"/>
  <c r="I50" i="4"/>
  <c r="I117" i="4"/>
  <c r="I151" i="3"/>
  <c r="I164" i="4"/>
  <c r="I73" i="4"/>
  <c r="I50" i="3"/>
  <c r="I94" i="3"/>
  <c r="I25" i="3"/>
  <c r="J117" i="3"/>
  <c r="J168" i="4"/>
  <c r="I46" i="3"/>
  <c r="I27" i="3"/>
  <c r="I67" i="3"/>
  <c r="I95" i="3"/>
  <c r="J84" i="5"/>
  <c r="J151" i="4"/>
  <c r="J94" i="4"/>
  <c r="J86" i="5"/>
  <c r="J55" i="3"/>
  <c r="J56" i="4"/>
  <c r="J82" i="5"/>
  <c r="I71" i="3"/>
  <c r="I71" i="5"/>
  <c r="I51" i="3"/>
  <c r="I93" i="4"/>
  <c r="I70" i="4"/>
  <c r="I51" i="4"/>
  <c r="J81" i="5"/>
  <c r="I30" i="4"/>
  <c r="I69" i="5"/>
  <c r="J50" i="6"/>
  <c r="I91" i="3"/>
  <c r="I74" i="5"/>
  <c r="J36" i="5"/>
  <c r="J79" i="11"/>
  <c r="J130" i="4"/>
  <c r="J36" i="6"/>
  <c r="J34" i="6"/>
  <c r="J32" i="3"/>
  <c r="J104" i="4"/>
  <c r="I65" i="3"/>
  <c r="I93" i="3"/>
  <c r="I142" i="4"/>
  <c r="J143" i="4"/>
  <c r="I85" i="11"/>
  <c r="I75" i="5"/>
  <c r="I31" i="5"/>
  <c r="I68" i="3"/>
  <c r="J173" i="4"/>
  <c r="J35" i="3"/>
  <c r="J26" i="6"/>
  <c r="J46" i="6"/>
  <c r="J75" i="4"/>
  <c r="J147" i="3"/>
  <c r="I120" i="4"/>
  <c r="I48" i="4"/>
  <c r="I69" i="3"/>
  <c r="J49" i="4"/>
  <c r="J48" i="11"/>
  <c r="J23" i="6"/>
  <c r="J80" i="11"/>
  <c r="J48" i="6"/>
  <c r="J97" i="3"/>
  <c r="I64" i="5"/>
  <c r="I174" i="3"/>
  <c r="I147" i="4"/>
  <c r="J24" i="6"/>
  <c r="J32" i="11"/>
  <c r="J83" i="5"/>
  <c r="J119" i="4"/>
  <c r="I69" i="4"/>
  <c r="J78" i="11"/>
  <c r="J171" i="3"/>
  <c r="J99" i="4"/>
  <c r="J27" i="4"/>
  <c r="J49" i="6"/>
  <c r="I83" i="11"/>
  <c r="I105" i="11"/>
  <c r="I70" i="5"/>
  <c r="I95" i="4"/>
  <c r="I165" i="4"/>
  <c r="I129" i="4"/>
  <c r="I30" i="3"/>
  <c r="J25" i="6"/>
  <c r="J102" i="11"/>
  <c r="I154" i="3"/>
  <c r="J47" i="6"/>
  <c r="I152" i="3"/>
  <c r="J71" i="4"/>
  <c r="I116" i="4"/>
  <c r="I62" i="5"/>
  <c r="I89" i="3"/>
  <c r="I65" i="5"/>
  <c r="I70" i="3"/>
  <c r="I76" i="5"/>
  <c r="I33" i="5"/>
  <c r="J30" i="5"/>
  <c r="J38" i="6"/>
  <c r="I167" i="4"/>
  <c r="J37" i="6"/>
  <c r="J63" i="5"/>
  <c r="J75" i="3"/>
  <c r="I84" i="11"/>
  <c r="J26" i="3"/>
  <c r="J22" i="6"/>
  <c r="I29" i="4"/>
  <c r="I146" i="4"/>
  <c r="I78" i="3"/>
  <c r="I68" i="5"/>
  <c r="I166" i="4"/>
  <c r="I47" i="3"/>
  <c r="I32" i="5"/>
  <c r="J85" i="5"/>
  <c r="J103" i="11"/>
  <c r="J172" i="3"/>
  <c r="J80" i="5"/>
  <c r="J78" i="5"/>
  <c r="J35" i="4"/>
  <c r="I73" i="5"/>
  <c r="I50" i="11"/>
  <c r="I66" i="5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C63" i="5"/>
  <c r="C64" i="5" s="1"/>
  <c r="H62" i="5"/>
  <c r="G62" i="5"/>
  <c r="F62" i="5"/>
  <c r="C56" i="5"/>
  <c r="D55" i="5"/>
  <c r="C55" i="5"/>
  <c r="B62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C30" i="5"/>
  <c r="C31" i="5" s="1"/>
  <c r="C32" i="5" s="1"/>
  <c r="H29" i="5"/>
  <c r="G29" i="5"/>
  <c r="F29" i="5"/>
  <c r="C23" i="5"/>
  <c r="C24" i="5" s="1"/>
  <c r="D22" i="5"/>
  <c r="C22" i="5"/>
  <c r="B29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C143" i="4"/>
  <c r="C144" i="4" s="1"/>
  <c r="C145" i="4" s="1"/>
  <c r="C146" i="4" s="1"/>
  <c r="C147" i="4" s="1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66" i="5"/>
  <c r="J33" i="5"/>
  <c r="J95" i="4"/>
  <c r="J31" i="5"/>
  <c r="J93" i="4"/>
  <c r="J164" i="4"/>
  <c r="J118" i="4"/>
  <c r="J28" i="3"/>
  <c r="J88" i="3"/>
  <c r="J129" i="4"/>
  <c r="J50" i="11"/>
  <c r="J76" i="5"/>
  <c r="J70" i="5"/>
  <c r="J75" i="5"/>
  <c r="J51" i="3"/>
  <c r="J151" i="3"/>
  <c r="J119" i="3"/>
  <c r="J153" i="3"/>
  <c r="J27" i="3"/>
  <c r="J91" i="3"/>
  <c r="J90" i="3"/>
  <c r="J73" i="4"/>
  <c r="J73" i="5"/>
  <c r="J70" i="3"/>
  <c r="J105" i="11"/>
  <c r="J85" i="11"/>
  <c r="J71" i="5"/>
  <c r="J117" i="4"/>
  <c r="J29" i="5"/>
  <c r="J72" i="5"/>
  <c r="J121" i="4"/>
  <c r="J97" i="4"/>
  <c r="J165" i="4"/>
  <c r="J92" i="3"/>
  <c r="J32" i="5"/>
  <c r="J65" i="5"/>
  <c r="J83" i="11"/>
  <c r="J142" i="4"/>
  <c r="J71" i="3"/>
  <c r="J50" i="4"/>
  <c r="J66" i="3"/>
  <c r="J152" i="3"/>
  <c r="J120" i="4"/>
  <c r="J82" i="11"/>
  <c r="J47" i="3"/>
  <c r="J89" i="3"/>
  <c r="J69" i="4"/>
  <c r="J93" i="3"/>
  <c r="J95" i="3"/>
  <c r="J144" i="4"/>
  <c r="J96" i="4"/>
  <c r="J116" i="4"/>
  <c r="J64" i="5"/>
  <c r="J70" i="4"/>
  <c r="J166" i="4"/>
  <c r="J62" i="5"/>
  <c r="J147" i="4"/>
  <c r="J65" i="3"/>
  <c r="J67" i="3"/>
  <c r="J101" i="3"/>
  <c r="J28" i="4"/>
  <c r="J174" i="3"/>
  <c r="J72" i="3"/>
  <c r="J145" i="4"/>
  <c r="J51" i="4"/>
  <c r="J72" i="4"/>
  <c r="J68" i="3"/>
  <c r="J68" i="5"/>
  <c r="J74" i="5"/>
  <c r="J46" i="3"/>
  <c r="J78" i="3"/>
  <c r="J167" i="4"/>
  <c r="J146" i="4"/>
  <c r="J154" i="3"/>
  <c r="J69" i="3"/>
  <c r="J69" i="5"/>
  <c r="J25" i="3"/>
  <c r="J48" i="3"/>
  <c r="J29" i="3"/>
  <c r="J50" i="3"/>
  <c r="J29" i="4"/>
  <c r="J30" i="3"/>
  <c r="J48" i="4"/>
  <c r="J30" i="4"/>
  <c r="J94" i="3"/>
  <c r="J84" i="11"/>
  <c r="G85" i="5" l="1"/>
  <c r="F85" i="5"/>
  <c r="L81" i="5"/>
  <c r="G82" i="5"/>
  <c r="B89" i="5"/>
  <c r="B74" i="5"/>
  <c r="B84" i="5"/>
  <c r="B68" i="5"/>
  <c r="B83" i="5"/>
  <c r="B70" i="5"/>
  <c r="B82" i="5"/>
  <c r="B69" i="5"/>
  <c r="B81" i="5"/>
  <c r="B80" i="5"/>
  <c r="B66" i="5"/>
  <c r="B85" i="5"/>
  <c r="B79" i="5"/>
  <c r="B65" i="5"/>
  <c r="B86" i="5"/>
  <c r="B93" i="5"/>
  <c r="B78" i="5"/>
  <c r="B64" i="5"/>
  <c r="B72" i="5"/>
  <c r="B91" i="5"/>
  <c r="B76" i="5"/>
  <c r="B63" i="5"/>
  <c r="B73" i="5"/>
  <c r="B71" i="5"/>
  <c r="B90" i="5"/>
  <c r="B75" i="5"/>
  <c r="B39" i="5"/>
  <c r="B33" i="5"/>
  <c r="B32" i="5"/>
  <c r="B30" i="5"/>
  <c r="B38" i="5"/>
  <c r="B35" i="5"/>
  <c r="B31" i="5"/>
  <c r="B36" i="5"/>
  <c r="B41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C65" i="5"/>
  <c r="C66" i="5" s="1"/>
  <c r="G35" i="5"/>
  <c r="C33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C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C68" i="5"/>
  <c r="C69" i="5" s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35" i="5"/>
  <c r="C113" i="5"/>
  <c r="D138" i="5"/>
  <c r="D111" i="5"/>
  <c r="D113" i="5"/>
  <c r="D114" i="5"/>
  <c r="J122" i="5"/>
  <c r="I132" i="5"/>
  <c r="I133" i="5"/>
  <c r="I131" i="5"/>
  <c r="I135" i="5"/>
  <c r="I134" i="5"/>
  <c r="C71" i="4"/>
  <c r="H63" i="4"/>
  <c r="D118" i="5" l="1"/>
  <c r="I152" i="5"/>
  <c r="I154" i="5"/>
  <c r="I153" i="5"/>
  <c r="I155" i="5"/>
  <c r="C36" i="5"/>
  <c r="I138" i="5"/>
  <c r="I113" i="5"/>
  <c r="I112" i="5"/>
  <c r="I111" i="5"/>
  <c r="I114" i="5"/>
  <c r="C70" i="5"/>
  <c r="C114" i="5"/>
  <c r="C157" i="5"/>
  <c r="C137" i="5"/>
  <c r="J142" i="5"/>
  <c r="C72" i="4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38" i="5" l="1"/>
  <c r="C39" i="5" s="1"/>
  <c r="C41" i="5" s="1"/>
  <c r="C71" i="5"/>
  <c r="C116" i="5"/>
  <c r="C158" i="5"/>
  <c r="C160" i="5" s="1"/>
  <c r="C138" i="5"/>
  <c r="F35" i="3"/>
  <c r="F55" i="3"/>
  <c r="C72" i="5" l="1"/>
  <c r="C117" i="5"/>
  <c r="C140" i="5"/>
  <c r="C73" i="5" l="1"/>
  <c r="C118" i="5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C49" i="4"/>
  <c r="G29" i="4"/>
  <c r="F29" i="4"/>
  <c r="F28" i="4"/>
  <c r="G149" i="4"/>
  <c r="G121" i="4"/>
  <c r="F121" i="4"/>
  <c r="F120" i="4"/>
  <c r="G118" i="4"/>
  <c r="F118" i="4"/>
  <c r="C117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C28" i="4"/>
  <c r="F27" i="4"/>
  <c r="B27" i="4"/>
  <c r="B35" i="4" l="1"/>
  <c r="B32" i="4"/>
  <c r="B30" i="4"/>
  <c r="B33" i="4"/>
  <c r="B29" i="4"/>
  <c r="B28" i="4"/>
  <c r="C74" i="5"/>
  <c r="H20" i="4"/>
  <c r="H21" i="4" s="1"/>
  <c r="C50" i="4"/>
  <c r="C43" i="4"/>
  <c r="F54" i="4"/>
  <c r="F53" i="4"/>
  <c r="C22" i="4"/>
  <c r="I41" i="4"/>
  <c r="I42" i="4" s="1"/>
  <c r="G32" i="4"/>
  <c r="C29" i="4"/>
  <c r="C30" i="4" s="1"/>
  <c r="C118" i="4"/>
  <c r="F53" i="3"/>
  <c r="G53" i="3"/>
  <c r="F51" i="3"/>
  <c r="G51" i="3"/>
  <c r="F49" i="3"/>
  <c r="F48" i="3"/>
  <c r="F47" i="3"/>
  <c r="G47" i="3"/>
  <c r="C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C26" i="3"/>
  <c r="F25" i="3"/>
  <c r="G25" i="3"/>
  <c r="C75" i="5" l="1"/>
  <c r="C51" i="4"/>
  <c r="C119" i="4"/>
  <c r="C32" i="4"/>
  <c r="C33" i="4" s="1"/>
  <c r="C48" i="3"/>
  <c r="C27" i="3"/>
  <c r="C35" i="4" l="1"/>
  <c r="C76" i="5"/>
  <c r="C120" i="4"/>
  <c r="C53" i="4"/>
  <c r="C73" i="4"/>
  <c r="C49" i="3"/>
  <c r="C28" i="3"/>
  <c r="C78" i="5" l="1"/>
  <c r="C75" i="4"/>
  <c r="C121" i="4"/>
  <c r="C149" i="4"/>
  <c r="C151" i="4" s="1"/>
  <c r="C29" i="3"/>
  <c r="C50" i="3"/>
  <c r="C79" i="5" l="1"/>
  <c r="C123" i="4"/>
  <c r="C76" i="4"/>
  <c r="C78" i="4" s="1"/>
  <c r="C80" i="4" s="1"/>
  <c r="C51" i="3"/>
  <c r="C30" i="3"/>
  <c r="C80" i="5" l="1"/>
  <c r="C124" i="4"/>
  <c r="C126" i="4" s="1"/>
  <c r="C127" i="4" s="1"/>
  <c r="C129" i="4" s="1"/>
  <c r="C53" i="3"/>
  <c r="C55" i="3" s="1"/>
  <c r="C32" i="3"/>
  <c r="C130" i="4" l="1"/>
  <c r="C81" i="5"/>
  <c r="C54" i="4"/>
  <c r="C33" i="3"/>
  <c r="C35" i="3" s="1"/>
  <c r="C82" i="5" l="1"/>
  <c r="C56" i="4"/>
  <c r="C83" i="5" l="1"/>
  <c r="C84" i="5" l="1"/>
  <c r="C85" i="5" l="1"/>
  <c r="C86" i="5" l="1"/>
  <c r="C89" i="5"/>
  <c r="C90" i="5" s="1"/>
  <c r="C93" i="5" l="1"/>
  <c r="C9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<sst xmlns="http://schemas.openxmlformats.org/spreadsheetml/2006/main" count="928" uniqueCount="178">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</sst>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horizontal="center"/>
    </xf>
    <xf numFmtId="0" fontId="19" fillId="9" borderId="0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29" fillId="4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589974</xdr:colOff>
          <xdr:row>10</xdr:row>
          <xdr:rowOff>54033</xdr:rowOff>
        </xdr:from>
        <xdr:to>
          <xdr:col>13</xdr:col>
          <xdr:colOff>437574</xdr:colOff>
          <xdr:row>11</xdr:row>
          <xdr:rowOff>234373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906550</xdr:colOff>
          <xdr:row>10</xdr:row>
          <xdr:rowOff>69273</xdr:rowOff>
        </xdr:from>
        <xdr:to>
          <xdr:col>10</xdr:col>
          <xdr:colOff>464590</xdr:colOff>
          <xdr:row>11</xdr:row>
          <xdr:rowOff>249613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731059</xdr:colOff>
          <xdr:row>10</xdr:row>
          <xdr:rowOff>69273</xdr:rowOff>
        </xdr:from>
        <xdr:to>
          <xdr:col>5</xdr:col>
          <xdr:colOff>45490</xdr:colOff>
          <xdr:row>11</xdr:row>
          <xdr:rowOff>249613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190270</xdr:colOff>
          <xdr:row>10</xdr:row>
          <xdr:rowOff>69273</xdr:rowOff>
        </xdr:from>
        <xdr:to>
          <xdr:col>7</xdr:col>
          <xdr:colOff>738910</xdr:colOff>
          <xdr:row>11</xdr:row>
          <xdr:rowOff>249613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18505</xdr:colOff>
          <xdr:row>9</xdr:row>
          <xdr:rowOff>144779</xdr:rowOff>
        </xdr:from>
        <xdr:to>
          <xdr:col>4</xdr:col>
          <xdr:colOff>1893025</xdr:colOff>
          <xdr:row>11</xdr:row>
          <xdr:rowOff>131716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277585</xdr:colOff>
          <xdr:row>9</xdr:row>
          <xdr:rowOff>152399</xdr:rowOff>
        </xdr:from>
        <xdr:to>
          <xdr:col>7</xdr:col>
          <xdr:colOff>506185</xdr:colOff>
          <xdr:row>11</xdr:row>
          <xdr:rowOff>139336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224245</xdr:colOff>
          <xdr:row>9</xdr:row>
          <xdr:rowOff>167639</xdr:rowOff>
        </xdr:from>
        <xdr:to>
          <xdr:col>10</xdr:col>
          <xdr:colOff>551905</xdr:colOff>
          <xdr:row>11</xdr:row>
          <xdr:rowOff>154576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396241</xdr:colOff>
          <xdr:row>9</xdr:row>
          <xdr:rowOff>168088</xdr:rowOff>
        </xdr:from>
        <xdr:to>
          <xdr:col>10</xdr:col>
          <xdr:colOff>49755</xdr:colOff>
          <xdr:row>11</xdr:row>
          <xdr:rowOff>153744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54685</xdr:colOff>
          <xdr:row>9</xdr:row>
          <xdr:rowOff>168088</xdr:rowOff>
        </xdr:from>
        <xdr:to>
          <xdr:col>4</xdr:col>
          <xdr:colOff>800997</xdr:colOff>
          <xdr:row>11</xdr:row>
          <xdr:rowOff>153744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938157</xdr:colOff>
          <xdr:row>9</xdr:row>
          <xdr:rowOff>168088</xdr:rowOff>
        </xdr:from>
        <xdr:to>
          <xdr:col>6</xdr:col>
          <xdr:colOff>705522</xdr:colOff>
          <xdr:row>11</xdr:row>
          <xdr:rowOff>153744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380553</xdr:colOff>
          <xdr:row>9</xdr:row>
          <xdr:rowOff>147134</xdr:rowOff>
        </xdr:from>
        <xdr:to>
          <xdr:col>13</xdr:col>
          <xdr:colOff>346487</xdr:colOff>
          <xdr:row>11</xdr:row>
          <xdr:rowOff>138504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98706</xdr:colOff>
          <xdr:row>10</xdr:row>
          <xdr:rowOff>0</xdr:rowOff>
        </xdr:from>
        <xdr:to>
          <xdr:col>10</xdr:col>
          <xdr:colOff>578058</xdr:colOff>
          <xdr:row>11</xdr:row>
          <xdr:rowOff>187665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2152739</xdr:colOff>
          <xdr:row>10</xdr:row>
          <xdr:rowOff>20753</xdr:rowOff>
        </xdr:from>
        <xdr:to>
          <xdr:col>4</xdr:col>
          <xdr:colOff>685446</xdr:colOff>
          <xdr:row>11</xdr:row>
          <xdr:rowOff>210525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822606</xdr:colOff>
          <xdr:row>10</xdr:row>
          <xdr:rowOff>20753</xdr:rowOff>
        </xdr:from>
        <xdr:to>
          <xdr:col>7</xdr:col>
          <xdr:colOff>512844</xdr:colOff>
          <xdr:row>11</xdr:row>
          <xdr:rowOff>210525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336875</xdr:colOff>
          <xdr:row>10</xdr:row>
          <xdr:rowOff>22860</xdr:rowOff>
        </xdr:from>
        <xdr:to>
          <xdr:col>14</xdr:col>
          <xdr:colOff>365406</xdr:colOff>
          <xdr:row>11</xdr:row>
          <xdr:rowOff>210525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78378</xdr:colOff>
          <xdr:row>10</xdr:row>
          <xdr:rowOff>76201</xdr:rowOff>
        </xdr:from>
        <xdr:to>
          <xdr:col>11</xdr:col>
          <xdr:colOff>47898</xdr:colOff>
          <xdr:row>11</xdr:row>
          <xdr:rowOff>193766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55518</xdr:colOff>
          <xdr:row>10</xdr:row>
          <xdr:rowOff>79342</xdr:rowOff>
        </xdr:from>
        <xdr:to>
          <xdr:col>4</xdr:col>
          <xdr:colOff>756558</xdr:colOff>
          <xdr:row>11</xdr:row>
          <xdr:rowOff>201386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894807</xdr:colOff>
          <xdr:row>10</xdr:row>
          <xdr:rowOff>79342</xdr:rowOff>
        </xdr:from>
        <xdr:to>
          <xdr:col>7</xdr:col>
          <xdr:colOff>601981</xdr:colOff>
          <xdr:row>11</xdr:row>
          <xdr:rowOff>201386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249284</xdr:colOff>
          <xdr:row>10</xdr:row>
          <xdr:rowOff>76201</xdr:rowOff>
        </xdr:from>
        <xdr:to>
          <xdr:col>14</xdr:col>
          <xdr:colOff>291738</xdr:colOff>
          <xdr:row>11</xdr:row>
          <xdr:rowOff>193766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70757</xdr:colOff>
          <xdr:row>10</xdr:row>
          <xdr:rowOff>5246</xdr:rowOff>
        </xdr:from>
        <xdr:to>
          <xdr:col>10</xdr:col>
          <xdr:colOff>436517</xdr:colOff>
          <xdr:row>11</xdr:row>
          <xdr:rowOff>155666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32657</xdr:colOff>
          <xdr:row>10</xdr:row>
          <xdr:rowOff>10885</xdr:rowOff>
        </xdr:from>
        <xdr:to>
          <xdr:col>4</xdr:col>
          <xdr:colOff>177437</xdr:colOff>
          <xdr:row>11</xdr:row>
          <xdr:rowOff>163286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314597</xdr:colOff>
          <xdr:row>10</xdr:row>
          <xdr:rowOff>10885</xdr:rowOff>
        </xdr:from>
        <xdr:to>
          <xdr:col>7</xdr:col>
          <xdr:colOff>431074</xdr:colOff>
          <xdr:row>11</xdr:row>
          <xdr:rowOff>163286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93617</xdr:colOff>
          <xdr:row>9</xdr:row>
          <xdr:rowOff>210986</xdr:rowOff>
        </xdr:from>
        <xdr:to>
          <xdr:col>14</xdr:col>
          <xdr:colOff>261257</xdr:colOff>
          <xdr:row>11</xdr:row>
          <xdr:rowOff>132806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50">
      <calculatedColumnFormula array="1">defaultValue(M29,$C$28)</calculatedColumnFormula>
    </tableColumn>
    <tableColumn id="2" xr3:uid="{E5D458B6-4695-4151-8C3A-36078280174C}" name="Column2" headerRowDxfId="130" dataDxfId="1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8" dataDxfId="126" headerRowBorderDxfId="127" tableBorderDxfId="125" totalsRowBorderDxfId="124">
  <tableColumns count="2">
    <tableColumn id="1" xr3:uid="{CDCD5A84-7D20-4E65-9944-DF64AFBDCF15}" name="Column1" headerRowDxfId="123" dataDxfId="122">
      <calculatedColumnFormula>INDEX(global[[#All],[Column1]],MATCH(J29,global[[#All],[Column2]],0))</calculatedColumnFormula>
    </tableColumn>
    <tableColumn id="2" xr3:uid="{6A1D9F36-66CC-4BFA-B363-3C22327FB984}" name="Column2" headerRowDxfId="121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9" dataDxfId="117" headerRowBorderDxfId="118" tableBorderDxfId="116" totalsRowBorderDxfId="115">
  <tableColumns count="2">
    <tableColumn id="1" xr3:uid="{3DB08154-ACD6-41BF-8D18-EE97F412E9D9}" name="Column1" headerRowDxfId="114" dataDxfId="49">
      <calculatedColumnFormula array="1">defaultValue(P29,$C$28)</calculatedColumnFormula>
    </tableColumn>
    <tableColumn id="2" xr3:uid="{E148ED46-BA14-4105-9B99-1191A0BF50F8}" name="Column2" headerRowDxfId="113" dataDxfId="1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11" dataDxfId="109" headerRowBorderDxfId="110" tableBorderDxfId="108" totalsRowBorderDxfId="107">
  <tableColumns count="12">
    <tableColumn id="1" xr3:uid="{CE2C31BA-3509-47B9-BEDC-D6CD8F1ED9E6}" name="Column1" headerRowDxfId="106" dataDxfId="105"/>
    <tableColumn id="6" xr3:uid="{E1784E39-EDAC-4DAB-9B14-E397D730A51B}" name="Column6" headerRowDxfId="104" dataDxfId="103"/>
    <tableColumn id="2" xr3:uid="{116E8920-189E-4510-B8D2-2248ABC4622F}" name="Column2" headerRowDxfId="102" dataDxfId="101"/>
    <tableColumn id="3" xr3:uid="{1094FCDB-CFA9-4F01-94DB-17ACAB9F5A42}" name="Column3" headerRowDxfId="100" dataDxfId="99"/>
    <tableColumn id="4" xr3:uid="{A8E09EA9-1A49-489E-B2AD-7D53572D176F}" name="Column4" headerRowDxfId="98" dataDxfId="97"/>
    <tableColumn id="5" xr3:uid="{DE04D9ED-421A-4D96-B9EA-ECC81533BCB2}" name="Column5" headerRowDxfId="96" dataDxfId="95"/>
    <tableColumn id="7" xr3:uid="{FADB0994-C461-4954-9FD5-E16D46BE3A5F}" name="Column7" headerRowDxfId="94" dataDxfId="93"/>
    <tableColumn id="8" xr3:uid="{E738693D-6EF6-49AE-99D0-6F48F90B87D0}" name="Column8" headerRowDxfId="92" dataDxfId="91"/>
    <tableColumn id="9" xr3:uid="{B3707C24-AE47-495B-BD3C-8B594D592AEB}" name="Column9" headerRowDxfId="90" dataDxfId="89"/>
    <tableColumn id="10" xr3:uid="{DDFBB51B-A3C0-4A82-8656-FD1DC7CCB2AA}" name="Column10" headerRowDxfId="88" dataDxfId="87"/>
    <tableColumn id="11" xr3:uid="{C5D6EE06-82A1-460C-B4DE-5903CA74C822}" name="Column11" headerRowDxfId="86" dataDxfId="85"/>
    <tableColumn id="12" xr3:uid="{BE5A8FE7-70A2-4509-82CE-4DF5DF20BF01}" name="Column12" headerRowDxfId="84" dataDxfId="8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2" dataDxfId="80" headerRowBorderDxfId="81" tableBorderDxfId="79" totalsRowBorderDxfId="78">
  <tableColumns count="12">
    <tableColumn id="1" xr3:uid="{E451C9D8-9377-4078-BCC6-BCBD4A39AA29}" name="Column1" headerRowDxfId="77" dataDxfId="76"/>
    <tableColumn id="6" xr3:uid="{DF70B173-01BE-40C3-AD0E-3D8AC3B1CB93}" name="Column6" headerRowDxfId="75" dataDxfId="74"/>
    <tableColumn id="2" xr3:uid="{842F4306-1C00-4A82-9AD7-B532D5CD07A6}" name="Column2" headerRowDxfId="73" dataDxfId="72"/>
    <tableColumn id="3" xr3:uid="{75EE3CAD-D9A3-4A31-91AB-E2D1D55DFBDA}" name="Column3" headerRowDxfId="71" dataDxfId="70"/>
    <tableColumn id="4" xr3:uid="{0F56D11B-B8A8-49AE-ADFC-9ED4A9D53437}" name="Column4" headerRowDxfId="69" dataDxfId="68"/>
    <tableColumn id="5" xr3:uid="{DA35ED00-D6D2-45F8-A24B-A49DC445A0F3}" name="Column5" headerRowDxfId="67" dataDxfId="66"/>
    <tableColumn id="7" xr3:uid="{0E7970F5-77D6-4B90-A2D3-15569615C62A}" name="Column7" headerRowDxfId="65" dataDxfId="64"/>
    <tableColumn id="8" xr3:uid="{B858F225-F05B-4C4F-9BFC-D01ADF4399DA}" name="Column8" headerRowDxfId="63" dataDxfId="62"/>
    <tableColumn id="9" xr3:uid="{7DA4BD4B-21C5-41B6-A23D-FB53BA3E2833}" name="Column9" headerRowDxfId="61" dataDxfId="60"/>
    <tableColumn id="10" xr3:uid="{E7B259EC-2C79-41C8-95AA-DF38A7AB3CF2}" name="Column10" headerRowDxfId="59" dataDxfId="58"/>
    <tableColumn id="11" xr3:uid="{337CDD83-6618-4E8E-B556-75FE8B1091B2}" name="Column11" headerRowDxfId="57" dataDxfId="56"/>
    <tableColumn id="12" xr3:uid="{19E9C219-D893-49CC-B1F4-0DD3FD793856}" name="Column12" headerRowDxfId="55" dataDxfId="5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43" dataDxfId="42" headerRowBorderDxfId="53" tableBorderDxfId="52" totalsRowBorderDxfId="51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8"/>
    <tableColumn id="2" xr3:uid="{00000000-0010-0000-0700-000002000000}" name="بورديوم" dataDxfId="47"/>
    <tableColumn id="3" xr3:uid="{00000000-0010-0000-0700-000003000000}" name="وحدات علوية" dataDxfId="46"/>
    <tableColumn id="4" xr3:uid="{00000000-0010-0000-0700-000004000000}" name="دواليب" dataDxfId="45"/>
    <tableColumn id="5" xr3:uid="{00000000-0010-0000-0700-000005000000}" name="تجاليد" dataDxfId="4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106" customFormat="1" ht="21" customHeight="1" x14ac:dyDescent="0.3">
      <c r="H1" s="107"/>
      <c r="K1" s="107"/>
      <c r="N1" s="107"/>
      <c r="Q1" s="107"/>
      <c r="T1" s="107"/>
      <c r="W1" s="107"/>
    </row>
    <row r="2" spans="1:23" s="106" customFormat="1" ht="31.2" x14ac:dyDescent="0.3">
      <c r="C2" s="104" t="s">
        <v>177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7"/>
      <c r="T2" s="107"/>
      <c r="W2" s="107"/>
    </row>
    <row r="3" spans="1:23" s="108" customFormat="1" ht="16.8" customHeight="1" x14ac:dyDescent="0.3">
      <c r="B3" s="106" t="s">
        <v>149</v>
      </c>
    </row>
    <row r="4" spans="1:23" s="106" customFormat="1" ht="21" hidden="1" customHeight="1" x14ac:dyDescent="0.3">
      <c r="H4" s="107"/>
      <c r="K4" s="107"/>
      <c r="N4" s="107"/>
      <c r="Q4" s="107"/>
      <c r="T4" s="107"/>
      <c r="W4" s="107"/>
    </row>
    <row r="5" spans="1:23" s="106" customFormat="1" ht="21" hidden="1" customHeight="1" x14ac:dyDescent="0.3">
      <c r="H5" s="107"/>
      <c r="K5" s="107"/>
      <c r="N5" s="107"/>
      <c r="Q5" s="107"/>
      <c r="T5" s="107"/>
      <c r="W5" s="107"/>
    </row>
    <row r="6" spans="1:23" s="106" customFormat="1" ht="21" hidden="1" customHeight="1" x14ac:dyDescent="0.3">
      <c r="H6" s="107"/>
      <c r="K6" s="107"/>
      <c r="N6" s="107"/>
      <c r="Q6" s="107"/>
      <c r="T6" s="107"/>
      <c r="W6" s="107"/>
    </row>
    <row r="7" spans="1:23" s="106" customFormat="1" ht="21" hidden="1" customHeight="1" x14ac:dyDescent="0.3">
      <c r="H7" s="107"/>
      <c r="K7" s="107"/>
      <c r="N7" s="107"/>
      <c r="Q7" s="107"/>
      <c r="T7" s="107"/>
      <c r="W7" s="107"/>
    </row>
    <row r="8" spans="1:23" s="106" customFormat="1" ht="21" hidden="1" customHeight="1" x14ac:dyDescent="0.3">
      <c r="H8" s="107"/>
      <c r="K8" s="107"/>
      <c r="N8" s="107"/>
      <c r="Q8" s="107"/>
      <c r="T8" s="107"/>
      <c r="W8" s="107"/>
    </row>
    <row r="9" spans="1:23" s="106" customFormat="1" ht="21" hidden="1" customHeight="1" x14ac:dyDescent="0.3">
      <c r="H9" s="107"/>
      <c r="K9" s="107"/>
      <c r="N9" s="107"/>
      <c r="Q9" s="107"/>
      <c r="T9" s="107"/>
      <c r="W9" s="107"/>
    </row>
    <row r="10" spans="1:23" s="106" customFormat="1" ht="21" hidden="1" customHeight="1" x14ac:dyDescent="0.3">
      <c r="H10" s="107"/>
      <c r="K10" s="107"/>
      <c r="N10" s="107"/>
      <c r="Q10" s="107"/>
      <c r="T10" s="107"/>
      <c r="W10" s="107"/>
    </row>
    <row r="11" spans="1:23" s="106" customFormat="1" ht="21" hidden="1" customHeight="1" x14ac:dyDescent="0.3">
      <c r="H11" s="107"/>
      <c r="K11" s="107"/>
      <c r="N11" s="107"/>
      <c r="Q11" s="107"/>
      <c r="T11" s="107"/>
      <c r="W11" s="107"/>
    </row>
    <row r="12" spans="1:23" s="106" customFormat="1" hidden="1" x14ac:dyDescent="0.3">
      <c r="H12" s="107"/>
      <c r="K12" s="107"/>
      <c r="N12" s="107"/>
      <c r="Q12" s="107"/>
      <c r="T12" s="107"/>
      <c r="W12" s="107"/>
    </row>
    <row r="13" spans="1:23" customFormat="1" ht="21" customHeight="1" x14ac:dyDescent="0.3">
      <c r="A13" s="105"/>
    </row>
    <row r="14" spans="1:23" s="63" customFormat="1" ht="31.2" x14ac:dyDescent="0.3">
      <c r="A14" s="69"/>
    </row>
    <row r="15" spans="1:23" ht="31.2" x14ac:dyDescent="0.3">
      <c r="B15" s="49"/>
      <c r="C15" s="71" t="s">
        <v>159</v>
      </c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33</v>
      </c>
      <c r="E16" s="47" t="s">
        <v>39</v>
      </c>
      <c r="F16" s="47" t="s">
        <v>37</v>
      </c>
      <c r="G16" s="47" t="s">
        <v>36</v>
      </c>
      <c r="H16" s="47" t="s">
        <v>35</v>
      </c>
      <c r="I16" s="47" t="s">
        <v>101</v>
      </c>
      <c r="J16" s="47" t="s">
        <v>34</v>
      </c>
      <c r="K16" s="47" t="s">
        <v>20</v>
      </c>
      <c r="L16" s="47" t="s">
        <v>38</v>
      </c>
      <c r="M16" s="47" t="s">
        <v>57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171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71" t="s">
        <v>160</v>
      </c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165</v>
      </c>
      <c r="E21" s="47" t="s">
        <v>161</v>
      </c>
      <c r="F21" s="47" t="s">
        <v>162</v>
      </c>
      <c r="G21" s="47" t="s">
        <v>163</v>
      </c>
      <c r="H21" s="47" t="s">
        <v>164</v>
      </c>
      <c r="I21" s="47" t="s">
        <v>166</v>
      </c>
      <c r="J21" s="47" t="s">
        <v>167</v>
      </c>
      <c r="K21" s="47" t="s">
        <v>168</v>
      </c>
      <c r="L21" s="47" t="s">
        <v>169</v>
      </c>
      <c r="M21" s="47" t="s">
        <v>170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171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74" t="s">
        <v>144</v>
      </c>
      <c r="D27" s="75"/>
      <c r="E27" s="63"/>
      <c r="F27" s="74" t="s">
        <v>0</v>
      </c>
      <c r="G27" s="75"/>
      <c r="H27" s="63"/>
      <c r="I27" s="74" t="s">
        <v>42</v>
      </c>
      <c r="J27" s="75"/>
      <c r="K27" s="63"/>
      <c r="L27" s="74" t="s">
        <v>61</v>
      </c>
      <c r="M27" s="75"/>
      <c r="N27" s="63"/>
      <c r="O27" s="74" t="s">
        <v>100</v>
      </c>
      <c r="P27" s="75"/>
    </row>
    <row r="28" spans="1:19" ht="21" customHeight="1" x14ac:dyDescent="0.3">
      <c r="A28" s="42"/>
      <c r="B28"/>
      <c r="C28" s="72">
        <f ca="1">_xlfn.SHEET("إعدادات")</f>
        <v>1</v>
      </c>
      <c r="D28" s="73"/>
      <c r="F28" s="72">
        <f ca="1">_xlfn.SHEET("وحدات سفلية")</f>
        <v>4</v>
      </c>
      <c r="G28" s="73"/>
      <c r="H28" s="46"/>
      <c r="I28" s="72">
        <f ca="1">_xlfn.SHEET("وحدات علوية")</f>
        <v>5</v>
      </c>
      <c r="J28" s="73"/>
      <c r="K28" s="46"/>
      <c r="L28" s="72">
        <f ca="1">_xlfn.SHEET("دواليب")</f>
        <v>6</v>
      </c>
      <c r="M28" s="73"/>
      <c r="N28" s="46"/>
      <c r="O28" s="72">
        <f ca="1">_xlfn.SHEET("تجاليد")</f>
        <v>7</v>
      </c>
      <c r="P28" s="73"/>
    </row>
    <row r="29" spans="1:19" ht="21" customHeight="1" x14ac:dyDescent="0.3">
      <c r="A29" s="42"/>
      <c r="B29"/>
      <c r="C29" s="50" t="str">
        <f>K16</f>
        <v>HPL</v>
      </c>
      <c r="D29" s="51" t="s">
        <v>30</v>
      </c>
      <c r="F29" s="50" t="str" cm="1">
        <f t="array" aca="1" ref="F29" ca="1">defaultValue(G29,$C$28)</f>
        <v>HPL</v>
      </c>
      <c r="G29" s="51" t="s">
        <v>30</v>
      </c>
      <c r="H29" s="46"/>
      <c r="I29" s="50" t="str" cm="1">
        <f t="array" aca="1" ref="I29" ca="1">defaultValue(J29,$C$28)</f>
        <v>HPL</v>
      </c>
      <c r="J29" s="51" t="s">
        <v>30</v>
      </c>
      <c r="K29" s="46"/>
      <c r="L29" s="50" t="str" cm="1">
        <f t="array" aca="1" ref="L29" ca="1">defaultValue(M29,$C$28)</f>
        <v>HPL</v>
      </c>
      <c r="M29" s="51" t="s">
        <v>30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31</v>
      </c>
      <c r="F30" s="52" t="str" cm="1">
        <f t="array" aca="1" ref="F30" ca="1">defaultValue(G30,$C$28)</f>
        <v>يوفيلاك</v>
      </c>
      <c r="G30" s="53" t="s">
        <v>31</v>
      </c>
      <c r="H30" s="46"/>
      <c r="I30" s="52" t="str" cm="1">
        <f t="array" aca="1" ref="I30" ca="1">defaultValue(J30,$C$28)</f>
        <v>يوفيلاك</v>
      </c>
      <c r="J30" s="53" t="s">
        <v>31</v>
      </c>
      <c r="K30" s="46"/>
      <c r="L30" s="52" t="str" cm="1">
        <f t="array" aca="1" ref="L30" ca="1">defaultValue(M30,$C$28)</f>
        <v>يوفيلاك</v>
      </c>
      <c r="M30" s="53" t="s">
        <v>31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57</v>
      </c>
      <c r="F31" s="55" t="str" cm="1">
        <f t="array" aca="1" ref="F31" ca="1">defaultValue(G31,$C$28)</f>
        <v>ظهر</v>
      </c>
      <c r="G31" s="56" t="s">
        <v>57</v>
      </c>
      <c r="H31" s="46"/>
      <c r="I31" s="66" t="str" cm="1">
        <f t="array" aca="1" ref="I31" ca="1">defaultValue(J31,$C$28)</f>
        <v>ظهر</v>
      </c>
      <c r="J31" s="67" t="s">
        <v>57</v>
      </c>
      <c r="K31" s="46"/>
      <c r="L31" s="66" t="str" cm="1">
        <f t="array" aca="1" ref="L31" ca="1">defaultValue(M31,$C$28)</f>
        <v>ظهر</v>
      </c>
      <c r="M31" s="67" t="s">
        <v>57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19</v>
      </c>
      <c r="F32" s="58">
        <v>56</v>
      </c>
      <c r="G32" s="60" t="s">
        <v>109</v>
      </c>
      <c r="H32" s="57"/>
      <c r="I32" s="58">
        <v>30</v>
      </c>
      <c r="J32" s="60" t="s">
        <v>109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16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110</v>
      </c>
      <c r="F34" s="58" cm="1">
        <f t="array" aca="1" ref="F34" ca="1">defaultValue(G34,$C$28)</f>
        <v>45</v>
      </c>
      <c r="G34" s="60" t="s">
        <v>19</v>
      </c>
      <c r="H34" s="46"/>
      <c r="I34" s="58" cm="1">
        <f t="array" aca="1" ref="I34" ca="1">defaultValue(J34,$C$28)</f>
        <v>45</v>
      </c>
      <c r="J34" s="60" t="s">
        <v>19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16</v>
      </c>
      <c r="H35" s="46"/>
      <c r="I35" s="58" cm="1">
        <f t="array" aca="1" ref="I35" ca="1">defaultValue(J35,$C$28)</f>
        <v>3.5</v>
      </c>
      <c r="J35" s="60" t="s">
        <v>16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110</v>
      </c>
      <c r="H36" s="46"/>
      <c r="I36" s="58">
        <v>0</v>
      </c>
      <c r="J36" s="60" t="s">
        <v>111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13" activePane="bottomLeft" state="frozen"/>
      <selection pane="bottomLeft" activeCell="P21" sqref="P21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113" customFormat="1" x14ac:dyDescent="0.3">
      <c r="B1" s="113">
        <v>6</v>
      </c>
    </row>
    <row r="2" spans="1:15" s="113" customFormat="1" ht="31.2" x14ac:dyDescent="0.3">
      <c r="B2" s="113" t="s">
        <v>150</v>
      </c>
      <c r="D2" s="109" t="s">
        <v>175</v>
      </c>
      <c r="E2" s="109"/>
      <c r="F2" s="109"/>
      <c r="G2" s="109"/>
      <c r="H2" s="109"/>
      <c r="I2" s="109"/>
      <c r="J2" s="109"/>
      <c r="K2" s="109"/>
    </row>
    <row r="3" spans="1:15" s="113" customFormat="1" x14ac:dyDescent="0.3">
      <c r="B3" s="113" t="s">
        <v>149</v>
      </c>
    </row>
    <row r="4" spans="1:15" s="113" customFormat="1" ht="21" x14ac:dyDescent="0.4">
      <c r="D4" s="110" t="s">
        <v>174</v>
      </c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</row>
    <row r="5" spans="1:15" s="113" customFormat="1" x14ac:dyDescent="0.3">
      <c r="D5" s="111" cm="1">
        <f t="array" ref="D5:O6">woodMaterials[]</f>
        <v>0</v>
      </c>
      <c r="E5" s="111" t="str">
        <v>يوفيلاك</v>
      </c>
      <c r="F5" s="111" t="str">
        <v>بوليلاك</v>
      </c>
      <c r="G5" s="111" t="str">
        <v>Lumber J</v>
      </c>
      <c r="H5" s="111" t="str">
        <v>بولى بلس</v>
      </c>
      <c r="I5" s="111" t="str">
        <v>PVC</v>
      </c>
      <c r="J5" s="111" t="str">
        <v>بورديوم</v>
      </c>
      <c r="K5" s="111" t="str">
        <v>كونتر ميلامين</v>
      </c>
      <c r="L5" s="111" t="str">
        <v>HPL</v>
      </c>
      <c r="M5" s="111" t="str">
        <v>CPL</v>
      </c>
      <c r="N5" s="111" t="str">
        <v>ظهر</v>
      </c>
      <c r="O5" s="111">
        <v>0</v>
      </c>
    </row>
    <row r="6" spans="1:15" s="113" customFormat="1" x14ac:dyDescent="0.3">
      <c r="D6" s="111">
        <v>0</v>
      </c>
      <c r="E6" s="111">
        <v>6</v>
      </c>
      <c r="F6" s="111">
        <v>4</v>
      </c>
      <c r="G6" s="111">
        <v>4</v>
      </c>
      <c r="H6" s="111">
        <v>4</v>
      </c>
      <c r="I6" s="111">
        <v>4</v>
      </c>
      <c r="J6" s="111">
        <v>2</v>
      </c>
      <c r="K6" s="111">
        <v>2</v>
      </c>
      <c r="L6" s="111">
        <v>2</v>
      </c>
      <c r="M6" s="111">
        <v>2</v>
      </c>
      <c r="N6" s="111">
        <v>2</v>
      </c>
      <c r="O6" s="111" t="str">
        <v>الرقم</v>
      </c>
    </row>
    <row r="7" spans="1:15" s="113" customFormat="1" x14ac:dyDescent="0.3"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</row>
    <row r="8" spans="1:15" s="113" customFormat="1" ht="23.4" x14ac:dyDescent="0.45">
      <c r="D8" s="112" t="s">
        <v>160</v>
      </c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</row>
    <row r="9" spans="1:15" s="113" customFormat="1" x14ac:dyDescent="0.3">
      <c r="D9" s="111" cm="1">
        <f t="array" ref="D9:O10">blankMaterials[]</f>
        <v>0</v>
      </c>
      <c r="E9" s="111" t="str">
        <v>يوفيلاك سادة</v>
      </c>
      <c r="F9" s="111" t="str">
        <v>بوليلاك سادة</v>
      </c>
      <c r="G9" s="111" t="str">
        <v>Lumber J سادة</v>
      </c>
      <c r="H9" s="111" t="str">
        <v>بولى بلس سادة</v>
      </c>
      <c r="I9" s="111" t="str">
        <v>PVC سادة</v>
      </c>
      <c r="J9" s="111" t="str">
        <v>بورديوم سادة</v>
      </c>
      <c r="K9" s="111" t="str">
        <v>كونتر ميلامين سادة</v>
      </c>
      <c r="L9" s="111" t="str">
        <v>HPL سادة</v>
      </c>
      <c r="M9" s="111" t="str">
        <v>CPL سادة</v>
      </c>
      <c r="N9" s="111" t="str">
        <v>ظهر سادة</v>
      </c>
      <c r="O9" s="111">
        <v>0</v>
      </c>
    </row>
    <row r="10" spans="1:15" s="113" customFormat="1" x14ac:dyDescent="0.3">
      <c r="D10" s="111">
        <v>0</v>
      </c>
      <c r="E10" s="111">
        <v>5</v>
      </c>
      <c r="F10" s="111">
        <v>3</v>
      </c>
      <c r="G10" s="111">
        <v>3</v>
      </c>
      <c r="H10" s="111">
        <v>3</v>
      </c>
      <c r="I10" s="111">
        <v>3</v>
      </c>
      <c r="J10" s="111">
        <v>1</v>
      </c>
      <c r="K10" s="111">
        <v>1</v>
      </c>
      <c r="L10" s="111">
        <v>1</v>
      </c>
      <c r="M10" s="111">
        <v>1</v>
      </c>
      <c r="N10" s="111">
        <v>1</v>
      </c>
      <c r="O10" s="111" t="str">
        <v>الرقم</v>
      </c>
    </row>
    <row r="11" spans="1:15" s="113" customFormat="1" x14ac:dyDescent="0.3"/>
    <row r="12" spans="1:15" s="11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126</v>
      </c>
      <c r="B17" s="14"/>
      <c r="C17" s="13">
        <v>1</v>
      </c>
      <c r="D17" s="21" t="s">
        <v>58</v>
      </c>
      <c r="E17" s="76" t="s">
        <v>151</v>
      </c>
      <c r="F17" s="77"/>
      <c r="G17" s="77"/>
      <c r="H17" s="78"/>
      <c r="I17" s="2" t="s">
        <v>29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57</v>
      </c>
      <c r="G18" s="26" t="str" cm="1">
        <f t="array" aca="1" ref="G18" ca="1">defaultValue(H18,K17)</f>
        <v>يوفيلاك</v>
      </c>
      <c r="H18" s="7" t="s">
        <v>31</v>
      </c>
      <c r="I18" s="26" t="str" cm="1">
        <f t="array" aca="1" ref="I18" ca="1">defaultValue(J18,K17)</f>
        <v>HPL</v>
      </c>
      <c r="J18" s="7" t="s">
        <v>30</v>
      </c>
      <c r="K18" s="24" t="s">
        <v>108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16</v>
      </c>
      <c r="H19" s="7" t="s">
        <v>22</v>
      </c>
      <c r="I19" s="7" t="s">
        <v>3</v>
      </c>
      <c r="J19" s="7" t="s">
        <v>109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32</v>
      </c>
      <c r="J22" s="6" t="s">
        <v>172</v>
      </c>
      <c r="K22" s="6" t="s">
        <v>155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131</v>
      </c>
      <c r="B35" s="14"/>
      <c r="C35" s="13">
        <v>1</v>
      </c>
      <c r="D35" s="21" t="s">
        <v>58</v>
      </c>
      <c r="E35" s="76" t="s">
        <v>152</v>
      </c>
      <c r="F35" s="77"/>
      <c r="G35" s="77"/>
      <c r="H35" s="78"/>
      <c r="I35" s="2" t="s">
        <v>29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110</v>
      </c>
      <c r="E36" s="26" t="str" cm="1">
        <f t="array" aca="1" ref="E36" ca="1">defaultValue(F36,K35)</f>
        <v>ظهر</v>
      </c>
      <c r="F36" s="7" t="s">
        <v>57</v>
      </c>
      <c r="G36" s="26" t="str" cm="1">
        <f t="array" aca="1" ref="G36" ca="1">defaultValue(H36,K35)</f>
        <v>يوفيلاك</v>
      </c>
      <c r="H36" s="7" t="s">
        <v>31</v>
      </c>
      <c r="I36" s="26" t="str" cm="1">
        <f t="array" aca="1" ref="I36" ca="1">defaultValue(J36,K35)</f>
        <v>HPL</v>
      </c>
      <c r="J36" s="7" t="s">
        <v>30</v>
      </c>
      <c r="K36" s="24" t="s">
        <v>108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18</v>
      </c>
      <c r="E37" s="70"/>
      <c r="F37" s="7"/>
      <c r="G37" s="7" t="s">
        <v>16</v>
      </c>
      <c r="H37" s="7" t="s">
        <v>22</v>
      </c>
      <c r="I37" s="7" t="s">
        <v>3</v>
      </c>
      <c r="J37" s="7" t="s">
        <v>109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32</v>
      </c>
      <c r="J40" s="6" t="s">
        <v>172</v>
      </c>
      <c r="K40" s="6" t="s">
        <v>155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127</v>
      </c>
      <c r="B53" s="14"/>
      <c r="C53" s="13">
        <v>1</v>
      </c>
      <c r="D53" s="21" t="s">
        <v>58</v>
      </c>
      <c r="E53" s="76" t="s">
        <v>153</v>
      </c>
      <c r="F53" s="77"/>
      <c r="G53" s="77"/>
      <c r="H53" s="78"/>
      <c r="I53" s="2" t="s">
        <v>29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110</v>
      </c>
      <c r="E54" s="26" t="str" cm="1">
        <f t="array" aca="1" ref="E54" ca="1">defaultValue(F54,K53)</f>
        <v>ظهر</v>
      </c>
      <c r="F54" s="7" t="s">
        <v>57</v>
      </c>
      <c r="G54" s="26" t="str" cm="1">
        <f t="array" aca="1" ref="G54" ca="1">defaultValue(H54,K53)</f>
        <v>يوفيلاك</v>
      </c>
      <c r="H54" s="7" t="s">
        <v>31</v>
      </c>
      <c r="I54" s="26" t="str" cm="1">
        <f t="array" aca="1" ref="I54" ca="1">defaultValue(J54,K53)</f>
        <v>HPL</v>
      </c>
      <c r="J54" s="7" t="s">
        <v>30</v>
      </c>
      <c r="K54" s="24" t="s">
        <v>108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120</v>
      </c>
      <c r="D55" s="7" t="s">
        <v>119</v>
      </c>
      <c r="E55" s="70" t="s">
        <v>118</v>
      </c>
      <c r="F55" s="70" t="s">
        <v>156</v>
      </c>
      <c r="G55" s="7" t="s">
        <v>16</v>
      </c>
      <c r="H55" s="7" t="s">
        <v>22</v>
      </c>
      <c r="I55" s="7" t="s">
        <v>3</v>
      </c>
      <c r="J55" s="7" t="s">
        <v>109</v>
      </c>
      <c r="K55" s="7" t="s">
        <v>19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121</v>
      </c>
      <c r="I57" s="26">
        <v>0</v>
      </c>
      <c r="J57" s="79" t="s">
        <v>157</v>
      </c>
      <c r="K57" s="80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32</v>
      </c>
      <c r="J59" s="6" t="s">
        <v>172</v>
      </c>
      <c r="K59" s="6" t="s">
        <v>155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132</v>
      </c>
      <c r="B88" s="14"/>
      <c r="C88" s="13">
        <v>1</v>
      </c>
      <c r="D88" s="21" t="s">
        <v>58</v>
      </c>
      <c r="E88" s="76" t="s">
        <v>158</v>
      </c>
      <c r="F88" s="77"/>
      <c r="G88" s="77"/>
      <c r="H88" s="78"/>
      <c r="I88" s="2" t="s">
        <v>29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110</v>
      </c>
      <c r="E89" s="26" t="str" cm="1">
        <f t="array" aca="1" ref="E89" ca="1">defaultValue(F89,K88)</f>
        <v>ظهر</v>
      </c>
      <c r="F89" s="7" t="s">
        <v>57</v>
      </c>
      <c r="G89" s="26" t="str" cm="1">
        <f t="array" aca="1" ref="G89" ca="1">defaultValue(H89,K88)</f>
        <v>يوفيلاك</v>
      </c>
      <c r="H89" s="7" t="s">
        <v>31</v>
      </c>
      <c r="I89" s="26" t="str" cm="1">
        <f t="array" aca="1" ref="I89" ca="1">defaultValue(J89,K88)</f>
        <v>HPL</v>
      </c>
      <c r="J89" s="7" t="s">
        <v>30</v>
      </c>
      <c r="K89" s="24" t="s">
        <v>108</v>
      </c>
    </row>
    <row r="90" spans="1:62" ht="15.6" x14ac:dyDescent="0.3">
      <c r="A90" s="42">
        <v>1</v>
      </c>
      <c r="B90" s="14"/>
      <c r="C90" s="7" t="s">
        <v>12</v>
      </c>
      <c r="D90" s="7" t="s">
        <v>18</v>
      </c>
      <c r="E90" s="70" t="s">
        <v>23</v>
      </c>
      <c r="F90" s="7"/>
      <c r="G90" s="7" t="s">
        <v>16</v>
      </c>
      <c r="H90" s="7" t="s">
        <v>22</v>
      </c>
      <c r="I90" s="7" t="s">
        <v>3</v>
      </c>
      <c r="J90" s="7" t="s">
        <v>109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32</v>
      </c>
      <c r="J93" s="6" t="s">
        <v>172</v>
      </c>
      <c r="K93" s="6" t="s">
        <v>155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D4:O4"/>
    <mergeCell ref="D8:O8"/>
    <mergeCell ref="D2:K2"/>
    <mergeCell ref="E17:H17"/>
    <mergeCell ref="E35:H35"/>
    <mergeCell ref="E53:H53"/>
    <mergeCell ref="J57:K57"/>
    <mergeCell ref="E88:H8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37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94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95" customFormat="1" x14ac:dyDescent="0.3">
      <c r="B1" s="95">
        <v>1</v>
      </c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</row>
    <row r="2" spans="2:63" s="95" customFormat="1" ht="31.2" x14ac:dyDescent="0.6">
      <c r="B2" s="95" t="s">
        <v>117</v>
      </c>
      <c r="C2" s="103" t="s">
        <v>176</v>
      </c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</row>
    <row r="3" spans="2:63" s="95" customFormat="1" x14ac:dyDescent="0.3">
      <c r="R3" s="95" t="s">
        <v>0</v>
      </c>
      <c r="S3" s="95" t="s">
        <v>101</v>
      </c>
      <c r="T3" s="95" t="s">
        <v>42</v>
      </c>
      <c r="U3" s="95" t="s">
        <v>61</v>
      </c>
      <c r="V3" s="95" t="s">
        <v>100</v>
      </c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</row>
    <row r="4" spans="2:63" s="95" customFormat="1" ht="21" x14ac:dyDescent="0.4">
      <c r="E4" s="97" t="s">
        <v>174</v>
      </c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R4" s="95">
        <v>1</v>
      </c>
      <c r="S4" s="95">
        <v>2</v>
      </c>
      <c r="T4" s="95">
        <v>3</v>
      </c>
      <c r="U4" s="95">
        <v>4</v>
      </c>
      <c r="V4" s="95">
        <v>5</v>
      </c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/>
    </row>
    <row r="5" spans="2:63" s="95" customFormat="1" x14ac:dyDescent="0.3">
      <c r="E5" s="98" cm="1">
        <f t="array" ref="E5:P6">woodMaterials[]</f>
        <v>0</v>
      </c>
      <c r="F5" s="98" t="str">
        <v>يوفيلاك</v>
      </c>
      <c r="G5" s="98" t="str">
        <v>بوليلاك</v>
      </c>
      <c r="H5" s="98" t="str">
        <v>Lumber J</v>
      </c>
      <c r="I5" s="98" t="str">
        <v>بولى بلس</v>
      </c>
      <c r="J5" s="98" t="str">
        <v>PVC</v>
      </c>
      <c r="K5" s="98" t="str">
        <v>بورديوم</v>
      </c>
      <c r="L5" s="98" t="str">
        <v>كونتر ميلامين</v>
      </c>
      <c r="M5" s="98" t="str">
        <v>HPL</v>
      </c>
      <c r="N5" s="98" t="str">
        <v>CPL</v>
      </c>
      <c r="O5" s="98" t="str">
        <v>ظهر</v>
      </c>
      <c r="P5" s="98">
        <v>0</v>
      </c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</row>
    <row r="6" spans="2:63" s="95" customFormat="1" x14ac:dyDescent="0.3">
      <c r="E6" s="98">
        <v>0</v>
      </c>
      <c r="F6" s="98">
        <v>6</v>
      </c>
      <c r="G6" s="98">
        <v>4</v>
      </c>
      <c r="H6" s="98">
        <v>4</v>
      </c>
      <c r="I6" s="98">
        <v>4</v>
      </c>
      <c r="J6" s="98">
        <v>4</v>
      </c>
      <c r="K6" s="98">
        <v>2</v>
      </c>
      <c r="L6" s="98">
        <v>2</v>
      </c>
      <c r="M6" s="98">
        <v>2</v>
      </c>
      <c r="N6" s="98">
        <v>2</v>
      </c>
      <c r="O6" s="98">
        <v>2</v>
      </c>
      <c r="P6" s="98" t="str">
        <v>الرقم</v>
      </c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</row>
    <row r="7" spans="2:63" s="95" customFormat="1" ht="23.4" x14ac:dyDescent="0.45">
      <c r="E7" s="99" t="s">
        <v>160</v>
      </c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</row>
    <row r="8" spans="2:63" s="95" customFormat="1" x14ac:dyDescent="0.3">
      <c r="E8" s="98" cm="1">
        <f t="array" ref="E8:P9">blankMaterials[]</f>
        <v>0</v>
      </c>
      <c r="F8" s="98" t="str">
        <v>يوفيلاك سادة</v>
      </c>
      <c r="G8" s="98" t="str">
        <v>بوليلاك سادة</v>
      </c>
      <c r="H8" s="98" t="str">
        <v>Lumber J سادة</v>
      </c>
      <c r="I8" s="98" t="str">
        <v>بولى بلس سادة</v>
      </c>
      <c r="J8" s="98" t="str">
        <v>PVC سادة</v>
      </c>
      <c r="K8" s="98" t="str">
        <v>بورديوم سادة</v>
      </c>
      <c r="L8" s="98" t="str">
        <v>كونتر ميلامين سادة</v>
      </c>
      <c r="M8" s="98" t="str">
        <v>HPL سادة</v>
      </c>
      <c r="N8" s="98" t="str">
        <v>CPL سادة</v>
      </c>
      <c r="O8" s="98" t="str">
        <v>ظهر سادة</v>
      </c>
      <c r="P8" s="98">
        <v>0</v>
      </c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</row>
    <row r="9" spans="2:63" s="95" customFormat="1" x14ac:dyDescent="0.3">
      <c r="E9" s="98">
        <v>0</v>
      </c>
      <c r="F9" s="98">
        <v>5</v>
      </c>
      <c r="G9" s="98">
        <v>3</v>
      </c>
      <c r="H9" s="98">
        <v>3</v>
      </c>
      <c r="I9" s="98">
        <v>3</v>
      </c>
      <c r="J9" s="98">
        <v>3</v>
      </c>
      <c r="K9" s="98">
        <v>1</v>
      </c>
      <c r="L9" s="98">
        <v>1</v>
      </c>
      <c r="M9" s="98">
        <v>1</v>
      </c>
      <c r="N9" s="98">
        <v>1</v>
      </c>
      <c r="O9" s="98">
        <v>1</v>
      </c>
      <c r="P9" s="98" t="str">
        <v>الرقم</v>
      </c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</row>
    <row r="10" spans="2:63" s="95" customFormat="1" x14ac:dyDescent="0.3"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</row>
    <row r="11" spans="2:63" s="95" customFormat="1" x14ac:dyDescent="0.3"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</row>
    <row r="12" spans="2:63" s="95" customFormat="1" x14ac:dyDescent="0.3"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</row>
    <row r="13" spans="2:63" x14ac:dyDescent="0.3">
      <c r="BD13"/>
    </row>
    <row r="17" spans="1:11" ht="18" x14ac:dyDescent="0.3">
      <c r="A17" s="42" t="s">
        <v>126</v>
      </c>
      <c r="B17" s="14"/>
      <c r="C17" s="13">
        <v>1</v>
      </c>
      <c r="D17" s="21" t="s">
        <v>58</v>
      </c>
      <c r="E17" s="76" t="s">
        <v>25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سفلية")</f>
        <v>4</v>
      </c>
    </row>
    <row r="18" spans="1:11" ht="15.6" x14ac:dyDescent="0.3">
      <c r="A18" s="42">
        <v>1</v>
      </c>
      <c r="B18" s="14"/>
      <c r="C18" s="7"/>
      <c r="D18" s="7" t="s">
        <v>18</v>
      </c>
      <c r="E18" s="7" t="s">
        <v>16</v>
      </c>
      <c r="F18" s="81"/>
      <c r="G18" s="7"/>
      <c r="H18" s="7" t="s">
        <v>22</v>
      </c>
      <c r="I18" s="7" t="s">
        <v>3</v>
      </c>
      <c r="J18" s="7" t="s">
        <v>109</v>
      </c>
      <c r="K18" s="7"/>
    </row>
    <row r="19" spans="1:11" ht="15.6" x14ac:dyDescent="0.3">
      <c r="A19" s="42">
        <v>1</v>
      </c>
      <c r="B19" s="14"/>
      <c r="C19" s="8"/>
      <c r="D19" s="8">
        <v>1</v>
      </c>
      <c r="E19" s="26" cm="1">
        <f t="array" aca="1" ref="E19" ca="1">defaultValue(E18,K17)</f>
        <v>3.5</v>
      </c>
      <c r="F19" s="81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</row>
    <row r="20" spans="1:11" ht="15.6" x14ac:dyDescent="0.3">
      <c r="A20" s="42">
        <v>1</v>
      </c>
      <c r="B20" s="14"/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</row>
    <row r="21" spans="1:11" ht="21" x14ac:dyDescent="0.3">
      <c r="A21" s="42">
        <v>1</v>
      </c>
      <c r="B21" s="14"/>
      <c r="C21" s="8"/>
      <c r="D21" s="26" t="str" cm="1">
        <f t="array" aca="1" ref="D21" ca="1">defaultValue(E21,K17)</f>
        <v>ظهر</v>
      </c>
      <c r="E21" s="7" t="s">
        <v>57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108</v>
      </c>
      <c r="K21" s="7"/>
    </row>
    <row r="22" spans="1:11" x14ac:dyDescent="0.3">
      <c r="A22" s="42">
        <v>0</v>
      </c>
      <c r="B22"/>
      <c r="C22"/>
      <c r="D22"/>
      <c r="E22"/>
      <c r="F22"/>
      <c r="G22"/>
      <c r="H22"/>
      <c r="I22"/>
      <c r="J22"/>
      <c r="K22"/>
    </row>
    <row r="23" spans="1:11" ht="15.6" x14ac:dyDescent="0.3">
      <c r="A23" s="42">
        <v>2</v>
      </c>
      <c r="B23" s="14"/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172</v>
      </c>
      <c r="K23" s="6" t="s">
        <v>155</v>
      </c>
    </row>
    <row r="24" spans="1:11" x14ac:dyDescent="0.3">
      <c r="A24" s="42">
        <v>0</v>
      </c>
      <c r="B24"/>
      <c r="C24"/>
      <c r="D24"/>
      <c r="E24"/>
      <c r="F24"/>
      <c r="G24"/>
      <c r="H24"/>
      <c r="I24"/>
      <c r="J24"/>
      <c r="K24"/>
    </row>
    <row r="25" spans="1:11" ht="15.6" x14ac:dyDescent="0.3">
      <c r="A25" s="42">
        <v>3</v>
      </c>
      <c r="B25" s="14">
        <f>B24</f>
        <v>0</v>
      </c>
      <c r="C25" s="6">
        <v>1</v>
      </c>
      <c r="D25" s="6" t="str">
        <f ca="1">H21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</row>
    <row r="26" spans="1:11" ht="15.6" x14ac:dyDescent="0.3">
      <c r="A26" s="42">
        <v>3</v>
      </c>
      <c r="B26" s="14">
        <f>B24</f>
        <v>0</v>
      </c>
      <c r="C26" s="6">
        <f>C25+1</f>
        <v>2</v>
      </c>
      <c r="D26" s="6" t="str">
        <f ca="1">H21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</row>
    <row r="27" spans="1:11" ht="15.6" x14ac:dyDescent="0.3">
      <c r="A27" s="42">
        <v>3</v>
      </c>
      <c r="B27" s="14">
        <f>B24</f>
        <v>0</v>
      </c>
      <c r="C27" s="6">
        <f t="shared" ref="C27:C30" si="1">C26+1</f>
        <v>3</v>
      </c>
      <c r="D27" s="6" t="str">
        <f ca="1">H21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</row>
    <row r="28" spans="1:11" ht="15.6" x14ac:dyDescent="0.3">
      <c r="A28" s="42">
        <v>3</v>
      </c>
      <c r="B28" s="14">
        <f>B24</f>
        <v>0</v>
      </c>
      <c r="C28" s="6">
        <f t="shared" si="1"/>
        <v>4</v>
      </c>
      <c r="D28" s="6" t="str">
        <f ca="1">H21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</row>
    <row r="29" spans="1:11" ht="15.6" x14ac:dyDescent="0.3">
      <c r="A29" s="42">
        <v>3</v>
      </c>
      <c r="B29" s="14">
        <f>B24</f>
        <v>0</v>
      </c>
      <c r="C29" s="6">
        <f t="shared" si="1"/>
        <v>5</v>
      </c>
      <c r="D29" s="6" t="str">
        <f ca="1">H21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</row>
    <row r="30" spans="1:11" ht="15.6" x14ac:dyDescent="0.3">
      <c r="A30" s="42">
        <v>3</v>
      </c>
      <c r="B30" s="14">
        <f>B24</f>
        <v>0</v>
      </c>
      <c r="C30" s="6">
        <f t="shared" si="1"/>
        <v>6</v>
      </c>
      <c r="D30" s="6" t="str">
        <f ca="1">H21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</row>
    <row r="31" spans="1:11" x14ac:dyDescent="0.3">
      <c r="A31" s="42">
        <v>0</v>
      </c>
      <c r="B31"/>
      <c r="C31"/>
      <c r="D31"/>
      <c r="E31"/>
      <c r="F31"/>
      <c r="G31"/>
      <c r="H31"/>
      <c r="I31"/>
      <c r="J31"/>
      <c r="K31"/>
    </row>
    <row r="32" spans="1:11" ht="15.6" x14ac:dyDescent="0.3">
      <c r="A32" s="42">
        <v>4</v>
      </c>
      <c r="B32" s="14">
        <f>B24</f>
        <v>0</v>
      </c>
      <c r="C32" s="9">
        <f>C30+1</f>
        <v>7</v>
      </c>
      <c r="D32" s="9" t="str">
        <f ca="1">F21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</row>
    <row r="33" spans="1:11" ht="15.6" x14ac:dyDescent="0.3">
      <c r="A33" s="42">
        <v>4</v>
      </c>
      <c r="B33" s="14">
        <f>B24</f>
        <v>0</v>
      </c>
      <c r="C33" s="9">
        <f t="shared" ref="C33" si="2">C32+1</f>
        <v>8</v>
      </c>
      <c r="D33" s="9" t="str">
        <f ca="1">F21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</row>
    <row r="34" spans="1:11" x14ac:dyDescent="0.3">
      <c r="A34" s="42">
        <v>0</v>
      </c>
      <c r="B34"/>
      <c r="C34"/>
      <c r="D34"/>
      <c r="E34"/>
      <c r="F34"/>
      <c r="G34"/>
      <c r="H34"/>
      <c r="I34"/>
      <c r="J34"/>
      <c r="K34"/>
    </row>
    <row r="35" spans="1:11" ht="15.6" x14ac:dyDescent="0.3">
      <c r="A35" s="42">
        <v>5</v>
      </c>
      <c r="B35" s="14">
        <f>B24</f>
        <v>0</v>
      </c>
      <c r="C35" s="18">
        <f>C33+1</f>
        <v>9</v>
      </c>
      <c r="D35" s="18" t="str">
        <f ca="1">D21</f>
        <v>ظهر</v>
      </c>
      <c r="E35" s="18" t="s">
        <v>57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</row>
    <row r="36" spans="1:11" ht="15.6" x14ac:dyDescent="0.3">
      <c r="A36" s="42">
        <v>255</v>
      </c>
      <c r="B36" s="14"/>
      <c r="C36" s="3"/>
      <c r="D36" s="3"/>
      <c r="E36" s="3"/>
      <c r="F36" s="3"/>
      <c r="G36" s="3"/>
      <c r="H36" s="3"/>
      <c r="I36" s="3"/>
      <c r="J36" s="3"/>
      <c r="K36" s="3"/>
    </row>
    <row r="37" spans="1:11" ht="15.6" x14ac:dyDescent="0.3">
      <c r="A37" s="42">
        <v>255</v>
      </c>
      <c r="B37" s="14"/>
      <c r="C37" s="3"/>
      <c r="D37" s="3"/>
      <c r="E37" s="3"/>
      <c r="F37" s="3"/>
      <c r="G37" s="3"/>
      <c r="H37" s="3"/>
      <c r="I37" s="3"/>
      <c r="J37" s="3"/>
      <c r="K37" s="3"/>
    </row>
  </sheetData>
  <mergeCells count="5">
    <mergeCell ref="E4:P4"/>
    <mergeCell ref="E7:P7"/>
    <mergeCell ref="C2:Q2"/>
    <mergeCell ref="E17:H17"/>
    <mergeCell ref="F18:F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 activeCell="M14" sqref="M14"/>
    </sheetView>
  </sheetViews>
  <sheetFormatPr defaultRowHeight="15.6" x14ac:dyDescent="0.3"/>
  <cols>
    <col min="1" max="1" width="8.21875" style="42" hidden="1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119" customFormat="1" x14ac:dyDescent="0.3">
      <c r="A1" s="119">
        <v>13</v>
      </c>
      <c r="B1" s="118">
        <v>7</v>
      </c>
    </row>
    <row r="2" spans="1:75" s="119" customFormat="1" ht="37.200000000000003" customHeight="1" x14ac:dyDescent="0.3">
      <c r="A2" s="119">
        <v>30</v>
      </c>
      <c r="B2" s="120" t="s">
        <v>113</v>
      </c>
      <c r="C2" s="115" t="s">
        <v>0</v>
      </c>
      <c r="D2" s="115"/>
      <c r="E2" s="115"/>
      <c r="F2" s="115"/>
      <c r="G2" s="115"/>
      <c r="H2" s="115"/>
      <c r="I2" s="115"/>
      <c r="J2" s="115"/>
      <c r="K2" s="115"/>
      <c r="Q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</row>
    <row r="3" spans="1:75" s="119" customFormat="1" ht="18" customHeight="1" x14ac:dyDescent="0.3">
      <c r="B3" s="120" t="s">
        <v>145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</row>
    <row r="4" spans="1:75" s="119" customFormat="1" ht="21" x14ac:dyDescent="0.4">
      <c r="B4" s="120"/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</row>
    <row r="5" spans="1:75" s="119" customFormat="1" ht="14.4" x14ac:dyDescent="0.3">
      <c r="B5" s="120"/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0"/>
      <c r="BM5" s="120"/>
      <c r="BN5" s="120"/>
      <c r="BO5" s="120"/>
      <c r="BP5" s="120"/>
      <c r="BQ5" s="120"/>
      <c r="BR5" s="120"/>
      <c r="BS5" s="120"/>
      <c r="BT5" s="120"/>
      <c r="BU5" s="120"/>
      <c r="BV5" s="120"/>
      <c r="BW5" s="120"/>
    </row>
    <row r="6" spans="1:75" s="119" customFormat="1" ht="14.4" x14ac:dyDescent="0.3">
      <c r="B6" s="120"/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</row>
    <row r="7" spans="1:75" s="121" customFormat="1" ht="21" x14ac:dyDescent="0.4">
      <c r="A7" s="119"/>
      <c r="B7" s="120"/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</row>
    <row r="8" spans="1:75" s="121" customFormat="1" ht="18" x14ac:dyDescent="0.3">
      <c r="A8" s="119"/>
      <c r="B8" s="120"/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</row>
    <row r="9" spans="1:75" s="121" customFormat="1" ht="18" x14ac:dyDescent="0.3">
      <c r="A9" s="119"/>
      <c r="B9" s="120"/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</row>
    <row r="10" spans="1:75" s="121" customFormat="1" ht="18" x14ac:dyDescent="0.3">
      <c r="A10" s="119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</row>
    <row r="11" spans="1:75" s="121" customFormat="1" ht="18" x14ac:dyDescent="0.3">
      <c r="A11" s="119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0"/>
    </row>
    <row r="12" spans="1:75" s="122" customFormat="1" ht="18" x14ac:dyDescent="0.3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</row>
    <row r="13" spans="1:75" customFormat="1" ht="14.4" x14ac:dyDescent="0.3">
      <c r="A13" s="100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2" t="s">
        <v>126</v>
      </c>
      <c r="C17" s="13">
        <v>1</v>
      </c>
      <c r="D17" s="21" t="s">
        <v>58</v>
      </c>
      <c r="E17" s="76" t="s">
        <v>25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18</v>
      </c>
      <c r="E18" s="7" t="s">
        <v>16</v>
      </c>
      <c r="F18" s="81"/>
      <c r="G18" s="7"/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81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57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108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172</v>
      </c>
      <c r="K23" s="6" t="s">
        <v>155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>
        <f>B24</f>
        <v>0</v>
      </c>
      <c r="C25" s="6">
        <v>1</v>
      </c>
      <c r="D25" s="6" t="str">
        <f ca="1">H21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>
        <f>B24</f>
        <v>0</v>
      </c>
      <c r="C26" s="6">
        <f>C25+1</f>
        <v>2</v>
      </c>
      <c r="D26" s="6" t="str">
        <f ca="1">H21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>
        <f>B24</f>
        <v>0</v>
      </c>
      <c r="C27" s="6">
        <f t="shared" ref="C27:C30" si="1">C26+1</f>
        <v>3</v>
      </c>
      <c r="D27" s="6" t="str">
        <f ca="1">H21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>
        <f>B24</f>
        <v>0</v>
      </c>
      <c r="C28" s="6">
        <f t="shared" si="1"/>
        <v>4</v>
      </c>
      <c r="D28" s="6" t="str">
        <f ca="1">H21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>
        <f>B24</f>
        <v>0</v>
      </c>
      <c r="C29" s="6">
        <f t="shared" si="1"/>
        <v>5</v>
      </c>
      <c r="D29" s="6" t="str">
        <f ca="1">H21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>
        <f>B24</f>
        <v>0</v>
      </c>
      <c r="C30" s="6">
        <f t="shared" si="1"/>
        <v>6</v>
      </c>
      <c r="D30" s="6" t="str">
        <f ca="1">H21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>
        <f>B24</f>
        <v>0</v>
      </c>
      <c r="C32" s="9">
        <f>C30+1</f>
        <v>7</v>
      </c>
      <c r="D32" s="9" t="str">
        <f ca="1">F21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>
        <f>B24</f>
        <v>0</v>
      </c>
      <c r="C33" s="9">
        <f t="shared" ref="C33" si="2">C32+1</f>
        <v>8</v>
      </c>
      <c r="D33" s="9" t="str">
        <f ca="1">F21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>
        <f>B24</f>
        <v>0</v>
      </c>
      <c r="C35" s="18">
        <f>C33+1</f>
        <v>9</v>
      </c>
      <c r="D35" s="18" t="str">
        <f ca="1">D21</f>
        <v>ظهر</v>
      </c>
      <c r="E35" s="18" t="s">
        <v>57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6" x14ac:dyDescent="0.3">
      <c r="A38" s="42" t="s">
        <v>131</v>
      </c>
      <c r="C38" s="13">
        <v>1</v>
      </c>
      <c r="D38" s="21" t="s">
        <v>58</v>
      </c>
      <c r="E38" s="76" t="s">
        <v>28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18</v>
      </c>
      <c r="E39" s="7" t="s">
        <v>16</v>
      </c>
      <c r="F39" s="81"/>
      <c r="G39" s="7"/>
      <c r="H39" s="7" t="s">
        <v>22</v>
      </c>
      <c r="I39" s="7" t="s">
        <v>3</v>
      </c>
      <c r="J39" s="7" t="s">
        <v>109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81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57</v>
      </c>
      <c r="F42" s="26" t="str" cm="1">
        <f t="array" aca="1" ref="F42" ca="1">defaultValue(G42,K38)</f>
        <v>يوفيلاك</v>
      </c>
      <c r="G42" s="7" t="s">
        <v>31</v>
      </c>
      <c r="H42" s="26" t="str" cm="1">
        <f t="array" aca="1" ref="H42" ca="1">defaultValue(I42,K38)</f>
        <v>HPL</v>
      </c>
      <c r="I42" s="7" t="s">
        <v>30</v>
      </c>
      <c r="J42" s="24" t="s">
        <v>108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E38</f>
        <v>وحدة سفلية  ركنة 45</v>
      </c>
      <c r="C46" s="6">
        <v>1</v>
      </c>
      <c r="D46" s="6" t="str">
        <f ca="1">H42</f>
        <v>HPL</v>
      </c>
      <c r="E46" s="6" t="s">
        <v>10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3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B46</f>
        <v>وحدة سفلية  ركنة 45</v>
      </c>
      <c r="C47" s="6">
        <f>C46+1</f>
        <v>2</v>
      </c>
      <c r="D47" s="6" t="str">
        <f ca="1">H42</f>
        <v>HPL</v>
      </c>
      <c r="E47" s="6" t="s">
        <v>11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3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B46</f>
        <v>وحدة سفلية  ركنة 45</v>
      </c>
      <c r="C48" s="6">
        <f t="shared" ref="C48:C51" si="4">C47+1</f>
        <v>3</v>
      </c>
      <c r="D48" s="6" t="str">
        <f ca="1">H42</f>
        <v>HPL</v>
      </c>
      <c r="E48" s="6" t="s">
        <v>13</v>
      </c>
      <c r="F48" s="6">
        <f>H40-1.8</f>
        <v>-1.8</v>
      </c>
      <c r="G48" s="6">
        <v>10</v>
      </c>
      <c r="H48" s="6">
        <f>3*C38</f>
        <v>3</v>
      </c>
      <c r="I48" s="6">
        <f t="shared" ca="1" si="3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B46</f>
        <v>وحدة سفلية  ركنة 45</v>
      </c>
      <c r="C49" s="6">
        <f t="shared" si="4"/>
        <v>4</v>
      </c>
      <c r="D49" s="6" t="str">
        <f ca="1">H42</f>
        <v>HPL</v>
      </c>
      <c r="E49" s="6" t="s">
        <v>14</v>
      </c>
      <c r="F49" s="6">
        <f>H40-1.8</f>
        <v>-1.8</v>
      </c>
      <c r="G49" s="6">
        <v>7</v>
      </c>
      <c r="H49" s="6">
        <f>2*C38</f>
        <v>2</v>
      </c>
      <c r="I49" s="6">
        <f t="shared" ca="1" si="3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B46</f>
        <v>وحدة سفلية  ركنة 45</v>
      </c>
      <c r="C50" s="6">
        <f t="shared" si="4"/>
        <v>5</v>
      </c>
      <c r="D50" s="6" t="str">
        <f ca="1">H42</f>
        <v>HPL</v>
      </c>
      <c r="E50" s="6" t="s">
        <v>26</v>
      </c>
      <c r="F50" s="6">
        <v>70</v>
      </c>
      <c r="G50" s="6">
        <v>10</v>
      </c>
      <c r="H50" s="6">
        <f>1*C38</f>
        <v>1</v>
      </c>
      <c r="I50" s="6">
        <f t="shared" ca="1" si="3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B46</f>
        <v>وحدة سفلية  ركنة 45</v>
      </c>
      <c r="C51" s="6">
        <f t="shared" si="4"/>
        <v>6</v>
      </c>
      <c r="D51" s="6" t="str">
        <f ca="1">H42</f>
        <v>HPL</v>
      </c>
      <c r="E51" s="6" t="s">
        <v>17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3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B46</f>
        <v>وحدة سفلية  ركنة 45</v>
      </c>
      <c r="C53" s="9">
        <f>C51+1</f>
        <v>7</v>
      </c>
      <c r="D53" s="9" t="str">
        <f ca="1">F42</f>
        <v>يوفيلاك</v>
      </c>
      <c r="E53" s="9" t="s">
        <v>27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B46</f>
        <v>وحدة سفلية  ركنة 45</v>
      </c>
      <c r="C55" s="18">
        <f>C53+1</f>
        <v>8</v>
      </c>
      <c r="D55" s="18" t="str">
        <f ca="1">D42</f>
        <v>ظهر</v>
      </c>
      <c r="E55" s="18" t="s">
        <v>57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6" x14ac:dyDescent="0.3">
      <c r="A58" s="42" t="s">
        <v>127</v>
      </c>
      <c r="B58" s="3"/>
      <c r="C58" s="13">
        <v>1</v>
      </c>
      <c r="D58" s="21" t="s">
        <v>58</v>
      </c>
      <c r="E58" s="76" t="s">
        <v>102</v>
      </c>
      <c r="F58" s="77"/>
      <c r="G58" s="77"/>
      <c r="H58" s="78"/>
      <c r="I58" s="2" t="s">
        <v>29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18</v>
      </c>
      <c r="E59" s="7" t="s">
        <v>16</v>
      </c>
      <c r="F59" s="81"/>
      <c r="G59" s="15" t="s">
        <v>19</v>
      </c>
      <c r="H59" s="7" t="s">
        <v>22</v>
      </c>
      <c r="I59" s="7" t="s">
        <v>3</v>
      </c>
      <c r="J59" s="7" t="s">
        <v>109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81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57</v>
      </c>
      <c r="F61" s="26" t="str" cm="1">
        <f t="array" aca="1" ref="F61" ca="1">defaultValue(G61,K58)</f>
        <v>يوفيلاك</v>
      </c>
      <c r="G61" s="7" t="s">
        <v>31</v>
      </c>
      <c r="H61" s="26" t="str" cm="1">
        <f t="array" aca="1" ref="H61" ca="1">defaultValue(I61,K58)</f>
        <v>HPL</v>
      </c>
      <c r="I61" s="7" t="s">
        <v>30</v>
      </c>
      <c r="J61" s="24" t="s">
        <v>108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32</v>
      </c>
      <c r="J63" s="6" t="s">
        <v>172</v>
      </c>
      <c r="K63" s="6" t="s">
        <v>155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E58</f>
        <v xml:space="preserve">وحدة سفلية  فرن </v>
      </c>
      <c r="C65" s="6">
        <v>1</v>
      </c>
      <c r="D65" s="6" t="str">
        <f ca="1">H61</f>
        <v>HPL</v>
      </c>
      <c r="E65" s="6" t="s">
        <v>10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5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B65</f>
        <v xml:space="preserve">وحدة سفلية  فرن </v>
      </c>
      <c r="C66" s="6">
        <f>C65+1</f>
        <v>2</v>
      </c>
      <c r="D66" s="6" t="str">
        <f ca="1">H61</f>
        <v>HPL</v>
      </c>
      <c r="E66" s="6" t="s">
        <v>11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5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B65</f>
        <v xml:space="preserve">وحدة سفلية  فرن </v>
      </c>
      <c r="C67" s="6">
        <f t="shared" ref="C67:C72" si="6">C66+1</f>
        <v>3</v>
      </c>
      <c r="D67" s="6" t="str">
        <f ca="1">H61</f>
        <v>HPL</v>
      </c>
      <c r="E67" s="6" t="s">
        <v>13</v>
      </c>
      <c r="F67" s="6">
        <f>H60-3.6</f>
        <v>56.4</v>
      </c>
      <c r="G67" s="6">
        <v>10</v>
      </c>
      <c r="H67" s="6">
        <f>2*C58</f>
        <v>2</v>
      </c>
      <c r="I67" s="6">
        <f t="shared" ca="1" si="5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B65</f>
        <v xml:space="preserve">وحدة سفلية  فرن </v>
      </c>
      <c r="C68" s="6">
        <f t="shared" si="6"/>
        <v>4</v>
      </c>
      <c r="D68" s="6" t="str">
        <f ca="1">H61</f>
        <v>HPL</v>
      </c>
      <c r="E68" s="6" t="s">
        <v>14</v>
      </c>
      <c r="F68" s="6">
        <f>H60-3.6</f>
        <v>56.4</v>
      </c>
      <c r="G68" s="6">
        <v>7</v>
      </c>
      <c r="H68" s="6">
        <f>2*C58</f>
        <v>2</v>
      </c>
      <c r="I68" s="6">
        <f t="shared" ca="1" si="5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B65</f>
        <v xml:space="preserve">وحدة سفلية  فرن </v>
      </c>
      <c r="C69" s="6">
        <f t="shared" si="6"/>
        <v>5</v>
      </c>
      <c r="D69" s="6" t="str">
        <f ca="1">H61</f>
        <v>HPL</v>
      </c>
      <c r="E69" s="6" t="s">
        <v>17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5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B66</f>
        <v xml:space="preserve">وحدة سفلية  فرن </v>
      </c>
      <c r="C70" s="10">
        <f t="shared" si="6"/>
        <v>6</v>
      </c>
      <c r="D70" s="10" t="str">
        <f ca="1">H61</f>
        <v>HPL</v>
      </c>
      <c r="E70" s="10" t="s">
        <v>21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5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B67</f>
        <v xml:space="preserve">وحدة سفلية  فرن </v>
      </c>
      <c r="C71" s="10">
        <f t="shared" si="6"/>
        <v>7</v>
      </c>
      <c r="D71" s="10" t="str">
        <f ca="1">H61</f>
        <v>HPL</v>
      </c>
      <c r="E71" s="10" t="s">
        <v>124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5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B68</f>
        <v xml:space="preserve">وحدة سفلية  فرن </v>
      </c>
      <c r="C72" s="10">
        <f t="shared" si="6"/>
        <v>8</v>
      </c>
      <c r="D72" s="10" t="str">
        <f ca="1">H61</f>
        <v>HPL</v>
      </c>
      <c r="E72" s="10" t="s">
        <v>125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5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B65</f>
        <v xml:space="preserve">وحدة سفلية  فرن </v>
      </c>
      <c r="C74" s="9">
        <f>C72+1</f>
        <v>9</v>
      </c>
      <c r="D74" s="9" t="str">
        <f ca="1">F61</f>
        <v>يوفيلاك</v>
      </c>
      <c r="E74" s="9" t="s">
        <v>15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B65</f>
        <v xml:space="preserve">وحدة سفلية  فرن </v>
      </c>
      <c r="C75" s="9">
        <f>C74+1</f>
        <v>10</v>
      </c>
      <c r="D75" s="9" t="str">
        <f ca="1">F61</f>
        <v>يوفيلاك</v>
      </c>
      <c r="E75" s="9" t="s">
        <v>123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B65</f>
        <v xml:space="preserve">وحدة سفلية  فرن </v>
      </c>
      <c r="C77" s="18">
        <f>C75+1</f>
        <v>11</v>
      </c>
      <c r="D77" s="18" t="str">
        <f ca="1">D61</f>
        <v>ظهر</v>
      </c>
      <c r="E77" s="18" t="s">
        <v>57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B65</f>
        <v xml:space="preserve">وحدة سفلية  فرن </v>
      </c>
      <c r="C78" s="18">
        <f>C77+1</f>
        <v>12</v>
      </c>
      <c r="D78" s="18" t="str">
        <f ca="1">D61</f>
        <v>ظهر</v>
      </c>
      <c r="E78" s="18" t="s">
        <v>122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6" x14ac:dyDescent="0.3">
      <c r="A81" s="43" t="s">
        <v>132</v>
      </c>
      <c r="C81" s="13">
        <v>1</v>
      </c>
      <c r="D81" s="21" t="s">
        <v>58</v>
      </c>
      <c r="E81" s="76" t="s">
        <v>133</v>
      </c>
      <c r="F81" s="77"/>
      <c r="G81" s="77"/>
      <c r="H81" s="78"/>
      <c r="I81" s="2" t="s">
        <v>29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18</v>
      </c>
      <c r="E82" s="7" t="s">
        <v>16</v>
      </c>
      <c r="F82" s="17" t="s">
        <v>134</v>
      </c>
      <c r="G82" s="15" t="s">
        <v>19</v>
      </c>
      <c r="H82" s="7" t="s">
        <v>22</v>
      </c>
      <c r="I82" s="7" t="s">
        <v>3</v>
      </c>
      <c r="J82" s="7" t="s">
        <v>109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57</v>
      </c>
      <c r="F84" s="26" t="str" cm="1">
        <f t="array" aca="1" ref="F84" ca="1">defaultValue(G84,K81)</f>
        <v>يوفيلاك</v>
      </c>
      <c r="G84" s="7" t="s">
        <v>31</v>
      </c>
      <c r="H84" s="26" t="str" cm="1">
        <f t="array" aca="1" ref="H84" ca="1">defaultValue(I84,K81)</f>
        <v>HPL</v>
      </c>
      <c r="I84" s="7" t="s">
        <v>30</v>
      </c>
      <c r="J84" s="24" t="s">
        <v>108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32</v>
      </c>
      <c r="J86" s="6" t="s">
        <v>172</v>
      </c>
      <c r="K86" s="6" t="s">
        <v>155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E81</f>
        <v>وحدة سفلية دلفة /دلفتين + درج</v>
      </c>
      <c r="C88" s="6">
        <v>1</v>
      </c>
      <c r="D88" s="6" t="str">
        <f ca="1">H84</f>
        <v>HPL</v>
      </c>
      <c r="E88" s="6" t="s">
        <v>10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7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B88</f>
        <v>وحدة سفلية دلفة /دلفتين + درج</v>
      </c>
      <c r="C89" s="6">
        <f>C88+1</f>
        <v>2</v>
      </c>
      <c r="D89" s="6" t="str">
        <f ca="1">H84</f>
        <v>HPL</v>
      </c>
      <c r="E89" s="6" t="s">
        <v>11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7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B88</f>
        <v>وحدة سفلية دلفة /دلفتين + درج</v>
      </c>
      <c r="C90" s="6">
        <f t="shared" ref="C90:C95" si="8">C89+1</f>
        <v>3</v>
      </c>
      <c r="D90" s="6" t="str">
        <f ca="1">H84</f>
        <v>HPL</v>
      </c>
      <c r="E90" s="6" t="s">
        <v>13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7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B88</f>
        <v>وحدة سفلية دلفة /دلفتين + درج</v>
      </c>
      <c r="C91" s="6">
        <f t="shared" si="8"/>
        <v>4</v>
      </c>
      <c r="D91" s="6" t="str">
        <f ca="1">H84</f>
        <v>HPL</v>
      </c>
      <c r="E91" s="6" t="s">
        <v>14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7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B88</f>
        <v>وحدة سفلية دلفة /دلفتين + درج</v>
      </c>
      <c r="C92" s="6">
        <f t="shared" si="8"/>
        <v>5</v>
      </c>
      <c r="D92" s="6" t="str">
        <f ca="1">H84</f>
        <v>HPL</v>
      </c>
      <c r="E92" s="6" t="s">
        <v>17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7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B89</f>
        <v>وحدة سفلية دلفة /دلفتين + درج</v>
      </c>
      <c r="C93" s="10">
        <f t="shared" si="8"/>
        <v>6</v>
      </c>
      <c r="D93" s="10" t="str">
        <f ca="1">H84</f>
        <v>HPL</v>
      </c>
      <c r="E93" s="10" t="s">
        <v>21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7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B90</f>
        <v>وحدة سفلية دلفة /دلفتين + درج</v>
      </c>
      <c r="C94" s="10">
        <f t="shared" si="8"/>
        <v>7</v>
      </c>
      <c r="D94" s="10" t="str">
        <f ca="1">H84</f>
        <v>HPL</v>
      </c>
      <c r="E94" s="10" t="s">
        <v>124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7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B91</f>
        <v>وحدة سفلية دلفة /دلفتين + درج</v>
      </c>
      <c r="C95" s="10">
        <f t="shared" si="8"/>
        <v>8</v>
      </c>
      <c r="D95" s="10" t="str">
        <f ca="1">H84</f>
        <v>HPL</v>
      </c>
      <c r="E95" s="10" t="s">
        <v>125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7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B88</f>
        <v>وحدة سفلية دلفة /دلفتين + درج</v>
      </c>
      <c r="C97" s="9">
        <f>C95+1</f>
        <v>9</v>
      </c>
      <c r="D97" s="9" t="str">
        <f ca="1">F84</f>
        <v>يوفيلاك</v>
      </c>
      <c r="E97" s="9" t="s">
        <v>15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B88</f>
        <v>وحدة سفلية دلفة /دلفتين + درج</v>
      </c>
      <c r="C98" s="9">
        <f>C97+1</f>
        <v>10</v>
      </c>
      <c r="D98" s="9" t="str">
        <f ca="1">F84</f>
        <v>يوفيلاك</v>
      </c>
      <c r="E98" s="9" t="s">
        <v>136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B88</f>
        <v>وحدة سفلية دلفة /دلفتين + درج</v>
      </c>
      <c r="C100" s="18">
        <f>C97+1</f>
        <v>10</v>
      </c>
      <c r="D100" s="18" t="str">
        <f ca="1">D84</f>
        <v>ظهر</v>
      </c>
      <c r="E100" s="18" t="s">
        <v>57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B88</f>
        <v>وحدة سفلية دلفة /دلفتين + درج</v>
      </c>
      <c r="C101" s="18">
        <f>C100+1</f>
        <v>11</v>
      </c>
      <c r="D101" s="18" t="str">
        <f ca="1">D84</f>
        <v>ظهر</v>
      </c>
      <c r="E101" s="18" t="s">
        <v>135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6" x14ac:dyDescent="0.3">
      <c r="A104" s="43" t="s">
        <v>128</v>
      </c>
      <c r="C104" s="13">
        <v>1</v>
      </c>
      <c r="D104" s="21" t="s">
        <v>58</v>
      </c>
      <c r="E104" s="76" t="s">
        <v>154</v>
      </c>
      <c r="F104" s="77"/>
      <c r="G104" s="77"/>
      <c r="H104" s="78"/>
      <c r="I104" s="2" t="s">
        <v>29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57</v>
      </c>
      <c r="G105" s="26" t="str" cm="1">
        <f t="array" aca="1" ref="G105" ca="1">defaultValue(H105,K104)</f>
        <v>يوفيلاك</v>
      </c>
      <c r="H105" s="7" t="s">
        <v>31</v>
      </c>
      <c r="I105" s="26" t="str" cm="1">
        <f t="array" aca="1" ref="I105" ca="1">defaultValue(J105,K104)</f>
        <v>HPL</v>
      </c>
      <c r="J105" s="7" t="s">
        <v>30</v>
      </c>
      <c r="K105" s="24" t="s">
        <v>108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18</v>
      </c>
      <c r="E106" s="70"/>
      <c r="F106" s="70" t="s">
        <v>110</v>
      </c>
      <c r="G106" s="7" t="s">
        <v>16</v>
      </c>
      <c r="H106" s="7" t="s">
        <v>22</v>
      </c>
      <c r="I106" s="7" t="s">
        <v>3</v>
      </c>
      <c r="J106" s="7" t="s">
        <v>109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32</v>
      </c>
      <c r="J109" s="6" t="s">
        <v>172</v>
      </c>
      <c r="K109" s="6" t="s">
        <v>155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 cm="1">
        <f t="array" ref="B111">visible(E104, K111)</f>
        <v>وحدة سفلية دلفة/ دلفتين</v>
      </c>
      <c r="C111" s="6" cm="1">
        <f t="array" ref="C111">visible((1),K111)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 cm="1">
        <f t="array" ref="B112">visible(E104, K112)</f>
        <v>وحدة سفلية دلفة/ دلفتين</v>
      </c>
      <c r="C112" s="6" cm="1">
        <f t="array" ref="C112"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 cm="1">
        <f t="array" ref="B113">visible(E104, K113)</f>
        <v>وحدة سفلية دلفة/ دلفتين</v>
      </c>
      <c r="C113" s="6" cm="1">
        <f t="array" ref="C113"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 cm="1">
        <f t="array" ref="B114">visible(E104, K114)</f>
        <v>وحدة سفلية دلفة/ دلفتين</v>
      </c>
      <c r="C114" s="6" cm="1">
        <f t="array" ref="C114"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 cm="1">
        <f t="array" ref="B115">visible(E104, K115)</f>
        <v>وحدة سفلية دلفة/ دلفتين</v>
      </c>
      <c r="C115" s="6" cm="1">
        <f t="array" ref="C115"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 cm="1">
        <f t="array" ref="B117">visible(E104, K117)</f>
        <v>وحدة سفلية دلفة/ دلفتين</v>
      </c>
      <c r="C117" s="9" cm="1">
        <f t="array" ref="C117"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 cm="1">
        <f t="array" aca="1" ref="B119" ca="1">visible(E104, K119)</f>
        <v>وحدة سفلية دلفة/ دلفتين</v>
      </c>
      <c r="C119" s="18" cm="1">
        <f t="array" aca="1" ref="C119"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6" x14ac:dyDescent="0.3">
      <c r="A122" s="43" t="s">
        <v>129</v>
      </c>
      <c r="C122" s="13">
        <v>1</v>
      </c>
      <c r="D122" s="21" t="s">
        <v>58</v>
      </c>
      <c r="E122" s="76" t="s">
        <v>153</v>
      </c>
      <c r="F122" s="77"/>
      <c r="G122" s="77"/>
      <c r="H122" s="78"/>
      <c r="I122" s="2" t="s">
        <v>29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19</v>
      </c>
      <c r="E123" s="26" t="str" cm="1">
        <f t="array" aca="1" ref="E123" ca="1">defaultValue(F123,K122)</f>
        <v>ظهر</v>
      </c>
      <c r="F123" s="7" t="s">
        <v>57</v>
      </c>
      <c r="G123" s="26" t="str" cm="1">
        <f t="array" aca="1" ref="G123" ca="1">defaultValue(H123,K122)</f>
        <v>يوفيلاك</v>
      </c>
      <c r="H123" s="7" t="s">
        <v>31</v>
      </c>
      <c r="I123" s="26" t="str" cm="1">
        <f t="array" aca="1" ref="I123" ca="1">defaultValue(J123,K122)</f>
        <v>HPL</v>
      </c>
      <c r="J123" s="7" t="s">
        <v>30</v>
      </c>
      <c r="K123" s="24" t="s">
        <v>108</v>
      </c>
    </row>
    <row r="124" spans="1:62" ht="31.2" x14ac:dyDescent="0.3">
      <c r="A124" s="42">
        <v>1</v>
      </c>
      <c r="C124" s="7" t="s">
        <v>120</v>
      </c>
      <c r="D124" s="7" t="s">
        <v>119</v>
      </c>
      <c r="E124" s="70" t="s">
        <v>118</v>
      </c>
      <c r="F124" s="70" t="s">
        <v>156</v>
      </c>
      <c r="G124" s="7" t="s">
        <v>16</v>
      </c>
      <c r="H124" s="7" t="s">
        <v>22</v>
      </c>
      <c r="I124" s="7" t="s">
        <v>3</v>
      </c>
      <c r="J124" s="7" t="s">
        <v>109</v>
      </c>
      <c r="K124" s="7" t="s">
        <v>110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121</v>
      </c>
      <c r="I126" s="26">
        <v>0</v>
      </c>
      <c r="J126" s="79" t="s">
        <v>157</v>
      </c>
      <c r="K126" s="80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172</v>
      </c>
      <c r="K128" s="6" t="s">
        <v>155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 cm="1">
        <f t="array" ref="B130"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9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 cm="1">
        <f t="array" ref="B131"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9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 cm="1">
        <f t="array" ref="B132"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9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 cm="1">
        <f t="array" ref="B133"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9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 cm="1">
        <f t="array" ref="B134"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9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9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9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9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9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9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9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9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9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9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9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 cm="1">
        <f t="array" ref="B146"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 cm="1">
        <f t="array" aca="1" ref="B151"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6" x14ac:dyDescent="0.3">
      <c r="A157" s="43" t="s">
        <v>130</v>
      </c>
      <c r="C157" s="13">
        <v>1</v>
      </c>
      <c r="D157" s="21" t="s">
        <v>58</v>
      </c>
      <c r="E157" s="76" t="s">
        <v>173</v>
      </c>
      <c r="F157" s="77"/>
      <c r="G157" s="77"/>
      <c r="H157" s="78"/>
      <c r="I157" s="2" t="s">
        <v>29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57</v>
      </c>
      <c r="G158" s="26" t="str" cm="1">
        <f t="array" aca="1" ref="G158" ca="1">defaultValue(H158,K157)</f>
        <v>يوفيلاك</v>
      </c>
      <c r="H158" s="7" t="s">
        <v>31</v>
      </c>
      <c r="I158" s="26" t="str" cm="1">
        <f t="array" aca="1" ref="I158" ca="1">defaultValue(J158,K157)</f>
        <v>HPL</v>
      </c>
      <c r="J158" s="7" t="s">
        <v>30</v>
      </c>
      <c r="K158" s="24" t="s">
        <v>108</v>
      </c>
    </row>
    <row r="159" spans="1:11" ht="31.2" x14ac:dyDescent="0.3">
      <c r="A159" s="42">
        <v>1</v>
      </c>
      <c r="C159" s="7" t="s">
        <v>12</v>
      </c>
      <c r="D159" s="7" t="s">
        <v>18</v>
      </c>
      <c r="E159" s="70" t="s">
        <v>23</v>
      </c>
      <c r="F159" s="70" t="s">
        <v>110</v>
      </c>
      <c r="G159" s="7" t="s">
        <v>16</v>
      </c>
      <c r="H159" s="7" t="s">
        <v>22</v>
      </c>
      <c r="I159" s="7" t="s">
        <v>3</v>
      </c>
      <c r="J159" s="7" t="s">
        <v>109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 cm="1">
        <f t="array" ref="B164"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10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 cm="1">
        <f t="array" ref="B165"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10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 cm="1">
        <f t="array" ref="B166"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10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 cm="1">
        <f t="array" ref="B167"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10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 cm="1">
        <f t="array" ref="B168"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10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10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 cm="1">
        <f t="array" ref="B171"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 cm="1">
        <f t="array" aca="1" ref="B174"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E17:H17"/>
    <mergeCell ref="E104:H104"/>
    <mergeCell ref="E81:H81"/>
    <mergeCell ref="E58:H58"/>
    <mergeCell ref="F59:F60"/>
    <mergeCell ref="E38:H38"/>
    <mergeCell ref="C4:N4"/>
    <mergeCell ref="C7:N7"/>
    <mergeCell ref="C2:K2"/>
    <mergeCell ref="E157:H157"/>
    <mergeCell ref="E122:H122"/>
    <mergeCell ref="J126:K126"/>
    <mergeCell ref="F39:F40"/>
    <mergeCell ref="F18:F19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abSelected="1" topLeftCell="B1" zoomScale="70" zoomScaleNormal="70" workbookViewId="0">
      <pane ySplit="12" topLeftCell="A13" activePane="bottomLeft" state="frozen"/>
      <selection activeCell="B1" sqref="B1"/>
      <selection pane="bottomLeft" activeCell="L19" sqref="L19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119" customFormat="1" x14ac:dyDescent="0.3">
      <c r="A1" s="119">
        <v>34</v>
      </c>
      <c r="B1" s="119">
        <v>7</v>
      </c>
      <c r="P1" s="120"/>
      <c r="Q1" s="120"/>
      <c r="R1" s="120"/>
      <c r="S1" s="120"/>
      <c r="T1" s="120"/>
      <c r="U1" s="120"/>
      <c r="V1" s="120"/>
      <c r="W1" s="120"/>
      <c r="X1" s="120"/>
    </row>
    <row r="2" spans="1:81" s="119" customFormat="1" ht="31.2" customHeight="1" x14ac:dyDescent="0.3">
      <c r="A2" s="119">
        <v>54</v>
      </c>
      <c r="B2" s="120" t="s">
        <v>114</v>
      </c>
      <c r="C2" s="115" t="s">
        <v>42</v>
      </c>
      <c r="D2" s="115"/>
      <c r="E2" s="115"/>
      <c r="F2" s="115"/>
      <c r="G2" s="115"/>
      <c r="H2" s="115"/>
      <c r="I2" s="115"/>
      <c r="J2" s="115"/>
      <c r="K2" s="115"/>
      <c r="P2" s="120"/>
      <c r="Q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</row>
    <row r="3" spans="1:81" s="119" customFormat="1" x14ac:dyDescent="0.3">
      <c r="B3" s="119" t="s">
        <v>146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</row>
    <row r="4" spans="1:81" s="119" customFormat="1" ht="21" x14ac:dyDescent="0.4"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</row>
    <row r="5" spans="1:81" s="119" customFormat="1" x14ac:dyDescent="0.3"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0"/>
      <c r="BM5" s="120"/>
      <c r="BN5" s="120"/>
      <c r="BO5" s="120"/>
      <c r="BP5" s="120"/>
      <c r="BQ5" s="120"/>
      <c r="BR5" s="120"/>
      <c r="BS5" s="120"/>
      <c r="BT5" s="120"/>
      <c r="BU5" s="120"/>
      <c r="BV5" s="120"/>
      <c r="BW5" s="120"/>
      <c r="BX5" s="120"/>
      <c r="BY5" s="120"/>
      <c r="BZ5" s="120"/>
      <c r="CA5" s="120"/>
      <c r="CB5" s="120"/>
      <c r="CC5" s="120"/>
    </row>
    <row r="6" spans="1:81" s="119" customFormat="1" x14ac:dyDescent="0.3"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  <c r="BX6" s="120"/>
      <c r="BY6" s="120"/>
      <c r="BZ6" s="120"/>
      <c r="CA6" s="120"/>
      <c r="CB6" s="120"/>
      <c r="CC6" s="120"/>
    </row>
    <row r="7" spans="1:81" s="119" customFormat="1" ht="21" x14ac:dyDescent="0.4"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</row>
    <row r="8" spans="1:81" s="119" customFormat="1" x14ac:dyDescent="0.3"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</row>
    <row r="9" spans="1:81" s="119" customFormat="1" x14ac:dyDescent="0.3"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  <c r="BX9" s="120"/>
      <c r="BY9" s="120"/>
      <c r="BZ9" s="120"/>
      <c r="CA9" s="120"/>
      <c r="CB9" s="120"/>
      <c r="CC9" s="120"/>
    </row>
    <row r="10" spans="1:81" s="119" customFormat="1" x14ac:dyDescent="0.3"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  <c r="BX10" s="120"/>
      <c r="BY10" s="120"/>
      <c r="BZ10" s="120"/>
      <c r="CA10" s="120"/>
      <c r="CB10" s="120"/>
      <c r="CC10" s="120"/>
    </row>
    <row r="11" spans="1:81" s="119" customFormat="1" x14ac:dyDescent="0.3"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</row>
    <row r="12" spans="1:81" s="122" customFormat="1" ht="18" x14ac:dyDescent="0.3">
      <c r="A12" s="119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  <c r="BX12" s="120"/>
      <c r="BY12" s="120"/>
      <c r="BZ12" s="120"/>
      <c r="CA12" s="120"/>
      <c r="CB12" s="120"/>
      <c r="CC12" s="120"/>
    </row>
    <row r="13" spans="1:81" customFormat="1" x14ac:dyDescent="0.3">
      <c r="A13" s="101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126</v>
      </c>
      <c r="B17" s="3"/>
      <c r="C17" s="13">
        <v>1</v>
      </c>
      <c r="D17" s="21" t="s">
        <v>58</v>
      </c>
      <c r="E17" s="76" t="s">
        <v>43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53</v>
      </c>
      <c r="D18" s="7" t="s">
        <v>54</v>
      </c>
      <c r="E18" s="17" t="s">
        <v>18</v>
      </c>
      <c r="F18" s="7" t="s">
        <v>16</v>
      </c>
      <c r="G18" s="7" t="s">
        <v>111</v>
      </c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103</v>
      </c>
      <c r="F20" s="83" t="b">
        <f ca="1">NOT(AND(F19&gt;0,G19&gt;0))</f>
        <v>1</v>
      </c>
      <c r="G20" s="83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82">
        <f>C19+D19</f>
        <v>1</v>
      </c>
      <c r="D21" s="82"/>
      <c r="E21" s="25">
        <v>10</v>
      </c>
      <c r="F21" s="90" t="str">
        <f ca="1">IF(F20,"المقابض مظبوطة","مينفعش مقبض مخفي مع بيلت ان")</f>
        <v>المقابض مظبوطة</v>
      </c>
      <c r="G21" s="90"/>
      <c r="H21" s="83" t="str">
        <f>IF(H20,"عدد الدلف صحيح","عدد الدلف غير صحيح")</f>
        <v>عدد الدلف صحيح</v>
      </c>
      <c r="I21" s="83"/>
      <c r="J21" s="83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83" t="b">
        <f>C21&lt;=2</f>
        <v>1</v>
      </c>
      <c r="D22" s="83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57</v>
      </c>
      <c r="F23" s="26" t="str" cm="1">
        <f t="array" aca="1" ref="F23" ca="1">defaultValue(G23,K17)</f>
        <v>يوفيلاك</v>
      </c>
      <c r="G23" s="7" t="s">
        <v>31</v>
      </c>
      <c r="H23" s="26" t="str" cm="1">
        <f t="array" aca="1" ref="H23" ca="1">defaultValue(I23,K17)</f>
        <v>HPL</v>
      </c>
      <c r="I23" s="7" t="s">
        <v>30</v>
      </c>
      <c r="J23" s="24" t="s">
        <v>108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32</v>
      </c>
      <c r="J25" s="6" t="s">
        <v>172</v>
      </c>
      <c r="K25" s="6" t="s">
        <v>155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E17</f>
        <v xml:space="preserve">وحدة علوية دلفة /دلفتين </v>
      </c>
      <c r="C27" s="6">
        <v>1</v>
      </c>
      <c r="D27" s="6" t="str">
        <f ca="1">H23</f>
        <v>HPL</v>
      </c>
      <c r="E27" s="6" t="s">
        <v>48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B27</f>
        <v xml:space="preserve">وحدة علوية دلفة /دلفتين </v>
      </c>
      <c r="C28" s="6">
        <f>C27+1</f>
        <v>2</v>
      </c>
      <c r="D28" s="6" t="str">
        <f ca="1">H23</f>
        <v>HPL</v>
      </c>
      <c r="E28" s="6" t="s">
        <v>10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B27</f>
        <v xml:space="preserve">وحدة علوية دلفة /دلفتين </v>
      </c>
      <c r="C29" s="6">
        <f t="shared" ref="C29:C30" si="0">C28+1</f>
        <v>3</v>
      </c>
      <c r="D29" s="6" t="str">
        <f ca="1">H23</f>
        <v>HPL</v>
      </c>
      <c r="E29" s="6" t="s">
        <v>11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B27</f>
        <v xml:space="preserve">وحدة علوية دلفة /دلفتين </v>
      </c>
      <c r="C30" s="6">
        <f t="shared" si="0"/>
        <v>4</v>
      </c>
      <c r="D30" s="6" t="str">
        <f ca="1">H23</f>
        <v>HPL</v>
      </c>
      <c r="E30" s="6" t="s">
        <v>17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B27</f>
        <v xml:space="preserve">وحدة علوية دلفة /دلفتين </v>
      </c>
      <c r="C32" s="9">
        <f>C30+1</f>
        <v>5</v>
      </c>
      <c r="D32" s="9" t="str">
        <f ca="1">F23</f>
        <v>يوفيلاك</v>
      </c>
      <c r="E32" s="9" t="s">
        <v>51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B27</f>
        <v xml:space="preserve">وحدة علوية دلفة /دلفتين </v>
      </c>
      <c r="C33" s="9">
        <f>C32+1</f>
        <v>6</v>
      </c>
      <c r="D33" s="9" t="s">
        <v>52</v>
      </c>
      <c r="E33" s="9" t="s">
        <v>68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B27</f>
        <v xml:space="preserve">وحدة علوية دلفة /دلفتين </v>
      </c>
      <c r="C35" s="18">
        <f>C33+1</f>
        <v>7</v>
      </c>
      <c r="D35" s="18" t="str">
        <f ca="1">D23</f>
        <v>ظهر</v>
      </c>
      <c r="E35" s="18" t="s">
        <v>57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131</v>
      </c>
      <c r="C38" s="13">
        <v>1</v>
      </c>
      <c r="D38" s="21" t="s">
        <v>58</v>
      </c>
      <c r="E38" s="76" t="s">
        <v>49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53</v>
      </c>
      <c r="D39" s="7" t="s">
        <v>54</v>
      </c>
      <c r="E39" s="7" t="s">
        <v>50</v>
      </c>
      <c r="F39" s="7" t="s">
        <v>16</v>
      </c>
      <c r="G39" s="7" t="s">
        <v>111</v>
      </c>
      <c r="H39" s="7" t="s">
        <v>22</v>
      </c>
      <c r="I39" s="7" t="s">
        <v>3</v>
      </c>
      <c r="J39" s="7" t="s">
        <v>109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103</v>
      </c>
      <c r="F41" s="91" t="b">
        <f ca="1">NOT(AND(F40&gt;0,G40&gt;0))</f>
        <v>1</v>
      </c>
      <c r="G41" s="91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82">
        <f>C40+D40</f>
        <v>2</v>
      </c>
      <c r="D42" s="82"/>
      <c r="E42" s="7">
        <v>0</v>
      </c>
      <c r="F42" s="84" t="str">
        <f ca="1">IF(F41,"المقابض مظبوطة","مينفعش مقبض مخفي مع بيلت ان")</f>
        <v>المقابض مظبوطة</v>
      </c>
      <c r="G42" s="84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83" t="b">
        <f>C42&lt;=2</f>
        <v>1</v>
      </c>
      <c r="D43" s="83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57</v>
      </c>
      <c r="F44" s="26" t="str" cm="1">
        <f t="array" aca="1" ref="F44" ca="1">defaultValue(G44,K38)</f>
        <v>يوفيلاك</v>
      </c>
      <c r="G44" s="7" t="s">
        <v>31</v>
      </c>
      <c r="H44" s="26" t="str" cm="1">
        <f t="array" aca="1" ref="H44" ca="1">defaultValue(I44,K38)</f>
        <v>HPL</v>
      </c>
      <c r="I44" s="7" t="s">
        <v>30</v>
      </c>
      <c r="J44" s="24" t="s">
        <v>108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32</v>
      </c>
      <c r="J46" s="6" t="s">
        <v>172</v>
      </c>
      <c r="K46" s="6" t="s">
        <v>155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E38</f>
        <v>وحدة علوية  قلاب / 2 قلاب</v>
      </c>
      <c r="C48" s="6">
        <v>1</v>
      </c>
      <c r="D48" s="6" t="str">
        <f ca="1">H44</f>
        <v>HPL</v>
      </c>
      <c r="E48" s="6" t="s">
        <v>48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B48</f>
        <v>وحدة علوية  قلاب / 2 قلاب</v>
      </c>
      <c r="C49" s="6">
        <f>C48+1</f>
        <v>2</v>
      </c>
      <c r="D49" s="6" t="str">
        <f ca="1">H44</f>
        <v>HPL</v>
      </c>
      <c r="E49" s="6" t="s">
        <v>10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B48</f>
        <v>وحدة علوية  قلاب / 2 قلاب</v>
      </c>
      <c r="C50" s="6">
        <f t="shared" ref="C50:C51" si="1">C49+1</f>
        <v>3</v>
      </c>
      <c r="D50" s="6" t="str">
        <f ca="1">H44</f>
        <v>HPL</v>
      </c>
      <c r="E50" s="6" t="s">
        <v>11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B48</f>
        <v>وحدة علوية  قلاب / 2 قلاب</v>
      </c>
      <c r="C51" s="6">
        <f t="shared" si="1"/>
        <v>4</v>
      </c>
      <c r="D51" s="6" t="str">
        <f ca="1">H44</f>
        <v>HPL</v>
      </c>
      <c r="E51" s="6" t="s">
        <v>50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B48</f>
        <v>وحدة علوية  قلاب / 2 قلاب</v>
      </c>
      <c r="C53" s="9">
        <f>C51+1</f>
        <v>5</v>
      </c>
      <c r="D53" s="9" t="str">
        <f ca="1">F44</f>
        <v>يوفيلاك</v>
      </c>
      <c r="E53" s="9" t="s">
        <v>55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B48</f>
        <v>وحدة علوية  قلاب / 2 قلاب</v>
      </c>
      <c r="C54" s="9">
        <f>C53+1</f>
        <v>6</v>
      </c>
      <c r="D54" s="9" t="s">
        <v>52</v>
      </c>
      <c r="E54" s="9" t="s">
        <v>56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B48</f>
        <v>وحدة علوية  قلاب / 2 قلاب</v>
      </c>
      <c r="C56" s="18">
        <f>C54+1</f>
        <v>7</v>
      </c>
      <c r="D56" s="18" t="str">
        <f ca="1">D44</f>
        <v>ظهر</v>
      </c>
      <c r="E56" s="18" t="s">
        <v>57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127</v>
      </c>
      <c r="C59" s="13">
        <v>1</v>
      </c>
      <c r="D59" s="21" t="s">
        <v>58</v>
      </c>
      <c r="E59" s="76" t="s">
        <v>44</v>
      </c>
      <c r="F59" s="77"/>
      <c r="G59" s="77"/>
      <c r="H59" s="78"/>
      <c r="I59" s="2" t="s">
        <v>29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54</v>
      </c>
      <c r="E60" s="7" t="s">
        <v>18</v>
      </c>
      <c r="F60" s="7" t="s">
        <v>16</v>
      </c>
      <c r="G60" s="7" t="s">
        <v>111</v>
      </c>
      <c r="H60" s="7" t="s">
        <v>22</v>
      </c>
      <c r="I60" s="7" t="s">
        <v>3</v>
      </c>
      <c r="J60" s="7" t="s">
        <v>109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83" t="b">
        <f ca="1">NOT(AND(F61&gt;0,G61&gt;0))</f>
        <v>1</v>
      </c>
      <c r="G62" s="85"/>
      <c r="H62" s="3" t="b">
        <f>_xlfn.XOR(H61&lt;=50,C63=2)</f>
        <v>0</v>
      </c>
      <c r="I62" s="44" t="s">
        <v>137</v>
      </c>
      <c r="J62" s="45" t="s">
        <v>138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82">
        <f>C61+D61</f>
        <v>2</v>
      </c>
      <c r="D63" s="82"/>
      <c r="E63" s="7" t="s">
        <v>103</v>
      </c>
      <c r="F63" s="86" t="str">
        <f ca="1">IF(F62,"المقابض مظبوطة","مينفعش مقبض مخفي مع بيلت ان")</f>
        <v>المقابض مظبوطة</v>
      </c>
      <c r="G63" s="86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83" t="b">
        <f>C63&lt;=2</f>
        <v>1</v>
      </c>
      <c r="D64" s="83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57</v>
      </c>
      <c r="F65" s="26" t="str" cm="1">
        <f t="array" aca="1" ref="F65" ca="1">defaultValue(G65,K59)</f>
        <v>يوفيلاك</v>
      </c>
      <c r="G65" s="7" t="s">
        <v>31</v>
      </c>
      <c r="H65" s="26" t="str" cm="1">
        <f t="array" aca="1" ref="H65" ca="1">defaultValue(I65,K59)</f>
        <v>HPL</v>
      </c>
      <c r="I65" s="7" t="s">
        <v>30</v>
      </c>
      <c r="J65" s="24" t="s">
        <v>108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32</v>
      </c>
      <c r="J67" s="6" t="s">
        <v>172</v>
      </c>
      <c r="K67" s="6" t="s">
        <v>155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E59</f>
        <v xml:space="preserve">وحدة علوية  تلبيسة دلفة /دلفتين </v>
      </c>
      <c r="C69" s="6">
        <v>1</v>
      </c>
      <c r="D69" s="6" t="str">
        <f ca="1">H65</f>
        <v>HPL</v>
      </c>
      <c r="E69" s="6" t="s">
        <v>48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B69</f>
        <v xml:space="preserve">وحدة علوية  تلبيسة دلفة /دلفتين </v>
      </c>
      <c r="C70" s="6">
        <f t="shared" ref="C70:C73" si="2">C69+1</f>
        <v>2</v>
      </c>
      <c r="D70" s="6" t="str">
        <f ca="1">H65</f>
        <v>HPL</v>
      </c>
      <c r="E70" s="6" t="s">
        <v>10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B69</f>
        <v xml:space="preserve">وحدة علوية  تلبيسة دلفة /دلفتين </v>
      </c>
      <c r="C71" s="6">
        <f t="shared" si="2"/>
        <v>3</v>
      </c>
      <c r="D71" s="6" t="str">
        <f ca="1">H65</f>
        <v>HPL</v>
      </c>
      <c r="E71" s="6" t="s">
        <v>11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B69</f>
        <v xml:space="preserve">وحدة علوية  تلبيسة دلفة /دلفتين </v>
      </c>
      <c r="C72" s="6">
        <f t="shared" si="2"/>
        <v>4</v>
      </c>
      <c r="D72" s="6" t="str">
        <f ca="1">H65</f>
        <v>HPL</v>
      </c>
      <c r="E72" s="6" t="s">
        <v>17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B69</f>
        <v xml:space="preserve">وحدة علوية  تلبيسة دلفة /دلفتين </v>
      </c>
      <c r="C73" s="6">
        <f t="shared" si="2"/>
        <v>5</v>
      </c>
      <c r="D73" s="6" t="str">
        <f ca="1">H65</f>
        <v>HPL</v>
      </c>
      <c r="E73" s="6" t="s">
        <v>23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B69</f>
        <v xml:space="preserve">وحدة علوية  تلبيسة دلفة /دلفتين </v>
      </c>
      <c r="C75" s="9">
        <f>C73+1</f>
        <v>6</v>
      </c>
      <c r="D75" s="9" t="str">
        <f ca="1">F65</f>
        <v>يوفيلاك</v>
      </c>
      <c r="E75" s="9" t="s">
        <v>15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B69</f>
        <v xml:space="preserve">وحدة علوية  تلبيسة دلفة /دلفتين </v>
      </c>
      <c r="C76" s="9">
        <f t="shared" ref="C76" si="3">C75+1</f>
        <v>7</v>
      </c>
      <c r="D76" s="9" t="str">
        <f ca="1">F65</f>
        <v>يوفيلاك</v>
      </c>
      <c r="E76" s="9" t="s">
        <v>24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B72</f>
        <v xml:space="preserve">وحدة علوية  تلبيسة دلفة /دلفتين </v>
      </c>
      <c r="C78" s="9">
        <f>C76+1</f>
        <v>8</v>
      </c>
      <c r="D78" s="9" t="s">
        <v>52</v>
      </c>
      <c r="E78" s="9" t="s">
        <v>68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B69</f>
        <v xml:space="preserve">وحدة علوية  تلبيسة دلفة /دلفتين </v>
      </c>
      <c r="C80" s="18">
        <f>C78+1</f>
        <v>9</v>
      </c>
      <c r="D80" s="18" t="str">
        <f ca="1">D65</f>
        <v>ظهر</v>
      </c>
      <c r="E80" s="18" t="s">
        <v>57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132</v>
      </c>
      <c r="C83" s="13">
        <v>1</v>
      </c>
      <c r="D83" s="21" t="s">
        <v>58</v>
      </c>
      <c r="E83" s="76" t="s">
        <v>139</v>
      </c>
      <c r="F83" s="77"/>
      <c r="G83" s="77"/>
      <c r="H83" s="78"/>
      <c r="I83" s="2" t="s">
        <v>29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54</v>
      </c>
      <c r="E84" s="7" t="s">
        <v>50</v>
      </c>
      <c r="F84" s="7" t="s">
        <v>16</v>
      </c>
      <c r="G84" s="7" t="s">
        <v>111</v>
      </c>
      <c r="H84" s="7" t="s">
        <v>22</v>
      </c>
      <c r="I84" s="7" t="s">
        <v>3</v>
      </c>
      <c r="J84" s="7" t="s">
        <v>109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83" t="b">
        <f ca="1">NOT(AND(F85&gt;0,G85&gt;0))</f>
        <v>1</v>
      </c>
      <c r="G86" s="85"/>
      <c r="H86" s="3" t="b">
        <f ca="1">_xlfn.XOR(I85&lt;=50,C87=2)</f>
        <v>0</v>
      </c>
      <c r="I86" s="44" t="s">
        <v>137</v>
      </c>
      <c r="J86" s="45" t="s">
        <v>138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82">
        <f>C85+D85</f>
        <v>1</v>
      </c>
      <c r="D87" s="82"/>
      <c r="E87" s="7" t="s">
        <v>103</v>
      </c>
      <c r="F87" s="86" t="str">
        <f ca="1">IF(F86,"المقابض مظبوطة","مينفعش مقبض مخفي مع بيلت ان")</f>
        <v>المقابض مظبوطة</v>
      </c>
      <c r="G87" s="86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83" t="b">
        <f>C87&lt;=2</f>
        <v>1</v>
      </c>
      <c r="D88" s="83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57</v>
      </c>
      <c r="F89" s="26" t="str" cm="1">
        <f t="array" aca="1" ref="F89" ca="1">defaultValue(G89,K83)</f>
        <v>يوفيلاك</v>
      </c>
      <c r="G89" s="7" t="s">
        <v>31</v>
      </c>
      <c r="H89" s="26" t="str" cm="1">
        <f t="array" aca="1" ref="H89" ca="1">defaultValue(I89,K83)</f>
        <v>HPL</v>
      </c>
      <c r="I89" s="7" t="s">
        <v>30</v>
      </c>
      <c r="J89" s="24" t="s">
        <v>108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32</v>
      </c>
      <c r="J91" s="6" t="s">
        <v>172</v>
      </c>
      <c r="K91" s="6" t="s">
        <v>155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E83</f>
        <v>وحدة علوية  تلبيسة دلفة /دلفتين قلاب</v>
      </c>
      <c r="C93" s="6">
        <v>1</v>
      </c>
      <c r="D93" s="6" t="str">
        <f ca="1">H89</f>
        <v>HPL</v>
      </c>
      <c r="E93" s="6" t="s">
        <v>48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B93</f>
        <v>وحدة علوية  تلبيسة دلفة /دلفتين قلاب</v>
      </c>
      <c r="C94" s="6">
        <f t="shared" ref="C94:C97" si="4">C93+1</f>
        <v>2</v>
      </c>
      <c r="D94" s="6" t="str">
        <f ca="1">H89</f>
        <v>HPL</v>
      </c>
      <c r="E94" s="6" t="s">
        <v>10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B93</f>
        <v>وحدة علوية  تلبيسة دلفة /دلفتين قلاب</v>
      </c>
      <c r="C95" s="6">
        <f t="shared" si="4"/>
        <v>3</v>
      </c>
      <c r="D95" s="6" t="str">
        <f ca="1">H89</f>
        <v>HPL</v>
      </c>
      <c r="E95" s="6" t="s">
        <v>11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B93</f>
        <v>وحدة علوية  تلبيسة دلفة /دلفتين قلاب</v>
      </c>
      <c r="C96" s="6">
        <f t="shared" si="4"/>
        <v>4</v>
      </c>
      <c r="D96" s="6" t="str">
        <f ca="1">H89</f>
        <v>HPL</v>
      </c>
      <c r="E96" s="6" t="s">
        <v>50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B93</f>
        <v>وحدة علوية  تلبيسة دلفة /دلفتين قلاب</v>
      </c>
      <c r="C97" s="6">
        <f t="shared" si="4"/>
        <v>5</v>
      </c>
      <c r="D97" s="6" t="str">
        <f ca="1">H89</f>
        <v>HPL</v>
      </c>
      <c r="E97" s="6" t="s">
        <v>23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B93</f>
        <v>وحدة علوية  تلبيسة دلفة /دلفتين قلاب</v>
      </c>
      <c r="C99" s="9">
        <f>C97+1</f>
        <v>6</v>
      </c>
      <c r="D99" s="9" t="str">
        <f ca="1">F89</f>
        <v>يوفيلاك</v>
      </c>
      <c r="E99" s="9" t="s">
        <v>140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B93</f>
        <v>وحدة علوية  تلبيسة دلفة /دلفتين قلاب</v>
      </c>
      <c r="C100" s="9">
        <f t="shared" ref="C100" si="5">C99+1</f>
        <v>7</v>
      </c>
      <c r="D100" s="9" t="str">
        <f ca="1">F89</f>
        <v>يوفيلاك</v>
      </c>
      <c r="E100" s="9" t="s">
        <v>24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B96</f>
        <v>وحدة علوية  تلبيسة دلفة /دلفتين قلاب</v>
      </c>
      <c r="C102" s="9">
        <f>C100+1</f>
        <v>8</v>
      </c>
      <c r="D102" s="9" t="s">
        <v>52</v>
      </c>
      <c r="E102" s="9" t="s">
        <v>68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B93</f>
        <v>وحدة علوية  تلبيسة دلفة /دلفتين قلاب</v>
      </c>
      <c r="C104" s="18">
        <f>C102+1</f>
        <v>9</v>
      </c>
      <c r="D104" s="18" t="str">
        <f ca="1">D89</f>
        <v>ظهر</v>
      </c>
      <c r="E104" s="18" t="s">
        <v>57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128</v>
      </c>
      <c r="C107" s="13">
        <v>1</v>
      </c>
      <c r="D107" s="21" t="s">
        <v>58</v>
      </c>
      <c r="E107" s="76" t="s">
        <v>45</v>
      </c>
      <c r="F107" s="77"/>
      <c r="G107" s="77"/>
      <c r="H107" s="78"/>
      <c r="I107" s="2" t="s">
        <v>29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18</v>
      </c>
      <c r="E108" s="7"/>
      <c r="F108" s="7" t="s">
        <v>16</v>
      </c>
      <c r="G108" s="7" t="s">
        <v>111</v>
      </c>
      <c r="H108" s="7" t="s">
        <v>22</v>
      </c>
      <c r="I108" s="7" t="s">
        <v>3</v>
      </c>
      <c r="J108" s="7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83" t="b">
        <f ca="1">NOT(AND(F109&gt;0,G109&gt;0))</f>
        <v>1</v>
      </c>
      <c r="G110" s="83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84" t="str">
        <f ca="1">IF(F110,"المقابض مظبوطة","مينفعش مقبض مخفي مع بيلت ان")</f>
        <v>المقابض مظبوطة</v>
      </c>
      <c r="G111" s="84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57</v>
      </c>
      <c r="F112" s="26" t="str" cm="1">
        <f t="array" aca="1" ref="F112" ca="1">defaultValue(G112,K107)</f>
        <v>يوفيلاك</v>
      </c>
      <c r="G112" s="7" t="s">
        <v>31</v>
      </c>
      <c r="H112" s="26" t="str" cm="1">
        <f t="array" aca="1" ref="H112" ca="1">defaultValue(I112,K107)</f>
        <v>HPL</v>
      </c>
      <c r="I112" s="7" t="s">
        <v>30</v>
      </c>
      <c r="J112" s="24" t="s">
        <v>108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32</v>
      </c>
      <c r="J114" s="6" t="s">
        <v>172</v>
      </c>
      <c r="K114" s="6" t="s">
        <v>155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E107</f>
        <v>وحدة علوية  زاوية 90</v>
      </c>
      <c r="C116" s="6">
        <v>1</v>
      </c>
      <c r="D116" s="6" t="str">
        <f ca="1">H112</f>
        <v>HPL</v>
      </c>
      <c r="E116" s="6" t="s">
        <v>48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6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B116</f>
        <v>وحدة علوية  زاوية 90</v>
      </c>
      <c r="C117" s="6">
        <f>C116+1</f>
        <v>2</v>
      </c>
      <c r="D117" s="6" t="str">
        <f ca="1">H112</f>
        <v>HPL</v>
      </c>
      <c r="E117" s="6" t="s">
        <v>10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6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B116</f>
        <v>وحدة علوية  زاوية 90</v>
      </c>
      <c r="C118" s="6">
        <f>C117+1</f>
        <v>3</v>
      </c>
      <c r="D118" s="6" t="str">
        <f ca="1">H112</f>
        <v>HPL</v>
      </c>
      <c r="E118" s="6" t="s">
        <v>59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6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B116</f>
        <v>وحدة علوية  زاوية 90</v>
      </c>
      <c r="C119" s="6">
        <f>C118+1</f>
        <v>4</v>
      </c>
      <c r="D119" s="6" t="str">
        <f ca="1">H112</f>
        <v>HPL</v>
      </c>
      <c r="E119" s="6" t="s">
        <v>60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6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B116</f>
        <v>وحدة علوية  زاوية 90</v>
      </c>
      <c r="C120" s="6">
        <f>C119+1</f>
        <v>5</v>
      </c>
      <c r="D120" s="6" t="str">
        <f ca="1">H112</f>
        <v>HPL</v>
      </c>
      <c r="E120" s="6" t="s">
        <v>26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6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B116</f>
        <v>وحدة علوية  زاوية 90</v>
      </c>
      <c r="C121" s="6">
        <f t="shared" ref="C121" si="7">C120+1</f>
        <v>6</v>
      </c>
      <c r="D121" s="6" t="str">
        <f ca="1">H112</f>
        <v>HPL</v>
      </c>
      <c r="E121" s="6" t="s">
        <v>17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6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B116</f>
        <v>وحدة علوية  زاوية 90</v>
      </c>
      <c r="C123" s="9">
        <f>C121+1</f>
        <v>7</v>
      </c>
      <c r="D123" s="9" t="str">
        <f ca="1">F112</f>
        <v>يوفيلاك</v>
      </c>
      <c r="E123" s="9" t="s">
        <v>27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B116</f>
        <v>وحدة علوية  زاوية 90</v>
      </c>
      <c r="C124" s="9">
        <f t="shared" ref="C124" si="8">C123+1</f>
        <v>8</v>
      </c>
      <c r="D124" s="9" t="str">
        <f ca="1">F112</f>
        <v>يوفيلاك</v>
      </c>
      <c r="E124" s="9" t="s">
        <v>40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B120</f>
        <v>وحدة علوية  زاوية 90</v>
      </c>
      <c r="C126" s="9">
        <f>C124+1</f>
        <v>9</v>
      </c>
      <c r="D126" s="9" t="s">
        <v>52</v>
      </c>
      <c r="E126" s="9" t="s">
        <v>68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B121</f>
        <v>وحدة علوية  زاوية 90</v>
      </c>
      <c r="C127" s="9">
        <f>C126+1</f>
        <v>10</v>
      </c>
      <c r="D127" s="9" t="s">
        <v>52</v>
      </c>
      <c r="E127" s="9" t="s">
        <v>68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B116</f>
        <v>وحدة علوية  زاوية 90</v>
      </c>
      <c r="C129" s="18">
        <f>C127+1</f>
        <v>11</v>
      </c>
      <c r="D129" s="18" t="str">
        <f ca="1">D112</f>
        <v>ظهر</v>
      </c>
      <c r="E129" s="18" t="s">
        <v>104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B116</f>
        <v>وحدة علوية  زاوية 90</v>
      </c>
      <c r="C130" s="18">
        <f>C129+1</f>
        <v>12</v>
      </c>
      <c r="D130" s="18" t="str">
        <f ca="1">D112</f>
        <v>ظهر</v>
      </c>
      <c r="E130" s="18" t="s">
        <v>105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129</v>
      </c>
      <c r="C133" s="13">
        <v>1</v>
      </c>
      <c r="D133" s="21" t="s">
        <v>58</v>
      </c>
      <c r="E133" s="76" t="s">
        <v>46</v>
      </c>
      <c r="F133" s="77"/>
      <c r="G133" s="77"/>
      <c r="H133" s="78"/>
      <c r="I133" s="2" t="s">
        <v>29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18</v>
      </c>
      <c r="E134" s="7"/>
      <c r="F134" s="7" t="s">
        <v>16</v>
      </c>
      <c r="G134" s="7" t="s">
        <v>111</v>
      </c>
      <c r="H134" s="7" t="s">
        <v>22</v>
      </c>
      <c r="I134" s="7" t="s">
        <v>3</v>
      </c>
      <c r="J134" s="7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83" t="b">
        <f ca="1">NOT(AND(F135&gt;0,G135&gt;0))</f>
        <v>1</v>
      </c>
      <c r="G136" s="83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84" t="str">
        <f ca="1">IF(F136,"المقابض مظبوطة","مينفعش مقبض مخفي مع بيلت ان")</f>
        <v>المقابض مظبوطة</v>
      </c>
      <c r="G137" s="84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57</v>
      </c>
      <c r="F138" s="26" t="str" cm="1">
        <f t="array" aca="1" ref="F138" ca="1">defaultValue(G138,K133)</f>
        <v>يوفيلاك</v>
      </c>
      <c r="G138" s="7" t="s">
        <v>31</v>
      </c>
      <c r="H138" s="26" t="str" cm="1">
        <f t="array" aca="1" ref="H138" ca="1">defaultValue(I138,K133)</f>
        <v>HPL</v>
      </c>
      <c r="I138" s="7" t="s">
        <v>30</v>
      </c>
      <c r="J138" s="24" t="s">
        <v>108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32</v>
      </c>
      <c r="J140" s="6" t="s">
        <v>172</v>
      </c>
      <c r="K140" s="6" t="s">
        <v>155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E133</f>
        <v>وحدة علوية  ركنة 45</v>
      </c>
      <c r="C142" s="6">
        <v>1</v>
      </c>
      <c r="D142" s="6" t="str">
        <f ca="1">H138</f>
        <v>HPL</v>
      </c>
      <c r="E142" s="6" t="s">
        <v>48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9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B142</f>
        <v>وحدة علوية  ركنة 45</v>
      </c>
      <c r="C143" s="6">
        <f>C142+1</f>
        <v>2</v>
      </c>
      <c r="D143" s="6" t="str">
        <f ca="1">H138</f>
        <v>HPL</v>
      </c>
      <c r="E143" s="6" t="s">
        <v>10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9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B142</f>
        <v>وحدة علوية  ركنة 45</v>
      </c>
      <c r="C144" s="6">
        <f>C143+1</f>
        <v>3</v>
      </c>
      <c r="D144" s="6" t="str">
        <f ca="1">H138</f>
        <v>HPL</v>
      </c>
      <c r="E144" s="6" t="s">
        <v>59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9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B142</f>
        <v>وحدة علوية  ركنة 45</v>
      </c>
      <c r="C145" s="6">
        <f>C144+1</f>
        <v>4</v>
      </c>
      <c r="D145" s="6" t="str">
        <f ca="1">H138</f>
        <v>HPL</v>
      </c>
      <c r="E145" s="6" t="s">
        <v>60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9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B142</f>
        <v>وحدة علوية  ركنة 45</v>
      </c>
      <c r="C146" s="6">
        <f>C145+1</f>
        <v>5</v>
      </c>
      <c r="D146" s="6" t="str">
        <f ca="1">H138</f>
        <v>HPL</v>
      </c>
      <c r="E146" s="6" t="s">
        <v>26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9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B142</f>
        <v>وحدة علوية  ركنة 45</v>
      </c>
      <c r="C147" s="6">
        <f t="shared" ref="C147" si="10">C146+1</f>
        <v>6</v>
      </c>
      <c r="D147" s="6" t="str">
        <f ca="1">H138</f>
        <v>HPL</v>
      </c>
      <c r="E147" s="6" t="s">
        <v>17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9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B142</f>
        <v>وحدة علوية  ركنة 45</v>
      </c>
      <c r="C149" s="9">
        <f>C147+1</f>
        <v>7</v>
      </c>
      <c r="D149" s="9" t="str">
        <f ca="1">F138</f>
        <v>يوفيلاك</v>
      </c>
      <c r="E149" s="9" t="s">
        <v>27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B142</f>
        <v>وحدة علوية  ركنة 45</v>
      </c>
      <c r="C151" s="18">
        <f>C149+1</f>
        <v>8</v>
      </c>
      <c r="D151" s="18" t="str">
        <f ca="1">D138</f>
        <v>ظهر</v>
      </c>
      <c r="E151" s="18" t="s">
        <v>57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130</v>
      </c>
      <c r="C154" s="13">
        <v>1</v>
      </c>
      <c r="D154" s="21" t="s">
        <v>58</v>
      </c>
      <c r="E154" s="76" t="s">
        <v>106</v>
      </c>
      <c r="F154" s="77"/>
      <c r="G154" s="77"/>
      <c r="H154" s="78"/>
      <c r="I154" s="2" t="s">
        <v>29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53</v>
      </c>
      <c r="D155" s="7" t="s">
        <v>54</v>
      </c>
      <c r="E155" s="17" t="s">
        <v>18</v>
      </c>
      <c r="F155" s="7" t="s">
        <v>16</v>
      </c>
      <c r="G155" s="7" t="s">
        <v>111</v>
      </c>
      <c r="H155" s="7" t="s">
        <v>22</v>
      </c>
      <c r="I155" s="7" t="s">
        <v>3</v>
      </c>
      <c r="J155" s="7" t="s">
        <v>109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103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107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87">
        <f>C156+D156</f>
        <v>1</v>
      </c>
      <c r="D158" s="88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85" t="b">
        <f>C158&lt;=2</f>
        <v>1</v>
      </c>
      <c r="D159" s="89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57</v>
      </c>
      <c r="F160" s="26" t="str" cm="1">
        <f t="array" aca="1" ref="F160" ca="1">defaultValue(G160,K154)</f>
        <v>يوفيلاك</v>
      </c>
      <c r="G160" s="7" t="s">
        <v>31</v>
      </c>
      <c r="H160" s="26" t="str" cm="1">
        <f t="array" aca="1" ref="H160" ca="1">defaultValue(I160,K154)</f>
        <v>HPL</v>
      </c>
      <c r="I160" s="7" t="s">
        <v>30</v>
      </c>
      <c r="J160" s="24" t="s">
        <v>108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E154</f>
        <v xml:space="preserve">وحدة علوية ميكروويف دلفة /دلفتين </v>
      </c>
      <c r="C164" s="6">
        <v>1</v>
      </c>
      <c r="D164" s="6" t="str">
        <f ca="1">H160</f>
        <v>HPL</v>
      </c>
      <c r="E164" s="6" t="s">
        <v>48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B164</f>
        <v xml:space="preserve">وحدة علوية ميكروويف دلفة /دلفتين </v>
      </c>
      <c r="C165" s="6">
        <f>C164+1</f>
        <v>2</v>
      </c>
      <c r="D165" s="6" t="str">
        <f ca="1">H160</f>
        <v>HPL</v>
      </c>
      <c r="E165" s="6" t="s">
        <v>10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B164</f>
        <v xml:space="preserve">وحدة علوية ميكروويف دلفة /دلفتين </v>
      </c>
      <c r="C166" s="6">
        <f t="shared" ref="C166:C168" si="11">C165+1</f>
        <v>3</v>
      </c>
      <c r="D166" s="6" t="str">
        <f ca="1">H160</f>
        <v>HPL</v>
      </c>
      <c r="E166" s="6" t="s">
        <v>11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B164</f>
        <v xml:space="preserve">وحدة علوية ميكروويف دلفة /دلفتين </v>
      </c>
      <c r="C167" s="6">
        <f t="shared" si="11"/>
        <v>4</v>
      </c>
      <c r="D167" s="6" t="str">
        <f ca="1">H160</f>
        <v>HPL</v>
      </c>
      <c r="E167" s="6" t="s">
        <v>17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B164</f>
        <v xml:space="preserve">وحدة علوية ميكروويف دلفة /دلفتين </v>
      </c>
      <c r="C168" s="6">
        <f t="shared" si="11"/>
        <v>5</v>
      </c>
      <c r="D168" s="6" t="str">
        <f ca="1">H160</f>
        <v>HPL</v>
      </c>
      <c r="E168" s="6" t="s">
        <v>50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B164</f>
        <v xml:space="preserve">وحدة علوية ميكروويف دلفة /دلفتين </v>
      </c>
      <c r="C170" s="9">
        <f>C168+1</f>
        <v>6</v>
      </c>
      <c r="D170" s="9" t="str">
        <f ca="1">F160</f>
        <v>يوفيلاك</v>
      </c>
      <c r="E170" s="9" t="s">
        <v>51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B164</f>
        <v xml:space="preserve">وحدة علوية ميكروويف دلفة /دلفتين </v>
      </c>
      <c r="C171" s="9">
        <f>C170+1</f>
        <v>7</v>
      </c>
      <c r="D171" s="9" t="s">
        <v>52</v>
      </c>
      <c r="E171" s="9" t="s">
        <v>68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B164</f>
        <v xml:space="preserve">وحدة علوية ميكروويف دلفة /دلفتين </v>
      </c>
      <c r="C173" s="18">
        <f>C171+1</f>
        <v>8</v>
      </c>
      <c r="D173" s="18" t="str">
        <f ca="1">D160</f>
        <v>ظهر</v>
      </c>
      <c r="E173" s="18" t="s">
        <v>57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88:D88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M16" sqref="M1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119" customFormat="1" x14ac:dyDescent="0.3">
      <c r="A1" s="119">
        <v>40</v>
      </c>
      <c r="B1" s="119">
        <v>2</v>
      </c>
    </row>
    <row r="2" spans="1:23" s="119" customFormat="1" ht="31.2" customHeight="1" x14ac:dyDescent="0.3">
      <c r="A2" s="119">
        <v>91</v>
      </c>
      <c r="B2" s="119" t="s">
        <v>115</v>
      </c>
      <c r="C2" s="115" t="s">
        <v>61</v>
      </c>
      <c r="D2" s="115"/>
      <c r="E2" s="115"/>
      <c r="F2" s="115"/>
      <c r="G2" s="115"/>
      <c r="H2" s="115"/>
      <c r="I2" s="115"/>
      <c r="J2" s="115"/>
      <c r="K2" s="115"/>
    </row>
    <row r="3" spans="1:23" s="119" customFormat="1" x14ac:dyDescent="0.3">
      <c r="B3" s="119" t="s">
        <v>147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R3" s="120"/>
      <c r="S3" s="120"/>
      <c r="T3" s="120"/>
      <c r="U3" s="120"/>
      <c r="V3" s="120"/>
      <c r="W3" s="120"/>
    </row>
    <row r="4" spans="1:23" s="119" customFormat="1" ht="21" x14ac:dyDescent="0.4"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R4" s="120"/>
      <c r="S4" s="120"/>
      <c r="T4" s="120"/>
      <c r="U4" s="120"/>
      <c r="V4" s="120"/>
      <c r="W4" s="120"/>
    </row>
    <row r="5" spans="1:23" s="119" customFormat="1" x14ac:dyDescent="0.3"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</row>
    <row r="6" spans="1:23" s="119" customFormat="1" x14ac:dyDescent="0.3"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</row>
    <row r="7" spans="1:23" s="119" customFormat="1" ht="21" x14ac:dyDescent="0.4"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23" s="119" customFormat="1" x14ac:dyDescent="0.3"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</row>
    <row r="9" spans="1:23" s="119" customFormat="1" x14ac:dyDescent="0.3"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</row>
    <row r="10" spans="1:23" s="119" customFormat="1" ht="18" x14ac:dyDescent="0.3">
      <c r="C10" s="121"/>
      <c r="D10" s="121"/>
      <c r="E10" s="120"/>
      <c r="F10" s="120"/>
      <c r="G10" s="120"/>
      <c r="H10" s="120"/>
      <c r="I10" s="120"/>
      <c r="J10" s="120"/>
      <c r="K10" s="121"/>
      <c r="L10" s="121"/>
      <c r="M10" s="121"/>
      <c r="N10" s="121"/>
    </row>
    <row r="11" spans="1:23" s="119" customFormat="1" ht="18" x14ac:dyDescent="0.3">
      <c r="C11" s="121"/>
      <c r="D11" s="121"/>
      <c r="E11" s="120"/>
      <c r="F11" s="120"/>
      <c r="G11" s="120"/>
      <c r="H11" s="120"/>
      <c r="I11" s="120"/>
      <c r="J11" s="120"/>
      <c r="K11" s="121"/>
      <c r="L11" s="121"/>
      <c r="M11" s="121"/>
      <c r="N11" s="121"/>
    </row>
    <row r="12" spans="1:23" s="122" customFormat="1" ht="18" x14ac:dyDescent="0.3">
      <c r="A12" s="119"/>
      <c r="B12" s="119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</row>
    <row r="13" spans="1:23" customFormat="1" x14ac:dyDescent="0.3">
      <c r="A13" s="101"/>
    </row>
    <row r="14" spans="1:23" customFormat="1" x14ac:dyDescent="0.3">
      <c r="A14" s="34"/>
    </row>
    <row r="17" spans="1:11" s="4" customFormat="1" ht="36" x14ac:dyDescent="0.3">
      <c r="A17" s="34" t="s">
        <v>126</v>
      </c>
      <c r="B17" s="3"/>
      <c r="C17" s="13">
        <v>1</v>
      </c>
      <c r="D17" s="21" t="s">
        <v>58</v>
      </c>
      <c r="E17" s="93" t="s">
        <v>62</v>
      </c>
      <c r="F17" s="93"/>
      <c r="G17" s="93"/>
      <c r="H17" s="93"/>
      <c r="I17" s="2" t="s">
        <v>29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18</v>
      </c>
      <c r="F18" s="7" t="s">
        <v>50</v>
      </c>
      <c r="G18" s="7" t="s">
        <v>16</v>
      </c>
      <c r="H18" s="7" t="s">
        <v>22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53</v>
      </c>
      <c r="H20" s="7" t="s">
        <v>54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66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67</v>
      </c>
      <c r="K22" s="7"/>
    </row>
    <row r="23" spans="1:11" ht="15.6" x14ac:dyDescent="0.3">
      <c r="A23" s="34">
        <v>1</v>
      </c>
      <c r="C23" s="82">
        <f>G21+H21</f>
        <v>2</v>
      </c>
      <c r="D23" s="82"/>
      <c r="E23" s="8"/>
      <c r="F23" s="40"/>
      <c r="G23" s="40"/>
      <c r="H23" s="40"/>
      <c r="I23" s="8">
        <f>SUM(I21:I22)</f>
        <v>210</v>
      </c>
      <c r="J23" s="84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83" t="b">
        <f>C23&lt;=2</f>
        <v>1</v>
      </c>
      <c r="D24" s="83"/>
      <c r="E24" s="8"/>
      <c r="F24" s="8"/>
      <c r="G24" s="8"/>
      <c r="H24" s="8"/>
      <c r="I24" s="6" t="b">
        <f>I23=I19</f>
        <v>1</v>
      </c>
      <c r="J24" s="84"/>
      <c r="K24" s="7"/>
    </row>
    <row r="25" spans="1:11" ht="31.2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57</v>
      </c>
      <c r="F25" s="26" t="str" cm="1">
        <f t="array" aca="1" ref="F25" ca="1">defaultValue(G25,K17)</f>
        <v>يوفيلاك</v>
      </c>
      <c r="G25" s="7" t="s">
        <v>31</v>
      </c>
      <c r="H25" s="26" t="str" cm="1">
        <f t="array" aca="1" ref="H25" ca="1">defaultValue(I25,K17)</f>
        <v>HPL</v>
      </c>
      <c r="I25" s="7" t="s">
        <v>30</v>
      </c>
      <c r="J25" s="24" t="s">
        <v>108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32</v>
      </c>
      <c r="J27" s="6" t="s">
        <v>172</v>
      </c>
      <c r="K27" s="6" t="s">
        <v>155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E17</f>
        <v xml:space="preserve">دواليب دلفة /دلفتين </v>
      </c>
      <c r="C29" s="6">
        <v>1</v>
      </c>
      <c r="D29" s="6" t="str">
        <f ca="1">H25</f>
        <v>HPL</v>
      </c>
      <c r="E29" s="6" t="s">
        <v>48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B29</f>
        <v xml:space="preserve">دواليب دلفة /دلفتين </v>
      </c>
      <c r="C30" s="6">
        <f>C29+1</f>
        <v>2</v>
      </c>
      <c r="D30" s="6" t="str">
        <f ca="1">H25</f>
        <v>HPL</v>
      </c>
      <c r="E30" s="6" t="s">
        <v>10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B29</f>
        <v xml:space="preserve">دواليب دلفة /دلفتين </v>
      </c>
      <c r="C31" s="6">
        <f>C30+1</f>
        <v>3</v>
      </c>
      <c r="D31" s="6" t="str">
        <f ca="1">H25</f>
        <v>HPL</v>
      </c>
      <c r="E31" s="6" t="s">
        <v>50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B29</f>
        <v xml:space="preserve">دواليب دلفة /دلفتين </v>
      </c>
      <c r="C32" s="6">
        <f>C31+1</f>
        <v>4</v>
      </c>
      <c r="D32" s="6" t="str">
        <f ca="1">H25</f>
        <v>HPL</v>
      </c>
      <c r="E32" s="6" t="s">
        <v>11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B29</f>
        <v xml:space="preserve">دواليب دلفة /دلفتين </v>
      </c>
      <c r="C33" s="6">
        <f t="shared" ref="C33" si="0">C32+1</f>
        <v>5</v>
      </c>
      <c r="D33" s="6" t="str">
        <f ca="1">H25</f>
        <v>HPL</v>
      </c>
      <c r="E33" s="6" t="s">
        <v>17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B29</f>
        <v xml:space="preserve">دواليب دلفة /دلفتين </v>
      </c>
      <c r="C35" s="9">
        <f>C33+1</f>
        <v>6</v>
      </c>
      <c r="D35" s="9" t="str">
        <f ca="1">F25</f>
        <v>يوفيلاك</v>
      </c>
      <c r="E35" s="9" t="s">
        <v>69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B29</f>
        <v xml:space="preserve">دواليب دلفة /دلفتين </v>
      </c>
      <c r="C36" s="9">
        <f>C35+1</f>
        <v>7</v>
      </c>
      <c r="D36" s="9" t="str">
        <f ca="1">F25</f>
        <v>يوفيلاك</v>
      </c>
      <c r="E36" s="9" t="s">
        <v>70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B29</f>
        <v xml:space="preserve">دواليب دلفة /دلفتين </v>
      </c>
      <c r="C38" s="9">
        <f>C36+1</f>
        <v>8</v>
      </c>
      <c r="D38" s="9" t="s">
        <v>52</v>
      </c>
      <c r="E38" s="9" t="s">
        <v>71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B29</f>
        <v xml:space="preserve">دواليب دلفة /دلفتين </v>
      </c>
      <c r="C39" s="9">
        <f>C38+1</f>
        <v>9</v>
      </c>
      <c r="D39" s="9" t="s">
        <v>52</v>
      </c>
      <c r="E39" s="9" t="s">
        <v>72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B29</f>
        <v xml:space="preserve">دواليب دلفة /دلفتين </v>
      </c>
      <c r="C41" s="18">
        <f>C39+1</f>
        <v>10</v>
      </c>
      <c r="D41" s="18" t="str">
        <f ca="1">D25</f>
        <v>ظهر</v>
      </c>
      <c r="E41" s="18" t="s">
        <v>57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6" x14ac:dyDescent="0.3">
      <c r="A44" s="34" t="s">
        <v>131</v>
      </c>
      <c r="C44" s="13">
        <v>1</v>
      </c>
      <c r="D44" s="21" t="s">
        <v>58</v>
      </c>
      <c r="E44" s="93" t="s">
        <v>73</v>
      </c>
      <c r="F44" s="93"/>
      <c r="G44" s="93"/>
      <c r="H44" s="93"/>
      <c r="I44" s="2" t="s">
        <v>29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19</v>
      </c>
      <c r="E45" s="17" t="s">
        <v>18</v>
      </c>
      <c r="F45" s="7" t="s">
        <v>50</v>
      </c>
      <c r="G45" s="7" t="s">
        <v>16</v>
      </c>
      <c r="H45" s="7" t="s">
        <v>22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53</v>
      </c>
      <c r="H47" s="7" t="s">
        <v>54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74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75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76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66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77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78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79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80</v>
      </c>
      <c r="K55" s="7"/>
      <c r="L55" s="1"/>
      <c r="M55" s="1"/>
    </row>
    <row r="56" spans="1:13" ht="15.6" x14ac:dyDescent="0.3">
      <c r="A56" s="34">
        <v>1</v>
      </c>
      <c r="C56" s="82">
        <f>G51+H51</f>
        <v>0</v>
      </c>
      <c r="D56" s="82"/>
      <c r="E56" s="8"/>
      <c r="F56" s="40"/>
      <c r="G56" s="40"/>
      <c r="H56" s="40"/>
      <c r="I56" s="8">
        <f>SUM(I48:I55)</f>
        <v>220</v>
      </c>
      <c r="J56" s="84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83" t="b">
        <f>C56&lt;=2</f>
        <v>1</v>
      </c>
      <c r="D57" s="83"/>
      <c r="E57" s="8"/>
      <c r="F57" s="8"/>
      <c r="G57" s="8"/>
      <c r="H57" s="8"/>
      <c r="I57" s="6" t="b">
        <f>I56=I46</f>
        <v>1</v>
      </c>
      <c r="J57" s="84"/>
      <c r="K57" s="7"/>
      <c r="L57" s="1"/>
      <c r="M57" s="1"/>
    </row>
    <row r="58" spans="1:13" ht="31.2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57</v>
      </c>
      <c r="F58" s="26" t="str" cm="1">
        <f t="array" aca="1" ref="F58" ca="1">defaultValue(G58,K44)</f>
        <v>يوفيلاك</v>
      </c>
      <c r="G58" s="7" t="s">
        <v>31</v>
      </c>
      <c r="H58" s="26" t="str" cm="1">
        <f t="array" aca="1" ref="H58" ca="1">defaultValue(I58,K44)</f>
        <v>HPL</v>
      </c>
      <c r="I58" s="7" t="s">
        <v>30</v>
      </c>
      <c r="J58" s="24" t="s">
        <v>108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32</v>
      </c>
      <c r="J60" s="6" t="s">
        <v>172</v>
      </c>
      <c r="K60" s="6" t="s">
        <v>155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E44</f>
        <v>دواليب منوع /فرن /أدراج</v>
      </c>
      <c r="C62" s="6">
        <v>1</v>
      </c>
      <c r="D62" s="6" t="str">
        <f ca="1">H58</f>
        <v>HPL</v>
      </c>
      <c r="E62" s="6" t="s">
        <v>48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B62</f>
        <v>دواليب منوع /فرن /أدراج</v>
      </c>
      <c r="C63" s="6">
        <f>C62+1</f>
        <v>2</v>
      </c>
      <c r="D63" s="6" t="str">
        <f ca="1">H58</f>
        <v>HPL</v>
      </c>
      <c r="E63" s="6" t="s">
        <v>10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B62</f>
        <v>دواليب منوع /فرن /أدراج</v>
      </c>
      <c r="C64" s="6">
        <f>C63+1</f>
        <v>3</v>
      </c>
      <c r="D64" s="6" t="str">
        <f ca="1">H58</f>
        <v>HPL</v>
      </c>
      <c r="E64" s="6" t="s">
        <v>50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B62</f>
        <v>دواليب منوع /فرن /أدراج</v>
      </c>
      <c r="C65" s="6">
        <f>C64+1</f>
        <v>4</v>
      </c>
      <c r="D65" s="6" t="str">
        <f ca="1">H58</f>
        <v>HPL</v>
      </c>
      <c r="E65" s="6" t="s">
        <v>11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B62</f>
        <v>دواليب منوع /فرن /أدراج</v>
      </c>
      <c r="C66" s="6">
        <f t="shared" ref="C66" si="1">C65+1</f>
        <v>5</v>
      </c>
      <c r="D66" s="6" t="str">
        <f ca="1">H58</f>
        <v>HPL</v>
      </c>
      <c r="E66" s="6" t="s">
        <v>17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B62</f>
        <v>دواليب منوع /فرن /أدراج</v>
      </c>
      <c r="C68" s="19">
        <f>C66+1</f>
        <v>6</v>
      </c>
      <c r="D68" s="19" t="str">
        <f ca="1">H58</f>
        <v>HPL</v>
      </c>
      <c r="E68" s="19" t="s">
        <v>81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2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B62</f>
        <v>دواليب منوع /فرن /أدراج</v>
      </c>
      <c r="C69" s="19">
        <f>C68+1</f>
        <v>7</v>
      </c>
      <c r="D69" s="19" t="str">
        <f ca="1">H58</f>
        <v>HPL</v>
      </c>
      <c r="E69" s="19" t="s">
        <v>82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2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B62</f>
        <v>دواليب منوع /فرن /أدراج</v>
      </c>
      <c r="C70" s="19">
        <f t="shared" ref="C70:C76" si="3">C69+1</f>
        <v>8</v>
      </c>
      <c r="D70" s="19" t="str">
        <f ca="1">H58</f>
        <v>HPL</v>
      </c>
      <c r="E70" s="19" t="s">
        <v>83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2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B62</f>
        <v>دواليب منوع /فرن /أدراج</v>
      </c>
      <c r="C71" s="10">
        <f t="shared" si="3"/>
        <v>9</v>
      </c>
      <c r="D71" s="10" t="str">
        <f ca="1">H58</f>
        <v>HPL</v>
      </c>
      <c r="E71" s="10" t="s">
        <v>84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2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B62</f>
        <v>دواليب منوع /فرن /أدراج</v>
      </c>
      <c r="C72" s="10">
        <f t="shared" si="3"/>
        <v>10</v>
      </c>
      <c r="D72" s="10" t="str">
        <f ca="1">H58</f>
        <v>HPL</v>
      </c>
      <c r="E72" s="10" t="s">
        <v>85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2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B62</f>
        <v>دواليب منوع /فرن /أدراج</v>
      </c>
      <c r="C73" s="10">
        <f t="shared" si="3"/>
        <v>11</v>
      </c>
      <c r="D73" s="10" t="str">
        <f ca="1">H58</f>
        <v>HPL</v>
      </c>
      <c r="E73" s="10" t="s">
        <v>86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2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B62</f>
        <v>دواليب منوع /فرن /أدراج</v>
      </c>
      <c r="C74" s="19">
        <f t="shared" si="3"/>
        <v>12</v>
      </c>
      <c r="D74" s="19" t="str">
        <f ca="1">H58</f>
        <v>HPL</v>
      </c>
      <c r="E74" s="19" t="s">
        <v>87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2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B62</f>
        <v>دواليب منوع /فرن /أدراج</v>
      </c>
      <c r="C75" s="19">
        <f t="shared" si="3"/>
        <v>13</v>
      </c>
      <c r="D75" s="19" t="str">
        <f ca="1">H58</f>
        <v>HPL</v>
      </c>
      <c r="E75" s="19" t="s">
        <v>88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2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B62</f>
        <v>دواليب منوع /فرن /أدراج</v>
      </c>
      <c r="C76" s="19">
        <f t="shared" si="3"/>
        <v>14</v>
      </c>
      <c r="D76" s="19" t="str">
        <f ca="1">H58</f>
        <v>HPL</v>
      </c>
      <c r="E76" s="19" t="s">
        <v>89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2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B62</f>
        <v>دواليب منوع /فرن /أدراج</v>
      </c>
      <c r="C78" s="9">
        <f>C76+1</f>
        <v>15</v>
      </c>
      <c r="D78" s="9" t="str">
        <f ca="1">F58</f>
        <v>يوفيلاك</v>
      </c>
      <c r="E78" s="9" t="s">
        <v>92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4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B62</f>
        <v>دواليب منوع /فرن /أدراج</v>
      </c>
      <c r="C79" s="9">
        <f t="shared" ref="C79:C86" si="5">C78+1</f>
        <v>16</v>
      </c>
      <c r="D79" s="9" t="str">
        <f ca="1">F58</f>
        <v>يوفيلاك</v>
      </c>
      <c r="E79" s="9" t="s">
        <v>93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4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B62</f>
        <v>دواليب منوع /فرن /أدراج</v>
      </c>
      <c r="C80" s="9">
        <f t="shared" si="5"/>
        <v>17</v>
      </c>
      <c r="D80" s="9" t="str">
        <f ca="1">F58</f>
        <v>يوفيلاك</v>
      </c>
      <c r="E80" s="9" t="s">
        <v>94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4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B62</f>
        <v>دواليب منوع /فرن /أدراج</v>
      </c>
      <c r="C81" s="9">
        <f t="shared" si="5"/>
        <v>18</v>
      </c>
      <c r="D81" s="9" t="str">
        <f ca="1">F58</f>
        <v>يوفيلاك</v>
      </c>
      <c r="E81" s="9" t="s">
        <v>69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4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B62</f>
        <v>دواليب منوع /فرن /أدراج</v>
      </c>
      <c r="C82" s="9">
        <f t="shared" si="5"/>
        <v>19</v>
      </c>
      <c r="D82" s="9" t="str">
        <f ca="1">F58</f>
        <v>يوفيلاك</v>
      </c>
      <c r="E82" s="9" t="s">
        <v>95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4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B62</f>
        <v>دواليب منوع /فرن /أدراج</v>
      </c>
      <c r="C83" s="9">
        <f t="shared" si="5"/>
        <v>20</v>
      </c>
      <c r="D83" s="9" t="str">
        <f ca="1">F58</f>
        <v>يوفيلاك</v>
      </c>
      <c r="E83" s="9" t="s">
        <v>96</v>
      </c>
      <c r="F83" s="9"/>
      <c r="G83" s="9"/>
      <c r="H83" s="9"/>
      <c r="I83" s="9">
        <f t="shared" ca="1" si="4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B62</f>
        <v>دواليب منوع /فرن /أدراج</v>
      </c>
      <c r="C84" s="9">
        <f t="shared" si="5"/>
        <v>21</v>
      </c>
      <c r="D84" s="9" t="str">
        <f ca="1">F58</f>
        <v>يوفيلاك</v>
      </c>
      <c r="E84" s="9" t="s">
        <v>97</v>
      </c>
      <c r="F84" s="9"/>
      <c r="G84" s="9"/>
      <c r="H84" s="9"/>
      <c r="I84" s="9">
        <f t="shared" ca="1" si="4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B62</f>
        <v>دواليب منوع /فرن /أدراج</v>
      </c>
      <c r="C85" s="9">
        <f t="shared" si="5"/>
        <v>22</v>
      </c>
      <c r="D85" s="9" t="str">
        <f ca="1">F58</f>
        <v>يوفيلاك</v>
      </c>
      <c r="E85" s="9" t="s">
        <v>90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4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B62</f>
        <v>دواليب منوع /فرن /أدراج</v>
      </c>
      <c r="C86" s="9">
        <f t="shared" si="5"/>
        <v>23</v>
      </c>
      <c r="D86" s="9" t="str">
        <f ca="1">F58</f>
        <v>يوفيلاك</v>
      </c>
      <c r="E86" s="9" t="s">
        <v>91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4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B62</f>
        <v>دواليب منوع /فرن /أدراج</v>
      </c>
      <c r="C89" s="9">
        <f>C85+1</f>
        <v>23</v>
      </c>
      <c r="D89" s="9" t="s">
        <v>52</v>
      </c>
      <c r="E89" s="9" t="s">
        <v>71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B62</f>
        <v>دواليب منوع /فرن /أدراج</v>
      </c>
      <c r="C90" s="9">
        <f>C89+1</f>
        <v>24</v>
      </c>
      <c r="D90" s="9" t="s">
        <v>52</v>
      </c>
      <c r="E90" s="9" t="s">
        <v>98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B62</f>
        <v>دواليب منوع /فرن /أدراج</v>
      </c>
      <c r="C91" s="9">
        <f>C90+1</f>
        <v>25</v>
      </c>
      <c r="D91" s="9" t="s">
        <v>52</v>
      </c>
      <c r="E91" s="9" t="s">
        <v>99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B62</f>
        <v>دواليب منوع /فرن /أدراج</v>
      </c>
      <c r="C93" s="18">
        <f>C90+1</f>
        <v>25</v>
      </c>
      <c r="D93" s="18" t="str">
        <f ca="1">D58</f>
        <v>ظهر</v>
      </c>
      <c r="E93" s="18" t="s">
        <v>57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58</v>
      </c>
      <c r="E102" s="76" t="s">
        <v>63</v>
      </c>
      <c r="F102" s="77"/>
      <c r="G102" s="77"/>
      <c r="H102" s="78"/>
      <c r="I102" s="2" t="s">
        <v>29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18</v>
      </c>
      <c r="F103" s="7" t="s">
        <v>16</v>
      </c>
      <c r="G103" s="7" t="s">
        <v>47</v>
      </c>
      <c r="H103" s="7" t="s">
        <v>22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83" t="b">
        <f>NOT(AND(F104&gt;0,G104&gt;0))</f>
        <v>1</v>
      </c>
      <c r="G105" s="83"/>
      <c r="I105" s="3" t="b">
        <f>_xlfn.XOR(I104&lt;=50,C106=2)</f>
        <v>0</v>
      </c>
    </row>
    <row r="106" spans="2:10" ht="24" hidden="1" customHeight="1" x14ac:dyDescent="0.3">
      <c r="C106" s="83">
        <f>C104+E104</f>
        <v>3</v>
      </c>
      <c r="D106" s="83"/>
      <c r="E106" s="32"/>
      <c r="F106" s="86" t="str">
        <f>IF(F105,"المقابض مظبوطة","مينفعش مقبض مخفي مع بيلت ان")</f>
        <v>المقابض مظبوطة</v>
      </c>
      <c r="G106" s="86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83" t="b">
        <f>C106&lt;=2</f>
        <v>0</v>
      </c>
      <c r="D107" s="83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32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48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6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6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6"/>
        <v>4</v>
      </c>
      <c r="D113" s="6">
        <f>D110</f>
        <v>0</v>
      </c>
      <c r="E113" s="6" t="s">
        <v>17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6"/>
        <v>5</v>
      </c>
      <c r="D114" s="6">
        <f>D110</f>
        <v>0</v>
      </c>
      <c r="E114" s="6" t="s">
        <v>23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15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7">C116+1</f>
        <v>7</v>
      </c>
      <c r="D117" s="9">
        <f>D116</f>
        <v>0</v>
      </c>
      <c r="E117" s="9" t="s">
        <v>24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7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57</v>
      </c>
      <c r="E120" s="18" t="s">
        <v>57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58</v>
      </c>
      <c r="E122" s="76" t="s">
        <v>64</v>
      </c>
      <c r="F122" s="77"/>
      <c r="G122" s="77"/>
      <c r="H122" s="78"/>
      <c r="I122" s="2" t="s">
        <v>29</v>
      </c>
      <c r="J122" s="2">
        <f>J102+1</f>
        <v>4</v>
      </c>
    </row>
    <row r="123" spans="2:10" ht="31.2" hidden="1" customHeight="1" x14ac:dyDescent="0.3">
      <c r="C123" s="7"/>
      <c r="D123" s="7" t="s">
        <v>18</v>
      </c>
      <c r="E123" s="7"/>
      <c r="F123" s="7" t="s">
        <v>16</v>
      </c>
      <c r="G123" s="7" t="s">
        <v>47</v>
      </c>
      <c r="H123" s="7" t="s">
        <v>22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83" t="b">
        <f>NOT(AND(F124&gt;0,G124&gt;0))</f>
        <v>1</v>
      </c>
      <c r="G125" s="8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86" t="str">
        <f>IF(F125,"المقابض مظبوطة","مينفعش مقبض مخفي مع بيلت ان")</f>
        <v>المقابض مظبوطة</v>
      </c>
      <c r="G126" s="86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48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59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60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26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8">C134+1</f>
        <v>6</v>
      </c>
      <c r="D135" s="6">
        <f>D130</f>
        <v>0</v>
      </c>
      <c r="E135" s="6" t="s">
        <v>17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27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9">C137+1</f>
        <v>8</v>
      </c>
      <c r="D138" s="9">
        <f>D137</f>
        <v>0</v>
      </c>
      <c r="E138" s="9" t="s">
        <v>40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57</v>
      </c>
      <c r="E140" s="18" t="s">
        <v>57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58</v>
      </c>
      <c r="E142" s="76" t="s">
        <v>65</v>
      </c>
      <c r="F142" s="77"/>
      <c r="G142" s="77"/>
      <c r="H142" s="78"/>
      <c r="I142" s="2" t="s">
        <v>29</v>
      </c>
      <c r="J142" s="2">
        <f>J122+1</f>
        <v>5</v>
      </c>
    </row>
    <row r="143" spans="2:10" ht="31.2" hidden="1" customHeight="1" x14ac:dyDescent="0.3">
      <c r="C143" s="7"/>
      <c r="D143" s="7" t="s">
        <v>18</v>
      </c>
      <c r="E143" s="7"/>
      <c r="F143" s="7" t="s">
        <v>16</v>
      </c>
      <c r="G143" s="7" t="s">
        <v>47</v>
      </c>
      <c r="H143" s="7" t="s">
        <v>22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83" t="b">
        <f>NOT(AND(F144&gt;0,G144&gt;0))</f>
        <v>1</v>
      </c>
      <c r="G145" s="8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86" t="str">
        <f>IF(F145,"المقابض مظبوطة","مينفعش مقبض مخفي مع بيلت ان")</f>
        <v>المقابض مظبوطة</v>
      </c>
      <c r="G146" s="86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32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48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59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60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26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10">C154+1</f>
        <v>6</v>
      </c>
      <c r="D155" s="6">
        <f>D150</f>
        <v>0</v>
      </c>
      <c r="E155" s="6" t="s">
        <v>17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27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11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57</v>
      </c>
      <c r="E160" s="18" t="s">
        <v>57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92" t="s">
        <v>41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</row>
  </sheetData>
  <mergeCells count="23">
    <mergeCell ref="E122:H122"/>
    <mergeCell ref="F125:G125"/>
    <mergeCell ref="F126:G126"/>
    <mergeCell ref="E142:H142"/>
    <mergeCell ref="E17:H17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C24:D24"/>
    <mergeCell ref="F145:G145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K16" sqref="K16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119" customFormat="1" x14ac:dyDescent="0.3">
      <c r="A1" s="118">
        <v>13</v>
      </c>
      <c r="B1" s="119">
        <v>3</v>
      </c>
    </row>
    <row r="2" spans="1:23" s="119" customFormat="1" ht="31.2" customHeight="1" x14ac:dyDescent="0.3">
      <c r="A2" s="118">
        <v>20</v>
      </c>
      <c r="B2" s="119" t="s">
        <v>116</v>
      </c>
      <c r="C2" s="115" t="s">
        <v>100</v>
      </c>
      <c r="D2" s="115"/>
      <c r="E2" s="115"/>
      <c r="F2" s="115"/>
      <c r="G2" s="115"/>
      <c r="H2" s="115"/>
      <c r="I2" s="115"/>
      <c r="J2" s="115"/>
      <c r="K2" s="115"/>
    </row>
    <row r="3" spans="1:23" s="119" customFormat="1" x14ac:dyDescent="0.3">
      <c r="A3" s="118"/>
      <c r="B3" s="119" t="s">
        <v>148</v>
      </c>
      <c r="R3" s="120"/>
      <c r="S3" s="120"/>
      <c r="T3" s="120"/>
      <c r="U3" s="120"/>
      <c r="V3" s="120"/>
      <c r="W3" s="120"/>
    </row>
    <row r="4" spans="1:23" s="119" customFormat="1" ht="21" x14ac:dyDescent="0.4">
      <c r="A4" s="118"/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R4" s="120"/>
      <c r="S4" s="120"/>
      <c r="T4" s="120"/>
      <c r="U4" s="120"/>
      <c r="V4" s="120"/>
      <c r="W4" s="120"/>
    </row>
    <row r="5" spans="1:23" s="119" customFormat="1" x14ac:dyDescent="0.3">
      <c r="A5" s="118"/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</row>
    <row r="6" spans="1:23" s="119" customFormat="1" x14ac:dyDescent="0.3">
      <c r="A6" s="118"/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</row>
    <row r="7" spans="1:23" s="119" customFormat="1" ht="21" x14ac:dyDescent="0.4">
      <c r="A7" s="118"/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23" s="119" customFormat="1" x14ac:dyDescent="0.3">
      <c r="A8" s="118"/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</row>
    <row r="9" spans="1:23" s="119" customFormat="1" x14ac:dyDescent="0.3">
      <c r="A9" s="118"/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</row>
    <row r="10" spans="1:23" s="119" customFormat="1" ht="18" x14ac:dyDescent="0.3">
      <c r="A10" s="121"/>
      <c r="B10" s="121"/>
      <c r="C10" s="121"/>
      <c r="D10" s="121"/>
      <c r="E10" s="122"/>
      <c r="F10" s="122"/>
      <c r="G10" s="122"/>
      <c r="H10" s="122"/>
      <c r="I10" s="121"/>
      <c r="J10" s="121"/>
      <c r="K10" s="121"/>
      <c r="L10" s="121"/>
      <c r="M10" s="121"/>
    </row>
    <row r="11" spans="1:23" s="119" customFormat="1" ht="18" x14ac:dyDescent="0.3">
      <c r="A11" s="121"/>
      <c r="B11" s="121"/>
      <c r="C11" s="121"/>
      <c r="D11" s="121"/>
      <c r="E11" s="122"/>
      <c r="F11" s="122"/>
      <c r="G11" s="122"/>
      <c r="H11" s="122"/>
      <c r="I11" s="121"/>
      <c r="J11" s="121"/>
      <c r="K11" s="121"/>
      <c r="L11" s="121"/>
      <c r="M11" s="121"/>
    </row>
    <row r="12" spans="1:23" s="122" customFormat="1" ht="18" x14ac:dyDescent="0.3">
      <c r="A12" s="123"/>
    </row>
    <row r="13" spans="1:23" customFormat="1" x14ac:dyDescent="0.3">
      <c r="A13" s="102"/>
    </row>
    <row r="14" spans="1:23" customFormat="1" x14ac:dyDescent="0.3">
      <c r="A14" s="36"/>
    </row>
    <row r="17" spans="1:62" ht="18" x14ac:dyDescent="0.3">
      <c r="A17" s="35" t="s">
        <v>126</v>
      </c>
      <c r="B17" s="14"/>
      <c r="C17" s="13">
        <v>1</v>
      </c>
      <c r="D17" s="21" t="s">
        <v>58</v>
      </c>
      <c r="E17" s="76" t="s">
        <v>141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22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32</v>
      </c>
      <c r="J20" s="6" t="s">
        <v>172</v>
      </c>
      <c r="K20" s="6" t="s">
        <v>155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E17</f>
        <v>تجليدة سفلية</v>
      </c>
      <c r="C22" s="9">
        <f>visible(1,K22)</f>
        <v>1</v>
      </c>
      <c r="D22" s="9" t="str">
        <f ca="1">E18</f>
        <v>يوفيلاك</v>
      </c>
      <c r="E22" s="9" t="s">
        <v>112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E17</f>
        <v>تجليدة سفلية</v>
      </c>
      <c r="C23" s="9">
        <f>visible(2,K23)</f>
        <v>2</v>
      </c>
      <c r="D23" s="9" t="str">
        <f ca="1">E18</f>
        <v>يوفيلاك</v>
      </c>
      <c r="E23" s="9" t="s">
        <v>112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E17</f>
        <v>تجليدة سفلية</v>
      </c>
      <c r="C24" s="9">
        <f>visible(3,K24)</f>
        <v>3</v>
      </c>
      <c r="D24" s="9" t="str">
        <f ca="1">E18</f>
        <v>يوفيلاك</v>
      </c>
      <c r="E24" s="9" t="s">
        <v>112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E17</f>
        <v>تجليدة سفلية</v>
      </c>
      <c r="C25" s="9">
        <f>visible(4,K25)</f>
        <v>4</v>
      </c>
      <c r="D25" s="9" t="str">
        <f ca="1">E18</f>
        <v>يوفيلاك</v>
      </c>
      <c r="E25" s="9" t="s">
        <v>112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E17</f>
        <v>تجليدة سفلية</v>
      </c>
      <c r="C26" s="9">
        <f>visible(5,K26)</f>
        <v>5</v>
      </c>
      <c r="D26" s="9" t="str">
        <f ca="1">E18</f>
        <v>يوفيلاك</v>
      </c>
      <c r="E26" s="9" t="s">
        <v>112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131</v>
      </c>
      <c r="B29" s="14"/>
      <c r="C29" s="13">
        <v>1</v>
      </c>
      <c r="D29" s="21" t="s">
        <v>58</v>
      </c>
      <c r="E29" s="76" t="s">
        <v>142</v>
      </c>
      <c r="F29" s="77"/>
      <c r="G29" s="77"/>
      <c r="H29" s="78"/>
      <c r="I29" s="2" t="s">
        <v>29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22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32</v>
      </c>
      <c r="J32" s="6" t="s">
        <v>172</v>
      </c>
      <c r="K32" s="6" t="s">
        <v>155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E29</f>
        <v>تجليدة علوية</v>
      </c>
      <c r="C34" s="9">
        <f>visible(1,K34)</f>
        <v>1</v>
      </c>
      <c r="D34" s="9" t="str">
        <f ca="1">E30</f>
        <v>يوفيلاك</v>
      </c>
      <c r="E34" s="9" t="s">
        <v>112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E29</f>
        <v>تجليدة علوية</v>
      </c>
      <c r="C35" s="9">
        <f>visible(2,K35)</f>
        <v>2</v>
      </c>
      <c r="D35" s="9" t="str">
        <f ca="1">E30</f>
        <v>يوفيلاك</v>
      </c>
      <c r="E35" s="9" t="s">
        <v>112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E29</f>
        <v>تجليدة علوية</v>
      </c>
      <c r="C36" s="9">
        <f>visible(3,K36)</f>
        <v>3</v>
      </c>
      <c r="D36" s="9" t="str">
        <f ca="1">E30</f>
        <v>يوفيلاك</v>
      </c>
      <c r="E36" s="9" t="s">
        <v>112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E29</f>
        <v>تجليدة علوية</v>
      </c>
      <c r="C37" s="9">
        <f>visible(4,K37)</f>
        <v>4</v>
      </c>
      <c r="D37" s="9" t="str">
        <f ca="1">E30</f>
        <v>يوفيلاك</v>
      </c>
      <c r="E37" s="9" t="s">
        <v>112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E29</f>
        <v>تجليدة علوية</v>
      </c>
      <c r="C38" s="9">
        <f>visible(5,K38)</f>
        <v>5</v>
      </c>
      <c r="D38" s="9" t="str">
        <f ca="1">E30</f>
        <v>يوفيلاك</v>
      </c>
      <c r="E38" s="9" t="s">
        <v>112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127</v>
      </c>
      <c r="B41" s="14"/>
      <c r="C41" s="13">
        <v>1</v>
      </c>
      <c r="D41" s="21" t="s">
        <v>58</v>
      </c>
      <c r="E41" s="76" t="s">
        <v>143</v>
      </c>
      <c r="F41" s="77"/>
      <c r="G41" s="77"/>
      <c r="H41" s="78"/>
      <c r="I41" s="2" t="s">
        <v>29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22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E41</f>
        <v>تجليدة مختلفة</v>
      </c>
      <c r="C46" s="9">
        <f>visible(1,K46)</f>
        <v>1</v>
      </c>
      <c r="D46" s="9" t="str">
        <f ca="1">E42</f>
        <v>يوفيلاك</v>
      </c>
      <c r="E46" s="9" t="s">
        <v>112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E41</f>
        <v>تجليدة مختلفة</v>
      </c>
      <c r="C47" s="9">
        <f>visible(2,K47)</f>
        <v>2</v>
      </c>
      <c r="D47" s="9" t="str">
        <f ca="1">E42</f>
        <v>يوفيلاك</v>
      </c>
      <c r="E47" s="9" t="s">
        <v>112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E41</f>
        <v>تجليدة مختلفة</v>
      </c>
      <c r="C48" s="9">
        <f>visible(3,K48)</f>
        <v>3</v>
      </c>
      <c r="D48" s="9" t="str">
        <f ca="1">E42</f>
        <v>يوفيلاك</v>
      </c>
      <c r="E48" s="9" t="s">
        <v>112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E41</f>
        <v>تجليدة مختلفة</v>
      </c>
      <c r="C49" s="9">
        <f>visible(4,K49)</f>
        <v>4</v>
      </c>
      <c r="D49" s="9" t="str">
        <f ca="1">E42</f>
        <v>يوفيلاك</v>
      </c>
      <c r="E49" s="9" t="s">
        <v>112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E41</f>
        <v>تجليدة مختلفة</v>
      </c>
      <c r="C50" s="9">
        <f>visible(5,K50)</f>
        <v>5</v>
      </c>
      <c r="D50" s="9" t="str">
        <f ca="1">E42</f>
        <v>يوفيلاك</v>
      </c>
      <c r="E50" s="9" t="s">
        <v>112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2024-09-23T13:02:12Z</dcterms:modified>
</cp:coreProperties>
</file>