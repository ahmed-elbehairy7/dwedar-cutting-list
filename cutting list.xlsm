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95521EAC-A389-46F3-9857-F519338407CA}" xr6:coauthVersionLast="47" xr6:coauthVersionMax="47" xr10:uidLastSave="{00000000-0000-0000-0000-000000000000}"/>
  <bookViews>
    <workbookView xWindow="-108" yWindow="-108" windowWidth="23256" windowHeight="12456" tabRatio="627" activeTab="5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4" i="4" l="1"/>
  <c r="K171" i="4"/>
  <c r="K102" i="4"/>
  <c r="K78" i="4"/>
  <c r="K91" i="5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1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B50" i="6"/>
  <c r="B49" i="6"/>
  <c r="B48" i="6"/>
  <c r="B47" i="6"/>
  <c r="B46" i="6"/>
  <c r="B38" i="6"/>
  <c r="B37" i="6"/>
  <c r="B36" i="6"/>
  <c r="B35" i="6"/>
  <c r="B34" i="6"/>
  <c r="B26" i="6"/>
  <c r="B25" i="6"/>
  <c r="B24" i="6"/>
  <c r="B23" i="6"/>
  <c r="B22" i="6"/>
  <c r="B35" i="5"/>
  <c r="B84" i="5"/>
  <c r="B33" i="5"/>
  <c r="B65" i="5"/>
  <c r="B29" i="5"/>
  <c r="B36" i="5"/>
  <c r="B83" i="5"/>
  <c r="B32" i="5"/>
  <c r="B66" i="5"/>
  <c r="B31" i="5"/>
  <c r="B30" i="5"/>
  <c r="B64" i="5"/>
  <c r="B39" i="5"/>
  <c r="B93" i="5"/>
  <c r="B63" i="5"/>
  <c r="B62" i="5"/>
  <c r="B41" i="5"/>
  <c r="B38" i="5"/>
  <c r="B164" i="4"/>
  <c r="B126" i="4"/>
  <c r="B99" i="4"/>
  <c r="B71" i="4"/>
  <c r="B30" i="4"/>
  <c r="B151" i="4"/>
  <c r="B124" i="4"/>
  <c r="B97" i="4"/>
  <c r="B70" i="4"/>
  <c r="B29" i="4"/>
  <c r="B123" i="4"/>
  <c r="B96" i="4"/>
  <c r="B69" i="4"/>
  <c r="B28" i="4"/>
  <c r="B121" i="4"/>
  <c r="B95" i="4"/>
  <c r="B56" i="4"/>
  <c r="B27" i="4"/>
  <c r="B149" i="4"/>
  <c r="B147" i="4"/>
  <c r="B146" i="4"/>
  <c r="B120" i="4"/>
  <c r="B94" i="4"/>
  <c r="B54" i="4"/>
  <c r="B119" i="4"/>
  <c r="B53" i="4"/>
  <c r="B144" i="4"/>
  <c r="B80" i="4"/>
  <c r="B143" i="4"/>
  <c r="B78" i="4"/>
  <c r="B116" i="4"/>
  <c r="B49" i="4"/>
  <c r="B167" i="4"/>
  <c r="B75" i="4"/>
  <c r="B102" i="4"/>
  <c r="B165" i="4"/>
  <c r="B33" i="4"/>
  <c r="B145" i="4"/>
  <c r="B93" i="4"/>
  <c r="B173" i="4"/>
  <c r="B51" i="4"/>
  <c r="B117" i="4"/>
  <c r="B50" i="4"/>
  <c r="B76" i="4"/>
  <c r="B104" i="4"/>
  <c r="B129" i="4"/>
  <c r="B35" i="4"/>
  <c r="B100" i="4"/>
  <c r="B118" i="4"/>
  <c r="B171" i="4"/>
  <c r="B142" i="4"/>
  <c r="B130" i="4"/>
  <c r="B48" i="4"/>
  <c r="B73" i="4"/>
  <c r="B127" i="4"/>
  <c r="B72" i="4"/>
  <c r="B168" i="4"/>
  <c r="B166" i="4"/>
  <c r="F91" i="5"/>
  <c r="F85" i="5"/>
  <c r="B91" i="5"/>
  <c r="F89" i="5"/>
  <c r="G89" i="5"/>
  <c r="B85" i="5"/>
  <c r="G91" i="5"/>
  <c r="G85" i="5"/>
  <c r="F82" i="5"/>
  <c r="F81" i="5"/>
  <c r="B86" i="5"/>
  <c r="G81" i="5"/>
  <c r="F90" i="5"/>
  <c r="G90" i="5"/>
  <c r="G82" i="5"/>
  <c r="B90" i="5"/>
  <c r="B89" i="5"/>
  <c r="B82" i="5"/>
  <c r="F86" i="5"/>
  <c r="G86" i="5"/>
  <c r="B81" i="5"/>
  <c r="G80" i="5"/>
  <c r="G79" i="5"/>
  <c r="G78" i="5"/>
  <c r="F80" i="5"/>
  <c r="F79" i="5"/>
  <c r="F78" i="5"/>
  <c r="B79" i="5"/>
  <c r="B80" i="5"/>
  <c r="B78" i="5"/>
  <c r="F76" i="5"/>
  <c r="F74" i="5"/>
  <c r="G76" i="5"/>
  <c r="G75" i="5"/>
  <c r="G74" i="5"/>
  <c r="F75" i="5"/>
  <c r="B76" i="5"/>
  <c r="B75" i="5"/>
  <c r="B74" i="5"/>
  <c r="G73" i="5"/>
  <c r="G72" i="5"/>
  <c r="G71" i="5"/>
  <c r="F73" i="5"/>
  <c r="F72" i="5"/>
  <c r="B73" i="5"/>
  <c r="F71" i="5"/>
  <c r="B71" i="5"/>
  <c r="B72" i="5"/>
  <c r="G68" i="5"/>
  <c r="G69" i="5"/>
  <c r="G70" i="5"/>
  <c r="F70" i="5"/>
  <c r="F69" i="5"/>
  <c r="F68" i="5"/>
  <c r="B70" i="5"/>
  <c r="B69" i="5"/>
  <c r="B68" i="5"/>
  <c r="B32" i="4"/>
  <c r="F46" i="11" a="1"/>
  <c r="E85" i="3" a="1"/>
  <c r="B80" i="3" a="1"/>
  <c r="E67" i="3" a="1"/>
  <c r="F65" i="3" a="1"/>
  <c r="B60" i="3"/>
  <c r="B54" i="3"/>
  <c r="B48" i="3"/>
  <c r="F46" i="3" a="1"/>
  <c r="E84" i="3" a="1"/>
  <c r="H80" i="3" a="1"/>
  <c r="C79" i="3"/>
  <c r="E78" i="3" a="1"/>
  <c r="I73" i="3" a="1"/>
  <c r="E66" i="3" a="1"/>
  <c r="H62" i="3"/>
  <c r="G56" i="3" a="1"/>
  <c r="H55" i="3" a="1"/>
  <c r="C53" i="3"/>
  <c r="E52" i="3" a="1"/>
  <c r="G50" i="3" a="1"/>
  <c r="H49" i="3" a="1"/>
  <c r="G45" i="3" a="1"/>
  <c r="B44" i="3" a="1"/>
  <c r="E30" i="3" a="1"/>
  <c r="C27" i="3" a="1"/>
  <c r="E26" i="3" a="1"/>
  <c r="C24" i="3" a="1"/>
  <c r="C56" i="3"/>
  <c r="H30" i="3" a="1"/>
  <c r="B26" i="3" a="1"/>
  <c r="C85" i="3"/>
  <c r="F81" i="3" a="1"/>
  <c r="F77" i="3" a="1"/>
  <c r="J70" i="3"/>
  <c r="C67" i="3"/>
  <c r="E65" i="3" a="1"/>
  <c r="H61" i="3"/>
  <c r="C59" i="3"/>
  <c r="B53" i="3"/>
  <c r="C47" i="3"/>
  <c r="E46" i="3" a="1"/>
  <c r="H44" i="3" a="1"/>
  <c r="C43" i="3"/>
  <c r="B85" i="3"/>
  <c r="E82" i="3" a="1"/>
  <c r="G80" i="3" a="1"/>
  <c r="B79" i="3" a="1"/>
  <c r="B67" i="3"/>
  <c r="C66" i="3"/>
  <c r="G62" i="3" a="1"/>
  <c r="H60" i="3"/>
  <c r="E57" i="3" a="1"/>
  <c r="F56" i="3" a="1"/>
  <c r="G55" i="3" a="1"/>
  <c r="H54" i="3" a="1"/>
  <c r="C52" i="3"/>
  <c r="E51" i="3" a="1"/>
  <c r="F50" i="3" a="1"/>
  <c r="G49" i="3" a="1"/>
  <c r="H48" i="3" a="1"/>
  <c r="F45" i="3" a="1"/>
  <c r="F28" i="3" a="1"/>
  <c r="H27" i="3" a="1"/>
  <c r="B27" i="3" a="1"/>
  <c r="H24" i="3" a="1"/>
  <c r="B24" i="3" a="1"/>
  <c r="E80" i="3" a="1"/>
  <c r="E62" i="3" a="1"/>
  <c r="G53" i="3" a="1"/>
  <c r="E49" i="3" a="1"/>
  <c r="B30" i="3" a="1"/>
  <c r="C84" i="3"/>
  <c r="E81" i="3" a="1"/>
  <c r="H79" i="3" a="1"/>
  <c r="C78" i="3"/>
  <c r="E77" i="3" a="1"/>
  <c r="B66" i="3"/>
  <c r="C65" i="3"/>
  <c r="G61" i="3" a="1"/>
  <c r="B59" i="3" a="1"/>
  <c r="B52" i="3"/>
  <c r="B47" i="3" a="1"/>
  <c r="B43" i="3" a="1"/>
  <c r="H84" i="3" a="1"/>
  <c r="C77" i="3"/>
  <c r="E55" i="3" a="1"/>
  <c r="F24" i="3" a="1"/>
  <c r="C82" i="3"/>
  <c r="F80" i="3" a="1"/>
  <c r="B65" i="3"/>
  <c r="G60" i="3" a="1"/>
  <c r="H59" i="3" a="1"/>
  <c r="C57" i="3"/>
  <c r="E56" i="3" a="1"/>
  <c r="F55" i="3" a="1"/>
  <c r="G54" i="3" a="1"/>
  <c r="H53" i="3" a="1"/>
  <c r="C51" i="3"/>
  <c r="E50" i="3" a="1"/>
  <c r="F49" i="3" a="1"/>
  <c r="G48" i="3" a="1"/>
  <c r="H47" i="3" a="1"/>
  <c r="C46" i="3"/>
  <c r="E45" i="3" a="1"/>
  <c r="H43" i="3" a="1"/>
  <c r="C30" i="3" a="1"/>
  <c r="E28" i="3" a="1"/>
  <c r="G27" i="3" a="1"/>
  <c r="C26" i="3" a="1"/>
  <c r="E25" i="3" a="1"/>
  <c r="J20" i="3" a="1"/>
  <c r="H78" i="3" a="1"/>
  <c r="H52" i="3" a="1"/>
  <c r="G47" i="3" a="1"/>
  <c r="F27" i="3" a="1"/>
  <c r="I20" i="3" a="1"/>
  <c r="H85" i="3"/>
  <c r="B84" i="3" a="1"/>
  <c r="B82" i="3"/>
  <c r="G79" i="3" a="1"/>
  <c r="B78" i="3" a="1"/>
  <c r="H67" i="3"/>
  <c r="B57" i="3"/>
  <c r="B51" i="3"/>
  <c r="C81" i="3"/>
  <c r="H66" i="3"/>
  <c r="G59" i="3" a="1"/>
  <c r="C50" i="3"/>
  <c r="B46" i="3" a="1"/>
  <c r="H26" i="3" a="1"/>
  <c r="J17" i="3"/>
  <c r="G85" i="3" a="1"/>
  <c r="F79" i="3" a="1"/>
  <c r="H65" i="3"/>
  <c r="E61" i="3" a="1"/>
  <c r="B56" i="3"/>
  <c r="B50" i="3"/>
  <c r="H46" i="3" a="1"/>
  <c r="C45" i="3"/>
  <c r="E44" i="3" a="1"/>
  <c r="J38" i="3" a="1"/>
  <c r="C60" i="3"/>
  <c r="G57" i="3" a="1"/>
  <c r="H56" i="3" a="1"/>
  <c r="E53" i="3" a="1"/>
  <c r="E47" i="3" a="1"/>
  <c r="C44" i="3"/>
  <c r="H28" i="3" a="1"/>
  <c r="H25" i="3" a="1"/>
  <c r="H82" i="3"/>
  <c r="B81" i="3" a="1"/>
  <c r="B77" i="3" a="1"/>
  <c r="C62" i="3"/>
  <c r="E60" i="3" a="1"/>
  <c r="H57" i="3" a="1"/>
  <c r="C55" i="3"/>
  <c r="E54" i="3" a="1"/>
  <c r="F53" i="3" a="1"/>
  <c r="G52" i="3" a="1"/>
  <c r="H51" i="3" a="1"/>
  <c r="C49" i="3"/>
  <c r="E48" i="3" a="1"/>
  <c r="F47" i="3" a="1"/>
  <c r="F43" i="3" a="1"/>
  <c r="G30" i="3" a="1"/>
  <c r="C28" i="3" a="1"/>
  <c r="E27" i="3" a="1"/>
  <c r="G26" i="3" a="1"/>
  <c r="C25" i="3" a="1"/>
  <c r="E24" i="3" a="1"/>
  <c r="J73" i="3" a="1"/>
  <c r="F52" i="3" a="1"/>
  <c r="H50" i="3" a="1"/>
  <c r="C48" i="3"/>
  <c r="H45" i="3" a="1"/>
  <c r="E43" i="3" a="1"/>
  <c r="F26" i="3" a="1"/>
  <c r="H81" i="3" a="1"/>
  <c r="C80" i="3"/>
  <c r="E79" i="3" a="1"/>
  <c r="H77" i="3" a="1"/>
  <c r="F67" i="3" a="1"/>
  <c r="B62" i="3"/>
  <c r="C61" i="3"/>
  <c r="B55" i="3"/>
  <c r="B49" i="3"/>
  <c r="G46" i="3" a="1"/>
  <c r="B45" i="3" a="1"/>
  <c r="I38" i="3" a="1"/>
  <c r="J35" i="3"/>
  <c r="F66" i="3" a="1"/>
  <c r="B61" i="3"/>
  <c r="E59" i="3" a="1"/>
  <c r="C54" i="3"/>
  <c r="G51" i="3" a="1"/>
  <c r="B28" i="3" a="1"/>
  <c r="B25" i="3" a="1"/>
  <c r="B164" i="3"/>
  <c r="B141" i="3"/>
  <c r="B108" i="3"/>
  <c r="B173" i="3"/>
  <c r="B163" i="3"/>
  <c r="B140" i="3"/>
  <c r="B106" i="3"/>
  <c r="B151" i="3"/>
  <c r="B150" i="3"/>
  <c r="B162" i="3"/>
  <c r="B139" i="3"/>
  <c r="B105" i="3"/>
  <c r="B128" i="3"/>
  <c r="B126" i="3"/>
  <c r="B122" i="3"/>
  <c r="B161" i="3"/>
  <c r="B138" i="3"/>
  <c r="B103" i="3"/>
  <c r="B174" i="3"/>
  <c r="B102" i="3"/>
  <c r="B101" i="3"/>
  <c r="B145" i="3"/>
  <c r="B168" i="3"/>
  <c r="B171" i="3"/>
  <c r="B148" i="3"/>
  <c r="B124" i="3"/>
  <c r="B100" i="3"/>
  <c r="B170" i="3"/>
  <c r="B123" i="3"/>
  <c r="B99" i="3"/>
  <c r="B167" i="3"/>
  <c r="B144" i="3"/>
  <c r="B121" i="3"/>
  <c r="B165" i="3"/>
  <c r="B119" i="3"/>
  <c r="B166" i="3"/>
  <c r="B143" i="3"/>
  <c r="B120" i="3"/>
  <c r="B142" i="3"/>
  <c r="B98" i="3"/>
  <c r="H50" i="6"/>
  <c r="H49" i="6"/>
  <c r="H48" i="6"/>
  <c r="H47" i="6"/>
  <c r="H46" i="6"/>
  <c r="H38" i="6"/>
  <c r="H37" i="6"/>
  <c r="H36" i="6"/>
  <c r="H35" i="6"/>
  <c r="H34" i="6"/>
  <c r="H26" i="6"/>
  <c r="H25" i="6"/>
  <c r="H24" i="6"/>
  <c r="H23" i="6"/>
  <c r="H22" i="6"/>
  <c r="H93" i="5"/>
  <c r="H91" i="5"/>
  <c r="H90" i="5"/>
  <c r="H89" i="5"/>
  <c r="H86" i="5"/>
  <c r="H85" i="5"/>
  <c r="H84" i="5"/>
  <c r="H83" i="5"/>
  <c r="H82" i="5"/>
  <c r="H81" i="5"/>
  <c r="H80" i="5"/>
  <c r="H79" i="5"/>
  <c r="H78" i="5"/>
  <c r="H76" i="5"/>
  <c r="H75" i="5"/>
  <c r="H74" i="5"/>
  <c r="H73" i="5"/>
  <c r="H72" i="5"/>
  <c r="H71" i="5"/>
  <c r="H70" i="5"/>
  <c r="H69" i="5"/>
  <c r="H68" i="5"/>
  <c r="H66" i="5"/>
  <c r="H65" i="5"/>
  <c r="H64" i="5"/>
  <c r="H63" i="5"/>
  <c r="H62" i="5"/>
  <c r="H41" i="5"/>
  <c r="H39" i="5"/>
  <c r="H38" i="5"/>
  <c r="H36" i="5"/>
  <c r="H35" i="5"/>
  <c r="H33" i="5"/>
  <c r="H32" i="5"/>
  <c r="H31" i="5"/>
  <c r="H30" i="5"/>
  <c r="H29" i="5"/>
  <c r="H173" i="4"/>
  <c r="H171" i="4"/>
  <c r="H168" i="4"/>
  <c r="H167" i="4"/>
  <c r="H166" i="4"/>
  <c r="H165" i="4"/>
  <c r="H164" i="4"/>
  <c r="H151" i="4"/>
  <c r="H149" i="4"/>
  <c r="H147" i="4"/>
  <c r="H146" i="4"/>
  <c r="H145" i="4"/>
  <c r="H144" i="4"/>
  <c r="H143" i="4"/>
  <c r="H142" i="4"/>
  <c r="H130" i="4"/>
  <c r="H129" i="4"/>
  <c r="H127" i="4"/>
  <c r="H126" i="4"/>
  <c r="H124" i="4"/>
  <c r="H123" i="4"/>
  <c r="H121" i="4"/>
  <c r="H120" i="4"/>
  <c r="H119" i="4"/>
  <c r="H118" i="4"/>
  <c r="H117" i="4"/>
  <c r="H116" i="4"/>
  <c r="H104" i="4"/>
  <c r="H102" i="4"/>
  <c r="H100" i="4"/>
  <c r="H99" i="4"/>
  <c r="H97" i="4"/>
  <c r="H96" i="4"/>
  <c r="H95" i="4"/>
  <c r="H94" i="4"/>
  <c r="H93" i="4"/>
  <c r="H80" i="4"/>
  <c r="H78" i="4"/>
  <c r="H76" i="4"/>
  <c r="H75" i="4"/>
  <c r="H73" i="4"/>
  <c r="H72" i="4"/>
  <c r="H71" i="4"/>
  <c r="H70" i="4"/>
  <c r="H69" i="4"/>
  <c r="H56" i="4"/>
  <c r="H54" i="4"/>
  <c r="H53" i="4"/>
  <c r="H51" i="4"/>
  <c r="H50" i="4"/>
  <c r="H49" i="4"/>
  <c r="H48" i="4"/>
  <c r="H35" i="4"/>
  <c r="H33" i="4"/>
  <c r="H32" i="4"/>
  <c r="H30" i="4"/>
  <c r="H29" i="4"/>
  <c r="H28" i="4"/>
  <c r="H27" i="4"/>
  <c r="H174" i="3"/>
  <c r="H173" i="3"/>
  <c r="H171" i="3"/>
  <c r="H170" i="3"/>
  <c r="H168" i="3"/>
  <c r="H167" i="3"/>
  <c r="H166" i="3"/>
  <c r="H165" i="3"/>
  <c r="H164" i="3"/>
  <c r="H163" i="3"/>
  <c r="H162" i="3"/>
  <c r="H161" i="3"/>
  <c r="H151" i="3"/>
  <c r="H150" i="3"/>
  <c r="H148" i="3"/>
  <c r="H145" i="3"/>
  <c r="H144" i="3"/>
  <c r="H143" i="3"/>
  <c r="H142" i="3"/>
  <c r="H141" i="3"/>
  <c r="H140" i="3"/>
  <c r="H139" i="3"/>
  <c r="H138" i="3"/>
  <c r="H128" i="3"/>
  <c r="H126" i="3"/>
  <c r="H124" i="3"/>
  <c r="H123" i="3"/>
  <c r="H122" i="3"/>
  <c r="H121" i="3"/>
  <c r="H120" i="3"/>
  <c r="H119" i="3"/>
  <c r="H108" i="3"/>
  <c r="H106" i="3"/>
  <c r="H105" i="3"/>
  <c r="H103" i="3"/>
  <c r="H102" i="3"/>
  <c r="H101" i="3"/>
  <c r="H100" i="3"/>
  <c r="H99" i="3"/>
  <c r="H98" i="3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22" i="6"/>
  <c r="G93" i="5"/>
  <c r="G84" i="5"/>
  <c r="G83" i="5"/>
  <c r="G66" i="5"/>
  <c r="G65" i="5"/>
  <c r="G64" i="5"/>
  <c r="G63" i="5"/>
  <c r="G62" i="5"/>
  <c r="G41" i="5"/>
  <c r="G33" i="5"/>
  <c r="G32" i="5"/>
  <c r="G31" i="5"/>
  <c r="G30" i="5"/>
  <c r="G29" i="5"/>
  <c r="G173" i="4"/>
  <c r="G151" i="4"/>
  <c r="G147" i="4"/>
  <c r="G146" i="4"/>
  <c r="G143" i="4"/>
  <c r="G142" i="4"/>
  <c r="G130" i="4"/>
  <c r="G129" i="4"/>
  <c r="G121" i="4"/>
  <c r="G120" i="4"/>
  <c r="G117" i="4"/>
  <c r="G116" i="4"/>
  <c r="G104" i="4"/>
  <c r="G102" i="4"/>
  <c r="G100" i="4"/>
  <c r="G99" i="4"/>
  <c r="G97" i="4"/>
  <c r="G80" i="4"/>
  <c r="G78" i="4"/>
  <c r="G76" i="4"/>
  <c r="G75" i="4"/>
  <c r="G73" i="4"/>
  <c r="G56" i="4"/>
  <c r="G54" i="4"/>
  <c r="G53" i="4"/>
  <c r="G35" i="4"/>
  <c r="G173" i="3"/>
  <c r="G170" i="3"/>
  <c r="G168" i="3"/>
  <c r="G167" i="3"/>
  <c r="G166" i="3"/>
  <c r="G164" i="3"/>
  <c r="G163" i="3"/>
  <c r="G150" i="3"/>
  <c r="G145" i="3"/>
  <c r="G144" i="3"/>
  <c r="G143" i="3"/>
  <c r="G141" i="3"/>
  <c r="G140" i="3"/>
  <c r="G128" i="3"/>
  <c r="G124" i="3"/>
  <c r="G123" i="3"/>
  <c r="G122" i="3"/>
  <c r="G121" i="3"/>
  <c r="G119" i="3"/>
  <c r="G108" i="3"/>
  <c r="G106" i="3"/>
  <c r="G105" i="3"/>
  <c r="G103" i="3"/>
  <c r="G102" i="3"/>
  <c r="G101" i="3"/>
  <c r="G100" i="3"/>
  <c r="G98" i="3"/>
  <c r="F50" i="6"/>
  <c r="F49" i="6"/>
  <c r="F48" i="6"/>
  <c r="F47" i="6"/>
  <c r="F46" i="6"/>
  <c r="F38" i="6"/>
  <c r="F37" i="6"/>
  <c r="F36" i="6"/>
  <c r="F35" i="6"/>
  <c r="F34" i="6"/>
  <c r="F26" i="6"/>
  <c r="F25" i="6"/>
  <c r="F24" i="6"/>
  <c r="F23" i="6"/>
  <c r="F22" i="6"/>
  <c r="F93" i="5"/>
  <c r="F84" i="5"/>
  <c r="F83" i="5"/>
  <c r="F66" i="5"/>
  <c r="F65" i="5"/>
  <c r="F64" i="5"/>
  <c r="F63" i="5"/>
  <c r="F62" i="5"/>
  <c r="F41" i="5"/>
  <c r="F39" i="5"/>
  <c r="F38" i="5"/>
  <c r="F36" i="5"/>
  <c r="F35" i="5"/>
  <c r="F33" i="5"/>
  <c r="F32" i="5"/>
  <c r="F31" i="5"/>
  <c r="F30" i="5"/>
  <c r="F29" i="5"/>
  <c r="F168" i="4"/>
  <c r="F167" i="4"/>
  <c r="F165" i="4"/>
  <c r="F164" i="4"/>
  <c r="F147" i="4"/>
  <c r="F143" i="4"/>
  <c r="F142" i="4"/>
  <c r="F121" i="4"/>
  <c r="F117" i="4"/>
  <c r="F116" i="4"/>
  <c r="F96" i="4"/>
  <c r="F94" i="4"/>
  <c r="F93" i="4"/>
  <c r="F72" i="4"/>
  <c r="F70" i="4"/>
  <c r="F69" i="4"/>
  <c r="F51" i="4"/>
  <c r="F49" i="4"/>
  <c r="F48" i="4"/>
  <c r="F30" i="4"/>
  <c r="F28" i="4"/>
  <c r="F27" i="4"/>
  <c r="F174" i="3"/>
  <c r="F171" i="3"/>
  <c r="F168" i="3"/>
  <c r="F166" i="3"/>
  <c r="F165" i="3"/>
  <c r="F164" i="3"/>
  <c r="F163" i="3"/>
  <c r="F161" i="3"/>
  <c r="F151" i="3"/>
  <c r="F148" i="3"/>
  <c r="F145" i="3"/>
  <c r="F143" i="3"/>
  <c r="F142" i="3"/>
  <c r="F141" i="3"/>
  <c r="F140" i="3"/>
  <c r="F138" i="3"/>
  <c r="F124" i="3"/>
  <c r="F123" i="3"/>
  <c r="F122" i="3"/>
  <c r="F121" i="3"/>
  <c r="F119" i="3"/>
  <c r="F103" i="3"/>
  <c r="F101" i="3"/>
  <c r="F100" i="3"/>
  <c r="F98" i="3"/>
  <c r="E50" i="6"/>
  <c r="E49" i="6"/>
  <c r="E48" i="6"/>
  <c r="E47" i="6"/>
  <c r="E46" i="6"/>
  <c r="E38" i="6"/>
  <c r="E37" i="6"/>
  <c r="E36" i="6"/>
  <c r="E35" i="6"/>
  <c r="E34" i="6"/>
  <c r="E26" i="6"/>
  <c r="E25" i="6"/>
  <c r="E24" i="6"/>
  <c r="E23" i="6"/>
  <c r="E22" i="6"/>
  <c r="E93" i="5"/>
  <c r="E91" i="5"/>
  <c r="E90" i="5"/>
  <c r="E89" i="5"/>
  <c r="E86" i="5"/>
  <c r="E85" i="5"/>
  <c r="E84" i="5"/>
  <c r="E83" i="5"/>
  <c r="E82" i="5"/>
  <c r="E81" i="5"/>
  <c r="E80" i="5"/>
  <c r="E79" i="5"/>
  <c r="E78" i="5"/>
  <c r="E76" i="5"/>
  <c r="E75" i="5"/>
  <c r="E74" i="5"/>
  <c r="E73" i="5"/>
  <c r="E72" i="5"/>
  <c r="E71" i="5"/>
  <c r="E70" i="5"/>
  <c r="E69" i="5"/>
  <c r="E68" i="5"/>
  <c r="E66" i="5"/>
  <c r="E65" i="5"/>
  <c r="E64" i="5"/>
  <c r="E63" i="5"/>
  <c r="E62" i="5"/>
  <c r="E41" i="5"/>
  <c r="E39" i="5"/>
  <c r="E38" i="5"/>
  <c r="E36" i="5"/>
  <c r="E35" i="5"/>
  <c r="E33" i="5"/>
  <c r="E32" i="5"/>
  <c r="E31" i="5"/>
  <c r="E30" i="5"/>
  <c r="E29" i="5"/>
  <c r="E173" i="4"/>
  <c r="E171" i="4"/>
  <c r="E168" i="4"/>
  <c r="E167" i="4"/>
  <c r="E166" i="4"/>
  <c r="E165" i="4"/>
  <c r="E164" i="4"/>
  <c r="E151" i="4"/>
  <c r="E149" i="4"/>
  <c r="E147" i="4"/>
  <c r="E146" i="4"/>
  <c r="E145" i="4"/>
  <c r="E144" i="4"/>
  <c r="E143" i="4"/>
  <c r="E142" i="4"/>
  <c r="E130" i="4"/>
  <c r="E129" i="4"/>
  <c r="E127" i="4"/>
  <c r="E126" i="4"/>
  <c r="E124" i="4"/>
  <c r="E123" i="4"/>
  <c r="E121" i="4"/>
  <c r="E120" i="4"/>
  <c r="E119" i="4"/>
  <c r="E118" i="4"/>
  <c r="E117" i="4"/>
  <c r="E116" i="4"/>
  <c r="E104" i="4"/>
  <c r="E102" i="4"/>
  <c r="E100" i="4"/>
  <c r="E99" i="4"/>
  <c r="E97" i="4"/>
  <c r="E96" i="4"/>
  <c r="E95" i="4"/>
  <c r="E94" i="4"/>
  <c r="E93" i="4"/>
  <c r="E80" i="4"/>
  <c r="E78" i="4"/>
  <c r="E76" i="4"/>
  <c r="E75" i="4"/>
  <c r="E73" i="4"/>
  <c r="E72" i="4"/>
  <c r="E71" i="4"/>
  <c r="E70" i="4"/>
  <c r="E69" i="4"/>
  <c r="E56" i="4"/>
  <c r="E54" i="4"/>
  <c r="E53" i="4"/>
  <c r="E51" i="4"/>
  <c r="E50" i="4"/>
  <c r="E49" i="4"/>
  <c r="E48" i="4"/>
  <c r="E35" i="4"/>
  <c r="E33" i="4"/>
  <c r="E32" i="4"/>
  <c r="E30" i="4"/>
  <c r="E29" i="4"/>
  <c r="E28" i="4"/>
  <c r="E27" i="4"/>
  <c r="E174" i="3"/>
  <c r="E173" i="3"/>
  <c r="E171" i="3"/>
  <c r="E170" i="3"/>
  <c r="E168" i="3"/>
  <c r="E167" i="3"/>
  <c r="E166" i="3"/>
  <c r="E165" i="3"/>
  <c r="E164" i="3"/>
  <c r="E163" i="3"/>
  <c r="E162" i="3"/>
  <c r="E161" i="3"/>
  <c r="E151" i="3"/>
  <c r="E150" i="3"/>
  <c r="E148" i="3"/>
  <c r="E145" i="3"/>
  <c r="E144" i="3"/>
  <c r="E143" i="3"/>
  <c r="E142" i="3"/>
  <c r="E141" i="3"/>
  <c r="E140" i="3"/>
  <c r="E139" i="3"/>
  <c r="E138" i="3"/>
  <c r="E128" i="3"/>
  <c r="E126" i="3"/>
  <c r="E124" i="3"/>
  <c r="E123" i="3"/>
  <c r="E122" i="3"/>
  <c r="E121" i="3"/>
  <c r="E120" i="3"/>
  <c r="E119" i="3"/>
  <c r="E108" i="3"/>
  <c r="E106" i="3"/>
  <c r="E105" i="3"/>
  <c r="E103" i="3"/>
  <c r="E102" i="3"/>
  <c r="E101" i="3"/>
  <c r="E100" i="3"/>
  <c r="E99" i="3"/>
  <c r="E98" i="3"/>
  <c r="D91" i="5"/>
  <c r="I91" i="5"/>
  <c r="D90" i="5"/>
  <c r="I90" i="5"/>
  <c r="D89" i="5"/>
  <c r="I89" i="5" s="1"/>
  <c r="D39" i="5"/>
  <c r="I39" i="5"/>
  <c r="D38" i="5"/>
  <c r="I38" i="5" s="1"/>
  <c r="D171" i="4"/>
  <c r="I171" i="4" s="1"/>
  <c r="D127" i="4"/>
  <c r="I127" i="4"/>
  <c r="D126" i="4"/>
  <c r="I126" i="4"/>
  <c r="D102" i="4"/>
  <c r="I102" i="4"/>
  <c r="D78" i="4"/>
  <c r="I78" i="4" s="1"/>
  <c r="D54" i="4"/>
  <c r="I54" i="4"/>
  <c r="D33" i="4"/>
  <c r="I33" i="4"/>
  <c r="C50" i="6"/>
  <c r="C49" i="6"/>
  <c r="C48" i="6"/>
  <c r="C47" i="6"/>
  <c r="C46" i="6"/>
  <c r="C38" i="6"/>
  <c r="C37" i="6"/>
  <c r="C36" i="6"/>
  <c r="C35" i="6"/>
  <c r="C34" i="6"/>
  <c r="C26" i="6"/>
  <c r="C25" i="6"/>
  <c r="C24" i="6"/>
  <c r="C23" i="6"/>
  <c r="C22" i="6"/>
  <c r="C93" i="5"/>
  <c r="C91" i="5"/>
  <c r="C90" i="5"/>
  <c r="C89" i="5"/>
  <c r="C86" i="5"/>
  <c r="C85" i="5"/>
  <c r="C84" i="5"/>
  <c r="C83" i="5"/>
  <c r="C82" i="5"/>
  <c r="C81" i="5"/>
  <c r="C80" i="5"/>
  <c r="C79" i="5"/>
  <c r="C78" i="5"/>
  <c r="C76" i="5"/>
  <c r="C75" i="5"/>
  <c r="C74" i="5"/>
  <c r="C73" i="5"/>
  <c r="C72" i="5"/>
  <c r="C71" i="5"/>
  <c r="C70" i="5"/>
  <c r="C69" i="5"/>
  <c r="C68" i="5"/>
  <c r="C66" i="5"/>
  <c r="C65" i="5"/>
  <c r="C64" i="5"/>
  <c r="C63" i="5"/>
  <c r="C62" i="5"/>
  <c r="C41" i="5"/>
  <c r="C39" i="5"/>
  <c r="C38" i="5"/>
  <c r="C36" i="5"/>
  <c r="C35" i="5"/>
  <c r="C33" i="5"/>
  <c r="C32" i="5"/>
  <c r="C31" i="5"/>
  <c r="C30" i="5"/>
  <c r="C29" i="5"/>
  <c r="C173" i="4"/>
  <c r="C171" i="4"/>
  <c r="C168" i="4"/>
  <c r="C167" i="4"/>
  <c r="C166" i="4"/>
  <c r="C165" i="4"/>
  <c r="C164" i="4"/>
  <c r="C151" i="4"/>
  <c r="C149" i="4"/>
  <c r="C147" i="4"/>
  <c r="C146" i="4"/>
  <c r="C145" i="4"/>
  <c r="C144" i="4"/>
  <c r="C143" i="4"/>
  <c r="C142" i="4"/>
  <c r="C130" i="4"/>
  <c r="C129" i="4"/>
  <c r="C127" i="4"/>
  <c r="C126" i="4"/>
  <c r="C124" i="4"/>
  <c r="C123" i="4"/>
  <c r="C121" i="4"/>
  <c r="C120" i="4"/>
  <c r="C119" i="4"/>
  <c r="C118" i="4"/>
  <c r="C117" i="4"/>
  <c r="C116" i="4"/>
  <c r="C104" i="4"/>
  <c r="C102" i="4"/>
  <c r="C100" i="4"/>
  <c r="C99" i="4"/>
  <c r="C97" i="4"/>
  <c r="C96" i="4"/>
  <c r="C95" i="4"/>
  <c r="C94" i="4"/>
  <c r="C93" i="4"/>
  <c r="C80" i="4"/>
  <c r="C78" i="4"/>
  <c r="C76" i="4"/>
  <c r="C75" i="4"/>
  <c r="C73" i="4"/>
  <c r="C72" i="4"/>
  <c r="C71" i="4"/>
  <c r="C70" i="4"/>
  <c r="C69" i="4"/>
  <c r="C56" i="4"/>
  <c r="C54" i="4"/>
  <c r="C53" i="4"/>
  <c r="C51" i="4"/>
  <c r="C50" i="4"/>
  <c r="C49" i="4"/>
  <c r="C48" i="4"/>
  <c r="C35" i="4"/>
  <c r="C33" i="4"/>
  <c r="C32" i="4"/>
  <c r="C30" i="4"/>
  <c r="C29" i="4"/>
  <c r="C28" i="4"/>
  <c r="C27" i="4"/>
  <c r="C174" i="3"/>
  <c r="C173" i="3"/>
  <c r="C171" i="3"/>
  <c r="C170" i="3"/>
  <c r="C168" i="3"/>
  <c r="C167" i="3"/>
  <c r="C166" i="3"/>
  <c r="C165" i="3"/>
  <c r="C164" i="3"/>
  <c r="C163" i="3"/>
  <c r="C162" i="3"/>
  <c r="C161" i="3"/>
  <c r="C151" i="3"/>
  <c r="C150" i="3"/>
  <c r="C148" i="3"/>
  <c r="C145" i="3"/>
  <c r="C144" i="3"/>
  <c r="C143" i="3"/>
  <c r="C142" i="3"/>
  <c r="C141" i="3"/>
  <c r="C140" i="3"/>
  <c r="C139" i="3"/>
  <c r="C138" i="3"/>
  <c r="C128" i="3"/>
  <c r="C126" i="3"/>
  <c r="C124" i="3"/>
  <c r="C123" i="3"/>
  <c r="C122" i="3"/>
  <c r="C121" i="3"/>
  <c r="C120" i="3"/>
  <c r="C119" i="3"/>
  <c r="C108" i="3"/>
  <c r="C106" i="3"/>
  <c r="C105" i="3"/>
  <c r="C103" i="3"/>
  <c r="C102" i="3"/>
  <c r="C101" i="3"/>
  <c r="C100" i="3"/>
  <c r="C99" i="3"/>
  <c r="C98" i="3"/>
  <c r="B25" i="3" l="1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G30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G59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F25" i="3" a="1"/>
  <c r="F44" i="3" a="1"/>
  <c r="G78" i="3" a="1"/>
  <c r="G77" i="3" a="1"/>
  <c r="G24" i="3" a="1"/>
  <c r="G25" i="3" a="1"/>
  <c r="G43" i="3" a="1"/>
  <c r="G44" i="3" a="1"/>
  <c r="F85" i="3" a="1"/>
  <c r="F78" i="3" a="1"/>
  <c r="F82" i="3" a="1"/>
  <c r="J91" i="5"/>
  <c r="J90" i="5"/>
  <c r="J89" i="5"/>
  <c r="J39" i="5"/>
  <c r="J38" i="5"/>
  <c r="J171" i="4"/>
  <c r="J127" i="4"/>
  <c r="J126" i="4"/>
  <c r="J102" i="4"/>
  <c r="J78" i="4"/>
  <c r="J54" i="4"/>
  <c r="J33" i="4"/>
  <c r="F82" i="3" l="1"/>
  <c r="F78" i="3"/>
  <c r="F85" i="3"/>
  <c r="G44" i="3"/>
  <c r="G43" i="3"/>
  <c r="G25" i="3"/>
  <c r="G24" i="3"/>
  <c r="G77" i="3"/>
  <c r="G78" i="3"/>
  <c r="F44" i="3"/>
  <c r="F25" i="3"/>
  <c r="E73" i="3"/>
  <c r="G81" i="3" a="1"/>
  <c r="G28" i="3" a="1"/>
  <c r="G82" i="3" a="1"/>
  <c r="G82" i="3" l="1"/>
  <c r="G28" i="3"/>
  <c r="G81" i="3"/>
  <c r="G84" i="3" a="1"/>
  <c r="G84" i="3" l="1"/>
  <c r="K35" i="11" l="1"/>
  <c r="K17" i="11"/>
  <c r="G44" i="11" a="1"/>
  <c r="E29" i="11" a="1"/>
  <c r="H42" i="11" a="1"/>
  <c r="H30" i="11" a="1"/>
  <c r="B48" i="11" a="1"/>
  <c r="C29" i="11" a="1"/>
  <c r="C27" i="11" a="1"/>
  <c r="B24" i="11" a="1"/>
  <c r="F32" i="11" a="1"/>
  <c r="G48" i="11" a="1"/>
  <c r="G30" i="11" a="1"/>
  <c r="C46" i="11" a="1"/>
  <c r="H24" i="11" a="1"/>
  <c r="H44" i="11" a="1"/>
  <c r="H46" i="11" a="1"/>
  <c r="B29" i="11" a="1"/>
  <c r="F24" i="11" a="1"/>
  <c r="J17" i="11"/>
  <c r="H48" i="11" a="1"/>
  <c r="H45" i="11" a="1"/>
  <c r="H32" i="11" a="1"/>
  <c r="B45" i="11" a="1"/>
  <c r="C42" i="11" a="1"/>
  <c r="G26" i="11" a="1"/>
  <c r="C32" i="11" a="1"/>
  <c r="E45" i="11" a="1"/>
  <c r="F25" i="11" a="1"/>
  <c r="F29" i="11" a="1"/>
  <c r="F42" i="11" a="1"/>
  <c r="F26" i="11" a="1"/>
  <c r="F44" i="11" a="1"/>
  <c r="J35" i="11"/>
  <c r="C25" i="11" a="1"/>
  <c r="E43" i="11" a="1"/>
  <c r="E26" i="11" a="1"/>
  <c r="E27" i="11" a="1"/>
  <c r="G29" i="11" a="1"/>
  <c r="C26" i="11" a="1"/>
  <c r="C43" i="11" a="1"/>
  <c r="B32" i="11" a="1"/>
  <c r="H43" i="11" a="1"/>
  <c r="G27" i="11" a="1"/>
  <c r="B26" i="11" a="1"/>
  <c r="H25" i="11" a="1"/>
  <c r="G45" i="11" a="1"/>
  <c r="B30" i="11" a="1"/>
  <c r="C44" i="11" a="1"/>
  <c r="E44" i="11" a="1"/>
  <c r="H26" i="11" a="1"/>
  <c r="E25" i="11" a="1"/>
  <c r="E42" i="11" a="1"/>
  <c r="G25" i="11" a="1"/>
  <c r="B27" i="11" a="1"/>
  <c r="F45" i="11" a="1"/>
  <c r="G24" i="11" a="1"/>
  <c r="B44" i="11" a="1"/>
  <c r="B42" i="11" a="1"/>
  <c r="B46" i="11" a="1"/>
  <c r="B25" i="11" a="1"/>
  <c r="E32" i="11" a="1"/>
  <c r="E46" i="11" a="1"/>
  <c r="H27" i="11" a="1"/>
  <c r="E24" i="11" a="1"/>
  <c r="E48" i="11" a="1"/>
  <c r="H29" i="11" a="1"/>
  <c r="E30" i="11" a="1"/>
  <c r="F30" i="11" a="1"/>
  <c r="C48" i="11" a="1"/>
  <c r="C45" i="11" a="1"/>
  <c r="F27" i="11" a="1"/>
  <c r="C24" i="11" a="1"/>
  <c r="B43" i="11" a="1"/>
  <c r="G32" i="11" a="1"/>
  <c r="C30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I93" i="3" a="1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8" i="4"/>
  <c r="C89" i="4" s="1"/>
  <c r="D87" i="4"/>
  <c r="C87" i="4"/>
  <c r="C64" i="4"/>
  <c r="H63" i="4" s="1"/>
  <c r="J29" i="6"/>
  <c r="J41" i="6"/>
  <c r="J83" i="4"/>
  <c r="G20" i="3" a="1"/>
  <c r="G73" i="3" a="1"/>
  <c r="G38" i="3" a="1"/>
  <c r="C36" i="3" a="1"/>
  <c r="C18" i="3" a="1"/>
  <c r="C71" i="3" a="1"/>
  <c r="E71" i="3" a="1"/>
  <c r="E36" i="3" a="1"/>
  <c r="E18" i="3" a="1"/>
  <c r="I71" i="3" a="1"/>
  <c r="I18" i="3" a="1"/>
  <c r="I36" i="3" a="1"/>
  <c r="G71" i="3" a="1"/>
  <c r="G36" i="3" a="1"/>
  <c r="G18" i="3" a="1"/>
  <c r="K38" i="3" a="1"/>
  <c r="J154" i="3"/>
  <c r="I38" i="11" a="1"/>
  <c r="G110" i="4" a="1"/>
  <c r="G41" i="4" a="1"/>
  <c r="J111" i="4" a="1"/>
  <c r="I110" i="4" a="1"/>
  <c r="I41" i="4" a="1"/>
  <c r="G20" i="4" a="1"/>
  <c r="G136" i="4" a="1"/>
  <c r="I136" i="4" a="1"/>
  <c r="J20" i="4" a="1"/>
  <c r="J86" i="4" a="1"/>
  <c r="C36" i="11" a="1"/>
  <c r="G38" i="11" a="1"/>
  <c r="I62" i="4" a="1"/>
  <c r="I137" i="4" a="1"/>
  <c r="J41" i="4" a="1"/>
  <c r="G157" i="4" a="1"/>
  <c r="J137" i="4" a="1"/>
  <c r="G62" i="4" a="1"/>
  <c r="J157" i="4" a="1"/>
  <c r="I86" i="4" a="1"/>
  <c r="J62" i="4" a="1"/>
  <c r="I20" i="4" a="1"/>
  <c r="I157" i="4" a="1"/>
  <c r="G86" i="4" a="1"/>
  <c r="I111" i="4" a="1"/>
  <c r="I36" i="11" a="1"/>
  <c r="J38" i="11" a="1"/>
  <c r="J110" i="4" a="1"/>
  <c r="J136" i="4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1" i="4"/>
  <c r="J111" i="4"/>
  <c r="I137" i="4"/>
  <c r="J137" i="4"/>
  <c r="G157" i="4"/>
  <c r="I157" i="4"/>
  <c r="J157" i="4"/>
  <c r="G136" i="4"/>
  <c r="I136" i="4"/>
  <c r="J136" i="4"/>
  <c r="G110" i="4"/>
  <c r="I110" i="4"/>
  <c r="J110" i="4"/>
  <c r="G86" i="4"/>
  <c r="I86" i="4"/>
  <c r="J86" i="4"/>
  <c r="G62" i="4"/>
  <c r="I62" i="4"/>
  <c r="J62" i="4"/>
  <c r="G41" i="4"/>
  <c r="I41" i="4"/>
  <c r="J41" i="4"/>
  <c r="G20" i="4"/>
  <c r="I20" i="4"/>
  <c r="J20" i="4"/>
  <c r="J17" i="6"/>
  <c r="J44" i="5"/>
  <c r="J17" i="5"/>
  <c r="J17" i="4"/>
  <c r="J133" i="4"/>
  <c r="J107" i="4"/>
  <c r="J38" i="4"/>
  <c r="J59" i="4"/>
  <c r="J154" i="4"/>
  <c r="G65" i="3" a="1"/>
  <c r="G67" i="3" a="1"/>
  <c r="G66" i="3" a="1"/>
  <c r="F57" i="3" a="1"/>
  <c r="F51" i="3" a="1"/>
  <c r="F48" i="3" a="1"/>
  <c r="F54" i="3" a="1"/>
  <c r="F64" i="3" a="1"/>
  <c r="G64" i="3" a="1"/>
  <c r="E64" i="3" a="1"/>
  <c r="C64" i="3"/>
  <c r="B64" i="3" a="1"/>
  <c r="H64" i="3" a="1"/>
  <c r="D30" i="3" a="1"/>
  <c r="F62" i="3" a="1"/>
  <c r="F59" i="3" a="1"/>
  <c r="F61" i="3" a="1"/>
  <c r="F60" i="3" a="1"/>
  <c r="D67" i="3"/>
  <c r="I67" i="3" s="1"/>
  <c r="J67" i="3" s="1"/>
  <c r="D66" i="3"/>
  <c r="I66" i="3" s="1"/>
  <c r="J66" i="3" s="1"/>
  <c r="D65" i="3"/>
  <c r="I65" i="3" s="1"/>
  <c r="J65" i="3" s="1"/>
  <c r="D64" i="3" a="1"/>
  <c r="F87" i="3" a="1"/>
  <c r="C87" i="3"/>
  <c r="B87" i="3" a="1"/>
  <c r="H87" i="3" a="1"/>
  <c r="G87" i="3" a="1"/>
  <c r="E87" i="3" a="1"/>
  <c r="D59" i="3" a="1"/>
  <c r="D62" i="3"/>
  <c r="I62" i="3" s="1"/>
  <c r="J62" i="3" s="1"/>
  <c r="D61" i="3"/>
  <c r="I61" i="3" s="1"/>
  <c r="J61" i="3" s="1"/>
  <c r="D60" i="3"/>
  <c r="I60" i="3" s="1"/>
  <c r="J60" i="3" s="1"/>
  <c r="F84" i="3" a="1"/>
  <c r="D85" i="3"/>
  <c r="I85" i="3" s="1"/>
  <c r="J85" i="3" s="1"/>
  <c r="D84" i="3" a="1"/>
  <c r="F30" i="3" a="1"/>
  <c r="D53" i="3"/>
  <c r="I53" i="3" s="1"/>
  <c r="J53" i="3" s="1"/>
  <c r="D47" i="3" a="1"/>
  <c r="D43" i="3" a="1"/>
  <c r="D52" i="3"/>
  <c r="I52" i="3" s="1"/>
  <c r="J52" i="3" s="1"/>
  <c r="D45" i="3" a="1"/>
  <c r="D57" i="3"/>
  <c r="I57" i="3" s="1"/>
  <c r="J57" i="3" s="1"/>
  <c r="D51" i="3"/>
  <c r="I51" i="3" s="1"/>
  <c r="J51" i="3" s="1"/>
  <c r="D46" i="3" a="1"/>
  <c r="D56" i="3"/>
  <c r="I56" i="3" s="1"/>
  <c r="J56" i="3" s="1"/>
  <c r="D50" i="3"/>
  <c r="I50" i="3" s="1"/>
  <c r="J50" i="3" s="1"/>
  <c r="D55" i="3"/>
  <c r="I55" i="3" s="1"/>
  <c r="J55" i="3" s="1"/>
  <c r="D49" i="3"/>
  <c r="I49" i="3" s="1"/>
  <c r="J49" i="3" s="1"/>
  <c r="D54" i="3"/>
  <c r="I54" i="3" s="1"/>
  <c r="J54" i="3" s="1"/>
  <c r="D48" i="3"/>
  <c r="I48" i="3" s="1"/>
  <c r="J48" i="3" s="1"/>
  <c r="D44" i="3" a="1"/>
  <c r="D24" i="3" a="1"/>
  <c r="D26" i="3" a="1"/>
  <c r="D25" i="3" a="1"/>
  <c r="D28" i="3" a="1"/>
  <c r="D27" i="3" a="1"/>
  <c r="D32" i="3" a="1"/>
  <c r="D79" i="3" a="1"/>
  <c r="D78" i="3" a="1"/>
  <c r="D82" i="3"/>
  <c r="I82" i="3" s="1"/>
  <c r="J82" i="3" s="1"/>
  <c r="D81" i="3" a="1"/>
  <c r="D77" i="3" a="1"/>
  <c r="D80" i="3" a="1"/>
  <c r="D87" i="3" a="1"/>
  <c r="F32" i="3" a="1"/>
  <c r="C32" i="3" a="1"/>
  <c r="H32" i="3" a="1"/>
  <c r="B32" i="3" a="1"/>
  <c r="G32" i="3" a="1"/>
  <c r="E32" i="3" a="1"/>
  <c r="J90" i="3"/>
  <c r="J111" i="3"/>
  <c r="J131" i="3"/>
  <c r="G168" i="4"/>
  <c r="G167" i="4"/>
  <c r="G166" i="4"/>
  <c r="G165" i="4"/>
  <c r="G164" i="4"/>
  <c r="G145" i="4"/>
  <c r="G144" i="4"/>
  <c r="G127" i="4"/>
  <c r="G126" i="4"/>
  <c r="G124" i="4"/>
  <c r="G123" i="4"/>
  <c r="G119" i="4"/>
  <c r="G118" i="4"/>
  <c r="G96" i="4"/>
  <c r="G95" i="4"/>
  <c r="G94" i="4"/>
  <c r="G72" i="4"/>
  <c r="G71" i="4"/>
  <c r="G69" i="4"/>
  <c r="G51" i="4"/>
  <c r="G50" i="4"/>
  <c r="G49" i="4"/>
  <c r="G48" i="4"/>
  <c r="G30" i="4"/>
  <c r="G29" i="4"/>
  <c r="G28" i="4"/>
  <c r="G27" i="4"/>
  <c r="F173" i="4"/>
  <c r="F171" i="4"/>
  <c r="F166" i="4"/>
  <c r="F151" i="4"/>
  <c r="F146" i="4"/>
  <c r="F145" i="4"/>
  <c r="F144" i="4"/>
  <c r="F130" i="4"/>
  <c r="F129" i="4"/>
  <c r="F127" i="4"/>
  <c r="F126" i="4"/>
  <c r="F120" i="4"/>
  <c r="F119" i="4"/>
  <c r="F118" i="4"/>
  <c r="F104" i="4"/>
  <c r="F102" i="4"/>
  <c r="F100" i="4"/>
  <c r="F97" i="4"/>
  <c r="F95" i="4"/>
  <c r="F80" i="4"/>
  <c r="F78" i="4"/>
  <c r="F76" i="4"/>
  <c r="F73" i="4"/>
  <c r="F71" i="4"/>
  <c r="F56" i="4"/>
  <c r="F50" i="4"/>
  <c r="F35" i="4"/>
  <c r="F33" i="4"/>
  <c r="F29" i="4"/>
  <c r="D43" i="11" a="1"/>
  <c r="E157" i="3" a="1"/>
  <c r="I114" i="3" a="1"/>
  <c r="I134" i="3" a="1"/>
  <c r="G93" i="3" a="1"/>
  <c r="J94" i="3" a="1"/>
  <c r="C50" i="11" a="1"/>
  <c r="J114" i="3" a="1"/>
  <c r="F134" i="3" a="1"/>
  <c r="J93" i="3" a="1"/>
  <c r="G157" i="3" a="1"/>
  <c r="F86" i="4" a="1"/>
  <c r="D46" i="11" a="1"/>
  <c r="I94" i="3" a="1"/>
  <c r="F157" i="4" a="1"/>
  <c r="D45" i="11" a="1"/>
  <c r="J157" i="3" a="1"/>
  <c r="G43" i="11" a="1"/>
  <c r="D42" i="11" a="1"/>
  <c r="B50" i="11" a="1"/>
  <c r="F20" i="4" a="1"/>
  <c r="I115" i="3" a="1"/>
  <c r="F136" i="4" a="1"/>
  <c r="G42" i="11" a="1"/>
  <c r="F62" i="4" a="1"/>
  <c r="G134" i="3" a="1"/>
  <c r="D44" i="11" a="1"/>
  <c r="J115" i="3" a="1"/>
  <c r="H50" i="11" a="1"/>
  <c r="F48" i="11" a="1"/>
  <c r="I157" i="3" a="1"/>
  <c r="G50" i="11" a="1"/>
  <c r="F41" i="4" a="1"/>
  <c r="F43" i="11" a="1"/>
  <c r="J134" i="3" a="1"/>
  <c r="E114" i="3" a="1"/>
  <c r="E50" i="11" a="1"/>
  <c r="F110" i="4" a="1"/>
  <c r="G46" i="11" a="1"/>
  <c r="E32" i="3" l="1"/>
  <c r="G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F30" i="3"/>
  <c r="D84" i="3"/>
  <c r="F84" i="3"/>
  <c r="D59" i="3"/>
  <c r="E87" i="3"/>
  <c r="G87" i="3"/>
  <c r="H87" i="3"/>
  <c r="B87" i="3"/>
  <c r="F87" i="3"/>
  <c r="D64" i="3"/>
  <c r="F60" i="3"/>
  <c r="F61" i="3"/>
  <c r="F59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48" i="11"/>
  <c r="F110" i="4"/>
  <c r="F41" i="4"/>
  <c r="F62" i="4"/>
  <c r="F157" i="4"/>
  <c r="F86" i="4"/>
  <c r="F136" i="4"/>
  <c r="F20" i="4"/>
  <c r="E87" i="4"/>
  <c r="H87" i="4"/>
  <c r="H88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F32" i="4"/>
  <c r="I32" i="3"/>
  <c r="J32" i="3" s="1"/>
  <c r="I84" i="3"/>
  <c r="J84" i="3" s="1"/>
  <c r="I27" i="3"/>
  <c r="J27" i="3" s="1"/>
  <c r="I30" i="3"/>
  <c r="J30" i="3" s="1"/>
  <c r="I45" i="3"/>
  <c r="J45" i="3" s="1"/>
  <c r="I43" i="3"/>
  <c r="J43" i="3" s="1"/>
  <c r="I79" i="3"/>
  <c r="J79" i="3" s="1"/>
  <c r="I28" i="3"/>
  <c r="J28" i="3" s="1"/>
  <c r="I59" i="3"/>
  <c r="J59" i="3" s="1"/>
  <c r="I26" i="3"/>
  <c r="J26" i="3" s="1"/>
  <c r="I25" i="3"/>
  <c r="J25" i="3" s="1"/>
  <c r="I46" i="3"/>
  <c r="J46" i="3" s="1"/>
  <c r="I64" i="3"/>
  <c r="J64" i="3" s="1"/>
  <c r="I24" i="3"/>
  <c r="J24" i="3" s="1"/>
  <c r="I87" i="3"/>
  <c r="J87" i="3" s="1"/>
  <c r="I44" i="3"/>
  <c r="J44" i="3" s="1"/>
  <c r="I80" i="3"/>
  <c r="J80" i="3" s="1"/>
  <c r="I77" i="3"/>
  <c r="J77" i="3" s="1"/>
  <c r="I81" i="3"/>
  <c r="J81" i="3" s="1"/>
  <c r="I78" i="3"/>
  <c r="J78" i="3" s="1"/>
  <c r="I47" i="3"/>
  <c r="J47" i="3" s="1"/>
  <c r="G149" i="4"/>
  <c r="G93" i="4"/>
  <c r="G70" i="4"/>
  <c r="G174" i="3"/>
  <c r="G165" i="3"/>
  <c r="G162" i="3"/>
  <c r="G161" i="3"/>
  <c r="G151" i="3"/>
  <c r="G148" i="3"/>
  <c r="G142" i="3"/>
  <c r="G139" i="3"/>
  <c r="G138" i="3"/>
  <c r="G120" i="3"/>
  <c r="G99" i="3"/>
  <c r="F149" i="4"/>
  <c r="F124" i="4"/>
  <c r="F123" i="4"/>
  <c r="F99" i="4"/>
  <c r="F75" i="4"/>
  <c r="F173" i="3"/>
  <c r="F167" i="3"/>
  <c r="F162" i="3"/>
  <c r="F150" i="3"/>
  <c r="F144" i="3"/>
  <c r="F139" i="3"/>
  <c r="F128" i="3"/>
  <c r="F126" i="3"/>
  <c r="F120" i="3"/>
  <c r="F108" i="3"/>
  <c r="F105" i="3"/>
  <c r="F102" i="3"/>
  <c r="F99" i="3"/>
  <c r="F50" i="11" a="1"/>
  <c r="I44" i="11"/>
  <c r="I42" i="11"/>
  <c r="I45" i="11"/>
  <c r="I43" i="11"/>
  <c r="I46" i="11"/>
  <c r="F50" i="11" l="1"/>
  <c r="F87" i="4"/>
  <c r="F88" i="4" s="1"/>
  <c r="C159" i="4"/>
  <c r="F158" i="4"/>
  <c r="F159" i="4" s="1"/>
  <c r="D158" i="4"/>
  <c r="C158" i="4"/>
  <c r="G171" i="4"/>
  <c r="G171" i="3"/>
  <c r="G126" i="3"/>
  <c r="F170" i="3"/>
  <c r="F106" i="3"/>
  <c r="J42" i="11"/>
  <c r="E18" i="6" a="1"/>
  <c r="G18" i="5" a="1"/>
  <c r="J45" i="11"/>
  <c r="G108" i="4" a="1"/>
  <c r="G60" i="4" a="1"/>
  <c r="G134" i="4" a="1"/>
  <c r="J43" i="11"/>
  <c r="E18" i="11" a="1"/>
  <c r="J44" i="11"/>
  <c r="G18" i="4" a="1"/>
  <c r="J46" i="11"/>
  <c r="D29" i="11" a="1"/>
  <c r="G91" i="3" a="1"/>
  <c r="E42" i="6" a="1"/>
  <c r="G155" i="4" a="1"/>
  <c r="G45" i="5" a="1"/>
  <c r="E30" i="6" a="1"/>
  <c r="G39" i="4" a="1"/>
  <c r="G84" i="4" a="1"/>
  <c r="G155" i="3" a="1"/>
  <c r="G36" i="11" a="1"/>
  <c r="G112" i="3" a="1"/>
  <c r="D30" i="11" a="1"/>
  <c r="G132" i="3" a="1"/>
  <c r="K170" i="4" l="1"/>
  <c r="G36" i="11"/>
  <c r="E18" i="11"/>
  <c r="D29" i="11"/>
  <c r="D30" i="11"/>
  <c r="G155" i="4"/>
  <c r="G108" i="4"/>
  <c r="G84" i="4"/>
  <c r="G18" i="4"/>
  <c r="G134" i="4"/>
  <c r="G60" i="4"/>
  <c r="G39" i="4"/>
  <c r="G45" i="5"/>
  <c r="G18" i="5"/>
  <c r="E42" i="6"/>
  <c r="E30" i="6"/>
  <c r="E18" i="6"/>
  <c r="G155" i="3"/>
  <c r="G132" i="3"/>
  <c r="G112" i="3"/>
  <c r="G91" i="3"/>
  <c r="C160" i="4"/>
  <c r="H158" i="4"/>
  <c r="H159" i="4" s="1"/>
  <c r="G170" i="4"/>
  <c r="F170" i="4"/>
  <c r="C170" i="4"/>
  <c r="E170" i="4"/>
  <c r="H170" i="4"/>
  <c r="B170" i="4"/>
  <c r="D50" i="6"/>
  <c r="D49" i="6"/>
  <c r="D48" i="6"/>
  <c r="D47" i="6"/>
  <c r="D46" i="6"/>
  <c r="D38" i="6"/>
  <c r="D37" i="6"/>
  <c r="D36" i="6"/>
  <c r="D35" i="6"/>
  <c r="D34" i="6"/>
  <c r="D26" i="6"/>
  <c r="D25" i="6"/>
  <c r="D24" i="6"/>
  <c r="D23" i="6"/>
  <c r="D22" i="6"/>
  <c r="D86" i="5"/>
  <c r="D85" i="5"/>
  <c r="D84" i="5"/>
  <c r="D83" i="5"/>
  <c r="D82" i="5"/>
  <c r="D81" i="5"/>
  <c r="D80" i="5"/>
  <c r="D79" i="5"/>
  <c r="D78" i="5"/>
  <c r="D36" i="5"/>
  <c r="D35" i="5"/>
  <c r="D170" i="4"/>
  <c r="D149" i="4"/>
  <c r="D124" i="4"/>
  <c r="D123" i="4"/>
  <c r="D100" i="4"/>
  <c r="D99" i="4"/>
  <c r="D76" i="4"/>
  <c r="D75" i="4"/>
  <c r="D53" i="4"/>
  <c r="D32" i="4"/>
  <c r="D171" i="3"/>
  <c r="D170" i="3"/>
  <c r="D148" i="3"/>
  <c r="D126" i="3"/>
  <c r="D106" i="3"/>
  <c r="D105" i="3"/>
  <c r="E155" i="3" a="1"/>
  <c r="E60" i="4" a="1"/>
  <c r="I91" i="3" a="1"/>
  <c r="D32" i="11" a="1"/>
  <c r="I35" i="5"/>
  <c r="E18" i="5" a="1"/>
  <c r="I84" i="4" a="1"/>
  <c r="I32" i="4"/>
  <c r="I132" i="3" a="1"/>
  <c r="I39" i="4" a="1"/>
  <c r="E84" i="4" a="1"/>
  <c r="I126" i="3"/>
  <c r="I112" i="3" a="1"/>
  <c r="I155" i="3" a="1"/>
  <c r="E134" i="4" a="1"/>
  <c r="I170" i="4"/>
  <c r="I29" i="11"/>
  <c r="I45" i="5" a="1"/>
  <c r="E39" i="4" a="1"/>
  <c r="E132" i="3" a="1"/>
  <c r="I155" i="4" a="1"/>
  <c r="E45" i="5" a="1"/>
  <c r="I18" i="4" a="1"/>
  <c r="E112" i="3" a="1"/>
  <c r="I18" i="5" a="1"/>
  <c r="I60" i="4" a="1"/>
  <c r="I134" i="4" a="1"/>
  <c r="E155" i="4" a="1"/>
  <c r="E36" i="11" a="1"/>
  <c r="E91" i="3" a="1"/>
  <c r="I149" i="4"/>
  <c r="E18" i="4" a="1"/>
  <c r="D48" i="11" a="1"/>
  <c r="I53" i="4"/>
  <c r="E108" i="4" a="1"/>
  <c r="I30" i="11"/>
  <c r="I108" i="4" a="1"/>
  <c r="D32" i="11" l="1"/>
  <c r="D48" i="11"/>
  <c r="E36" i="11"/>
  <c r="E134" i="4"/>
  <c r="E60" i="4"/>
  <c r="E84" i="4"/>
  <c r="E18" i="4"/>
  <c r="E155" i="4"/>
  <c r="E108" i="4"/>
  <c r="E39" i="4"/>
  <c r="I84" i="4"/>
  <c r="I155" i="4"/>
  <c r="I134" i="4"/>
  <c r="I18" i="4"/>
  <c r="I60" i="4"/>
  <c r="I108" i="4"/>
  <c r="I39" i="4"/>
  <c r="E45" i="5"/>
  <c r="E18" i="5"/>
  <c r="I18" i="5"/>
  <c r="I45" i="5"/>
  <c r="I155" i="3"/>
  <c r="I132" i="3"/>
  <c r="I112" i="3"/>
  <c r="I91" i="3"/>
  <c r="E155" i="3"/>
  <c r="E132" i="3"/>
  <c r="E112" i="3"/>
  <c r="E91" i="3"/>
  <c r="D93" i="5"/>
  <c r="I79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41" i="5"/>
  <c r="D33" i="5"/>
  <c r="D32" i="5"/>
  <c r="D31" i="5"/>
  <c r="D30" i="5"/>
  <c r="D29" i="5"/>
  <c r="D173" i="4"/>
  <c r="D168" i="4"/>
  <c r="D167" i="4"/>
  <c r="D166" i="4"/>
  <c r="D165" i="4"/>
  <c r="D164" i="4"/>
  <c r="D151" i="4"/>
  <c r="D147" i="4"/>
  <c r="D146" i="4"/>
  <c r="D145" i="4"/>
  <c r="D144" i="4"/>
  <c r="D143" i="4"/>
  <c r="D142" i="4"/>
  <c r="D130" i="4"/>
  <c r="D129" i="4"/>
  <c r="I124" i="4"/>
  <c r="D121" i="4"/>
  <c r="D120" i="4"/>
  <c r="D119" i="4"/>
  <c r="D118" i="4"/>
  <c r="D117" i="4"/>
  <c r="D116" i="4"/>
  <c r="D104" i="4"/>
  <c r="I100" i="4"/>
  <c r="D97" i="4"/>
  <c r="D96" i="4"/>
  <c r="D95" i="4"/>
  <c r="D94" i="4"/>
  <c r="D93" i="4"/>
  <c r="D80" i="4"/>
  <c r="I76" i="4"/>
  <c r="D73" i="4"/>
  <c r="D72" i="4"/>
  <c r="D71" i="4"/>
  <c r="D70" i="4"/>
  <c r="D69" i="4"/>
  <c r="D56" i="4"/>
  <c r="D51" i="4"/>
  <c r="D50" i="4"/>
  <c r="D49" i="4"/>
  <c r="D48" i="4"/>
  <c r="D35" i="4"/>
  <c r="D30" i="4"/>
  <c r="D29" i="4"/>
  <c r="D28" i="4"/>
  <c r="D27" i="4"/>
  <c r="D174" i="3"/>
  <c r="D173" i="3"/>
  <c r="I171" i="3"/>
  <c r="D168" i="3"/>
  <c r="D167" i="3"/>
  <c r="D166" i="3"/>
  <c r="D165" i="3"/>
  <c r="D164" i="3"/>
  <c r="D163" i="3"/>
  <c r="D162" i="3"/>
  <c r="D161" i="3"/>
  <c r="D151" i="3"/>
  <c r="D150" i="3"/>
  <c r="D145" i="3"/>
  <c r="D144" i="3"/>
  <c r="D143" i="3"/>
  <c r="D142" i="3"/>
  <c r="D141" i="3"/>
  <c r="D140" i="3"/>
  <c r="D139" i="3"/>
  <c r="D138" i="3"/>
  <c r="D128" i="3"/>
  <c r="D124" i="3"/>
  <c r="D123" i="3"/>
  <c r="D122" i="3"/>
  <c r="D121" i="3"/>
  <c r="D120" i="3"/>
  <c r="D119" i="3"/>
  <c r="D108" i="3"/>
  <c r="D103" i="3"/>
  <c r="D102" i="3"/>
  <c r="D100" i="3"/>
  <c r="D101" i="3"/>
  <c r="D99" i="3"/>
  <c r="D98" i="3"/>
  <c r="I82" i="5"/>
  <c r="I105" i="3"/>
  <c r="I47" i="6"/>
  <c r="I148" i="3"/>
  <c r="I108" i="3"/>
  <c r="J100" i="4"/>
  <c r="I93" i="5"/>
  <c r="I173" i="4"/>
  <c r="J35" i="5"/>
  <c r="I56" i="4"/>
  <c r="I48" i="6"/>
  <c r="I27" i="4"/>
  <c r="I24" i="6"/>
  <c r="I106" i="3"/>
  <c r="I32" i="11"/>
  <c r="J32" i="4"/>
  <c r="I150" i="3"/>
  <c r="I46" i="6"/>
  <c r="I84" i="5"/>
  <c r="I80" i="5"/>
  <c r="I37" i="6"/>
  <c r="I48" i="11"/>
  <c r="I75" i="4"/>
  <c r="I81" i="5"/>
  <c r="J79" i="5"/>
  <c r="I99" i="4"/>
  <c r="I36" i="5"/>
  <c r="J171" i="3"/>
  <c r="J170" i="4"/>
  <c r="I35" i="6"/>
  <c r="I35" i="4"/>
  <c r="J76" i="4"/>
  <c r="J30" i="11"/>
  <c r="I151" i="4"/>
  <c r="I22" i="6"/>
  <c r="I34" i="6"/>
  <c r="J126" i="3"/>
  <c r="I41" i="5"/>
  <c r="I128" i="3"/>
  <c r="I36" i="6"/>
  <c r="D50" i="11" a="1"/>
  <c r="I50" i="6"/>
  <c r="J124" i="4"/>
  <c r="I80" i="4"/>
  <c r="I85" i="5"/>
  <c r="I38" i="6"/>
  <c r="I25" i="6"/>
  <c r="I78" i="5"/>
  <c r="I173" i="3"/>
  <c r="I86" i="5"/>
  <c r="J29" i="11"/>
  <c r="I23" i="6"/>
  <c r="I49" i="6"/>
  <c r="I123" i="4"/>
  <c r="J53" i="4"/>
  <c r="J149" i="4"/>
  <c r="I170" i="3"/>
  <c r="I26" i="6"/>
  <c r="I83" i="5"/>
  <c r="I104" i="4"/>
  <c r="D50" i="11" l="1"/>
  <c r="I63" i="5"/>
  <c r="I30" i="5"/>
  <c r="I168" i="4"/>
  <c r="I143" i="4"/>
  <c r="I130" i="4"/>
  <c r="I119" i="4"/>
  <c r="I94" i="4"/>
  <c r="I71" i="4"/>
  <c r="I49" i="4"/>
  <c r="I122" i="3"/>
  <c r="I99" i="3"/>
  <c r="I121" i="4"/>
  <c r="I145" i="4"/>
  <c r="I144" i="4"/>
  <c r="I100" i="3"/>
  <c r="I124" i="3"/>
  <c r="J130" i="4"/>
  <c r="I141" i="3"/>
  <c r="J23" i="6"/>
  <c r="J25" i="6"/>
  <c r="I33" i="5"/>
  <c r="I151" i="3"/>
  <c r="I50" i="11"/>
  <c r="I68" i="5"/>
  <c r="I66" i="5"/>
  <c r="I32" i="5"/>
  <c r="J119" i="4"/>
  <c r="I129" i="4"/>
  <c r="I29" i="4"/>
  <c r="I119" i="3"/>
  <c r="I69" i="4"/>
  <c r="I102" i="3"/>
  <c r="I121" i="3"/>
  <c r="I50" i="4"/>
  <c r="I140" i="3"/>
  <c r="I93" i="4"/>
  <c r="J36" i="6"/>
  <c r="J173" i="4"/>
  <c r="J30" i="5"/>
  <c r="I144" i="3"/>
  <c r="J35" i="6"/>
  <c r="I145" i="3"/>
  <c r="I117" i="4"/>
  <c r="I168" i="3"/>
  <c r="I70" i="4"/>
  <c r="J34" i="6"/>
  <c r="J108" i="3"/>
  <c r="J48" i="6"/>
  <c r="J99" i="4"/>
  <c r="J38" i="6"/>
  <c r="I166" i="4"/>
  <c r="I161" i="3"/>
  <c r="J84" i="5"/>
  <c r="J105" i="3"/>
  <c r="J170" i="3"/>
  <c r="J27" i="4"/>
  <c r="I120" i="3"/>
  <c r="I164" i="4"/>
  <c r="J104" i="4"/>
  <c r="J46" i="6"/>
  <c r="J48" i="11"/>
  <c r="I76" i="5"/>
  <c r="I51" i="4"/>
  <c r="J26" i="6"/>
  <c r="J47" i="6"/>
  <c r="I167" i="4"/>
  <c r="I72" i="4"/>
  <c r="I28" i="4"/>
  <c r="J106" i="3"/>
  <c r="J151" i="4"/>
  <c r="J81" i="5"/>
  <c r="I64" i="5"/>
  <c r="J49" i="6"/>
  <c r="J37" i="6"/>
  <c r="I72" i="5"/>
  <c r="J122" i="3"/>
  <c r="I96" i="4"/>
  <c r="J123" i="4"/>
  <c r="I73" i="4"/>
  <c r="J94" i="4"/>
  <c r="I30" i="4"/>
  <c r="I138" i="3"/>
  <c r="J75" i="4"/>
  <c r="J71" i="4"/>
  <c r="J63" i="5"/>
  <c r="J85" i="5"/>
  <c r="J80" i="4"/>
  <c r="I139" i="3"/>
  <c r="J173" i="3"/>
  <c r="I123" i="3"/>
  <c r="J86" i="5"/>
  <c r="I69" i="5"/>
  <c r="I166" i="3"/>
  <c r="I147" i="4"/>
  <c r="I116" i="4"/>
  <c r="J148" i="3"/>
  <c r="J49" i="4"/>
  <c r="I143" i="3"/>
  <c r="I174" i="3"/>
  <c r="I73" i="5"/>
  <c r="J41" i="5"/>
  <c r="I29" i="5"/>
  <c r="J150" i="3"/>
  <c r="I167" i="3"/>
  <c r="J128" i="3"/>
  <c r="J50" i="6"/>
  <c r="I142" i="4"/>
  <c r="I120" i="4"/>
  <c r="J24" i="6"/>
  <c r="I70" i="5"/>
  <c r="I62" i="5"/>
  <c r="I48" i="4"/>
  <c r="I165" i="3"/>
  <c r="J168" i="4"/>
  <c r="I75" i="5"/>
  <c r="J93" i="5"/>
  <c r="I98" i="3"/>
  <c r="J56" i="4"/>
  <c r="I164" i="3"/>
  <c r="J143" i="4"/>
  <c r="J32" i="11"/>
  <c r="I95" i="4"/>
  <c r="I162" i="3"/>
  <c r="J99" i="3"/>
  <c r="J80" i="5"/>
  <c r="I165" i="4"/>
  <c r="J22" i="6"/>
  <c r="I97" i="4"/>
  <c r="I71" i="5"/>
  <c r="I101" i="3"/>
  <c r="I118" i="4"/>
  <c r="I163" i="3"/>
  <c r="J82" i="5"/>
  <c r="I74" i="5"/>
  <c r="I142" i="3"/>
  <c r="J83" i="5"/>
  <c r="I65" i="5"/>
  <c r="J78" i="5"/>
  <c r="J36" i="5"/>
  <c r="J35" i="4"/>
  <c r="I31" i="5"/>
  <c r="I103" i="3"/>
  <c r="I146" i="4"/>
  <c r="I57" i="5" l="1"/>
  <c r="I58" i="5" s="1"/>
  <c r="J57" i="5" s="1"/>
  <c r="C57" i="5"/>
  <c r="D56" i="5"/>
  <c r="C56" i="5"/>
  <c r="I24" i="5"/>
  <c r="I25" i="5" s="1"/>
  <c r="J24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4" i="5"/>
  <c r="D23" i="5"/>
  <c r="C23" i="5"/>
  <c r="I140" i="5"/>
  <c r="D130" i="5"/>
  <c r="D133" i="5" s="1"/>
  <c r="F137" i="4"/>
  <c r="F138" i="4" s="1"/>
  <c r="F111" i="4"/>
  <c r="F112" i="4" s="1"/>
  <c r="G35" i="5"/>
  <c r="G36" i="5"/>
  <c r="G38" i="5"/>
  <c r="G39" i="5"/>
  <c r="J118" i="4"/>
  <c r="J121" i="4"/>
  <c r="J166" i="4"/>
  <c r="J141" i="3"/>
  <c r="J101" i="3"/>
  <c r="J164" i="3"/>
  <c r="J97" i="4"/>
  <c r="J62" i="5"/>
  <c r="J68" i="5"/>
  <c r="J123" i="3"/>
  <c r="J129" i="4"/>
  <c r="J165" i="3"/>
  <c r="J138" i="3"/>
  <c r="J73" i="5"/>
  <c r="J32" i="5"/>
  <c r="J69" i="4"/>
  <c r="J151" i="3"/>
  <c r="J48" i="4"/>
  <c r="J31" i="5"/>
  <c r="J116" i="4"/>
  <c r="J64" i="5"/>
  <c r="J161" i="3"/>
  <c r="J163" i="3"/>
  <c r="J165" i="4"/>
  <c r="J120" i="3"/>
  <c r="J147" i="4"/>
  <c r="J74" i="5"/>
  <c r="J29" i="4"/>
  <c r="J73" i="4"/>
  <c r="J162" i="3"/>
  <c r="J119" i="3"/>
  <c r="J103" i="3"/>
  <c r="J50" i="11"/>
  <c r="J140" i="3"/>
  <c r="J76" i="5"/>
  <c r="J143" i="3"/>
  <c r="J65" i="5"/>
  <c r="J166" i="3"/>
  <c r="J174" i="3"/>
  <c r="J167" i="4"/>
  <c r="J30" i="4"/>
  <c r="J66" i="5"/>
  <c r="J70" i="5"/>
  <c r="J168" i="3"/>
  <c r="J28" i="4"/>
  <c r="J146" i="4"/>
  <c r="J96" i="4"/>
  <c r="J145" i="3"/>
  <c r="J117" i="4"/>
  <c r="J50" i="4"/>
  <c r="J145" i="4"/>
  <c r="J69" i="5"/>
  <c r="J93" i="4"/>
  <c r="J167" i="3"/>
  <c r="J139" i="3"/>
  <c r="J98" i="3"/>
  <c r="J33" i="5"/>
  <c r="J75" i="5"/>
  <c r="J142" i="4"/>
  <c r="J144" i="4"/>
  <c r="J144" i="3"/>
  <c r="J95" i="4"/>
  <c r="J124" i="3"/>
  <c r="J71" i="5"/>
  <c r="J142" i="3"/>
  <c r="J51" i="4"/>
  <c r="J102" i="3"/>
  <c r="J29" i="5"/>
  <c r="J164" i="4"/>
  <c r="J72" i="5"/>
  <c r="J70" i="4"/>
  <c r="J72" i="4"/>
  <c r="J121" i="3"/>
  <c r="J100" i="3"/>
  <c r="J120" i="4"/>
  <c r="C25" i="5" l="1"/>
  <c r="D150" i="5"/>
  <c r="D155" i="5" s="1"/>
  <c r="C152" i="5"/>
  <c r="C153" i="5" s="1"/>
  <c r="D157" i="5"/>
  <c r="D158" i="5" s="1"/>
  <c r="I130" i="5"/>
  <c r="I157" i="5"/>
  <c r="C133" i="5"/>
  <c r="C58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3" i="4"/>
  <c r="C65" i="4"/>
  <c r="F63" i="4"/>
  <c r="F64" i="4" s="1"/>
  <c r="D63" i="4"/>
  <c r="C63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4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1" i="4"/>
  <c r="F22" i="4" s="1"/>
  <c r="F42" i="4"/>
  <c r="F43" i="4" s="1"/>
  <c r="C43" i="4"/>
  <c r="D42" i="4"/>
  <c r="C42" i="4"/>
  <c r="D21" i="4"/>
  <c r="C22" i="4"/>
  <c r="G32" i="4"/>
  <c r="F53" i="4"/>
  <c r="F54" i="4"/>
  <c r="G33" i="4"/>
  <c r="H21" i="4" l="1"/>
  <c r="H22" i="4" s="1"/>
  <c r="C44" i="4"/>
  <c r="C23" i="4"/>
  <c r="I42" i="4"/>
  <c r="I43" i="4" s="1"/>
  <c r="D147" i="3"/>
  <c r="I147" i="3"/>
  <c r="J147" i="3"/>
  <c r="B147" i="3"/>
  <c r="E147" i="3"/>
  <c r="C147" i="3"/>
  <c r="F147" i="3"/>
  <c r="H147" i="3"/>
  <c r="G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<sst xmlns="http://schemas.openxmlformats.org/spreadsheetml/2006/main" count="678" uniqueCount="136">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</sst>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143691</xdr:colOff>
          <xdr:row>9</xdr:row>
          <xdr:rowOff>152400</xdr:rowOff>
        </xdr:from>
        <xdr:to>
          <xdr:col>7</xdr:col>
          <xdr:colOff>372291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580207</xdr:colOff>
          <xdr:row>9</xdr:row>
          <xdr:rowOff>167640</xdr:rowOff>
        </xdr:from>
        <xdr:to>
          <xdr:col>10</xdr:col>
          <xdr:colOff>211182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364671</xdr:colOff>
          <xdr:row>9</xdr:row>
          <xdr:rowOff>158931</xdr:rowOff>
        </xdr:from>
        <xdr:to>
          <xdr:col>14</xdr:col>
          <xdr:colOff>163285</xdr:colOff>
          <xdr:row>11</xdr:row>
          <xdr:rowOff>143691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332015</xdr:colOff>
          <xdr:row>9</xdr:row>
          <xdr:rowOff>158931</xdr:rowOff>
        </xdr:from>
        <xdr:to>
          <xdr:col>16</xdr:col>
          <xdr:colOff>228601</xdr:colOff>
          <xdr:row>11</xdr:row>
          <xdr:rowOff>143691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183328</xdr:colOff>
          <xdr:row>10</xdr:row>
          <xdr:rowOff>44825</xdr:rowOff>
        </xdr:from>
        <xdr:to>
          <xdr:col>9</xdr:col>
          <xdr:colOff>804133</xdr:colOff>
          <xdr:row>11</xdr:row>
          <xdr:rowOff>141195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56030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56030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67235</xdr:colOff>
          <xdr:row>10</xdr:row>
          <xdr:rowOff>46355</xdr:rowOff>
        </xdr:from>
        <xdr:to>
          <xdr:col>13</xdr:col>
          <xdr:colOff>29135</xdr:colOff>
          <xdr:row>11</xdr:row>
          <xdr:rowOff>148365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234876</xdr:colOff>
          <xdr:row>10</xdr:row>
          <xdr:rowOff>33619</xdr:rowOff>
        </xdr:from>
        <xdr:to>
          <xdr:col>17</xdr:col>
          <xdr:colOff>361278</xdr:colOff>
          <xdr:row>11</xdr:row>
          <xdr:rowOff>151056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F57D9D5C-15E7-CBE9-C18B-1B29FEF7C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536538</xdr:colOff>
          <xdr:row>10</xdr:row>
          <xdr:rowOff>33619</xdr:rowOff>
        </xdr:from>
        <xdr:to>
          <xdr:col>18</xdr:col>
          <xdr:colOff>323178</xdr:colOff>
          <xdr:row>11</xdr:row>
          <xdr:rowOff>151056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AD668F3E-BF38-EB68-7D81-D07DAF8CC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697774</xdr:colOff>
          <xdr:row>10</xdr:row>
          <xdr:rowOff>10886</xdr:rowOff>
        </xdr:from>
        <xdr:to>
          <xdr:col>10</xdr:col>
          <xdr:colOff>448491</xdr:colOff>
          <xdr:row>11</xdr:row>
          <xdr:rowOff>174171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4354</xdr:colOff>
          <xdr:row>10</xdr:row>
          <xdr:rowOff>22860</xdr:rowOff>
        </xdr:from>
        <xdr:to>
          <xdr:col>4</xdr:col>
          <xdr:colOff>685800</xdr:colOff>
          <xdr:row>11</xdr:row>
          <xdr:rowOff>186145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186145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1089</xdr:rowOff>
        </xdr:from>
        <xdr:to>
          <xdr:col>14</xdr:col>
          <xdr:colOff>60960</xdr:colOff>
          <xdr:row>11</xdr:row>
          <xdr:rowOff>164374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227511</xdr:colOff>
          <xdr:row>9</xdr:row>
          <xdr:rowOff>170906</xdr:rowOff>
        </xdr:from>
        <xdr:to>
          <xdr:col>17</xdr:col>
          <xdr:colOff>888274</xdr:colOff>
          <xdr:row>11</xdr:row>
          <xdr:rowOff>149134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B4FA50BE-C114-AD11-929B-3A0C8B3AE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1063534</xdr:colOff>
          <xdr:row>9</xdr:row>
          <xdr:rowOff>170906</xdr:rowOff>
        </xdr:from>
        <xdr:to>
          <xdr:col>18</xdr:col>
          <xdr:colOff>891539</xdr:colOff>
          <xdr:row>11</xdr:row>
          <xdr:rowOff>149134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B582EEF-95C6-92BF-EFB3-A40054FAB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718457</xdr:colOff>
          <xdr:row>10</xdr:row>
          <xdr:rowOff>54428</xdr:rowOff>
        </xdr:from>
        <xdr:to>
          <xdr:col>10</xdr:col>
          <xdr:colOff>459377</xdr:colOff>
          <xdr:row>11</xdr:row>
          <xdr:rowOff>168728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20683</xdr:colOff>
          <xdr:row>10</xdr:row>
          <xdr:rowOff>54428</xdr:rowOff>
        </xdr:from>
        <xdr:to>
          <xdr:col>4</xdr:col>
          <xdr:colOff>721723</xdr:colOff>
          <xdr:row>11</xdr:row>
          <xdr:rowOff>176348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880655</xdr:colOff>
          <xdr:row>10</xdr:row>
          <xdr:rowOff>43542</xdr:rowOff>
        </xdr:from>
        <xdr:to>
          <xdr:col>7</xdr:col>
          <xdr:colOff>591095</xdr:colOff>
          <xdr:row>11</xdr:row>
          <xdr:rowOff>165462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43543</xdr:rowOff>
        </xdr:from>
        <xdr:to>
          <xdr:col>14</xdr:col>
          <xdr:colOff>213360</xdr:colOff>
          <xdr:row>11</xdr:row>
          <xdr:rowOff>157843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427807</xdr:colOff>
          <xdr:row>10</xdr:row>
          <xdr:rowOff>38100</xdr:rowOff>
        </xdr:from>
        <xdr:to>
          <xdr:col>17</xdr:col>
          <xdr:colOff>1040674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2EF23461-CDE1-A26E-BBB1-FCF411A71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1215934</xdr:colOff>
          <xdr:row>10</xdr:row>
          <xdr:rowOff>38100</xdr:rowOff>
        </xdr:from>
        <xdr:to>
          <xdr:col>18</xdr:col>
          <xdr:colOff>978625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300283B3-5F6F-DB3B-1C66-EC1AC8C48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25037</xdr:colOff>
          <xdr:row>10</xdr:row>
          <xdr:rowOff>7620</xdr:rowOff>
        </xdr:from>
        <xdr:to>
          <xdr:col>10</xdr:col>
          <xdr:colOff>390797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224245</xdr:rowOff>
        </xdr:from>
        <xdr:to>
          <xdr:col>14</xdr:col>
          <xdr:colOff>106680</xdr:colOff>
          <xdr:row>11</xdr:row>
          <xdr:rowOff>140425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285206</xdr:colOff>
          <xdr:row>10</xdr:row>
          <xdr:rowOff>11974</xdr:rowOff>
        </xdr:from>
        <xdr:to>
          <xdr:col>18</xdr:col>
          <xdr:colOff>224246</xdr:colOff>
          <xdr:row>11</xdr:row>
          <xdr:rowOff>133894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C0397C01-04B8-3BC5-0953-03F2D564A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399506</xdr:colOff>
          <xdr:row>10</xdr:row>
          <xdr:rowOff>11974</xdr:rowOff>
        </xdr:from>
        <xdr:to>
          <xdr:col>20</xdr:col>
          <xdr:colOff>292826</xdr:colOff>
          <xdr:row>11</xdr:row>
          <xdr:rowOff>133894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51302AC3-F9FE-71BA-8663-9988787A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130">
      <calculatedColumnFormula array="1">defaultValue(M29,$C$28)</calculatedColumnFormula>
    </tableColumn>
    <tableColumn id="2" xr3:uid="{E5D458B6-4695-4151-8C3A-36078280174C}" name="Column2" headerRowDxfId="129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7" dataDxfId="125" headerRowBorderDxfId="126" tableBorderDxfId="124" totalsRowBorderDxfId="123">
  <tableColumns count="2">
    <tableColumn id="1" xr3:uid="{CDCD5A84-7D20-4E65-9944-DF64AFBDCF15}" name="Column1" headerRowDxfId="122" dataDxfId="121">
      <calculatedColumnFormula>INDEX(global[[#All],[Column1]],MATCH(J29,global[[#All],[Column2]],0))</calculatedColumnFormula>
    </tableColumn>
    <tableColumn id="2" xr3:uid="{6A1D9F36-66CC-4BFA-B363-3C22327FB984}" name="Column2" headerRowDxfId="120" dataDxfId="11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8" dataDxfId="116" headerRowBorderDxfId="117" tableBorderDxfId="115" totalsRowBorderDxfId="114">
  <tableColumns count="2">
    <tableColumn id="1" xr3:uid="{3DB08154-ACD6-41BF-8D18-EE97F412E9D9}" name="Column1" headerRowDxfId="113" dataDxfId="112">
      <calculatedColumnFormula array="1">defaultValue(P29,$C$28)</calculatedColumnFormula>
    </tableColumn>
    <tableColumn id="2" xr3:uid="{E148ED46-BA14-4105-9B99-1191A0BF50F8}" name="Column2" headerRowDxfId="111" dataDxfId="11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9" dataDxfId="107" headerRowBorderDxfId="108" tableBorderDxfId="106" totalsRowBorderDxfId="105">
  <tableColumns count="12">
    <tableColumn id="1" xr3:uid="{CE2C31BA-3509-47B9-BEDC-D6CD8F1ED9E6}" name="Column1" headerRowDxfId="104" dataDxfId="103"/>
    <tableColumn id="6" xr3:uid="{E1784E39-EDAC-4DAB-9B14-E397D730A51B}" name="Column6" headerRowDxfId="102" dataDxfId="101"/>
    <tableColumn id="2" xr3:uid="{116E8920-189E-4510-B8D2-2248ABC4622F}" name="Column2" headerRowDxfId="100" dataDxfId="99"/>
    <tableColumn id="3" xr3:uid="{1094FCDB-CFA9-4F01-94DB-17ACAB9F5A42}" name="Column3" headerRowDxfId="98" dataDxfId="97"/>
    <tableColumn id="4" xr3:uid="{A8E09EA9-1A49-489E-B2AD-7D53572D176F}" name="Column4" headerRowDxfId="96" dataDxfId="95"/>
    <tableColumn id="5" xr3:uid="{DE04D9ED-421A-4D96-B9EA-ECC81533BCB2}" name="Column5" headerRowDxfId="94" dataDxfId="93"/>
    <tableColumn id="7" xr3:uid="{FADB0994-C461-4954-9FD5-E16D46BE3A5F}" name="Column7" headerRowDxfId="92" dataDxfId="91"/>
    <tableColumn id="8" xr3:uid="{E738693D-6EF6-49AE-99D0-6F48F90B87D0}" name="Column8" headerRowDxfId="90" dataDxfId="89"/>
    <tableColumn id="9" xr3:uid="{B3707C24-AE47-495B-BD3C-8B594D592AEB}" name="Column9" headerRowDxfId="88" dataDxfId="87"/>
    <tableColumn id="10" xr3:uid="{DDFBB51B-A3C0-4A82-8656-FD1DC7CCB2AA}" name="Column10" headerRowDxfId="86" dataDxfId="85"/>
    <tableColumn id="11" xr3:uid="{C5D6EE06-82A1-460C-B4DE-5903CA74C822}" name="Column11" headerRowDxfId="84" dataDxfId="83"/>
    <tableColumn id="12" xr3:uid="{BE5A8FE7-70A2-4509-82CE-4DF5DF20BF01}" name="Column12" headerRowDxfId="82" dataDxfId="8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0" dataDxfId="78" headerRowBorderDxfId="79" tableBorderDxfId="77" totalsRowBorderDxfId="76">
  <tableColumns count="12">
    <tableColumn id="1" xr3:uid="{E451C9D8-9377-4078-BCC6-BCBD4A39AA29}" name="Column1" headerRowDxfId="75" dataDxfId="74"/>
    <tableColumn id="6" xr3:uid="{DF70B173-01BE-40C3-AD0E-3D8AC3B1CB93}" name="Column6" headerRowDxfId="73" dataDxfId="72"/>
    <tableColumn id="2" xr3:uid="{842F4306-1C00-4A82-9AD7-B532D5CD07A6}" name="Column2" headerRowDxfId="71" dataDxfId="70"/>
    <tableColumn id="3" xr3:uid="{75EE3CAD-D9A3-4A31-91AB-E2D1D55DFBDA}" name="Column3" headerRowDxfId="69" dataDxfId="68"/>
    <tableColumn id="4" xr3:uid="{0F56D11B-B8A8-49AE-ADFC-9ED4A9D53437}" name="Column4" headerRowDxfId="67" dataDxfId="66"/>
    <tableColumn id="5" xr3:uid="{DA35ED00-D6D2-45F8-A24B-A49DC445A0F3}" name="Column5" headerRowDxfId="65" dataDxfId="64"/>
    <tableColumn id="7" xr3:uid="{0E7970F5-77D6-4B90-A2D3-15569615C62A}" name="Column7" headerRowDxfId="63" dataDxfId="62"/>
    <tableColumn id="8" xr3:uid="{B858F225-F05B-4C4F-9BFC-D01ADF4399DA}" name="Column8" headerRowDxfId="61" dataDxfId="60"/>
    <tableColumn id="9" xr3:uid="{7DA4BD4B-21C5-41B6-A23D-FB53BA3E2833}" name="Column9" headerRowDxfId="59" dataDxfId="58"/>
    <tableColumn id="10" xr3:uid="{E7B259EC-2C79-41C8-95AA-DF38A7AB3CF2}" name="Column10" headerRowDxfId="57" dataDxfId="56"/>
    <tableColumn id="11" xr3:uid="{337CDD83-6618-4E8E-B556-75FE8B1091B2}" name="Column11" headerRowDxfId="55" dataDxfId="54"/>
    <tableColumn id="12" xr3:uid="{19E9C219-D893-49CC-B1F4-0DD3FD793856}" name="Column12" headerRowDxfId="53" dataDxfId="5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J24" sqref="J24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3" s="77" customFormat="1" ht="21" customHeight="1" x14ac:dyDescent="0.3">
      <c r="H1" s="78"/>
      <c r="K1" s="78"/>
      <c r="N1" s="78"/>
      <c r="Q1" s="78"/>
      <c r="T1" s="78"/>
      <c r="W1" s="78"/>
    </row>
    <row r="2" spans="1:23" s="77" customFormat="1" ht="31.2" x14ac:dyDescent="0.3">
      <c r="C2" s="90" t="s">
        <v>134</v>
      </c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78"/>
      <c r="T2" s="78"/>
      <c r="W2" s="78"/>
    </row>
    <row r="3" spans="1:23" s="79" customFormat="1" ht="16.8" customHeight="1" x14ac:dyDescent="0.3">
      <c r="B3" s="77" t="s">
        <v>108</v>
      </c>
    </row>
    <row r="4" spans="1:23" s="77" customFormat="1" ht="21" hidden="1" customHeight="1" x14ac:dyDescent="0.3">
      <c r="H4" s="78"/>
      <c r="K4" s="78"/>
      <c r="N4" s="78"/>
      <c r="Q4" s="78"/>
      <c r="T4" s="78"/>
      <c r="W4" s="78"/>
    </row>
    <row r="5" spans="1:23" s="77" customFormat="1" ht="21" hidden="1" customHeight="1" x14ac:dyDescent="0.3">
      <c r="H5" s="78"/>
      <c r="K5" s="78"/>
      <c r="N5" s="78"/>
      <c r="Q5" s="78"/>
      <c r="T5" s="78"/>
      <c r="W5" s="78"/>
    </row>
    <row r="6" spans="1:23" s="77" customFormat="1" ht="21" hidden="1" customHeight="1" x14ac:dyDescent="0.3">
      <c r="H6" s="78"/>
      <c r="K6" s="78"/>
      <c r="N6" s="78"/>
      <c r="Q6" s="78"/>
      <c r="T6" s="78"/>
      <c r="W6" s="78"/>
    </row>
    <row r="7" spans="1:23" s="77" customFormat="1" ht="21" hidden="1" customHeight="1" x14ac:dyDescent="0.3">
      <c r="H7" s="78"/>
      <c r="K7" s="78"/>
      <c r="N7" s="78"/>
      <c r="Q7" s="78"/>
      <c r="T7" s="78"/>
      <c r="W7" s="78"/>
    </row>
    <row r="8" spans="1:23" s="77" customFormat="1" ht="21" hidden="1" customHeight="1" x14ac:dyDescent="0.3">
      <c r="H8" s="78"/>
      <c r="K8" s="78"/>
      <c r="N8" s="78"/>
      <c r="Q8" s="78"/>
      <c r="T8" s="78"/>
      <c r="W8" s="78"/>
    </row>
    <row r="9" spans="1:23" s="77" customFormat="1" ht="21" hidden="1" customHeight="1" x14ac:dyDescent="0.3">
      <c r="H9" s="78"/>
      <c r="K9" s="78"/>
      <c r="N9" s="78"/>
      <c r="Q9" s="78"/>
      <c r="T9" s="78"/>
      <c r="W9" s="78"/>
    </row>
    <row r="10" spans="1:23" s="77" customFormat="1" ht="21" hidden="1" customHeight="1" x14ac:dyDescent="0.3">
      <c r="H10" s="78"/>
      <c r="K10" s="78"/>
      <c r="N10" s="78"/>
      <c r="Q10" s="78"/>
      <c r="T10" s="78"/>
      <c r="W10" s="78"/>
    </row>
    <row r="11" spans="1:23" s="77" customFormat="1" ht="21" hidden="1" customHeight="1" x14ac:dyDescent="0.3">
      <c r="H11" s="78"/>
      <c r="K11" s="78"/>
      <c r="N11" s="78"/>
      <c r="Q11" s="78"/>
      <c r="T11" s="78"/>
      <c r="W11" s="78"/>
    </row>
    <row r="12" spans="1:23" s="77" customFormat="1" hidden="1" x14ac:dyDescent="0.3">
      <c r="H12" s="78"/>
      <c r="K12" s="78"/>
      <c r="N12" s="78"/>
      <c r="Q12" s="78"/>
      <c r="T12" s="78"/>
      <c r="W12" s="78"/>
    </row>
    <row r="13" spans="1:23" customFormat="1" ht="21" customHeight="1" x14ac:dyDescent="0.3">
      <c r="A13" s="76"/>
    </row>
    <row r="14" spans="1:23" s="61" customFormat="1" ht="31.2" x14ac:dyDescent="0.3">
      <c r="A14" s="67"/>
    </row>
    <row r="15" spans="1:23" ht="31.2" x14ac:dyDescent="0.3">
      <c r="B15" s="47"/>
      <c r="C15" s="95" t="s">
        <v>116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61"/>
      <c r="P15" s="60"/>
      <c r="Q15" s="61"/>
      <c r="R15" s="61"/>
      <c r="S15" s="60"/>
    </row>
    <row r="16" spans="1:23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18</v>
      </c>
      <c r="L16" s="45" t="s">
        <v>35</v>
      </c>
      <c r="M16" s="45" t="s">
        <v>50</v>
      </c>
      <c r="N16" s="45"/>
      <c r="O16" s="61"/>
      <c r="P16" s="60"/>
      <c r="Q16" s="61"/>
      <c r="R16" s="61"/>
      <c r="S16" s="60"/>
    </row>
    <row r="17" spans="1:19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 t="s">
        <v>128</v>
      </c>
      <c r="O17" s="61"/>
      <c r="P17" s="60"/>
      <c r="Q17" s="61"/>
      <c r="R17" s="61"/>
      <c r="S17" s="60"/>
    </row>
    <row r="18" spans="1:19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19" ht="31.2" x14ac:dyDescent="0.3">
      <c r="A20" s="41"/>
      <c r="B20"/>
      <c r="C20" s="95" t="s">
        <v>117</v>
      </c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P20" s="60"/>
      <c r="Q20" s="44"/>
      <c r="S20" s="60"/>
    </row>
    <row r="21" spans="1:19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19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19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19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19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19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19" ht="31.2" customHeight="1" x14ac:dyDescent="0.3">
      <c r="A27" s="40"/>
      <c r="B27"/>
      <c r="C27" s="93" t="s">
        <v>103</v>
      </c>
      <c r="D27" s="94"/>
      <c r="E27" s="61"/>
      <c r="F27" s="93" t="s">
        <v>0</v>
      </c>
      <c r="G27" s="94"/>
      <c r="H27" s="61"/>
      <c r="I27" s="93" t="s">
        <v>39</v>
      </c>
      <c r="J27" s="94"/>
      <c r="K27" s="61"/>
      <c r="L27" s="93" t="s">
        <v>54</v>
      </c>
      <c r="M27" s="94"/>
      <c r="N27" s="61"/>
      <c r="O27" s="93" t="s">
        <v>69</v>
      </c>
      <c r="P27" s="94"/>
    </row>
    <row r="28" spans="1:19" ht="21" customHeight="1" x14ac:dyDescent="0.3">
      <c r="A28" s="40"/>
      <c r="B28"/>
      <c r="C28" s="91">
        <f ca="1">_xlfn.SHEET("إعدادات")</f>
        <v>1</v>
      </c>
      <c r="D28" s="92"/>
      <c r="F28" s="91">
        <f ca="1">_xlfn.SHEET("وحدات سفلية")</f>
        <v>4</v>
      </c>
      <c r="G28" s="92"/>
      <c r="H28" s="44"/>
      <c r="I28" s="91">
        <f ca="1">_xlfn.SHEET("وحدات علوية")</f>
        <v>5</v>
      </c>
      <c r="J28" s="92"/>
      <c r="K28" s="44"/>
      <c r="L28" s="91">
        <f ca="1">_xlfn.SHEET("دواليب")</f>
        <v>6</v>
      </c>
      <c r="M28" s="92"/>
      <c r="N28" s="44"/>
      <c r="O28" s="91">
        <f ca="1">_xlfn.SHEET("تجاليد")</f>
        <v>7</v>
      </c>
      <c r="P28" s="92"/>
    </row>
    <row r="29" spans="1:19" ht="21" customHeight="1" x14ac:dyDescent="0.3">
      <c r="A29" s="40"/>
      <c r="B29"/>
      <c r="C29" s="48" t="str">
        <f>K16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19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19" ht="21" customHeight="1" x14ac:dyDescent="0.3">
      <c r="A31" s="40"/>
      <c r="B31"/>
      <c r="C31" s="53" t="str">
        <f>M16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19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52"/>
  <sheetViews>
    <sheetView zoomScale="66" zoomScaleNormal="85" workbookViewId="0">
      <pane ySplit="12" topLeftCell="A25" activePane="bottomLeft" state="frozen"/>
      <selection pane="bottomLeft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1" customFormat="1" x14ac:dyDescent="0.3">
      <c r="B1" s="81">
        <v>2</v>
      </c>
    </row>
    <row r="2" spans="1:15" s="81" customFormat="1" ht="31.2" x14ac:dyDescent="0.3">
      <c r="B2" s="81" t="s">
        <v>109</v>
      </c>
      <c r="D2" s="98" t="s">
        <v>132</v>
      </c>
      <c r="E2" s="98"/>
      <c r="F2" s="98"/>
      <c r="G2" s="98"/>
      <c r="H2" s="98"/>
      <c r="I2" s="98"/>
      <c r="J2" s="98"/>
      <c r="K2" s="98"/>
    </row>
    <row r="3" spans="1:15" s="81" customFormat="1" x14ac:dyDescent="0.3">
      <c r="B3" s="81" t="s">
        <v>108</v>
      </c>
    </row>
    <row r="4" spans="1:15" s="81" customFormat="1" ht="21" x14ac:dyDescent="0.4">
      <c r="D4" s="96" t="s">
        <v>131</v>
      </c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</row>
    <row r="5" spans="1:15" s="81" customFormat="1" x14ac:dyDescent="0.3">
      <c r="D5" s="80" cm="1">
        <f t="array" ref="D5:O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</v>
      </c>
      <c r="M5" s="80" t="str">
        <v>CPL</v>
      </c>
      <c r="N5" s="80" t="str">
        <v>ظهر</v>
      </c>
      <c r="O5" s="80">
        <v>0</v>
      </c>
    </row>
    <row r="6" spans="1:15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 t="str">
        <v>الرقم</v>
      </c>
    </row>
    <row r="7" spans="1:15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5" s="81" customFormat="1" ht="23.4" x14ac:dyDescent="0.45">
      <c r="D8" s="97" t="s">
        <v>117</v>
      </c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</row>
    <row r="9" spans="1:15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5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5" s="81" customFormat="1" x14ac:dyDescent="0.3"/>
    <row r="12" spans="1:15" s="81" customFormat="1" ht="26.4" customHeight="1" x14ac:dyDescent="0.3"/>
    <row r="13" spans="1:15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99" t="s">
        <v>110</v>
      </c>
      <c r="F17" s="100"/>
      <c r="G17" s="100"/>
      <c r="H17" s="101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99" t="s">
        <v>111</v>
      </c>
      <c r="F35" s="100"/>
      <c r="G35" s="100"/>
      <c r="H35" s="101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</sheetData>
  <mergeCells count="5"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 activeCell="H25" sqref="H25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8.88671875" style="36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06" t="s">
        <v>133</v>
      </c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70" t="s">
        <v>0</v>
      </c>
      <c r="S3" s="70" t="s">
        <v>70</v>
      </c>
      <c r="T3" s="70" t="s">
        <v>39</v>
      </c>
      <c r="U3" s="70" t="s">
        <v>54</v>
      </c>
      <c r="V3" s="70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04" t="s">
        <v>131</v>
      </c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R4" s="70">
        <v>1</v>
      </c>
      <c r="S4" s="70">
        <v>2</v>
      </c>
      <c r="T4" s="70">
        <v>3</v>
      </c>
      <c r="U4" s="70">
        <v>4</v>
      </c>
      <c r="V4" s="70">
        <v>5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P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</v>
      </c>
      <c r="N5" s="72" t="str">
        <v>CPL</v>
      </c>
      <c r="O5" s="72" t="str">
        <v>ظهر</v>
      </c>
      <c r="P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05" t="s">
        <v>117</v>
      </c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zoomScale="68" zoomScaleNormal="85" workbookViewId="0">
      <pane ySplit="12" topLeftCell="A80" activePane="bottomLeft" state="frozen"/>
      <selection activeCell="B1" sqref="B1"/>
      <selection pane="bottomLeft" activeCell="K156" sqref="K156"/>
    </sheetView>
  </sheetViews>
  <sheetFormatPr defaultRowHeight="15.6" x14ac:dyDescent="0.3"/>
  <cols>
    <col min="1" max="1" width="8.21875" style="40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x14ac:dyDescent="0.3">
      <c r="A1" s="85">
        <v>13</v>
      </c>
      <c r="B1" s="84">
        <v>7</v>
      </c>
    </row>
    <row r="2" spans="1:75" s="85" customFormat="1" ht="37.200000000000003" customHeight="1" x14ac:dyDescent="0.3">
      <c r="A2" s="85">
        <v>30</v>
      </c>
      <c r="B2" s="86" t="s">
        <v>79</v>
      </c>
      <c r="C2" s="108" t="s">
        <v>0</v>
      </c>
      <c r="D2" s="108"/>
      <c r="E2" s="108"/>
      <c r="F2" s="108"/>
      <c r="G2" s="108"/>
      <c r="H2" s="108"/>
      <c r="I2" s="108"/>
      <c r="J2" s="108"/>
      <c r="K2" s="108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99" t="s">
        <v>135</v>
      </c>
      <c r="F17" s="100"/>
      <c r="G17" s="100"/>
      <c r="H17" s="101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 cm="1">
        <f t="array" aca="1" ref="F30" ca="1">visible((I20-0.5-G20),K30)</f>
        <v>74</v>
      </c>
      <c r="G30" s="9" cm="1">
        <f t="array" ref="G30">visible(((H20/C20)-0.5),K30)</f>
        <v>-0.5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 cm="1">
        <f t="array" aca="1" ref="G32"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6" x14ac:dyDescent="0.3">
      <c r="A35" s="41" t="s">
        <v>93</v>
      </c>
      <c r="C35" s="12">
        <v>1</v>
      </c>
      <c r="D35" s="20" t="s">
        <v>51</v>
      </c>
      <c r="E35" s="99" t="s">
        <v>112</v>
      </c>
      <c r="F35" s="100"/>
      <c r="G35" s="100"/>
      <c r="H35" s="101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02" t="s">
        <v>115</v>
      </c>
      <c r="K39" s="103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 cm="1">
        <f t="array" aca="1" ref="F59" ca="1">visible(((I38/G39)-0.5-G38),K59)</f>
        <v>22</v>
      </c>
      <c r="G59" s="9" cm="1">
        <f t="array" ref="G59">visible((H38-0.5),K59)</f>
        <v>79.5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6" x14ac:dyDescent="0.3">
      <c r="A70" s="41" t="s">
        <v>89</v>
      </c>
      <c r="C70" s="12">
        <v>1</v>
      </c>
      <c r="D70" s="20" t="s">
        <v>51</v>
      </c>
      <c r="E70" s="99" t="s">
        <v>130</v>
      </c>
      <c r="F70" s="100"/>
      <c r="G70" s="100"/>
      <c r="H70" s="101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 cm="1">
        <f t="array" aca="1" ref="F84" ca="1">visible((I73-0.5-G73),K84)</f>
        <v>74</v>
      </c>
      <c r="G84" s="9" cm="1">
        <f t="array" aca="1" ref="G84" ca="1">visible(((H73-E73-G85)/C73-0.5),K84)</f>
        <v>39.5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99" t="s">
        <v>22</v>
      </c>
      <c r="F90" s="100"/>
      <c r="G90" s="100"/>
      <c r="H90" s="101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visible(I93-0.5-G93, K105)</f>
        <v>74</v>
      </c>
      <c r="G105" s="9">
        <f>visible(H93-56-3, K105)</f>
        <v>-59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visible(I94-0.5-G93, K106)</f>
        <v>74</v>
      </c>
      <c r="G106" s="9">
        <f>visible(H94-56-3, K106)</f>
        <v>-59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99" t="s">
        <v>25</v>
      </c>
      <c r="F111" s="100"/>
      <c r="G111" s="100"/>
      <c r="H111" s="101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visible(I114-0.5-E114, K126)</f>
        <v>74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99" t="s">
        <v>71</v>
      </c>
      <c r="F131" s="100"/>
      <c r="G131" s="100"/>
      <c r="H131" s="101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visible(H134-0.5, K148)</f>
        <v>59.5</v>
      </c>
      <c r="G148" s="9">
        <f ca="1">visible(I134-G134-60.5, K148)</f>
        <v>14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6" x14ac:dyDescent="0.3">
      <c r="A154" s="41" t="s">
        <v>92</v>
      </c>
      <c r="C154" s="12">
        <v>1</v>
      </c>
      <c r="D154" s="20" t="s">
        <v>51</v>
      </c>
      <c r="E154" s="99" t="s">
        <v>95</v>
      </c>
      <c r="F154" s="100"/>
      <c r="G154" s="100"/>
      <c r="H154" s="101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visible(I157-0.5-E157-G171, K170)</f>
        <v>59</v>
      </c>
      <c r="G170" s="9">
        <f>visible((H157/C157)-0.5, K170)</f>
        <v>29.5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visible(H157-0.5, K171)</f>
        <v>59.5</v>
      </c>
      <c r="G171" s="9">
        <f ca="1">visible(I157-E157-59.5, K171)</f>
        <v>15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E17:H17"/>
    <mergeCell ref="E35:H35"/>
    <mergeCell ref="J39:K39"/>
    <mergeCell ref="E70:H70"/>
    <mergeCell ref="C4:N4"/>
    <mergeCell ref="C7:N7"/>
    <mergeCell ref="C2:K2"/>
    <mergeCell ref="E90:H90"/>
    <mergeCell ref="E154:H154"/>
    <mergeCell ref="E131:H131"/>
    <mergeCell ref="E111:H111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65" activePane="bottomLeft" state="frozen"/>
      <selection activeCell="B1" sqref="B1"/>
      <selection pane="bottomLeft" activeCell="J54" sqref="J54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10.5546875" style="3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08" t="s">
        <v>39</v>
      </c>
      <c r="D2" s="108"/>
      <c r="E2" s="108"/>
      <c r="F2" s="108"/>
      <c r="G2" s="108"/>
      <c r="H2" s="108"/>
      <c r="I2" s="108"/>
      <c r="J2" s="108"/>
      <c r="K2" s="108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85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99" t="s">
        <v>40</v>
      </c>
      <c r="F17" s="100"/>
      <c r="G17" s="100"/>
      <c r="H17" s="101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21" x14ac:dyDescent="0.3">
      <c r="A18" s="32">
        <v>1</v>
      </c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2">
        <v>1</v>
      </c>
      <c r="C19" s="7" t="s">
        <v>48</v>
      </c>
      <c r="D19" s="7" t="s">
        <v>49</v>
      </c>
      <c r="E19" s="16" t="s">
        <v>16</v>
      </c>
      <c r="F19" s="7" t="s">
        <v>14</v>
      </c>
      <c r="G19" s="7" t="s">
        <v>78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8">
        <v>1</v>
      </c>
      <c r="D20" s="8">
        <v>0</v>
      </c>
      <c r="E20" s="8">
        <v>1</v>
      </c>
      <c r="F20" s="25" cm="1">
        <f t="array" aca="1" ref="F20" ca="1">defaultValue(F19,K17)</f>
        <v>3.5</v>
      </c>
      <c r="G20" s="25" cm="1">
        <f t="array" aca="1" ref="G20" ca="1">defaultValue(G19,K17)</f>
        <v>0</v>
      </c>
      <c r="H20" s="8"/>
      <c r="I20" s="25" cm="1">
        <f t="array" aca="1" ref="I20" ca="1">defaultValue(I19,K17)</f>
        <v>70</v>
      </c>
      <c r="J20" s="25" cm="1">
        <f t="array" aca="1" ref="J20" ca="1">defaultValue(J19,K17)</f>
        <v>30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9" t="b">
        <f>C20=0</f>
        <v>0</v>
      </c>
      <c r="D21" s="9" t="b">
        <f>D20=0</f>
        <v>1</v>
      </c>
      <c r="E21" s="7" t="s">
        <v>72</v>
      </c>
      <c r="F21" s="114" t="b">
        <f ca="1">NOT(AND(F20&gt;0,G20&gt;0))</f>
        <v>1</v>
      </c>
      <c r="G21" s="114"/>
      <c r="H21" s="3" t="b">
        <f>_xlfn.XOR(H20&lt;=50,C22=2)</f>
        <v>1</v>
      </c>
      <c r="I21" s="38"/>
      <c r="J21" s="8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13">
        <f>C20+D20</f>
        <v>1</v>
      </c>
      <c r="D22" s="113"/>
      <c r="E22" s="24">
        <v>10</v>
      </c>
      <c r="F22" s="115" t="str">
        <f ca="1">IF(F21,"المقابض مظبوطة","مينفعش مقبض مخفي مع بيلت ان")</f>
        <v>المقابض مظبوطة</v>
      </c>
      <c r="G22" s="115"/>
      <c r="H22" s="114" t="str">
        <f>IF(H21,"عدد الدلف صحيح","عدد الدلف غير صحيح")</f>
        <v>عدد الدلف صحيح</v>
      </c>
      <c r="I22" s="114"/>
      <c r="J22" s="114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x14ac:dyDescent="0.3">
      <c r="A23" s="32">
        <v>1</v>
      </c>
      <c r="C23" s="114" t="b">
        <f>C22&lt;=2</f>
        <v>1</v>
      </c>
      <c r="D23" s="114"/>
      <c r="E23" s="8"/>
      <c r="F23" s="8"/>
      <c r="G23" s="8"/>
      <c r="H23" s="8"/>
      <c r="I23" s="8"/>
      <c r="J23" s="8"/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visible(I18, K27)</f>
        <v>HPL</v>
      </c>
      <c r="E27" s="6" t="str">
        <f>visible("قرصة", K27)</f>
        <v>قرصة</v>
      </c>
      <c r="F27" s="6">
        <f>visible(H20-3.6, K27)</f>
        <v>-3.6</v>
      </c>
      <c r="G27" s="6">
        <f ca="1">visible(J20-E22,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visible(I18, K28)</f>
        <v>HPL</v>
      </c>
      <c r="E28" s="6" t="str">
        <f>visible("قاعدة", K28)</f>
        <v>قاعدة</v>
      </c>
      <c r="F28" s="6">
        <f>visible(H20-3.6, K28)</f>
        <v>-3.6</v>
      </c>
      <c r="G28" s="6">
        <f ca="1">visible(J20-G20-E22,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visible(I18, K29)</f>
        <v>HPL</v>
      </c>
      <c r="E29" s="6" t="str">
        <f>visible("أجناب", K29)</f>
        <v>أجناب</v>
      </c>
      <c r="F29" s="6">
        <f ca="1">visible(I20, K29)</f>
        <v>70</v>
      </c>
      <c r="G29" s="6">
        <f ca="1">visible(J20,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visible(I18, K30)</f>
        <v>HPL</v>
      </c>
      <c r="E30" s="6" t="str">
        <f>visible("رف", K30)</f>
        <v>رف</v>
      </c>
      <c r="F30" s="6">
        <f>visible(H20-3.8, K30)</f>
        <v>-3.8</v>
      </c>
      <c r="G30" s="6">
        <f ca="1">visible(J20-5-E22, K30)</f>
        <v>15</v>
      </c>
      <c r="H30" s="6">
        <f>visible(E20*C17,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visible(G18, K32)</f>
        <v>يوفيلاك</v>
      </c>
      <c r="E32" s="9" t="str">
        <f>visible("دلفه خشب", K32)</f>
        <v>دلفه خشب</v>
      </c>
      <c r="F32" s="9">
        <f ca="1">visible(I20-0.5-F20, K32)</f>
        <v>66</v>
      </c>
      <c r="G32" s="9">
        <f>visible((H20/C22)-0.5, K32)</f>
        <v>-0.5</v>
      </c>
      <c r="H32" s="9">
        <f>visible(C20*C17,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NOT(C21)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visible(I20-0.5, K33)</f>
        <v>69.5</v>
      </c>
      <c r="G33" s="9">
        <f>visible((H20/C22)-0.7, K33)</f>
        <v>-0.7</v>
      </c>
      <c r="H33" s="9">
        <f>visible(C17*D20,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visible(E18, K35)</f>
        <v>ظهر</v>
      </c>
      <c r="E35" s="17" t="str">
        <f>visible("ظهر", K35)</f>
        <v>ظهر</v>
      </c>
      <c r="F35" s="17">
        <f ca="1">visible(I20-2, K35)</f>
        <v>68</v>
      </c>
      <c r="G35" s="17">
        <f>visible(H20-2,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99" t="s">
        <v>46</v>
      </c>
      <c r="F38" s="100"/>
      <c r="G38" s="100"/>
      <c r="H38" s="101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21" x14ac:dyDescent="0.3">
      <c r="A39" s="32">
        <v>1</v>
      </c>
      <c r="C39" s="7"/>
      <c r="D39" s="8"/>
      <c r="E39" s="25" t="str" cm="1">
        <f t="array" aca="1" ref="E39" ca="1">defaultValue(F39,K38)</f>
        <v>ظهر</v>
      </c>
      <c r="F39" s="7" t="s">
        <v>50</v>
      </c>
      <c r="G39" s="25" t="str" cm="1">
        <f t="array" aca="1" ref="G39" ca="1">defaultValue(H39,K38)</f>
        <v>يوفيلاك</v>
      </c>
      <c r="H39" s="7" t="s">
        <v>28</v>
      </c>
      <c r="I39" s="25" t="str" cm="1">
        <f t="array" aca="1" ref="I39" ca="1">defaultValue(J39,K38)</f>
        <v>HPL</v>
      </c>
      <c r="J39" s="7" t="s">
        <v>27</v>
      </c>
      <c r="K39" s="23" t="s">
        <v>75</v>
      </c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2">
        <v>1</v>
      </c>
      <c r="C40" s="7" t="s">
        <v>48</v>
      </c>
      <c r="D40" s="7" t="s">
        <v>49</v>
      </c>
      <c r="E40" s="7" t="s">
        <v>47</v>
      </c>
      <c r="F40" s="7" t="s">
        <v>14</v>
      </c>
      <c r="G40" s="7" t="s">
        <v>78</v>
      </c>
      <c r="H40" s="7" t="s">
        <v>19</v>
      </c>
      <c r="I40" s="7" t="s">
        <v>3</v>
      </c>
      <c r="J40" s="7" t="s">
        <v>76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8">
        <v>2</v>
      </c>
      <c r="D41" s="8">
        <v>0</v>
      </c>
      <c r="E41" s="7">
        <v>1</v>
      </c>
      <c r="F41" s="25" cm="1">
        <f t="array" aca="1" ref="F41" ca="1">defaultValue(F40,K38)</f>
        <v>3.5</v>
      </c>
      <c r="G41" s="25" cm="1">
        <f t="array" aca="1" ref="G41" ca="1">defaultValue(G40,K38)</f>
        <v>0</v>
      </c>
      <c r="H41" s="8"/>
      <c r="I41" s="25" cm="1">
        <f t="array" aca="1" ref="I41" ca="1">defaultValue(I40,K38)</f>
        <v>70</v>
      </c>
      <c r="J41" s="25" cm="1">
        <f t="array" aca="1" ref="J41" ca="1">defaultValue(J40,K38)</f>
        <v>30</v>
      </c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15.6" x14ac:dyDescent="0.3">
      <c r="A42" s="32">
        <v>1</v>
      </c>
      <c r="C42" s="9" t="b">
        <f>C41=0</f>
        <v>0</v>
      </c>
      <c r="D42" s="9" t="b">
        <f>D41=0</f>
        <v>1</v>
      </c>
      <c r="E42" s="7" t="s">
        <v>72</v>
      </c>
      <c r="F42" s="116" t="b">
        <f ca="1">NOT(AND(F41&gt;0,G41&gt;0))</f>
        <v>1</v>
      </c>
      <c r="G42" s="116"/>
      <c r="H42" s="8"/>
      <c r="I42" s="3" t="b">
        <f ca="1">_xlfn.XOR(I41&lt;=50,C43=2)</f>
        <v>1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24" x14ac:dyDescent="0.3">
      <c r="A43" s="32">
        <v>1</v>
      </c>
      <c r="C43" s="113">
        <f>C41+D41</f>
        <v>2</v>
      </c>
      <c r="D43" s="113"/>
      <c r="E43" s="7">
        <v>0</v>
      </c>
      <c r="F43" s="117" t="str">
        <f ca="1">IF(F42,"المقابض مظبوطة","مينفعش مقبض مخفي مع بيلت ان")</f>
        <v>المقابض مظبوطة</v>
      </c>
      <c r="G43" s="117"/>
      <c r="H43" s="27"/>
      <c r="I43" s="29" t="str">
        <f ca="1">IF(I42,"عدد الدلف صحيح","عدد الدلف غير صحيح")</f>
        <v>عدد الدلف صحيح</v>
      </c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x14ac:dyDescent="0.3">
      <c r="A44" s="32">
        <v>1</v>
      </c>
      <c r="C44" s="114" t="b">
        <f>C43&lt;=2</f>
        <v>1</v>
      </c>
      <c r="D44" s="114"/>
      <c r="E44" s="38"/>
      <c r="F44" s="8"/>
      <c r="G44" s="8"/>
      <c r="H44" s="8"/>
      <c r="I44" s="8"/>
      <c r="J44" s="8"/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visible(I39, K48)</f>
        <v>HPL</v>
      </c>
      <c r="E48" s="6" t="str">
        <f>visible("قرصة", K48)</f>
        <v>قرصة</v>
      </c>
      <c r="F48" s="6">
        <f>visible(H41-3.6, K48)</f>
        <v>-3.6</v>
      </c>
      <c r="G48" s="6">
        <f ca="1">visible(J41-E43,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visible(I39, K49)</f>
        <v>HPL</v>
      </c>
      <c r="E49" s="6" t="str">
        <f>visible("قاعدة", K49)</f>
        <v>قاعدة</v>
      </c>
      <c r="F49" s="6">
        <f>visible(H41-3.6, K49)</f>
        <v>-3.6</v>
      </c>
      <c r="G49" s="6">
        <f ca="1">visible(J41-G41-E43,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visible(I39, K50)</f>
        <v>HPL</v>
      </c>
      <c r="E50" s="6" t="str">
        <f>visible("أجناب", K50)</f>
        <v>أجناب</v>
      </c>
      <c r="F50" s="6">
        <f ca="1">visible(I41, K50)</f>
        <v>70</v>
      </c>
      <c r="G50" s="6">
        <f ca="1">visible(J41,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visible(I39, K51)</f>
        <v>HPL</v>
      </c>
      <c r="E51" s="6" t="str">
        <f>visible("قاطوع", K51)</f>
        <v>قاطوع</v>
      </c>
      <c r="F51" s="6">
        <f>visible((H41-3.6)*E41, K51)</f>
        <v>-3.6</v>
      </c>
      <c r="G51" s="6">
        <f ca="1">visible((J41-2.5-E43)*E41, K51)</f>
        <v>27.5</v>
      </c>
      <c r="H51" s="6">
        <f>visible(E41*C38,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visible(G39, K53)</f>
        <v>يوفيلاك</v>
      </c>
      <c r="E53" s="9" t="str">
        <f>visible("دلفة قلاب خشب", K53)</f>
        <v>دلفة قلاب خشب</v>
      </c>
      <c r="F53" s="9">
        <f ca="1">visible((I41/C43)-0.5-F41, K53)</f>
        <v>31</v>
      </c>
      <c r="G53" s="9">
        <f>visible(H41-0.5, K53)</f>
        <v>-0.5</v>
      </c>
      <c r="H53" s="9">
        <f>visible(C41*C38,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/>
      </c>
      <c r="C54" s="9" t="str">
        <f>visible(6,K54)</f>
        <v/>
      </c>
      <c r="D54" s="9" t="str">
        <f>visible("دلفة زجاج", K54)</f>
        <v/>
      </c>
      <c r="E54" s="9" t="str">
        <f>visible("دلفة قلاب زجاج", K54)</f>
        <v/>
      </c>
      <c r="F54" s="9" t="str">
        <f ca="1">visible((I41/C43)-0.5, K54)</f>
        <v/>
      </c>
      <c r="G54" s="9" t="str">
        <f>visible(H41-0.7, K54)</f>
        <v/>
      </c>
      <c r="H54" s="9" t="str">
        <f>visible(C38*D41, K54)</f>
        <v/>
      </c>
      <c r="I54" s="9" t="str">
        <f>visible(materialNum(D54), K54)</f>
        <v/>
      </c>
      <c r="J54" s="9" t="str">
        <f>visible(engraving(I54), K54)</f>
        <v/>
      </c>
      <c r="K54" s="9" t="b">
        <f>D41&gt;0</f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visible(E39, K56)</f>
        <v>ظهر</v>
      </c>
      <c r="E56" s="17" t="str">
        <f>visible("ظهر", K56)</f>
        <v>ظهر</v>
      </c>
      <c r="F56" s="17">
        <f ca="1">visible(I41-2, K56)</f>
        <v>68</v>
      </c>
      <c r="G56" s="17">
        <f>visible(H41-2,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99" t="s">
        <v>41</v>
      </c>
      <c r="F59" s="100"/>
      <c r="G59" s="100"/>
      <c r="H59" s="101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21" x14ac:dyDescent="0.3">
      <c r="A60" s="32">
        <v>1</v>
      </c>
      <c r="C60" s="7"/>
      <c r="D60" s="8"/>
      <c r="E60" s="25" t="str" cm="1">
        <f t="array" aca="1" ref="E60" ca="1">defaultValue(F60,K59)</f>
        <v>ظهر</v>
      </c>
      <c r="F60" s="7" t="s">
        <v>50</v>
      </c>
      <c r="G60" s="25" t="str" cm="1">
        <f t="array" aca="1" ref="G60" ca="1">defaultValue(H60,K59)</f>
        <v>يوفيلاك</v>
      </c>
      <c r="H60" s="7" t="s">
        <v>28</v>
      </c>
      <c r="I60" s="25" t="str" cm="1">
        <f t="array" aca="1" ref="I60" ca="1">defaultValue(J60,K59)</f>
        <v>HPL</v>
      </c>
      <c r="J60" s="7" t="s">
        <v>27</v>
      </c>
      <c r="K60" s="23" t="s">
        <v>75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2">
        <v>1</v>
      </c>
      <c r="C61" s="7" t="s">
        <v>12</v>
      </c>
      <c r="D61" s="7" t="s">
        <v>49</v>
      </c>
      <c r="E61" s="7" t="s">
        <v>16</v>
      </c>
      <c r="F61" s="7" t="s">
        <v>14</v>
      </c>
      <c r="G61" s="7" t="s">
        <v>78</v>
      </c>
      <c r="H61" s="7" t="s">
        <v>19</v>
      </c>
      <c r="I61" s="7" t="s">
        <v>3</v>
      </c>
      <c r="J61" s="7" t="s">
        <v>76</v>
      </c>
      <c r="K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8">
        <v>2</v>
      </c>
      <c r="D62" s="8"/>
      <c r="E62" s="8">
        <v>1</v>
      </c>
      <c r="F62" s="25" cm="1">
        <f t="array" aca="1" ref="F62" ca="1">defaultValue(F61,K59)</f>
        <v>3.5</v>
      </c>
      <c r="G62" s="25" cm="1">
        <f t="array" aca="1" ref="G62" ca="1">defaultValue(G61,K59)</f>
        <v>0</v>
      </c>
      <c r="H62" s="8"/>
      <c r="I62" s="25" cm="1">
        <f t="array" aca="1" ref="I62" ca="1">defaultValue(I61,K59)</f>
        <v>70</v>
      </c>
      <c r="J62" s="25" cm="1">
        <f t="array" aca="1" ref="J62" ca="1">defaultValue(J61,K59)</f>
        <v>30</v>
      </c>
      <c r="K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15.6" x14ac:dyDescent="0.3">
      <c r="A63" s="32">
        <v>1</v>
      </c>
      <c r="C63" s="9" t="b">
        <f>C62=0</f>
        <v>0</v>
      </c>
      <c r="D63" s="9" t="b">
        <f>E62=0</f>
        <v>0</v>
      </c>
      <c r="E63" s="3" t="b">
        <f ca="1">_xlfn.XOR(I62&lt;=50,E62=1)</f>
        <v>1</v>
      </c>
      <c r="F63" s="114" t="b">
        <f ca="1">NOT(AND(F62&gt;0,G62&gt;0))</f>
        <v>1</v>
      </c>
      <c r="G63" s="111"/>
      <c r="H63" s="3" t="b">
        <f>_xlfn.XOR(H62&lt;=50,C64=2)</f>
        <v>0</v>
      </c>
      <c r="I63" s="42" t="s">
        <v>97</v>
      </c>
      <c r="J63" s="43" t="s">
        <v>98</v>
      </c>
      <c r="K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24" x14ac:dyDescent="0.3">
      <c r="A64" s="32">
        <v>1</v>
      </c>
      <c r="C64" s="113">
        <f>C62+D62</f>
        <v>2</v>
      </c>
      <c r="D64" s="113"/>
      <c r="E64" s="7" t="s">
        <v>72</v>
      </c>
      <c r="F64" s="118" t="str">
        <f ca="1">IF(F63,"المقابض مظبوطة","مينفعش مقبض مخفي مع بيلت ان")</f>
        <v>المقابض مظبوطة</v>
      </c>
      <c r="G64" s="118"/>
      <c r="H64" s="30" t="str">
        <f>IF(H63,"عدد الدلف صحيح","عدد الدلف غير صحيح")</f>
        <v>عدد الدلف غير صحيح</v>
      </c>
      <c r="I64" s="42">
        <v>30</v>
      </c>
      <c r="J64" s="43">
        <v>4</v>
      </c>
      <c r="K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x14ac:dyDescent="0.3">
      <c r="A65" s="32">
        <v>1</v>
      </c>
      <c r="B65" s="1"/>
      <c r="C65" s="114" t="b">
        <f>C64&lt;=2</f>
        <v>1</v>
      </c>
      <c r="D65" s="114"/>
      <c r="E65" s="7">
        <v>0</v>
      </c>
      <c r="F65" s="8"/>
      <c r="G65" s="8"/>
      <c r="H65" s="8"/>
      <c r="I65" s="8"/>
      <c r="J65" s="8"/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visible(I60, K69)</f>
        <v>HPL</v>
      </c>
      <c r="E69" s="6" t="str">
        <f>visible("قرصة", K69)</f>
        <v>قرصة</v>
      </c>
      <c r="F69" s="6">
        <f>visible(H62-3.6, K69)</f>
        <v>-3.6</v>
      </c>
      <c r="G69" s="6">
        <f ca="1">visible(J62-E65,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visible(I60, K70)</f>
        <v>HPL</v>
      </c>
      <c r="E70" s="6" t="str">
        <f>visible("قاعدة", K70)</f>
        <v>قاعدة</v>
      </c>
      <c r="F70" s="6">
        <f>visible(H62-3.6, K70)</f>
        <v>-3.6</v>
      </c>
      <c r="G70" s="6">
        <f ca="1">visible(J62-G62-E65,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visible(I60, K71)</f>
        <v>HPL</v>
      </c>
      <c r="E71" s="6" t="str">
        <f>visible("أجناب", K71)</f>
        <v>أجناب</v>
      </c>
      <c r="F71" s="6">
        <f ca="1">visible(I62, K71)</f>
        <v>70</v>
      </c>
      <c r="G71" s="6">
        <f ca="1">visible(J62,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visible(I60, K72)</f>
        <v>HPL</v>
      </c>
      <c r="E72" s="6" t="str">
        <f>visible("رف", K72)</f>
        <v>رف</v>
      </c>
      <c r="F72" s="6">
        <f>visible(H62-3.8, K72)</f>
        <v>-3.8</v>
      </c>
      <c r="G72" s="6">
        <f ca="1">visible(J62-6-E65, K72)</f>
        <v>24</v>
      </c>
      <c r="H72" s="6">
        <f>visible(E62*C59,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visible(I60, K73)</f>
        <v>HPL</v>
      </c>
      <c r="E73" s="6" t="str">
        <f>visible("تلبيسة", K73)</f>
        <v>تلبيسة</v>
      </c>
      <c r="F73" s="6">
        <f ca="1">visible(I62, K73)</f>
        <v>70</v>
      </c>
      <c r="G73" s="6">
        <f>visible(I64,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visible(G60, K75)</f>
        <v>يوفيلاك</v>
      </c>
      <c r="E75" s="9" t="str">
        <f>visible("دلف ", K75)</f>
        <v xml:space="preserve">دلف </v>
      </c>
      <c r="F75" s="9">
        <f ca="1">visible(I62-0.5-F62, K75)</f>
        <v>66</v>
      </c>
      <c r="G75" s="9">
        <f>visible((H62-I64-J64)/C62-0.5, K75)</f>
        <v>-17.5</v>
      </c>
      <c r="H75" s="9">
        <f>visible(C62*C59,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visible(G60, K76)</f>
        <v>يوفيلاك</v>
      </c>
      <c r="E76" s="9" t="str">
        <f>visible("تلبييسة ثابتة", K76)</f>
        <v>تلبييسة ثابتة</v>
      </c>
      <c r="F76" s="9">
        <f ca="1">visible(I62, K76)</f>
        <v>70</v>
      </c>
      <c r="G76" s="9">
        <f>visible(J64,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/>
      </c>
      <c r="C78" s="9" t="str">
        <f>visible(8,K78)</f>
        <v/>
      </c>
      <c r="D78" s="9" t="str">
        <f>visible("دلفة زجاج", K78)</f>
        <v/>
      </c>
      <c r="E78" s="9" t="str">
        <f>visible("دلفة  زجاج", K78)</f>
        <v/>
      </c>
      <c r="F78" s="9" t="str">
        <f ca="1">visible(I62-0.5, K78)</f>
        <v/>
      </c>
      <c r="G78" s="9" t="str">
        <f>visible((H62-I64-J64)/D62-0.7, K78)</f>
        <v/>
      </c>
      <c r="H78" s="9" t="str">
        <f>visible(C59*D62, K78)</f>
        <v/>
      </c>
      <c r="I78" s="9" t="str">
        <f>visible(materialNum(D78), K78)</f>
        <v/>
      </c>
      <c r="J78" s="9" t="str">
        <f>visible(engraving(I78), K78)</f>
        <v/>
      </c>
      <c r="K78" s="9" t="b">
        <f>D62&gt;0</f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visible(E60, K80)</f>
        <v>ظهر</v>
      </c>
      <c r="E80" s="17" t="str">
        <f>visible("ظهر", K80)</f>
        <v>ظهر</v>
      </c>
      <c r="F80" s="17">
        <f ca="1">visible(I62-2, K80)</f>
        <v>68</v>
      </c>
      <c r="G80" s="17">
        <f>visible(H62-2,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99" t="s">
        <v>99</v>
      </c>
      <c r="F83" s="100"/>
      <c r="G83" s="100"/>
      <c r="H83" s="101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21" x14ac:dyDescent="0.3">
      <c r="A84" s="32">
        <v>1</v>
      </c>
      <c r="C84" s="7"/>
      <c r="D84" s="8"/>
      <c r="E84" s="25" t="str" cm="1">
        <f t="array" aca="1" ref="E84" ca="1">defaultValue(F84,K83)</f>
        <v>ظهر</v>
      </c>
      <c r="F84" s="7" t="s">
        <v>50</v>
      </c>
      <c r="G84" s="25" t="str" cm="1">
        <f t="array" aca="1" ref="G84" ca="1">defaultValue(H84,K83)</f>
        <v>يوفيلاك</v>
      </c>
      <c r="H84" s="7" t="s">
        <v>28</v>
      </c>
      <c r="I84" s="25" t="str" cm="1">
        <f t="array" aca="1" ref="I84" ca="1">defaultValue(J84,K83)</f>
        <v>HPL</v>
      </c>
      <c r="J84" s="7" t="s">
        <v>27</v>
      </c>
      <c r="K84" s="23" t="s">
        <v>75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2">
        <v>1</v>
      </c>
      <c r="C85" s="7" t="s">
        <v>12</v>
      </c>
      <c r="D85" s="7" t="s">
        <v>49</v>
      </c>
      <c r="E85" s="7" t="s">
        <v>47</v>
      </c>
      <c r="F85" s="7" t="s">
        <v>14</v>
      </c>
      <c r="G85" s="7" t="s">
        <v>78</v>
      </c>
      <c r="H85" s="7" t="s">
        <v>19</v>
      </c>
      <c r="I85" s="7" t="s">
        <v>3</v>
      </c>
      <c r="J85" s="7" t="s">
        <v>76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8">
        <v>1</v>
      </c>
      <c r="D86" s="8">
        <v>0</v>
      </c>
      <c r="E86" s="8">
        <v>0</v>
      </c>
      <c r="F86" s="25" cm="1">
        <f t="array" aca="1" ref="F86" ca="1">defaultValue(F85,K83)</f>
        <v>3.5</v>
      </c>
      <c r="G86" s="25" cm="1">
        <f t="array" aca="1" ref="G86" ca="1">defaultValue(G85,K83)</f>
        <v>0</v>
      </c>
      <c r="H86" s="8"/>
      <c r="I86" s="25" cm="1">
        <f t="array" aca="1" ref="I86" ca="1">defaultValue(I85,K83)</f>
        <v>70</v>
      </c>
      <c r="J86" s="25" cm="1">
        <f t="array" aca="1" ref="J86" ca="1">defaultValue(J85,K83)</f>
        <v>30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x14ac:dyDescent="0.3">
      <c r="A87" s="32">
        <v>1</v>
      </c>
      <c r="C87" s="9" t="b">
        <f>C86=0</f>
        <v>0</v>
      </c>
      <c r="D87" s="9" t="b">
        <f>E86=0</f>
        <v>1</v>
      </c>
      <c r="E87" s="3" t="b">
        <f ca="1">_xlfn.XOR(I86&lt;=50,E86=1)</f>
        <v>0</v>
      </c>
      <c r="F87" s="114" t="b">
        <f ca="1">NOT(AND(F86&gt;0,G86&gt;0))</f>
        <v>1</v>
      </c>
      <c r="G87" s="111"/>
      <c r="H87" s="3" t="b">
        <f ca="1">_xlfn.XOR(I86&lt;=50,C88=2)</f>
        <v>0</v>
      </c>
      <c r="I87" s="42" t="s">
        <v>97</v>
      </c>
      <c r="J87" s="43" t="s">
        <v>98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24" x14ac:dyDescent="0.3">
      <c r="A88" s="32">
        <v>1</v>
      </c>
      <c r="C88" s="113">
        <f>C86+D86</f>
        <v>1</v>
      </c>
      <c r="D88" s="113"/>
      <c r="E88" s="7" t="s">
        <v>72</v>
      </c>
      <c r="F88" s="118" t="str">
        <f ca="1">IF(F87,"المقابض مظبوطة","مينفعش مقبض مخفي مع بيلت ان")</f>
        <v>المقابض مظبوطة</v>
      </c>
      <c r="G88" s="118"/>
      <c r="H88" s="30" t="str">
        <f ca="1">IF(H87,"عدد الدلف صحيح","عدد الدلف غير صحيح")</f>
        <v>عدد الدلف غير صحيح</v>
      </c>
      <c r="I88" s="42">
        <v>0</v>
      </c>
      <c r="J88" s="43">
        <v>44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x14ac:dyDescent="0.3">
      <c r="A89" s="32">
        <v>1</v>
      </c>
      <c r="B89" s="1"/>
      <c r="C89" s="114" t="b">
        <f>C88&lt;=2</f>
        <v>1</v>
      </c>
      <c r="D89" s="114"/>
      <c r="E89" s="7">
        <v>0</v>
      </c>
      <c r="F89" s="8"/>
      <c r="G89" s="8"/>
      <c r="H89" s="8"/>
      <c r="I89" s="8"/>
      <c r="J89" s="8"/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visible(I84, K93)</f>
        <v>HPL</v>
      </c>
      <c r="E93" s="6" t="str">
        <f>visible("قرصة", K93)</f>
        <v>قرصة</v>
      </c>
      <c r="F93" s="6">
        <f>visible(H86-3.6, K93)</f>
        <v>-3.6</v>
      </c>
      <c r="G93" s="6">
        <f ca="1">visible(J86-E89,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visible(I84, K94)</f>
        <v>HPL</v>
      </c>
      <c r="E94" s="6" t="str">
        <f>visible("قاعدة", K94)</f>
        <v>قاعدة</v>
      </c>
      <c r="F94" s="6">
        <f>visible(H86-3.6, K94)</f>
        <v>-3.6</v>
      </c>
      <c r="G94" s="6">
        <f ca="1">visible(J86-G86-E89,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visible(I84, K95)</f>
        <v>HPL</v>
      </c>
      <c r="E95" s="6" t="str">
        <f>visible("أجناب", K95)</f>
        <v>أجناب</v>
      </c>
      <c r="F95" s="6">
        <f ca="1">visible(I86, K95)</f>
        <v>70</v>
      </c>
      <c r="G95" s="6">
        <f ca="1">visible(J86,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visible(I84, K96)</f>
        <v>HPL</v>
      </c>
      <c r="E96" s="6" t="str">
        <f>visible("قاطوع", K96)</f>
        <v>قاطوع</v>
      </c>
      <c r="F96" s="6">
        <f>visible(H86-3.6, K96)</f>
        <v>-3.6</v>
      </c>
      <c r="G96" s="6">
        <f ca="1">visible(J86-6-E89, K96)</f>
        <v>24</v>
      </c>
      <c r="H96" s="6">
        <f>visible(E86*C83,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visible(I84, K97)</f>
        <v>HPL</v>
      </c>
      <c r="E97" s="6" t="str">
        <f>visible("تلبيسة", K97)</f>
        <v>تلبيسة</v>
      </c>
      <c r="F97" s="6">
        <f ca="1">visible(I86, K97)</f>
        <v>70</v>
      </c>
      <c r="G97" s="6">
        <f>visible(I88,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visible(G84, K99)</f>
        <v>يوفيلاك</v>
      </c>
      <c r="E99" s="9" t="str">
        <f>visible("دلف قلاب", K99)</f>
        <v>دلف قلاب</v>
      </c>
      <c r="F99" s="9">
        <f ca="1">visible((I86/C88)-0.5-F86, K99)</f>
        <v>66</v>
      </c>
      <c r="G99" s="9">
        <f>visible(H86-0.5-I88-J88, K99)</f>
        <v>-44.5</v>
      </c>
      <c r="H99" s="9">
        <f>visible(C86*C83,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visible(G84, K100)</f>
        <v>يوفيلاك</v>
      </c>
      <c r="E100" s="9" t="str">
        <f>visible("تلبييسة ثابتة", K100)</f>
        <v>تلبييسة ثابتة</v>
      </c>
      <c r="F100" s="9">
        <f ca="1">visible(I86, K100)</f>
        <v>70</v>
      </c>
      <c r="G100" s="9">
        <f>visible(J88,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/>
      </c>
      <c r="C102" s="9" t="str">
        <f>visible(8,K102)</f>
        <v/>
      </c>
      <c r="D102" s="9" t="str">
        <f>visible("دلفة زجاج", K102)</f>
        <v/>
      </c>
      <c r="E102" s="9" t="str">
        <f>visible("دلفة  زجاج", K102)</f>
        <v/>
      </c>
      <c r="F102" s="9" t="str">
        <f ca="1">visible((I86/C88)-0.5, K102)</f>
        <v/>
      </c>
      <c r="G102" s="9" t="str">
        <f>visible(H86-0.7-I88-J88, K102)</f>
        <v/>
      </c>
      <c r="H102" s="9" t="str">
        <f>visible(C83*D86, K102)</f>
        <v/>
      </c>
      <c r="I102" s="9" t="str">
        <f>visible(materialNum(D102), K102)</f>
        <v/>
      </c>
      <c r="J102" s="9" t="str">
        <f>visible(engraving(I102), K102)</f>
        <v/>
      </c>
      <c r="K102" s="9" t="b">
        <f>D86&gt;0</f>
        <v>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visible(E84, K104)</f>
        <v>ظهر</v>
      </c>
      <c r="E104" s="17" t="str">
        <f>visible("ظهر", K104)</f>
        <v>ظهر</v>
      </c>
      <c r="F104" s="17">
        <f ca="1">visible(I86-2, K104)</f>
        <v>68</v>
      </c>
      <c r="G104" s="17">
        <f>visible(H86-2,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99" t="s">
        <v>42</v>
      </c>
      <c r="F107" s="100"/>
      <c r="G107" s="100"/>
      <c r="H107" s="101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21" x14ac:dyDescent="0.3">
      <c r="A108" s="32">
        <v>1</v>
      </c>
      <c r="C108" s="7"/>
      <c r="D108" s="8"/>
      <c r="E108" s="25" t="str" cm="1">
        <f t="array" aca="1" ref="E108" ca="1">defaultValue(F108,K107)</f>
        <v>ظهر</v>
      </c>
      <c r="F108" s="7" t="s">
        <v>50</v>
      </c>
      <c r="G108" s="25" t="str" cm="1">
        <f t="array" aca="1" ref="G108" ca="1">defaultValue(H108,K107)</f>
        <v>يوفيلاك</v>
      </c>
      <c r="H108" s="7" t="s">
        <v>28</v>
      </c>
      <c r="I108" s="25" t="str" cm="1">
        <f t="array" aca="1" ref="I108" ca="1">defaultValue(J108,K107)</f>
        <v>HPL</v>
      </c>
      <c r="J108" s="7" t="s">
        <v>27</v>
      </c>
      <c r="K108" s="23" t="s">
        <v>75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31.2" x14ac:dyDescent="0.3">
      <c r="A109" s="32">
        <v>1</v>
      </c>
      <c r="C109" s="7"/>
      <c r="D109" s="7" t="s">
        <v>16</v>
      </c>
      <c r="E109" s="7"/>
      <c r="F109" s="7" t="s">
        <v>14</v>
      </c>
      <c r="G109" s="7" t="s">
        <v>78</v>
      </c>
      <c r="H109" s="7" t="s">
        <v>19</v>
      </c>
      <c r="I109" s="7" t="s">
        <v>3</v>
      </c>
      <c r="J109" s="7" t="s">
        <v>76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>
        <v>2</v>
      </c>
      <c r="E110" s="8"/>
      <c r="F110" s="25" cm="1">
        <f t="array" aca="1" ref="F110" ca="1">defaultValue(F109,K107)</f>
        <v>3.5</v>
      </c>
      <c r="G110" s="25" cm="1">
        <f t="array" aca="1" ref="G110" ca="1">defaultValue(G109,K107)</f>
        <v>0</v>
      </c>
      <c r="H110" s="8"/>
      <c r="I110" s="25" cm="1">
        <f t="array" aca="1" ref="I110" ca="1">defaultValue(I109,K107)</f>
        <v>70</v>
      </c>
      <c r="J110" s="25" cm="1">
        <f t="array" aca="1" ref="J110" ca="1">defaultValue(J109,K107)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14" t="b">
        <f ca="1">NOT(AND(F110&gt;0,G110&gt;0))</f>
        <v>1</v>
      </c>
      <c r="G111" s="114"/>
      <c r="H111" s="8">
        <v>60</v>
      </c>
      <c r="I111" s="25" cm="1">
        <f t="array" aca="1" ref="I111" ca="1">defaultValue(I109,K107)</f>
        <v>70</v>
      </c>
      <c r="J111" s="25" cm="1">
        <f t="array" aca="1" ref="J111" ca="1">defaultValue(J109,K107)</f>
        <v>30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x14ac:dyDescent="0.3">
      <c r="A112" s="32">
        <v>1</v>
      </c>
      <c r="C112" s="8"/>
      <c r="D112" s="8"/>
      <c r="E112" s="8"/>
      <c r="F112" s="117" t="str">
        <f ca="1">IF(F111,"المقابض مظبوطة","مينفعش مقبض مخفي مع بيلت ان")</f>
        <v>المقابض مظبوطة</v>
      </c>
      <c r="G112" s="117"/>
      <c r="H112" s="8"/>
      <c r="I112" s="8"/>
      <c r="J112" s="8"/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visible(I108, K116)</f>
        <v>HPL</v>
      </c>
      <c r="E116" s="6" t="str">
        <f>visible("قرصة", K116)</f>
        <v>قرصة</v>
      </c>
      <c r="F116" s="6">
        <f>visible(H110-1.8, K116)</f>
        <v>-1.8</v>
      </c>
      <c r="G116" s="6">
        <f>visible(H111-1.8,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visible(I108, K117)</f>
        <v>HPL</v>
      </c>
      <c r="E117" s="6" t="str">
        <f>visible("قاعدة", K117)</f>
        <v>قاعدة</v>
      </c>
      <c r="F117" s="6">
        <f>visible(H110-1.8, K117)</f>
        <v>-1.8</v>
      </c>
      <c r="G117" s="6">
        <f>visible(H111-1.8,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visible(I108, K118)</f>
        <v>HPL</v>
      </c>
      <c r="E118" s="6" t="str">
        <f>visible("جنب 1", K118)</f>
        <v>جنب 1</v>
      </c>
      <c r="F118" s="6">
        <f ca="1">visible(I110, K118)</f>
        <v>70</v>
      </c>
      <c r="G118" s="6">
        <f ca="1">visible(J110,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visible(I108, K119)</f>
        <v>HPL</v>
      </c>
      <c r="E119" s="6" t="str">
        <f>visible("جنب 2", K119)</f>
        <v>جنب 2</v>
      </c>
      <c r="F119" s="6">
        <f ca="1">visible(I111, K119)</f>
        <v>70</v>
      </c>
      <c r="G119" s="6">
        <f ca="1">visible(J111,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visible(I108, K120)</f>
        <v>HPL</v>
      </c>
      <c r="E120" s="6" t="str">
        <f>visible("قائم خلفى", K120)</f>
        <v>قائم خلفى</v>
      </c>
      <c r="F120" s="6">
        <f ca="1">visible(I110,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visible(I108, K121)</f>
        <v>HPL</v>
      </c>
      <c r="E121" s="6" t="str">
        <f>visible("رف", K121)</f>
        <v>رف</v>
      </c>
      <c r="F121" s="6">
        <f>visible(H110-3.8, K121)</f>
        <v>-3.8</v>
      </c>
      <c r="G121" s="6">
        <f>visible(H111-3.8, K121)</f>
        <v>56.2</v>
      </c>
      <c r="H121" s="6">
        <f>visible(D110*C107,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visible(G108, K123)</f>
        <v>يوفيلاك</v>
      </c>
      <c r="E123" s="9" t="str">
        <f>visible("دلف 1", K123)</f>
        <v>دلف 1</v>
      </c>
      <c r="F123" s="9">
        <f ca="1">visible(I110-0.5-F110, K123)</f>
        <v>66</v>
      </c>
      <c r="G123" s="9">
        <f ca="1">visible(H110-J110-3,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visible(G108, K124)</f>
        <v>يوفيلاك</v>
      </c>
      <c r="E124" s="9" t="str">
        <f>visible("دلف 2", K124)</f>
        <v>دلف 2</v>
      </c>
      <c r="F124" s="9">
        <f ca="1">visible(I111-0.5-F110, K124)</f>
        <v>66</v>
      </c>
      <c r="G124" s="9">
        <f ca="1">visible(H111-J111-3,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visible(I110-0.5, K126)</f>
        <v>69.5</v>
      </c>
      <c r="G126" s="9">
        <f ca="1">visible(H110-J110-3.3,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visible(I111-0.5, K127)</f>
        <v>69.5</v>
      </c>
      <c r="G127" s="9">
        <f ca="1">visible(H110-J110-3.3,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visible(E108, K129)</f>
        <v>ظهر</v>
      </c>
      <c r="E129" s="17" t="str">
        <f>visible("ظهر 1", K129)</f>
        <v>ظهر 1</v>
      </c>
      <c r="F129" s="17">
        <f ca="1">visible(I110-2, K129)</f>
        <v>68</v>
      </c>
      <c r="G129" s="17">
        <f>visible(H110-1,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visible(E108, K130)</f>
        <v>ظهر</v>
      </c>
      <c r="E130" s="17" t="str">
        <f>visible("ظهر 2", K130)</f>
        <v>ظهر 2</v>
      </c>
      <c r="F130" s="17">
        <f ca="1">visible(I111-2, K130)</f>
        <v>68</v>
      </c>
      <c r="G130" s="17">
        <f>visible(H111-1,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99" t="s">
        <v>43</v>
      </c>
      <c r="F133" s="100"/>
      <c r="G133" s="100"/>
      <c r="H133" s="101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21" x14ac:dyDescent="0.3">
      <c r="A134" s="32">
        <v>1</v>
      </c>
      <c r="C134" s="7"/>
      <c r="D134" s="8"/>
      <c r="E134" s="25" t="str" cm="1">
        <f t="array" aca="1" ref="E134" ca="1">defaultValue(F134,K133)</f>
        <v>ظهر</v>
      </c>
      <c r="F134" s="7" t="s">
        <v>50</v>
      </c>
      <c r="G134" s="25" t="str" cm="1">
        <f t="array" aca="1" ref="G134" ca="1">defaultValue(H134,K133)</f>
        <v>يوفيلاك</v>
      </c>
      <c r="H134" s="7" t="s">
        <v>28</v>
      </c>
      <c r="I134" s="25" t="str" cm="1">
        <f t="array" aca="1" ref="I134" ca="1">defaultValue(J134,K133)</f>
        <v>HPL</v>
      </c>
      <c r="J134" s="7" t="s">
        <v>27</v>
      </c>
      <c r="K134" s="23" t="s">
        <v>75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31.2" x14ac:dyDescent="0.3">
      <c r="A135" s="32">
        <v>1</v>
      </c>
      <c r="C135" s="7"/>
      <c r="D135" s="7" t="s">
        <v>16</v>
      </c>
      <c r="E135" s="7"/>
      <c r="F135" s="7" t="s">
        <v>14</v>
      </c>
      <c r="G135" s="7" t="s">
        <v>78</v>
      </c>
      <c r="H135" s="7" t="s">
        <v>19</v>
      </c>
      <c r="I135" s="7" t="s">
        <v>3</v>
      </c>
      <c r="J135" s="7" t="s">
        <v>76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>
        <v>1</v>
      </c>
      <c r="E136" s="8"/>
      <c r="F136" s="25" cm="1">
        <f t="array" aca="1" ref="F136" ca="1">defaultValue(F135,K133)</f>
        <v>3.5</v>
      </c>
      <c r="G136" s="25" cm="1">
        <f t="array" aca="1" ref="G136" ca="1">defaultValue(G135,K133)</f>
        <v>0</v>
      </c>
      <c r="H136" s="8"/>
      <c r="I136" s="25" cm="1">
        <f t="array" aca="1" ref="I136" ca="1">defaultValue(I135,K133)</f>
        <v>70</v>
      </c>
      <c r="J136" s="25" cm="1">
        <f t="array" aca="1" ref="J136" ca="1">defaultValue(J135,K133)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14" t="b">
        <f ca="1">NOT(AND(F136&gt;0,G136&gt;0))</f>
        <v>1</v>
      </c>
      <c r="G137" s="114"/>
      <c r="H137" s="8"/>
      <c r="I137" s="25" cm="1">
        <f t="array" aca="1" ref="I137" ca="1">defaultValue(I135,K133)</f>
        <v>70</v>
      </c>
      <c r="J137" s="25" cm="1">
        <f t="array" aca="1" ref="J137" ca="1">defaultValue(J135,K133)</f>
        <v>30</v>
      </c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x14ac:dyDescent="0.3">
      <c r="A138" s="32">
        <v>1</v>
      </c>
      <c r="C138" s="8"/>
      <c r="D138" s="8"/>
      <c r="E138" s="8"/>
      <c r="F138" s="117" t="str">
        <f ca="1">IF(F137,"المقابض مظبوطة","مينفعش مقبض مخفي مع بيلت ان")</f>
        <v>المقابض مظبوطة</v>
      </c>
      <c r="G138" s="117"/>
      <c r="H138" s="8"/>
      <c r="I138" s="8"/>
      <c r="J138" s="8"/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visible(I134, K142)</f>
        <v>HPL</v>
      </c>
      <c r="E142" s="6" t="str">
        <f>visible("قرصة", K142)</f>
        <v>قرصة</v>
      </c>
      <c r="F142" s="6">
        <f>visible(H136-1.8, K142)</f>
        <v>-1.8</v>
      </c>
      <c r="G142" s="6">
        <f>visible(H137-1.8,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visible(I134, K143)</f>
        <v>HPL</v>
      </c>
      <c r="E143" s="6" t="str">
        <f>visible("قاعدة", K143)</f>
        <v>قاعدة</v>
      </c>
      <c r="F143" s="6">
        <f>visible(H136-1.8, K143)</f>
        <v>-1.8</v>
      </c>
      <c r="G143" s="6">
        <f>visible(H137-1.8,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visible(I134, K144)</f>
        <v>HPL</v>
      </c>
      <c r="E144" s="6" t="str">
        <f>visible("جنب 1", K144)</f>
        <v>جنب 1</v>
      </c>
      <c r="F144" s="6">
        <f ca="1">visible(I136, K144)</f>
        <v>70</v>
      </c>
      <c r="G144" s="6">
        <f ca="1">visible(J136,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visible(I134, K145)</f>
        <v>HPL</v>
      </c>
      <c r="E145" s="6" t="str">
        <f>visible("جنب 2", K145)</f>
        <v>جنب 2</v>
      </c>
      <c r="F145" s="6">
        <f ca="1">visible(I137, K145)</f>
        <v>70</v>
      </c>
      <c r="G145" s="6">
        <f ca="1">visible(J137,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visible(I134, K146)</f>
        <v>HPL</v>
      </c>
      <c r="E146" s="6" t="str">
        <f>visible("قائم خلفى", K146)</f>
        <v>قائم خلفى</v>
      </c>
      <c r="F146" s="6">
        <f ca="1">visible(I136,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visible(I134, K147)</f>
        <v>HPL</v>
      </c>
      <c r="E147" s="6" t="str">
        <f>visible("رف", K147)</f>
        <v>رف</v>
      </c>
      <c r="F147" s="6">
        <f>visible(H136-3.8, K147)</f>
        <v>-3.8</v>
      </c>
      <c r="G147" s="6">
        <f>visible(H137-3.8, K147)</f>
        <v>-3.8</v>
      </c>
      <c r="H147" s="6">
        <f>visible(D136*C133,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visible(G134, K149)</f>
        <v>يوفيلاك</v>
      </c>
      <c r="E149" s="9" t="str">
        <f>visible("دلف 1", K149)</f>
        <v>دلف 1</v>
      </c>
      <c r="F149" s="9">
        <f ca="1">visible(I136-0.5-F136, K149)</f>
        <v>66</v>
      </c>
      <c r="G149" s="15">
        <f ca="1">visible((SQRT((H136-J136)^2+(H137-J137)^2))-2,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visible(E134, K151)</f>
        <v>ظهر</v>
      </c>
      <c r="E151" s="17" t="str">
        <f>visible("ظهر", K151)</f>
        <v>ظهر</v>
      </c>
      <c r="F151" s="17">
        <f ca="1">visible(I136-2, K151)</f>
        <v>68</v>
      </c>
      <c r="G151" s="17">
        <f>visible(H136-1,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99" t="s">
        <v>73</v>
      </c>
      <c r="F154" s="100"/>
      <c r="G154" s="100"/>
      <c r="H154" s="101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21" x14ac:dyDescent="0.3">
      <c r="A155" s="32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2">
        <v>1</v>
      </c>
      <c r="C156" s="7" t="s">
        <v>48</v>
      </c>
      <c r="D156" s="7" t="s">
        <v>49</v>
      </c>
      <c r="E156" s="16" t="s">
        <v>16</v>
      </c>
      <c r="F156" s="7" t="s">
        <v>14</v>
      </c>
      <c r="G156" s="7" t="s">
        <v>78</v>
      </c>
      <c r="H156" s="7" t="s">
        <v>19</v>
      </c>
      <c r="I156" s="7" t="s">
        <v>3</v>
      </c>
      <c r="J156" s="7" t="s">
        <v>76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8">
        <v>1</v>
      </c>
      <c r="D157" s="8">
        <v>0</v>
      </c>
      <c r="E157" s="8">
        <v>2</v>
      </c>
      <c r="F157" s="25" cm="1">
        <f t="array" aca="1" ref="F157" ca="1">defaultValue(F156,K154)</f>
        <v>3.5</v>
      </c>
      <c r="G157" s="25" cm="1">
        <f t="array" aca="1" ref="G157" ca="1">defaultValue(G156,K154)</f>
        <v>0</v>
      </c>
      <c r="H157" s="8"/>
      <c r="I157" s="25" cm="1">
        <f t="array" aca="1" ref="I157" ca="1">defaultValue(I156,K154)</f>
        <v>70</v>
      </c>
      <c r="J157" s="25" cm="1">
        <f t="array" aca="1" ref="J157" ca="1">defaultValue(J156,K154)</f>
        <v>30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15.6" x14ac:dyDescent="0.3">
      <c r="A158" s="32">
        <v>1</v>
      </c>
      <c r="C158" s="9" t="b">
        <f>C157=0</f>
        <v>0</v>
      </c>
      <c r="D158" s="9" t="b">
        <f>D157=0</f>
        <v>1</v>
      </c>
      <c r="E158" s="7" t="s">
        <v>72</v>
      </c>
      <c r="F158" s="6" t="b">
        <f ca="1">NOT(AND(F157&gt;0,G157&gt;0))</f>
        <v>1</v>
      </c>
      <c r="G158" s="8"/>
      <c r="H158" s="6" t="b">
        <f>_xlfn.XOR(H157&lt;=50,C159=2)</f>
        <v>1</v>
      </c>
      <c r="I158" s="38"/>
      <c r="J158" s="7" t="s">
        <v>74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28.8" x14ac:dyDescent="0.3">
      <c r="A159" s="32">
        <v>1</v>
      </c>
      <c r="C159" s="109">
        <f>C157+D157</f>
        <v>1</v>
      </c>
      <c r="D159" s="110"/>
      <c r="E159" s="7">
        <v>0</v>
      </c>
      <c r="F159" s="6" t="str">
        <f ca="1">IF(F158,"المقابض مظبوطة","مينفعش مقبض مخفي مع بيلت ان")</f>
        <v>المقابض مظبوطة</v>
      </c>
      <c r="G159" s="8"/>
      <c r="H159" s="6" t="str">
        <f>IF(H158,"عدد الدلف صحيح","عدد الدلف غير صحيح")</f>
        <v>عدد الدلف صحيح</v>
      </c>
      <c r="I159" s="8"/>
      <c r="J159" s="8">
        <v>32</v>
      </c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15.6" x14ac:dyDescent="0.3">
      <c r="A160" s="32">
        <v>1</v>
      </c>
      <c r="C160" s="111" t="b">
        <f>C159&lt;=2</f>
        <v>1</v>
      </c>
      <c r="D160" s="112"/>
      <c r="E160" s="8"/>
      <c r="F160" s="8"/>
      <c r="G160" s="8"/>
      <c r="H160" s="8"/>
      <c r="I160" s="8"/>
      <c r="J160" s="8"/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visible(I155, K164)</f>
        <v>HPL</v>
      </c>
      <c r="E164" s="6" t="str">
        <f>visible("قرصة", K164)</f>
        <v>قرصة</v>
      </c>
      <c r="F164" s="6">
        <f>visible(H157-3.6, K164)</f>
        <v>-3.6</v>
      </c>
      <c r="G164" s="6">
        <f ca="1">visible(J157-E159,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visible(I155, K165)</f>
        <v>HPL</v>
      </c>
      <c r="E165" s="6" t="str">
        <f>visible("قاعدة", K165)</f>
        <v>قاعدة</v>
      </c>
      <c r="F165" s="6">
        <f>visible(H157-3.6, K165)</f>
        <v>-3.6</v>
      </c>
      <c r="G165" s="6">
        <f ca="1">visible(40-G157-E159,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visible(I155, K166)</f>
        <v>HPL</v>
      </c>
      <c r="E166" s="6" t="str">
        <f>visible("أجناب", K166)</f>
        <v>أجناب</v>
      </c>
      <c r="F166" s="6">
        <f ca="1">visible(I157, K166)</f>
        <v>70</v>
      </c>
      <c r="G166" s="6">
        <f ca="1">visible(J157,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visible(I155, K167)</f>
        <v>HPL</v>
      </c>
      <c r="E167" s="6" t="str">
        <f>visible("رف", K167)</f>
        <v>رف</v>
      </c>
      <c r="F167" s="6">
        <f>visible(H157-3.8, K167)</f>
        <v>-3.8</v>
      </c>
      <c r="G167" s="6">
        <f ca="1">visible(J157-5-E159, K167)</f>
        <v>25</v>
      </c>
      <c r="H167" s="6">
        <f>visible(E157*C154,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visible(I155, K168)</f>
        <v>HPL</v>
      </c>
      <c r="E168" s="6" t="str">
        <f>visible("قاطوع", K168)</f>
        <v>قاطوع</v>
      </c>
      <c r="F168" s="6">
        <f>visible(H157-3.6, K168)</f>
        <v>-3.6</v>
      </c>
      <c r="G168" s="6">
        <f ca="1">visible(J157-G157-E159,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visible(G155, K170)</f>
        <v>يوفيلاك</v>
      </c>
      <c r="E170" s="9" t="str">
        <f>visible("دلفه خشب", K170)</f>
        <v>دلفه خشب</v>
      </c>
      <c r="F170" s="9">
        <f ca="1">visible(I157-0.5-F157-J159, K170)</f>
        <v>34</v>
      </c>
      <c r="G170" s="9">
        <f>visible((H157/C159)-0.5, K170)</f>
        <v>-0.5</v>
      </c>
      <c r="H170" s="9">
        <f>visible(C157*C154,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NOT(C158)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/>
      </c>
      <c r="C171" s="9" t="str">
        <f>visible(7,K171)</f>
        <v/>
      </c>
      <c r="D171" s="9" t="str">
        <f>visible("دلفة زجاج", K171)</f>
        <v/>
      </c>
      <c r="E171" s="9" t="str">
        <f>visible("دلفة  زجاج", K171)</f>
        <v/>
      </c>
      <c r="F171" s="9" t="str">
        <f ca="1">visible(I157-0.5-J159, K171)</f>
        <v/>
      </c>
      <c r="G171" s="9" t="str">
        <f>visible((H157/C159)-0.7, K171)</f>
        <v/>
      </c>
      <c r="H171" s="9" t="str">
        <f>visible(C154*D157, K171)</f>
        <v/>
      </c>
      <c r="I171" s="9" t="str">
        <f>visible(materialNum(D171), K171)</f>
        <v/>
      </c>
      <c r="J171" s="9" t="str">
        <f>visible(engraving(I171), K171)</f>
        <v/>
      </c>
      <c r="K171" s="9" t="b">
        <f>D157&gt;0</f>
        <v>0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68</v>
      </c>
      <c r="G173" s="17">
        <f>visible(H157-2,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9:D89"/>
    <mergeCell ref="C64:D64"/>
    <mergeCell ref="F64:G64"/>
    <mergeCell ref="E154:H154"/>
    <mergeCell ref="C43:D43"/>
    <mergeCell ref="C44:D44"/>
    <mergeCell ref="C65:D65"/>
    <mergeCell ref="E107:H107"/>
    <mergeCell ref="F111:G111"/>
    <mergeCell ref="F112:G112"/>
    <mergeCell ref="E133:H133"/>
    <mergeCell ref="F137:G137"/>
    <mergeCell ref="F138:G138"/>
    <mergeCell ref="E83:H83"/>
    <mergeCell ref="F87:G87"/>
    <mergeCell ref="C88:D88"/>
    <mergeCell ref="F88:G88"/>
    <mergeCell ref="C4:N4"/>
    <mergeCell ref="C7:N7"/>
    <mergeCell ref="C2:K2"/>
    <mergeCell ref="C159:D159"/>
    <mergeCell ref="C160:D160"/>
    <mergeCell ref="C22:D22"/>
    <mergeCell ref="F21:G21"/>
    <mergeCell ref="F22:G22"/>
    <mergeCell ref="H22:J22"/>
    <mergeCell ref="C23:D23"/>
    <mergeCell ref="E17:H17"/>
    <mergeCell ref="E38:H38"/>
    <mergeCell ref="E59:H59"/>
    <mergeCell ref="F42:G42"/>
    <mergeCell ref="F43:G43"/>
    <mergeCell ref="F63:G63"/>
  </mergeCells>
  <conditionalFormatting sqref="C23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60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3:F63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1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1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7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8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1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8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3 C65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2 I42 C44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7:F87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7 C89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abSelected="1" topLeftCell="B1" zoomScale="70" zoomScaleNormal="70" workbookViewId="0">
      <pane ySplit="12" topLeftCell="A16" activePane="bottomLeft" state="frozen"/>
      <selection activeCell="B1" sqref="B1"/>
      <selection pane="bottomLeft" activeCell="M23" sqref="M23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9.5546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08" t="s">
        <v>54</v>
      </c>
      <c r="D2" s="108"/>
      <c r="E2" s="108"/>
      <c r="F2" s="108"/>
      <c r="G2" s="108"/>
      <c r="H2" s="108"/>
      <c r="I2" s="108"/>
      <c r="J2" s="108"/>
      <c r="K2" s="108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19" t="s">
        <v>55</v>
      </c>
      <c r="F17" s="119"/>
      <c r="G17" s="119"/>
      <c r="H17" s="119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21" x14ac:dyDescent="0.3">
      <c r="A18" s="32">
        <v>1</v>
      </c>
      <c r="C18" s="7"/>
      <c r="D18" s="8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</row>
    <row r="19" spans="1:11" ht="31.2" x14ac:dyDescent="0.3">
      <c r="A19" s="32">
        <v>1</v>
      </c>
      <c r="C19" s="16"/>
      <c r="D19" s="16"/>
      <c r="E19" s="16" t="s">
        <v>16</v>
      </c>
      <c r="F19" s="7" t="s">
        <v>47</v>
      </c>
      <c r="G19" s="7" t="s">
        <v>14</v>
      </c>
      <c r="H19" s="7" t="s">
        <v>19</v>
      </c>
      <c r="I19" s="7" t="s">
        <v>3</v>
      </c>
      <c r="J19" s="7" t="s">
        <v>2</v>
      </c>
      <c r="K19" s="7"/>
    </row>
    <row r="20" spans="1:11" ht="15.6" x14ac:dyDescent="0.3">
      <c r="A20" s="32">
        <v>1</v>
      </c>
      <c r="C20" s="16"/>
      <c r="D20" s="16"/>
      <c r="E20" s="8">
        <v>2</v>
      </c>
      <c r="F20" s="8">
        <v>1</v>
      </c>
      <c r="G20" s="8">
        <v>3.5</v>
      </c>
      <c r="H20" s="8"/>
      <c r="I20" s="8">
        <v>210</v>
      </c>
      <c r="J20" s="8">
        <v>56</v>
      </c>
      <c r="K20" s="7"/>
    </row>
    <row r="21" spans="1:11" ht="15.6" x14ac:dyDescent="0.3">
      <c r="A21" s="32">
        <v>1</v>
      </c>
      <c r="C21" s="8"/>
      <c r="D21" s="8"/>
      <c r="E21" s="8"/>
      <c r="F21" s="8"/>
      <c r="G21" s="7" t="s">
        <v>48</v>
      </c>
      <c r="H21" s="7" t="s">
        <v>49</v>
      </c>
      <c r="I21" s="8"/>
      <c r="J21" s="8"/>
      <c r="K21" s="7"/>
    </row>
    <row r="22" spans="1:11" ht="25.8" customHeight="1" x14ac:dyDescent="0.3">
      <c r="A22" s="32">
        <v>1</v>
      </c>
      <c r="C22" s="8"/>
      <c r="D22" s="8"/>
      <c r="E22" s="8"/>
      <c r="F22" s="8"/>
      <c r="G22" s="8">
        <v>1</v>
      </c>
      <c r="H22" s="8">
        <v>1</v>
      </c>
      <c r="I22" s="8">
        <v>140</v>
      </c>
      <c r="J22" s="8" t="s">
        <v>59</v>
      </c>
      <c r="K22" s="7"/>
    </row>
    <row r="23" spans="1:11" ht="15.6" x14ac:dyDescent="0.3">
      <c r="A23" s="32">
        <v>1</v>
      </c>
      <c r="C23" s="9" t="b">
        <f>G22=0</f>
        <v>0</v>
      </c>
      <c r="D23" s="9" t="b">
        <f>H22=0</f>
        <v>0</v>
      </c>
      <c r="E23" s="8"/>
      <c r="F23" s="38"/>
      <c r="G23" s="8">
        <v>1</v>
      </c>
      <c r="H23" s="8">
        <v>1</v>
      </c>
      <c r="I23" s="8">
        <v>70</v>
      </c>
      <c r="J23" s="8" t="s">
        <v>60</v>
      </c>
      <c r="K23" s="7"/>
    </row>
    <row r="24" spans="1:11" ht="15.6" x14ac:dyDescent="0.3">
      <c r="A24" s="32">
        <v>1</v>
      </c>
      <c r="C24" s="113">
        <f>G22+H22</f>
        <v>2</v>
      </c>
      <c r="D24" s="113"/>
      <c r="E24" s="8"/>
      <c r="F24" s="38"/>
      <c r="G24" s="38"/>
      <c r="H24" s="38"/>
      <c r="I24" s="8">
        <f>SUM(I22:I23)</f>
        <v>210</v>
      </c>
      <c r="J24" s="117" t="str">
        <f>IF(I25,"مقاس الدلف صحيح","مقاس الدلف غير صحيح")</f>
        <v>مقاس الدلف صحيح</v>
      </c>
      <c r="K24" s="7"/>
    </row>
    <row r="25" spans="1:11" ht="15.6" x14ac:dyDescent="0.3">
      <c r="A25" s="32">
        <v>1</v>
      </c>
      <c r="B25" s="1"/>
      <c r="C25" s="114" t="b">
        <f>C24&lt;=2</f>
        <v>1</v>
      </c>
      <c r="D25" s="114"/>
      <c r="E25" s="8"/>
      <c r="F25" s="8"/>
      <c r="G25" s="8"/>
      <c r="H25" s="8"/>
      <c r="I25" s="6" t="b">
        <f>I24=I20</f>
        <v>1</v>
      </c>
      <c r="J25" s="117"/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visible(I18, K29)</f>
        <v>HPL</v>
      </c>
      <c r="E29" s="6" t="str">
        <f>visible("قرصة", K29)</f>
        <v>قرصة</v>
      </c>
      <c r="F29" s="6">
        <f>visible(H20-3.6, K29)</f>
        <v>-3.6</v>
      </c>
      <c r="G29" s="6">
        <f>visible(J20,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visible(I18, K30)</f>
        <v>HPL</v>
      </c>
      <c r="E30" s="6" t="str">
        <f>visible("قاعدة", K30)</f>
        <v>قاعدة</v>
      </c>
      <c r="F30" s="6">
        <f>visible(H20-3.6, K30)</f>
        <v>-3.6</v>
      </c>
      <c r="G30" s="6">
        <f>visible(J20,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visible(I18, K31)</f>
        <v>HPL</v>
      </c>
      <c r="E31" s="6" t="str">
        <f>visible("قاطوع", K31)</f>
        <v>قاطوع</v>
      </c>
      <c r="F31" s="6">
        <f>visible(H20-3.6, K31)</f>
        <v>-3.6</v>
      </c>
      <c r="G31" s="6">
        <f>visible(J20-2.5, K31)</f>
        <v>53.5</v>
      </c>
      <c r="H31" s="6">
        <f>visible(1*C17*F20,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visible(I18, K32)</f>
        <v>HPL</v>
      </c>
      <c r="E32" s="6" t="str">
        <f>visible("أجناب", K32)</f>
        <v>أجناب</v>
      </c>
      <c r="F32" s="6">
        <f>visible(I20, K32)</f>
        <v>210</v>
      </c>
      <c r="G32" s="6">
        <f>visible(J20,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visible(I18, K33)</f>
        <v>HPL</v>
      </c>
      <c r="E33" s="6" t="str">
        <f>visible("رف", K33)</f>
        <v>رف</v>
      </c>
      <c r="F33" s="6">
        <f>visible(H20-3.8, K33)</f>
        <v>-3.8</v>
      </c>
      <c r="G33" s="6">
        <f>visible(J20-5, K33)</f>
        <v>51</v>
      </c>
      <c r="H33" s="6">
        <f>visible(E20*C17,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visible(G18, K35)</f>
        <v>يوفيلاك</v>
      </c>
      <c r="E35" s="9" t="str">
        <f>visible("دلف دولاب سفلية", K35)</f>
        <v>دلف دولاب سفلية</v>
      </c>
      <c r="F35" s="9">
        <f>visible(I22-0.5-G20, K35)</f>
        <v>136</v>
      </c>
      <c r="G35" s="9">
        <f>visible((H20/C24)-0.5, K35)</f>
        <v>-0.5</v>
      </c>
      <c r="H35" s="9">
        <f>visible(G22*C17,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visible(G18, K36)</f>
        <v>يوفيلاك</v>
      </c>
      <c r="E36" s="9" t="str">
        <f>visible("دلف دولاب علوية", K36)</f>
        <v>دلف دولاب علوية</v>
      </c>
      <c r="F36" s="9">
        <f>visible(I23-0.5-G20, K36)</f>
        <v>66</v>
      </c>
      <c r="G36" s="9">
        <f>visible((H20/C24)-0.5, K36)</f>
        <v>-0.5</v>
      </c>
      <c r="H36" s="9">
        <f>visible(G23*C17,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visible(I22-0.5, K38)</f>
        <v>139.5</v>
      </c>
      <c r="G38" s="9">
        <f>visible((H20/C24)-0.5, K38)</f>
        <v>-0.5</v>
      </c>
      <c r="H38" s="9">
        <f>visible(H22*C17,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visible(I23-0.5, K39)</f>
        <v>69.5</v>
      </c>
      <c r="G39" s="9">
        <f>visible((H20/C24)-0.5, K39)</f>
        <v>-0.5</v>
      </c>
      <c r="H39" s="9">
        <f>visible(H23*C17,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visible(E18, K41)</f>
        <v>ظهر</v>
      </c>
      <c r="E41" s="17" t="str">
        <f>visible("ظهر", K41)</f>
        <v>ظهر</v>
      </c>
      <c r="F41" s="17">
        <f>visible(I20-2, K41)</f>
        <v>208</v>
      </c>
      <c r="G41" s="17">
        <f>visible(H20-2,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19" t="s">
        <v>61</v>
      </c>
      <c r="F44" s="119"/>
      <c r="G44" s="119"/>
      <c r="H44" s="119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21" x14ac:dyDescent="0.3">
      <c r="A45" s="32">
        <v>1</v>
      </c>
      <c r="C45" s="7"/>
      <c r="D45" s="8"/>
      <c r="E45" s="25" t="str" cm="1">
        <f t="array" aca="1" ref="E45" ca="1">defaultValue(F45,K44)</f>
        <v>ظهر</v>
      </c>
      <c r="F45" s="7" t="s">
        <v>50</v>
      </c>
      <c r="G45" s="25" t="str" cm="1">
        <f t="array" aca="1" ref="G45" ca="1">defaultValue(H45,K44)</f>
        <v>يوفيلاك</v>
      </c>
      <c r="H45" s="7" t="s">
        <v>28</v>
      </c>
      <c r="I45" s="25" t="str" cm="1">
        <f t="array" aca="1" ref="I45" ca="1">defaultValue(J45,K44)</f>
        <v>HPL</v>
      </c>
      <c r="J45" s="7" t="s">
        <v>27</v>
      </c>
      <c r="K45" s="23" t="s">
        <v>75</v>
      </c>
      <c r="L45" s="1"/>
      <c r="M45" s="1"/>
    </row>
    <row r="46" spans="1:13" ht="31.2" x14ac:dyDescent="0.3">
      <c r="A46" s="32">
        <v>1</v>
      </c>
      <c r="C46" s="16"/>
      <c r="D46" s="14" t="s">
        <v>17</v>
      </c>
      <c r="E46" s="16" t="s">
        <v>16</v>
      </c>
      <c r="F46" s="7" t="s">
        <v>47</v>
      </c>
      <c r="G46" s="7" t="s">
        <v>14</v>
      </c>
      <c r="H46" s="7" t="s">
        <v>19</v>
      </c>
      <c r="I46" s="7" t="s">
        <v>3</v>
      </c>
      <c r="J46" s="7" t="s">
        <v>2</v>
      </c>
      <c r="K46" s="7"/>
      <c r="L46" s="1"/>
      <c r="M46" s="1"/>
    </row>
    <row r="47" spans="1:13" ht="15.6" x14ac:dyDescent="0.3">
      <c r="A47" s="32">
        <v>1</v>
      </c>
      <c r="C47" s="16"/>
      <c r="D47" s="9">
        <v>45</v>
      </c>
      <c r="E47" s="8">
        <v>2</v>
      </c>
      <c r="F47" s="8">
        <v>1</v>
      </c>
      <c r="G47" s="8">
        <v>3.5</v>
      </c>
      <c r="H47" s="8">
        <v>60</v>
      </c>
      <c r="I47" s="8">
        <v>220</v>
      </c>
      <c r="J47" s="8">
        <v>56</v>
      </c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 t="s">
        <v>48</v>
      </c>
      <c r="H48" s="7" t="s">
        <v>49</v>
      </c>
      <c r="I48" s="8"/>
      <c r="J48" s="8"/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62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>
        <v>20</v>
      </c>
      <c r="J50" s="8" t="s">
        <v>63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7">
        <v>1</v>
      </c>
      <c r="H51" s="7"/>
      <c r="I51" s="8"/>
      <c r="J51" s="8" t="s">
        <v>64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/>
      <c r="J52" s="8" t="s">
        <v>59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67</v>
      </c>
      <c r="J53" s="8" t="s">
        <v>65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1</v>
      </c>
      <c r="H54" s="8"/>
      <c r="I54" s="8">
        <v>35</v>
      </c>
      <c r="J54" s="8" t="s">
        <v>66</v>
      </c>
      <c r="K54" s="7"/>
      <c r="L54" s="1"/>
      <c r="M54" s="1"/>
    </row>
    <row r="55" spans="1:13" ht="15.6" x14ac:dyDescent="0.3">
      <c r="A55" s="32">
        <v>1</v>
      </c>
      <c r="C55" s="8"/>
      <c r="D55" s="8"/>
      <c r="E55" s="8"/>
      <c r="F55" s="8"/>
      <c r="G55" s="8">
        <v>2</v>
      </c>
      <c r="H55" s="8"/>
      <c r="I55" s="8">
        <v>78</v>
      </c>
      <c r="J55" s="8" t="s">
        <v>67</v>
      </c>
      <c r="K55" s="7"/>
      <c r="L55" s="1"/>
      <c r="M55" s="1"/>
    </row>
    <row r="56" spans="1:13" ht="15.6" x14ac:dyDescent="0.3">
      <c r="A56" s="32">
        <v>1</v>
      </c>
      <c r="C56" s="9" t="b">
        <f>G52=0</f>
        <v>0</v>
      </c>
      <c r="D56" s="9" t="b">
        <f>H52=0</f>
        <v>1</v>
      </c>
      <c r="E56" s="8"/>
      <c r="F56" s="38"/>
      <c r="G56" s="8"/>
      <c r="H56" s="8"/>
      <c r="I56" s="8"/>
      <c r="J56" s="8" t="s">
        <v>68</v>
      </c>
      <c r="K56" s="7"/>
      <c r="L56" s="1"/>
      <c r="M56" s="1"/>
    </row>
    <row r="57" spans="1:13" ht="15.6" x14ac:dyDescent="0.3">
      <c r="A57" s="32">
        <v>1</v>
      </c>
      <c r="C57" s="113">
        <f>G52+H52</f>
        <v>1</v>
      </c>
      <c r="D57" s="113"/>
      <c r="E57" s="8"/>
      <c r="F57" s="38"/>
      <c r="G57" s="38"/>
      <c r="H57" s="38"/>
      <c r="I57" s="8">
        <f>SUM(I49:I56)</f>
        <v>220</v>
      </c>
      <c r="J57" s="117" t="str">
        <f>IF(I58,"مقاس الدلف صحيح","مقاس الدلف غير صحيح")</f>
        <v>مقاس الدلف صحيح</v>
      </c>
      <c r="K57" s="7"/>
      <c r="L57" s="1"/>
      <c r="M57" s="1"/>
    </row>
    <row r="58" spans="1:13" ht="15.6" x14ac:dyDescent="0.3">
      <c r="A58" s="32">
        <v>1</v>
      </c>
      <c r="B58" s="1"/>
      <c r="C58" s="114" t="b">
        <f>C57&lt;=2</f>
        <v>1</v>
      </c>
      <c r="D58" s="114"/>
      <c r="E58" s="8"/>
      <c r="F58" s="8"/>
      <c r="G58" s="8"/>
      <c r="H58" s="8"/>
      <c r="I58" s="6" t="b">
        <f>I57=I47</f>
        <v>1</v>
      </c>
      <c r="J58" s="117"/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visible(I45, K62)</f>
        <v>HPL</v>
      </c>
      <c r="E62" s="6" t="str">
        <f>visible("قرصة", K62)</f>
        <v>قرصة</v>
      </c>
      <c r="F62" s="6">
        <f>visible(H47-3.6, K62)</f>
        <v>56.4</v>
      </c>
      <c r="G62" s="6">
        <f>visible(J47,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visible(I45, K63)</f>
        <v>HPL</v>
      </c>
      <c r="E63" s="6" t="str">
        <f>visible("قاعدة", K63)</f>
        <v>قاعدة</v>
      </c>
      <c r="F63" s="6">
        <f>visible(H47-3.6, K63)</f>
        <v>56.4</v>
      </c>
      <c r="G63" s="6">
        <f>visible(J47,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visible(I45, K64)</f>
        <v>HPL</v>
      </c>
      <c r="E64" s="6" t="str">
        <f>visible("قاطوع", K64)</f>
        <v>قاطوع</v>
      </c>
      <c r="F64" s="6">
        <f>visible(H47-3.6, K64)</f>
        <v>56.4</v>
      </c>
      <c r="G64" s="6">
        <f>visible(J47-2.5, K64)</f>
        <v>53.5</v>
      </c>
      <c r="H64" s="6">
        <f>visible(1*C44*F47,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visible(I45, K65)</f>
        <v>HPL</v>
      </c>
      <c r="E65" s="6" t="str">
        <f>visible("أجناب", K65)</f>
        <v>أجناب</v>
      </c>
      <c r="F65" s="6">
        <f>visible(I47, K65)</f>
        <v>220</v>
      </c>
      <c r="G65" s="6">
        <f>visible(J47,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visible(I45, K66)</f>
        <v>HPL</v>
      </c>
      <c r="E66" s="6" t="str">
        <f>visible("رف", K66)</f>
        <v>رف</v>
      </c>
      <c r="F66" s="6">
        <f>visible(H47-3.8, K66)</f>
        <v>56.2</v>
      </c>
      <c r="G66" s="6">
        <f>visible(J47-5, K66)</f>
        <v>51</v>
      </c>
      <c r="H66" s="6">
        <f>visible(E47*C44,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visible(I45, K68)</f>
        <v>HPL</v>
      </c>
      <c r="E68" s="18" t="str">
        <f>visible("وش درج 1 داخلى", K68)</f>
        <v>وش درج 1 داخلى</v>
      </c>
      <c r="F68" s="18">
        <f>visible((H47-3.6-3.6-2.5), K68)</f>
        <v>50.3</v>
      </c>
      <c r="G68" s="18">
        <f>visible((I49-6), K68)</f>
        <v>14</v>
      </c>
      <c r="H68" s="18">
        <f>visible(G49*C44,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G49&gt;0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visible(I45, K69)</f>
        <v>HPL</v>
      </c>
      <c r="E69" s="18" t="str">
        <f>visible("جنب درج 1 داخلى", K69)</f>
        <v>جنب درج 1 داخلى</v>
      </c>
      <c r="F69" s="18">
        <f>visible(D47, K69)</f>
        <v>45</v>
      </c>
      <c r="G69" s="18">
        <f>visible((I49-6), K69)</f>
        <v>14</v>
      </c>
      <c r="H69" s="18">
        <f>visible(2*G49*C44,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G49&gt;0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visible(I45, K70)</f>
        <v>HPL</v>
      </c>
      <c r="E70" s="18" t="str">
        <f>visible("ظهر درج 1 داخلى", K70)</f>
        <v>ظهر درج 1 داخلى</v>
      </c>
      <c r="F70" s="18">
        <f>visible((H47-3.6-3.6-2.5), K70)</f>
        <v>50.3</v>
      </c>
      <c r="G70" s="18">
        <f>visible((I49-6-3), K70)</f>
        <v>11</v>
      </c>
      <c r="H70" s="18">
        <f>visible(G49*C44,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G49&gt;0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visible(I45, K71)</f>
        <v>HPL</v>
      </c>
      <c r="E71" s="10" t="str">
        <f>visible("وش درج 2 داخلى", K71)</f>
        <v>وش درج 2 داخلى</v>
      </c>
      <c r="F71" s="10">
        <f>visible((H47-3.6-3.6-2.5), K71)</f>
        <v>50.3</v>
      </c>
      <c r="G71" s="10">
        <f>visible((I50-6), K71)</f>
        <v>14</v>
      </c>
      <c r="H71" s="10">
        <f>visible(G50*C44,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G50&gt;0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visible(I45, K72)</f>
        <v>HPL</v>
      </c>
      <c r="E72" s="10" t="str">
        <f>visible("جنب درج 2 داخلى", K72)</f>
        <v>جنب درج 2 داخلى</v>
      </c>
      <c r="F72" s="10">
        <f>visible(D47, K72)</f>
        <v>45</v>
      </c>
      <c r="G72" s="10">
        <f>visible((I50-6), K72)</f>
        <v>14</v>
      </c>
      <c r="H72" s="10">
        <f>visible(2*G50*C44,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G50&gt;0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visible(I45, K73)</f>
        <v>HPL</v>
      </c>
      <c r="E73" s="10" t="str">
        <f>visible("ظهر درج 2 داخلى", K73)</f>
        <v>ظهر درج 2 داخلى</v>
      </c>
      <c r="F73" s="10">
        <f>visible((H47-3.6-3.6-2.5), K73)</f>
        <v>50.3</v>
      </c>
      <c r="G73" s="10">
        <f>visible((I50-6-3), K73)</f>
        <v>11</v>
      </c>
      <c r="H73" s="10">
        <f>visible(G50*C44,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G50&gt;0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visible(I45, K74)</f>
        <v>HPL</v>
      </c>
      <c r="E74" s="18" t="str">
        <f>visible("وش درج 3 داخلى", K74)</f>
        <v>وش درج 3 داخلى</v>
      </c>
      <c r="F74" s="18">
        <f>visible((H47-3.6-3.6-2.5), K74)</f>
        <v>50.3</v>
      </c>
      <c r="G74" s="18">
        <f>visible((I51-6), K74)</f>
        <v>-6</v>
      </c>
      <c r="H74" s="18">
        <f>visible(G51*C44,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G51&gt;0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visible(I45, K75)</f>
        <v>HPL</v>
      </c>
      <c r="E75" s="18" t="str">
        <f>visible("جنب درج 3 داخلى", K75)</f>
        <v>جنب درج 3 داخلى</v>
      </c>
      <c r="F75" s="18">
        <f>visible(D47, K75)</f>
        <v>45</v>
      </c>
      <c r="G75" s="18">
        <f>visible((I51-6), K75)</f>
        <v>-6</v>
      </c>
      <c r="H75" s="18">
        <f>visible(2*G51*C44,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G51&gt;0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visible(I45, K76)</f>
        <v>HPL</v>
      </c>
      <c r="E76" s="18" t="str">
        <f>visible("ظهر درج 3 داخلى", K76)</f>
        <v>ظهر درج 3 داخلى</v>
      </c>
      <c r="F76" s="18">
        <f>visible((H47-3.6-3.6-2.5), K76)</f>
        <v>50.3</v>
      </c>
      <c r="G76" s="18">
        <f>visible((I51-6-3), K76)</f>
        <v>-9</v>
      </c>
      <c r="H76" s="18">
        <f>visible(G51*C44,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G51&gt;0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visible(G45, K78)</f>
        <v>يوفيلاك</v>
      </c>
      <c r="E78" s="9" t="str">
        <f>visible(" وش درج 1", K78)</f>
        <v xml:space="preserve"> وش درج 1</v>
      </c>
      <c r="F78" s="9">
        <f>visible((I49-0.5-G47), K78)</f>
        <v>16</v>
      </c>
      <c r="G78" s="9">
        <f>visible((H47-0.5), K78)</f>
        <v>59.5</v>
      </c>
      <c r="H78" s="9">
        <f>visible(G49*C44,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G49&gt;0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visible(G45, K79)</f>
        <v>يوفيلاك</v>
      </c>
      <c r="E79" s="9" t="str">
        <f>visible(" وش درج 2", K79)</f>
        <v xml:space="preserve"> وش درج 2</v>
      </c>
      <c r="F79" s="9">
        <f>visible((I50-0.5-G47), K79)</f>
        <v>16</v>
      </c>
      <c r="G79" s="9">
        <f>visible((H47-0.5), K79)</f>
        <v>59.5</v>
      </c>
      <c r="H79" s="9">
        <f>visible(G50*C44, K79)</f>
        <v>1</v>
      </c>
      <c r="I79" s="9">
        <f t="shared" ca="1" si="1"/>
        <v>6</v>
      </c>
      <c r="J79" s="9">
        <f ca="1">visible(engraving(I79), K79)</f>
        <v>2</v>
      </c>
      <c r="K79" s="9" t="b">
        <f>G50&gt;0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visible(G45, K80)</f>
        <v>يوفيلاك</v>
      </c>
      <c r="E80" s="9" t="str">
        <f>visible(" وش درج 3", K80)</f>
        <v xml:space="preserve"> وش درج 3</v>
      </c>
      <c r="F80" s="9">
        <f>visible((I51-0.5-G47), K80)</f>
        <v>-4</v>
      </c>
      <c r="G80" s="9">
        <f>visible((H47-0.5), K80)</f>
        <v>59.5</v>
      </c>
      <c r="H80" s="9">
        <f>visible(G51*C44, K80)</f>
        <v>1</v>
      </c>
      <c r="I80" s="9">
        <f t="shared" ca="1" si="1"/>
        <v>6</v>
      </c>
      <c r="J80" s="9">
        <f ca="1">visible(engraving(I80), K80)</f>
        <v>2</v>
      </c>
      <c r="K80" s="9" t="b">
        <f>G51&gt;0</f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visible(G45, K81)</f>
        <v>يوفيلاك</v>
      </c>
      <c r="E81" s="9" t="str">
        <f>visible("دلف دولاب سفلية", K81)</f>
        <v>دلف دولاب سفلية</v>
      </c>
      <c r="F81" s="9">
        <f>visible((I52-0.5-G47), K81)</f>
        <v>-4</v>
      </c>
      <c r="G81" s="9">
        <f>visible(((H47/G52)-0.5), K81)</f>
        <v>59.5</v>
      </c>
      <c r="H81" s="9">
        <f>visible((G52+H52)*C44,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(G52+H52)&gt;0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visible(G45, K82)</f>
        <v>يوفيلاك</v>
      </c>
      <c r="E82" s="9" t="str">
        <f>visible("وش فرن", K82)</f>
        <v>وش فرن</v>
      </c>
      <c r="F82" s="9">
        <f>visible((H47-0.5), K82)</f>
        <v>59.5</v>
      </c>
      <c r="G82" s="22">
        <f>visible((I53-60.5), K82)</f>
        <v>6.5</v>
      </c>
      <c r="H82" s="9">
        <f>visible(G53*C44, K82)</f>
        <v>1</v>
      </c>
      <c r="I82" s="9">
        <f t="shared" ca="1" si="1"/>
        <v>6</v>
      </c>
      <c r="J82" s="9">
        <f ca="1">visible(engraving(I82), K82)</f>
        <v>2</v>
      </c>
      <c r="K82" s="9" t="b">
        <f>G53&gt;0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visible(G45,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t="shared" ca="1" si="1"/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visible(G45,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visible(G45, K85)</f>
        <v>يوفيلاك</v>
      </c>
      <c r="E85" s="9" t="str">
        <f>visible("دلف دولاب علوية 1", K85)</f>
        <v>دلف دولاب علوية 1</v>
      </c>
      <c r="F85" s="9">
        <f>visible((I55-0.5-G47), K85)</f>
        <v>74</v>
      </c>
      <c r="G85" s="9">
        <f>visible((H47/G55)-0.5, K85)</f>
        <v>29.5</v>
      </c>
      <c r="H85" s="9">
        <f>visible(G55*C44, K85)</f>
        <v>2</v>
      </c>
      <c r="I85" s="9">
        <f t="shared" ca="1" si="1"/>
        <v>6</v>
      </c>
      <c r="J85" s="9">
        <f ca="1">visible(engraving(I85), K85)</f>
        <v>2</v>
      </c>
      <c r="K85" s="9" t="b">
        <f>G55&gt;0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visible(G45, K86)</f>
        <v/>
      </c>
      <c r="E86" s="9" t="str">
        <f>visible("دلف دولاب علوية 2", K86)</f>
        <v/>
      </c>
      <c r="F86" s="9" t="str">
        <f>visible((I56-0.5-G47), K86)</f>
        <v/>
      </c>
      <c r="G86" s="9" t="str">
        <f>visible((H47/G56)-0.5, K86)</f>
        <v/>
      </c>
      <c r="H86" s="9" t="str">
        <f>visible(G56*C44,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G56&gt;0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visible((I52-0.5-G47), K89)</f>
        <v/>
      </c>
      <c r="G89" s="9" t="str">
        <f>visible((H47/G52)-0.5, K89)</f>
        <v/>
      </c>
      <c r="H89" s="9" t="str">
        <f>visible(H52*C44,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H52&gt;0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visible((I55-0.5), K90)</f>
        <v/>
      </c>
      <c r="G90" s="9" t="str">
        <f>visible((H47/H55)-0.5, K90)</f>
        <v/>
      </c>
      <c r="H90" s="9" t="str">
        <f>visible(H55*C44,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H55&gt;0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visible((I56-0.5), K91)</f>
        <v/>
      </c>
      <c r="G91" s="9" t="str">
        <f>visible((H47/H56)-0.5, K91)</f>
        <v/>
      </c>
      <c r="H91" s="9" t="str">
        <f>visible(H56*C44,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H56&gt;0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visible(E45, K93)</f>
        <v>ظهر</v>
      </c>
      <c r="E93" s="17" t="str">
        <f>visible("ظهر", K93)</f>
        <v>ظهر</v>
      </c>
      <c r="F93" s="17">
        <f>visible(I47-2, K93)</f>
        <v>218</v>
      </c>
      <c r="G93" s="17">
        <f>visible(H47-2,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255</v>
      </c>
    </row>
    <row r="95" spans="1:11" x14ac:dyDescent="0.3">
      <c r="A95" s="32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99" t="s">
        <v>56</v>
      </c>
      <c r="F102" s="100"/>
      <c r="G102" s="100"/>
      <c r="H102" s="101"/>
      <c r="I102" s="2" t="s">
        <v>26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4" t="b">
        <f>NOT(AND(F104&gt;0,G104&gt;0))</f>
        <v>1</v>
      </c>
      <c r="G105" s="114"/>
      <c r="I105" s="3" t="b">
        <f>_xlfn.XOR(I104&lt;=50,C106=2)</f>
        <v>0</v>
      </c>
    </row>
    <row r="106" spans="2:10" ht="24" hidden="1" customHeight="1" x14ac:dyDescent="0.3">
      <c r="C106" s="114">
        <f>C104+E104</f>
        <v>3</v>
      </c>
      <c r="D106" s="114"/>
      <c r="E106" s="30"/>
      <c r="F106" s="118" t="str">
        <f>IF(F105,"المقابض مظبوطة","مينفعش مقبض مخفي مع بيلت ان")</f>
        <v>المقابض مظبوطة</v>
      </c>
      <c r="G106" s="118"/>
      <c r="H106" s="21"/>
      <c r="I106" s="30" t="str">
        <f>IF(I105,"عدد الدلف صحيح","عدد الدلف غير صحيح")</f>
        <v>عدد الدلف غير صحيح</v>
      </c>
      <c r="J106" s="28"/>
    </row>
    <row r="107" spans="2:10" ht="15.6" hidden="1" customHeight="1" x14ac:dyDescent="0.3">
      <c r="C107" s="114" t="b">
        <f>C106&lt;=2</f>
        <v>0</v>
      </c>
      <c r="D107" s="114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99" t="s">
        <v>57</v>
      </c>
      <c r="F122" s="100"/>
      <c r="G122" s="100"/>
      <c r="H122" s="101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4" t="b">
        <f>NOT(AND(F124&gt;0,G124&gt;0))</f>
        <v>1</v>
      </c>
      <c r="G125" s="114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18" t="str">
        <f>IF(F125,"المقابض مظبوطة","مينفعش مقبض مخفي مع بيلت ان")</f>
        <v>المقابض مظبوطة</v>
      </c>
      <c r="G126" s="118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99" t="s">
        <v>58</v>
      </c>
      <c r="F142" s="100"/>
      <c r="G142" s="100"/>
      <c r="H142" s="101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4" t="b">
        <f>NOT(AND(F144&gt;0,G144&gt;0))</f>
        <v>1</v>
      </c>
      <c r="G145" s="114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18" t="str">
        <f>IF(F145,"المقابض مظبوطة","مينفعش مقبض مخفي مع بيلت ان")</f>
        <v>المقابض مظبوطة</v>
      </c>
      <c r="G146" s="118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0" t="s">
        <v>38</v>
      </c>
      <c r="D277" s="120"/>
      <c r="E277" s="120"/>
      <c r="F277" s="120"/>
      <c r="G277" s="120"/>
      <c r="H277" s="120"/>
      <c r="I277" s="120"/>
      <c r="J277" s="120"/>
      <c r="K277" s="120"/>
      <c r="L277" s="120"/>
      <c r="M277" s="120"/>
      <c r="N277" s="120"/>
    </row>
  </sheetData>
  <mergeCells count="23">
    <mergeCell ref="C25:D25"/>
    <mergeCell ref="F145:G145"/>
    <mergeCell ref="C2:K2"/>
    <mergeCell ref="C4:N4"/>
    <mergeCell ref="C7:N7"/>
    <mergeCell ref="C277:N277"/>
    <mergeCell ref="J24:J25"/>
    <mergeCell ref="C57:D57"/>
    <mergeCell ref="J57:J58"/>
    <mergeCell ref="C58:D58"/>
    <mergeCell ref="F146:G146"/>
    <mergeCell ref="E102:H102"/>
    <mergeCell ref="F105:G105"/>
    <mergeCell ref="C106:D106"/>
    <mergeCell ref="F106:G106"/>
    <mergeCell ref="C107:D107"/>
    <mergeCell ref="E44:H44"/>
    <mergeCell ref="C24:D24"/>
    <mergeCell ref="E122:H122"/>
    <mergeCell ref="F125:G125"/>
    <mergeCell ref="F126:G126"/>
    <mergeCell ref="E142:H142"/>
    <mergeCell ref="E17:H17"/>
  </mergeCells>
  <conditionalFormatting sqref="C25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8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5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8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24" activePane="bottomLeft" state="frozen"/>
      <selection activeCell="B1" sqref="B1"/>
      <selection pane="bottomLeft" activeCell="P29" sqref="P29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08" t="s">
        <v>69</v>
      </c>
      <c r="D2" s="108"/>
      <c r="E2" s="108"/>
      <c r="F2" s="108"/>
      <c r="G2" s="108"/>
      <c r="H2" s="108"/>
      <c r="I2" s="108"/>
      <c r="J2" s="108"/>
      <c r="K2" s="108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A7" s="84"/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87"/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99" t="s">
        <v>100</v>
      </c>
      <c r="F17" s="100"/>
      <c r="G17" s="100"/>
      <c r="H17" s="101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99" t="s">
        <v>101</v>
      </c>
      <c r="F29" s="100"/>
      <c r="G29" s="100"/>
      <c r="H29" s="101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99" t="s">
        <v>102</v>
      </c>
      <c r="F41" s="100"/>
      <c r="G41" s="100"/>
      <c r="H41" s="101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2024-09-23T16:25:00Z</dcterms:modified>
</cp:coreProperties>
</file>