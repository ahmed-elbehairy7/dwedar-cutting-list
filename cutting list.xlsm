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A50003E7-AFE0-4D43-A302-954130FD227D}" xr6:coauthVersionLast="47" xr6:coauthVersionMax="47" xr10:uidLastSave="{00000000-0000-0000-0000-000000000000}"/>
  <bookViews>
    <workbookView xWindow="-108" yWindow="-108" windowWidth="23256" windowHeight="12456" tabRatio="627" activeTab="1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بورديوم" sheetId="7" r:id="rId5"/>
    <sheet name="وحدات علوية" sheetId="4" r:id="rId6"/>
    <sheet name="دواليب" sheetId="5" r:id="rId7"/>
    <sheet name="تجاليد" sheetId="6" r:id="rId8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5" i="3" l="1"/>
  <c r="K49" i="11"/>
  <c r="H168" i="3" a="1"/>
  <c r="B168" i="3" a="1"/>
  <c r="E166" i="3" a="1"/>
  <c r="H165" i="3" a="1"/>
  <c r="B165" i="3" a="1"/>
  <c r="E164" i="3" a="1"/>
  <c r="H163" i="3" a="1"/>
  <c r="B163" i="3" a="1"/>
  <c r="E162" i="3" a="1"/>
  <c r="J166" i="3" a="1"/>
  <c r="J162" i="3" a="1"/>
  <c r="H162" i="3" a="1"/>
  <c r="J170" i="3" a="1"/>
  <c r="G168" i="3" a="1"/>
  <c r="G165" i="3" a="1"/>
  <c r="J164" i="3" a="1"/>
  <c r="E165" i="3" a="1"/>
  <c r="C166" i="3" a="1"/>
  <c r="F165" i="3" a="1"/>
  <c r="C164" i="3" a="1"/>
  <c r="C162" i="3" a="1"/>
  <c r="B166" i="3" a="1"/>
  <c r="E163" i="3" a="1"/>
  <c r="H164" i="3" a="1"/>
  <c r="E168" i="3" a="1"/>
  <c r="H166" i="3" a="1"/>
  <c r="B164" i="3" a="1"/>
  <c r="B162" i="3" a="1"/>
  <c r="G164" i="3" a="1"/>
  <c r="J158" i="3" a="1"/>
  <c r="J168" i="3" a="1"/>
  <c r="J165" i="3" a="1"/>
  <c r="J163" i="3" a="1"/>
  <c r="C168" i="3" a="1"/>
  <c r="F166" i="3" a="1"/>
  <c r="C165" i="3" a="1"/>
  <c r="F164" i="3" a="1"/>
  <c r="C163" i="3" a="1"/>
  <c r="F162" i="3" a="1"/>
  <c r="I158" i="3" a="1"/>
  <c r="J155" i="3"/>
  <c r="H62" i="11" a="1"/>
  <c r="B62" i="11" a="1"/>
  <c r="E60" i="11" a="1"/>
  <c r="H59" i="11" a="1"/>
  <c r="B59" i="11" a="1"/>
  <c r="E58" i="11" a="1"/>
  <c r="H57" i="11" a="1"/>
  <c r="B57" i="11" a="1"/>
  <c r="E56" i="11" a="1"/>
  <c r="J57" i="11" a="1"/>
  <c r="F56" i="11" a="1"/>
  <c r="J64" i="11" a="1"/>
  <c r="G62" i="11" a="1"/>
  <c r="J60" i="11" a="1"/>
  <c r="J58" i="11" a="1"/>
  <c r="J56" i="11" a="1"/>
  <c r="H58" i="11" a="1"/>
  <c r="C57" i="11" a="1"/>
  <c r="G59" i="11" a="1"/>
  <c r="E57" i="11" a="1"/>
  <c r="J59" i="11" a="1"/>
  <c r="C60" i="11" a="1"/>
  <c r="C58" i="11" a="1"/>
  <c r="C56" i="11" a="1"/>
  <c r="E59" i="11" a="1"/>
  <c r="G58" i="11" a="1"/>
  <c r="C62" i="11" a="1"/>
  <c r="F59" i="11" a="1"/>
  <c r="B58" i="11" a="1"/>
  <c r="F60" i="11" a="1"/>
  <c r="I52" i="11" a="1"/>
  <c r="B56" i="11" a="1"/>
  <c r="F58" i="11" a="1"/>
  <c r="E62" i="11" a="1"/>
  <c r="H60" i="11" a="1"/>
  <c r="B60" i="11" a="1"/>
  <c r="H56" i="11" a="1"/>
  <c r="J52" i="11" a="1"/>
  <c r="C59" i="11" a="1"/>
  <c r="J49" i="11"/>
  <c r="J62" i="11" a="1"/>
  <c r="I158" i="3" l="1"/>
  <c r="F162" i="3"/>
  <c r="C163" i="3"/>
  <c r="F164" i="3"/>
  <c r="C165" i="3"/>
  <c r="F166" i="3"/>
  <c r="C168" i="3"/>
  <c r="J163" i="3"/>
  <c r="J165" i="3"/>
  <c r="J168" i="3"/>
  <c r="J158" i="3"/>
  <c r="G164" i="3"/>
  <c r="B162" i="3"/>
  <c r="B164" i="3"/>
  <c r="H166" i="3"/>
  <c r="E168" i="3"/>
  <c r="H164" i="3"/>
  <c r="E163" i="3"/>
  <c r="B166" i="3"/>
  <c r="C162" i="3"/>
  <c r="C164" i="3"/>
  <c r="F165" i="3"/>
  <c r="C166" i="3"/>
  <c r="E165" i="3"/>
  <c r="J164" i="3"/>
  <c r="G165" i="3"/>
  <c r="G168" i="3"/>
  <c r="J170" i="3"/>
  <c r="H162" i="3"/>
  <c r="J162" i="3"/>
  <c r="J166" i="3"/>
  <c r="E162" i="3"/>
  <c r="B163" i="3"/>
  <c r="H163" i="3"/>
  <c r="E164" i="3"/>
  <c r="B165" i="3"/>
  <c r="H165" i="3"/>
  <c r="E166" i="3"/>
  <c r="B168" i="3"/>
  <c r="H168" i="3"/>
  <c r="J62" i="11"/>
  <c r="C59" i="11"/>
  <c r="J52" i="11"/>
  <c r="H56" i="11"/>
  <c r="B60" i="11"/>
  <c r="H60" i="11"/>
  <c r="E62" i="11"/>
  <c r="F58" i="11"/>
  <c r="B56" i="11"/>
  <c r="I52" i="11"/>
  <c r="F60" i="11"/>
  <c r="B58" i="11"/>
  <c r="F59" i="11"/>
  <c r="C62" i="11"/>
  <c r="G58" i="11"/>
  <c r="E59" i="11"/>
  <c r="C56" i="11"/>
  <c r="C58" i="11"/>
  <c r="C60" i="11"/>
  <c r="J59" i="11"/>
  <c r="E57" i="11"/>
  <c r="G59" i="11"/>
  <c r="C57" i="11"/>
  <c r="H58" i="11"/>
  <c r="J56" i="11"/>
  <c r="J58" i="11"/>
  <c r="J60" i="11"/>
  <c r="G62" i="11"/>
  <c r="J64" i="11"/>
  <c r="F56" i="11"/>
  <c r="J57" i="11"/>
  <c r="E56" i="11"/>
  <c r="B57" i="11"/>
  <c r="H57" i="11"/>
  <c r="E58" i="11"/>
  <c r="B59" i="11"/>
  <c r="H59" i="11"/>
  <c r="E60" i="11"/>
  <c r="B62" i="11"/>
  <c r="H62" i="11"/>
  <c r="K31" i="11"/>
  <c r="K13" i="11"/>
  <c r="F163" i="3" a="1"/>
  <c r="G162" i="3" a="1"/>
  <c r="G163" i="3" a="1"/>
  <c r="G56" i="11" a="1"/>
  <c r="G57" i="11" a="1"/>
  <c r="F57" i="11" a="1"/>
  <c r="G14" i="11" a="1"/>
  <c r="H26" i="11" a="1"/>
  <c r="G20" i="11" a="1"/>
  <c r="E21" i="11" a="1"/>
  <c r="B25" i="11" a="1"/>
  <c r="J13" i="11"/>
  <c r="H25" i="11" a="1"/>
  <c r="F28" i="11" a="1"/>
  <c r="E22" i="11" a="1"/>
  <c r="B23" i="11" a="1"/>
  <c r="H23" i="11" a="1"/>
  <c r="E20" i="11" a="1"/>
  <c r="B22" i="11" a="1"/>
  <c r="C28" i="11" a="1"/>
  <c r="F26" i="11" a="1"/>
  <c r="B21" i="11" a="1"/>
  <c r="H22" i="11" a="1"/>
  <c r="H21" i="11" a="1"/>
  <c r="F25" i="11" a="1"/>
  <c r="H20" i="11" a="1"/>
  <c r="F23" i="11" a="1"/>
  <c r="C26" i="11" a="1"/>
  <c r="B20" i="11" a="1"/>
  <c r="H28" i="11" a="1"/>
  <c r="J26" i="11" a="1"/>
  <c r="C22" i="11" a="1"/>
  <c r="G26" i="11" a="1"/>
  <c r="G25" i="11" a="1"/>
  <c r="B28" i="11" a="1"/>
  <c r="E23" i="11" a="1"/>
  <c r="G22" i="11" a="1"/>
  <c r="F22" i="11" a="1"/>
  <c r="C25" i="11" a="1"/>
  <c r="J28" i="11" a="1"/>
  <c r="F21" i="11" a="1"/>
  <c r="G28" i="11" a="1"/>
  <c r="J25" i="11" a="1"/>
  <c r="J22" i="11" a="1"/>
  <c r="J23" i="11" a="1"/>
  <c r="G21" i="11" a="1"/>
  <c r="C23" i="11" a="1"/>
  <c r="E28" i="11" a="1"/>
  <c r="C20" i="11" a="1"/>
  <c r="G23" i="11" a="1"/>
  <c r="B26" i="11" a="1"/>
  <c r="F20" i="11" a="1"/>
  <c r="C21" i="11" a="1"/>
  <c r="J21" i="11" a="1"/>
  <c r="E25" i="11" a="1"/>
  <c r="J20" i="11" a="1"/>
  <c r="E26" i="11" a="1"/>
  <c r="J46" i="11" a="1"/>
  <c r="G44" i="11" a="1"/>
  <c r="J42" i="11" a="1"/>
  <c r="G41" i="11" a="1"/>
  <c r="J40" i="11" a="1"/>
  <c r="J38" i="11" a="1"/>
  <c r="C42" i="11" a="1"/>
  <c r="C40" i="11" a="1"/>
  <c r="C38" i="11" a="1"/>
  <c r="F41" i="11" a="1"/>
  <c r="E44" i="11" a="1"/>
  <c r="H42" i="11" a="1"/>
  <c r="B42" i="11" a="1"/>
  <c r="E41" i="11" a="1"/>
  <c r="H40" i="11" a="1"/>
  <c r="B40" i="11" a="1"/>
  <c r="E39" i="11" a="1"/>
  <c r="H38" i="11" a="1"/>
  <c r="B38" i="11" a="1"/>
  <c r="J44" i="11" a="1"/>
  <c r="J41" i="11" a="1"/>
  <c r="G40" i="11" a="1"/>
  <c r="J34" i="11" a="1"/>
  <c r="J31" i="11"/>
  <c r="C44" i="11" a="1"/>
  <c r="F42" i="11" a="1"/>
  <c r="C41" i="11" a="1"/>
  <c r="F40" i="11" a="1"/>
  <c r="C39" i="11" a="1"/>
  <c r="F38" i="11" a="1"/>
  <c r="I34" i="11" a="1"/>
  <c r="H44" i="11" a="1"/>
  <c r="B44" i="11" a="1"/>
  <c r="E42" i="11" a="1"/>
  <c r="H41" i="11" a="1"/>
  <c r="B41" i="11" a="1"/>
  <c r="E40" i="11" a="1"/>
  <c r="H39" i="11" a="1"/>
  <c r="B39" i="11" a="1"/>
  <c r="E38" i="11" a="1"/>
  <c r="G163" i="3" l="1"/>
  <c r="G162" i="3"/>
  <c r="F163" i="3"/>
  <c r="F57" i="11"/>
  <c r="G57" i="11"/>
  <c r="G56" i="11"/>
  <c r="G14" i="11"/>
  <c r="E38" i="11"/>
  <c r="B39" i="11"/>
  <c r="H39" i="11"/>
  <c r="E40" i="11"/>
  <c r="B41" i="11"/>
  <c r="H41" i="11"/>
  <c r="E42" i="11"/>
  <c r="B44" i="11"/>
  <c r="H44" i="11"/>
  <c r="I34" i="11"/>
  <c r="F38" i="11"/>
  <c r="C39" i="11"/>
  <c r="F40" i="11"/>
  <c r="C41" i="11"/>
  <c r="F42" i="11"/>
  <c r="C44" i="11"/>
  <c r="J34" i="11"/>
  <c r="G40" i="11"/>
  <c r="J41" i="11"/>
  <c r="J44" i="11"/>
  <c r="B38" i="11"/>
  <c r="H38" i="11"/>
  <c r="E39" i="11"/>
  <c r="B40" i="11"/>
  <c r="H40" i="11"/>
  <c r="E41" i="11"/>
  <c r="B42" i="11"/>
  <c r="H42" i="11"/>
  <c r="E44" i="11"/>
  <c r="F41" i="11"/>
  <c r="C38" i="11"/>
  <c r="C40" i="11"/>
  <c r="C42" i="11"/>
  <c r="J38" i="11"/>
  <c r="J40" i="11"/>
  <c r="G41" i="11"/>
  <c r="J42" i="11"/>
  <c r="G44" i="11"/>
  <c r="J46" i="11"/>
  <c r="H22" i="11"/>
  <c r="H26" i="11"/>
  <c r="H25" i="11"/>
  <c r="H23" i="11"/>
  <c r="H21" i="11"/>
  <c r="H20" i="11"/>
  <c r="G22" i="11"/>
  <c r="H28" i="11"/>
  <c r="G28" i="11"/>
  <c r="G26" i="11"/>
  <c r="G25" i="11"/>
  <c r="G23" i="11"/>
  <c r="G21" i="11"/>
  <c r="G20" i="11"/>
  <c r="F28" i="11"/>
  <c r="F26" i="11"/>
  <c r="F25" i="11"/>
  <c r="F23" i="11"/>
  <c r="F22" i="11"/>
  <c r="F21" i="11"/>
  <c r="F20" i="11"/>
  <c r="E28" i="11"/>
  <c r="E26" i="11"/>
  <c r="E25" i="11"/>
  <c r="E23" i="11"/>
  <c r="E21" i="11"/>
  <c r="E22" i="11"/>
  <c r="E20" i="11"/>
  <c r="C28" i="11"/>
  <c r="C26" i="11"/>
  <c r="C25" i="11"/>
  <c r="C23" i="11"/>
  <c r="C22" i="11"/>
  <c r="C21" i="11"/>
  <c r="C20" i="11"/>
  <c r="B28" i="11"/>
  <c r="B26" i="11"/>
  <c r="B25" i="11"/>
  <c r="B23" i="11"/>
  <c r="B22" i="11"/>
  <c r="B21" i="11"/>
  <c r="B20" i="11"/>
  <c r="J28" i="11"/>
  <c r="J25" i="11"/>
  <c r="J26" i="11"/>
  <c r="J23" i="11"/>
  <c r="J21" i="11"/>
  <c r="J22" i="11"/>
  <c r="J20" i="11"/>
  <c r="G166" i="3" a="1"/>
  <c r="G60" i="11" a="1"/>
  <c r="J39" i="11" a="1"/>
  <c r="G38" i="11" a="1"/>
  <c r="G39" i="11" a="1"/>
  <c r="F39" i="11" a="1"/>
  <c r="G166" i="3" l="1"/>
  <c r="G60" i="11"/>
  <c r="J39" i="11"/>
  <c r="F39" i="11"/>
  <c r="G39" i="11"/>
  <c r="G38" i="11"/>
  <c r="G42" i="11" a="1"/>
  <c r="G42" i="11" l="1"/>
  <c r="O22" i="8" a="1"/>
  <c r="I14" i="11" a="1"/>
  <c r="E14" i="11" a="1"/>
  <c r="G16" i="11" a="1"/>
  <c r="I14" i="11" l="1"/>
  <c r="G16" i="11"/>
  <c r="E14" i="11"/>
  <c r="O22" i="8"/>
  <c r="O23" i="8" a="1"/>
  <c r="D21" i="11" a="1"/>
  <c r="D20" i="11" a="1"/>
  <c r="D28" i="11" a="1"/>
  <c r="D25" i="11" a="1"/>
  <c r="D23" i="11" a="1"/>
  <c r="D22" i="11" a="1"/>
  <c r="D26" i="11" a="1"/>
  <c r="D28" i="11" l="1"/>
  <c r="D26" i="11"/>
  <c r="D25" i="11"/>
  <c r="D23" i="11"/>
  <c r="D22" i="11"/>
  <c r="D21" i="11"/>
  <c r="D20" i="11"/>
  <c r="O23" i="8"/>
  <c r="O24" i="8" a="1"/>
  <c r="I20" i="11" a="1"/>
  <c r="I26" i="11" a="1"/>
  <c r="I28" i="11" a="1"/>
  <c r="I25" i="11" a="1"/>
  <c r="I21" i="11" a="1"/>
  <c r="I22" i="11" a="1"/>
  <c r="I23" i="11" a="1"/>
  <c r="I20" i="11" l="1"/>
  <c r="I26" i="11"/>
  <c r="I25" i="11"/>
  <c r="I21" i="11"/>
  <c r="I23" i="11"/>
  <c r="I22" i="11"/>
  <c r="I28" i="11"/>
  <c r="O24" i="8"/>
  <c r="I19" i="8"/>
  <c r="R18" i="8"/>
  <c r="O18" i="8"/>
  <c r="L18" i="8"/>
  <c r="I18" i="8"/>
  <c r="F18" i="8"/>
  <c r="C18" i="8"/>
  <c r="C139" i="7"/>
  <c r="F139" i="7"/>
  <c r="C140" i="7"/>
  <c r="C141" i="7" s="1"/>
  <c r="F141" i="7"/>
  <c r="G141" i="7"/>
  <c r="L74" i="5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32" i="3"/>
  <c r="K109" i="3"/>
  <c r="K89" i="3"/>
  <c r="K68" i="3"/>
  <c r="K48" i="3"/>
  <c r="K13" i="3"/>
  <c r="F26" i="8" a="1"/>
  <c r="O27" i="8" a="1"/>
  <c r="O28" i="8" a="1"/>
  <c r="O29" i="8" a="1"/>
  <c r="O30" i="8" a="1"/>
  <c r="O25" i="8" a="1"/>
  <c r="O31" i="8" a="1"/>
  <c r="O26" i="8" a="1"/>
  <c r="R19" i="8" a="1"/>
  <c r="I23" i="8" a="1"/>
  <c r="O19" i="8" a="1"/>
  <c r="L20" i="8" a="1"/>
  <c r="F24" i="8" a="1"/>
  <c r="F20" i="8" a="1"/>
  <c r="O20" i="8" a="1"/>
  <c r="F25" i="8" a="1"/>
  <c r="L21" i="8" a="1"/>
  <c r="F21" i="8" a="1"/>
  <c r="F19" i="8" a="1"/>
  <c r="L19" i="8" a="1"/>
  <c r="I22" i="8" a="1"/>
  <c r="O21" i="8" a="1"/>
  <c r="F26" i="8" l="1"/>
  <c r="O26" i="8"/>
  <c r="O31" i="8"/>
  <c r="O25" i="8"/>
  <c r="O30" i="8"/>
  <c r="O29" i="8"/>
  <c r="O28" i="8"/>
  <c r="O27" i="8"/>
  <c r="R19" i="8"/>
  <c r="L21" i="8"/>
  <c r="L20" i="8"/>
  <c r="L19" i="8"/>
  <c r="O21" i="8"/>
  <c r="O19" i="8"/>
  <c r="O20" i="8"/>
  <c r="I23" i="8"/>
  <c r="I22" i="8"/>
  <c r="F25" i="8"/>
  <c r="F24" i="8"/>
  <c r="F21" i="8"/>
  <c r="F19" i="8"/>
  <c r="F20" i="8"/>
  <c r="G46" i="6"/>
  <c r="B46" i="6"/>
  <c r="G45" i="6"/>
  <c r="B45" i="6"/>
  <c r="G44" i="6"/>
  <c r="B44" i="6"/>
  <c r="G43" i="6"/>
  <c r="B43" i="6"/>
  <c r="G42" i="6"/>
  <c r="B42" i="6"/>
  <c r="C19" i="6"/>
  <c r="C20" i="6" s="1"/>
  <c r="C21" i="6" s="1"/>
  <c r="C22" i="6" s="1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43" i="7" s="1"/>
  <c r="H134" i="7"/>
  <c r="F134" i="7"/>
  <c r="B134" i="7"/>
  <c r="B144" i="7" s="1"/>
  <c r="H149" i="3"/>
  <c r="H152" i="3"/>
  <c r="F152" i="3"/>
  <c r="F149" i="3"/>
  <c r="H146" i="3"/>
  <c r="H145" i="3"/>
  <c r="H144" i="3"/>
  <c r="G146" i="3"/>
  <c r="F146" i="3"/>
  <c r="F144" i="3"/>
  <c r="H151" i="3"/>
  <c r="G151" i="3"/>
  <c r="H148" i="3"/>
  <c r="G148" i="3"/>
  <c r="H143" i="3"/>
  <c r="F143" i="3"/>
  <c r="H142" i="3"/>
  <c r="G142" i="3"/>
  <c r="F142" i="3"/>
  <c r="H141" i="3"/>
  <c r="G141" i="3"/>
  <c r="F141" i="3"/>
  <c r="H140" i="3"/>
  <c r="C140" i="3"/>
  <c r="C141" i="3" s="1"/>
  <c r="C142" i="3" s="1"/>
  <c r="C143" i="3" s="1"/>
  <c r="C144" i="3" s="1"/>
  <c r="C145" i="3" s="1"/>
  <c r="C146" i="3" s="1"/>
  <c r="C148" i="3" s="1"/>
  <c r="C149" i="3" s="1"/>
  <c r="H139" i="3"/>
  <c r="F139" i="3"/>
  <c r="B139" i="3"/>
  <c r="B143" i="3" s="1"/>
  <c r="F158" i="3" a="1"/>
  <c r="G158" i="3" a="1"/>
  <c r="E156" i="3" a="1"/>
  <c r="I156" i="3" a="1"/>
  <c r="G156" i="3" a="1"/>
  <c r="F34" i="11" a="1"/>
  <c r="F52" i="11" a="1"/>
  <c r="E50" i="11" a="1"/>
  <c r="G52" i="11" a="1"/>
  <c r="G50" i="11" a="1"/>
  <c r="I50" i="11" a="1"/>
  <c r="I27" i="8" a="1"/>
  <c r="L25" i="8" a="1"/>
  <c r="R23" i="8" a="1"/>
  <c r="J132" i="3"/>
  <c r="R25" i="8" a="1"/>
  <c r="I28" i="8" a="1"/>
  <c r="J25" i="6"/>
  <c r="I31" i="8" a="1"/>
  <c r="L30" i="8" a="1"/>
  <c r="J37" i="6"/>
  <c r="F29" i="8" a="1"/>
  <c r="R21" i="8" a="1"/>
  <c r="L29" i="8" a="1"/>
  <c r="J31" i="7"/>
  <c r="R31" i="8" a="1"/>
  <c r="R27" i="8" a="1"/>
  <c r="R20" i="8" a="1"/>
  <c r="I30" i="8" a="1"/>
  <c r="R24" i="8" a="1"/>
  <c r="L27" i="8" a="1"/>
  <c r="F30" i="8" a="1"/>
  <c r="R30" i="8" a="1"/>
  <c r="L28" i="8" a="1"/>
  <c r="I29" i="8" a="1"/>
  <c r="R26" i="8" a="1"/>
  <c r="F28" i="8" a="1"/>
  <c r="I26" i="8" a="1"/>
  <c r="F31" i="8" a="1"/>
  <c r="R29" i="8" a="1"/>
  <c r="R28" i="8" a="1"/>
  <c r="F27" i="8" a="1"/>
  <c r="R22" i="8" a="1"/>
  <c r="L24" i="8" a="1"/>
  <c r="J127" i="7"/>
  <c r="L31" i="8" a="1"/>
  <c r="J79" i="4"/>
  <c r="I32" i="11" a="1"/>
  <c r="E32" i="11" a="1"/>
  <c r="G34" i="11" a="1"/>
  <c r="G32" i="11" a="1"/>
  <c r="J81" i="4" a="1"/>
  <c r="G152" i="4" a="1"/>
  <c r="I15" i="4" a="1"/>
  <c r="G131" i="4" a="1"/>
  <c r="G57" i="4" a="1"/>
  <c r="I152" i="4" a="1"/>
  <c r="G36" i="4" a="1"/>
  <c r="J36" i="4" a="1"/>
  <c r="J132" i="4" a="1"/>
  <c r="I81" i="4" a="1"/>
  <c r="I20" i="8" a="1"/>
  <c r="J105" i="4" a="1"/>
  <c r="G15" i="4" a="1"/>
  <c r="G81" i="4" a="1"/>
  <c r="I25" i="8" a="1"/>
  <c r="I36" i="4" a="1"/>
  <c r="G105" i="4" a="1"/>
  <c r="I105" i="4" a="1"/>
  <c r="I132" i="4" a="1"/>
  <c r="I21" i="8" a="1"/>
  <c r="I106" i="4" a="1"/>
  <c r="J131" i="4" a="1"/>
  <c r="I131" i="4" a="1"/>
  <c r="I24" i="8" a="1"/>
  <c r="J106" i="4" a="1"/>
  <c r="I57" i="4" a="1"/>
  <c r="J152" i="4" a="1"/>
  <c r="J15" i="4" a="1"/>
  <c r="J57" i="4" a="1"/>
  <c r="G156" i="3" l="1"/>
  <c r="I156" i="3"/>
  <c r="E156" i="3"/>
  <c r="G158" i="3"/>
  <c r="F158" i="3"/>
  <c r="K170" i="3" s="1"/>
  <c r="F52" i="11"/>
  <c r="K64" i="11" s="1"/>
  <c r="F34" i="11"/>
  <c r="K46" i="11" s="1"/>
  <c r="I50" i="11"/>
  <c r="G50" i="11"/>
  <c r="G52" i="11"/>
  <c r="E50" i="11"/>
  <c r="I26" i="8"/>
  <c r="G32" i="11"/>
  <c r="G34" i="11"/>
  <c r="E32" i="11"/>
  <c r="I32" i="11"/>
  <c r="I21" i="8"/>
  <c r="I20" i="8"/>
  <c r="I24" i="8"/>
  <c r="I25" i="8"/>
  <c r="R31" i="8"/>
  <c r="R24" i="8"/>
  <c r="R30" i="8"/>
  <c r="R23" i="8"/>
  <c r="R22" i="8"/>
  <c r="R28" i="8"/>
  <c r="R20" i="8"/>
  <c r="R25" i="8"/>
  <c r="R29" i="8"/>
  <c r="R27" i="8"/>
  <c r="R26" i="8"/>
  <c r="R21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L25" i="8"/>
  <c r="L27" i="8"/>
  <c r="L28" i="8"/>
  <c r="L29" i="8"/>
  <c r="L24" i="8"/>
  <c r="L30" i="8"/>
  <c r="L31" i="8"/>
  <c r="I27" i="8"/>
  <c r="I28" i="8"/>
  <c r="I29" i="8"/>
  <c r="I30" i="8"/>
  <c r="I31" i="8"/>
  <c r="F27" i="8"/>
  <c r="F28" i="8"/>
  <c r="F29" i="8"/>
  <c r="F30" i="8"/>
  <c r="F31" i="8"/>
  <c r="B147" i="7"/>
  <c r="B149" i="3"/>
  <c r="B135" i="7"/>
  <c r="B139" i="7" s="1"/>
  <c r="B152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51" i="3"/>
  <c r="C152" i="3" s="1"/>
  <c r="B151" i="3"/>
  <c r="B142" i="3"/>
  <c r="B146" i="3" s="1"/>
  <c r="B140" i="3"/>
  <c r="B144" i="3" s="1"/>
  <c r="B148" i="3"/>
  <c r="B141" i="3"/>
  <c r="B145" i="3" s="1"/>
  <c r="H123" i="3"/>
  <c r="G123" i="3"/>
  <c r="F123" i="3"/>
  <c r="H122" i="3"/>
  <c r="H121" i="3"/>
  <c r="F121" i="3"/>
  <c r="H129" i="3"/>
  <c r="F129" i="3"/>
  <c r="H119" i="3"/>
  <c r="H118" i="3"/>
  <c r="H116" i="3"/>
  <c r="G60" i="3"/>
  <c r="G62" i="3"/>
  <c r="H45" i="3"/>
  <c r="H44" i="3"/>
  <c r="H43" i="3"/>
  <c r="F44" i="3"/>
  <c r="F45" i="3"/>
  <c r="F43" i="3"/>
  <c r="H30" i="3"/>
  <c r="H29" i="3"/>
  <c r="H28" i="3"/>
  <c r="H40" i="3"/>
  <c r="H39" i="3"/>
  <c r="H38" i="3"/>
  <c r="G40" i="3"/>
  <c r="G39" i="3"/>
  <c r="G38" i="3"/>
  <c r="H34" i="3"/>
  <c r="H35" i="3"/>
  <c r="H33" i="3"/>
  <c r="H32" i="3"/>
  <c r="H31" i="3"/>
  <c r="H27" i="3"/>
  <c r="H26" i="3"/>
  <c r="H25" i="3"/>
  <c r="G35" i="3"/>
  <c r="G34" i="3"/>
  <c r="G33" i="3"/>
  <c r="G32" i="3"/>
  <c r="G31" i="3"/>
  <c r="G30" i="3"/>
  <c r="G29" i="3"/>
  <c r="G28" i="3"/>
  <c r="G27" i="3"/>
  <c r="G26" i="3"/>
  <c r="G25" i="3"/>
  <c r="F33" i="3"/>
  <c r="F31" i="3"/>
  <c r="F34" i="3"/>
  <c r="G50" i="4"/>
  <c r="G147" i="4"/>
  <c r="G126" i="4"/>
  <c r="G125" i="4"/>
  <c r="G106" i="3"/>
  <c r="G86" i="3"/>
  <c r="D168" i="3" a="1"/>
  <c r="F170" i="3" a="1"/>
  <c r="G170" i="3" a="1"/>
  <c r="B170" i="3" a="1"/>
  <c r="H170" i="3" a="1"/>
  <c r="C170" i="3" a="1"/>
  <c r="E170" i="3" a="1"/>
  <c r="D165" i="3" a="1"/>
  <c r="D163" i="3" a="1"/>
  <c r="D162" i="3" a="1"/>
  <c r="D166" i="3" a="1"/>
  <c r="D164" i="3" a="1"/>
  <c r="D170" i="3" a="1"/>
  <c r="F168" i="3" a="1"/>
  <c r="F46" i="11" a="1"/>
  <c r="H46" i="11" a="1"/>
  <c r="B46" i="11" a="1"/>
  <c r="G46" i="11" a="1"/>
  <c r="E46" i="11" a="1"/>
  <c r="C46" i="11" a="1"/>
  <c r="D59" i="11" a="1"/>
  <c r="D57" i="11" a="1"/>
  <c r="D56" i="11" a="1"/>
  <c r="D58" i="11" a="1"/>
  <c r="D60" i="11" a="1"/>
  <c r="D62" i="11" a="1"/>
  <c r="F62" i="11" a="1"/>
  <c r="J66" i="7"/>
  <c r="J13" i="3"/>
  <c r="J86" i="7"/>
  <c r="J103" i="4"/>
  <c r="J48" i="3"/>
  <c r="J13" i="4"/>
  <c r="J68" i="3"/>
  <c r="J34" i="4"/>
  <c r="J109" i="3"/>
  <c r="J40" i="5"/>
  <c r="J150" i="4"/>
  <c r="J13" i="6"/>
  <c r="J107" i="7"/>
  <c r="J13" i="5"/>
  <c r="J89" i="3"/>
  <c r="J55" i="4"/>
  <c r="J13" i="7"/>
  <c r="J129" i="4"/>
  <c r="D44" i="11" a="1"/>
  <c r="F44" i="11" a="1"/>
  <c r="D46" i="11" a="1"/>
  <c r="D39" i="11" a="1"/>
  <c r="D41" i="11" a="1"/>
  <c r="D38" i="11" a="1"/>
  <c r="D40" i="11" a="1"/>
  <c r="D42" i="11" a="1"/>
  <c r="I14" i="3" a="1"/>
  <c r="J129" i="7" a="1"/>
  <c r="I34" i="7" a="1"/>
  <c r="I134" i="3" a="1"/>
  <c r="J92" i="3" a="1"/>
  <c r="E111" i="3" a="1"/>
  <c r="I89" i="7" a="1"/>
  <c r="F152" i="4" a="1"/>
  <c r="J111" i="3" a="1"/>
  <c r="I71" i="3" a="1"/>
  <c r="J70" i="3" a="1"/>
  <c r="E70" i="3" a="1"/>
  <c r="I88" i="7" a="1"/>
  <c r="J88" i="7" a="1"/>
  <c r="J91" i="3" a="1"/>
  <c r="E50" i="3" a="1"/>
  <c r="I110" i="7" a="1"/>
  <c r="F36" i="4" a="1"/>
  <c r="G16" i="3" a="1"/>
  <c r="J110" i="7" a="1"/>
  <c r="F81" i="4" a="1"/>
  <c r="I92" i="3" a="1"/>
  <c r="J50" i="3" a="1"/>
  <c r="J16" i="3" a="1"/>
  <c r="I109" i="7" a="1"/>
  <c r="J68" i="7" a="1"/>
  <c r="F131" i="4" a="1"/>
  <c r="G134" i="3" a="1"/>
  <c r="J109" i="7" a="1"/>
  <c r="J71" i="3" a="1"/>
  <c r="I70" i="3" a="1"/>
  <c r="I68" i="7" a="1"/>
  <c r="G111" i="3" a="1"/>
  <c r="I50" i="3" a="1"/>
  <c r="I129" i="7" a="1"/>
  <c r="E134" i="3" a="1"/>
  <c r="F105" i="4" a="1"/>
  <c r="J134" i="3" a="1"/>
  <c r="I111" i="3" a="1"/>
  <c r="F57" i="4" a="1"/>
  <c r="I16" i="3" a="1"/>
  <c r="F15" i="4" a="1"/>
  <c r="I91" i="3" a="1"/>
  <c r="J89" i="7" a="1"/>
  <c r="J34" i="7" a="1"/>
  <c r="E91" i="3" a="1"/>
  <c r="F168" i="3" l="1"/>
  <c r="D170" i="3"/>
  <c r="D164" i="3"/>
  <c r="D166" i="3"/>
  <c r="D162" i="3"/>
  <c r="D163" i="3"/>
  <c r="D165" i="3"/>
  <c r="E170" i="3"/>
  <c r="C170" i="3"/>
  <c r="H170" i="3"/>
  <c r="B170" i="3"/>
  <c r="G170" i="3"/>
  <c r="F170" i="3"/>
  <c r="D168" i="3"/>
  <c r="C46" i="11"/>
  <c r="E46" i="11"/>
  <c r="G46" i="11"/>
  <c r="B46" i="11"/>
  <c r="H46" i="11"/>
  <c r="F46" i="11"/>
  <c r="F62" i="11"/>
  <c r="D62" i="11"/>
  <c r="D60" i="11"/>
  <c r="D58" i="11"/>
  <c r="D56" i="11"/>
  <c r="D57" i="11"/>
  <c r="D59" i="11"/>
  <c r="D42" i="11"/>
  <c r="D40" i="11"/>
  <c r="D38" i="11"/>
  <c r="D41" i="11"/>
  <c r="D39" i="11"/>
  <c r="D46" i="11"/>
  <c r="F44" i="11"/>
  <c r="D44" i="11"/>
  <c r="F105" i="4"/>
  <c r="F36" i="4"/>
  <c r="F57" i="4"/>
  <c r="F152" i="4"/>
  <c r="F81" i="4"/>
  <c r="F95" i="4" s="1"/>
  <c r="F131" i="4"/>
  <c r="F15" i="4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F98" i="4"/>
  <c r="E82" i="4"/>
  <c r="H82" i="4"/>
  <c r="H83" i="4" s="1"/>
  <c r="F93" i="4"/>
  <c r="G90" i="4"/>
  <c r="G92" i="4"/>
  <c r="G89" i="4"/>
  <c r="F96" i="4"/>
  <c r="F100" i="4"/>
  <c r="E134" i="3"/>
  <c r="E111" i="3"/>
  <c r="E91" i="3"/>
  <c r="E70" i="3"/>
  <c r="E50" i="3"/>
  <c r="G16" i="3"/>
  <c r="G134" i="3"/>
  <c r="G111" i="3"/>
  <c r="G129" i="3" s="1"/>
  <c r="I14" i="3"/>
  <c r="I134" i="3"/>
  <c r="I111" i="3"/>
  <c r="I92" i="3"/>
  <c r="I91" i="3"/>
  <c r="I71" i="3"/>
  <c r="I70" i="3"/>
  <c r="I50" i="3"/>
  <c r="I16" i="3"/>
  <c r="J134" i="3"/>
  <c r="G143" i="3" s="1"/>
  <c r="J111" i="3"/>
  <c r="J91" i="3"/>
  <c r="J92" i="3"/>
  <c r="J71" i="3"/>
  <c r="J70" i="3"/>
  <c r="J50" i="3"/>
  <c r="J16" i="3"/>
  <c r="C57" i="7"/>
  <c r="C61" i="7"/>
  <c r="H37" i="3"/>
  <c r="G18" i="6"/>
  <c r="B18" i="6"/>
  <c r="F123" i="4"/>
  <c r="F122" i="4"/>
  <c r="F74" i="4"/>
  <c r="C20" i="8"/>
  <c r="E3" i="10" a="1"/>
  <c r="I170" i="3" a="1"/>
  <c r="I168" i="3" a="1"/>
  <c r="I162" i="3" a="1"/>
  <c r="I164" i="3" a="1"/>
  <c r="I166" i="3" a="1"/>
  <c r="I163" i="3" a="1"/>
  <c r="I165" i="3" a="1"/>
  <c r="D64" i="11" a="1"/>
  <c r="G64" i="11" a="1"/>
  <c r="B64" i="11" a="1"/>
  <c r="H64" i="11" a="1"/>
  <c r="C64" i="11" a="1"/>
  <c r="E64" i="11" a="1"/>
  <c r="F64" i="11" a="1"/>
  <c r="I62" i="11" a="1"/>
  <c r="I60" i="11" a="1"/>
  <c r="I58" i="11" a="1"/>
  <c r="I56" i="11" a="1"/>
  <c r="I57" i="11" a="1"/>
  <c r="I59" i="11" a="1"/>
  <c r="I42" i="11" a="1"/>
  <c r="I40" i="11" a="1"/>
  <c r="I38" i="11" a="1"/>
  <c r="I41" i="11" a="1"/>
  <c r="I39" i="11" a="1"/>
  <c r="I46" i="11" a="1"/>
  <c r="I44" i="11" a="1"/>
  <c r="I15" i="7" a="1"/>
  <c r="B34" i="7" a="1"/>
  <c r="E88" i="7" a="1"/>
  <c r="F15" i="7" a="1"/>
  <c r="G129" i="7" a="1"/>
  <c r="F109" i="7" a="1"/>
  <c r="E15" i="7" a="1"/>
  <c r="I32" i="7" a="1"/>
  <c r="E109" i="7" a="1"/>
  <c r="F88" i="7" a="1"/>
  <c r="G34" i="7" a="1"/>
  <c r="F129" i="7" a="1"/>
  <c r="J15" i="7" a="1"/>
  <c r="E68" i="7" a="1"/>
  <c r="F68" i="7" a="1"/>
  <c r="E129" i="7" a="1"/>
  <c r="I165" i="3" l="1"/>
  <c r="I163" i="3"/>
  <c r="I166" i="3"/>
  <c r="I164" i="3"/>
  <c r="I162" i="3"/>
  <c r="I168" i="3"/>
  <c r="I170" i="3"/>
  <c r="F64" i="11"/>
  <c r="E64" i="11"/>
  <c r="C64" i="11"/>
  <c r="H64" i="11"/>
  <c r="B64" i="11"/>
  <c r="G64" i="11"/>
  <c r="D64" i="11"/>
  <c r="I59" i="11"/>
  <c r="I57" i="11"/>
  <c r="I56" i="11"/>
  <c r="I58" i="11"/>
  <c r="I60" i="11"/>
  <c r="I62" i="11"/>
  <c r="I44" i="11"/>
  <c r="I46" i="11"/>
  <c r="I39" i="11"/>
  <c r="I41" i="11"/>
  <c r="I38" i="11"/>
  <c r="I40" i="11"/>
  <c r="I42" i="11"/>
  <c r="E3" i="10"/>
  <c r="F140" i="3"/>
  <c r="G152" i="3"/>
  <c r="G40" i="7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E109" i="7"/>
  <c r="E68" i="7"/>
  <c r="E88" i="7"/>
  <c r="E15" i="7"/>
  <c r="G129" i="7"/>
  <c r="F140" i="7" s="1"/>
  <c r="I32" i="7"/>
  <c r="F135" i="7"/>
  <c r="F145" i="3"/>
  <c r="G140" i="3"/>
  <c r="G139" i="3"/>
  <c r="F40" i="3"/>
  <c r="J15" i="7"/>
  <c r="I15" i="7"/>
  <c r="G149" i="3"/>
  <c r="F148" i="3" s="1"/>
  <c r="F151" i="3"/>
  <c r="F122" i="3"/>
  <c r="G44" i="4"/>
  <c r="G47" i="4"/>
  <c r="G45" i="4"/>
  <c r="G122" i="4"/>
  <c r="G123" i="4"/>
  <c r="G68" i="4"/>
  <c r="G66" i="4"/>
  <c r="G65" i="4"/>
  <c r="C58" i="7"/>
  <c r="C63" i="7" s="1"/>
  <c r="C62" i="7"/>
  <c r="G44" i="3"/>
  <c r="G43" i="3"/>
  <c r="G45" i="3"/>
  <c r="F39" i="3"/>
  <c r="F37" i="3"/>
  <c r="F38" i="3"/>
  <c r="G126" i="3"/>
  <c r="F32" i="3"/>
  <c r="F35" i="3"/>
  <c r="C21" i="8"/>
  <c r="C19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28" i="3"/>
  <c r="G128" i="3"/>
  <c r="F128" i="3"/>
  <c r="H126" i="3"/>
  <c r="F126" i="3"/>
  <c r="H125" i="3"/>
  <c r="F125" i="3" s="1"/>
  <c r="H120" i="3"/>
  <c r="G120" i="3"/>
  <c r="F120" i="3"/>
  <c r="F119" i="3"/>
  <c r="F118" i="3"/>
  <c r="H117" i="3"/>
  <c r="G117" i="3"/>
  <c r="F117" i="3"/>
  <c r="C117" i="3"/>
  <c r="C118" i="3" s="1"/>
  <c r="C119" i="3" s="1"/>
  <c r="C120" i="3" s="1"/>
  <c r="G116" i="3"/>
  <c r="F116" i="3"/>
  <c r="B116" i="3"/>
  <c r="B138" i="4"/>
  <c r="B112" i="4"/>
  <c r="B120" i="4" s="1"/>
  <c r="B65" i="4"/>
  <c r="B44" i="4"/>
  <c r="B49" i="4" s="1"/>
  <c r="B115" i="7"/>
  <c r="B94" i="7"/>
  <c r="B73" i="7"/>
  <c r="B20" i="7"/>
  <c r="B97" i="3"/>
  <c r="B104" i="3" s="1"/>
  <c r="B80" i="3"/>
  <c r="B55" i="3"/>
  <c r="B57" i="3" s="1"/>
  <c r="B21" i="3"/>
  <c r="I64" i="11" a="1"/>
  <c r="F17" i="3" a="1"/>
  <c r="E14" i="6" a="1"/>
  <c r="F156" i="4" a="1"/>
  <c r="F134" i="4" a="1"/>
  <c r="E26" i="6" a="1"/>
  <c r="F72" i="3" a="1"/>
  <c r="E38" i="6" a="1"/>
  <c r="F40" i="4" a="1"/>
  <c r="F19" i="4" a="1"/>
  <c r="F21" i="5" a="1"/>
  <c r="F61" i="4" a="1"/>
  <c r="F108" i="4" a="1"/>
  <c r="F135" i="3" a="1"/>
  <c r="F85" i="4" a="1"/>
  <c r="F112" i="3" a="1"/>
  <c r="F54" i="5" a="1"/>
  <c r="F93" i="3" a="1"/>
  <c r="F51" i="3" a="1"/>
  <c r="I64" i="11" l="1"/>
  <c r="C121" i="3"/>
  <c r="C122" i="3" s="1"/>
  <c r="C123" i="3" s="1"/>
  <c r="C125" i="3" s="1"/>
  <c r="C126" i="3" s="1"/>
  <c r="C128" i="3" s="1"/>
  <c r="C129" i="3" s="1"/>
  <c r="H141" i="7"/>
  <c r="H140" i="7"/>
  <c r="G144" i="7"/>
  <c r="F143" i="7" s="1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28" i="7"/>
  <c r="H139" i="7"/>
  <c r="H144" i="7"/>
  <c r="F135" i="3"/>
  <c r="D149" i="3" s="1"/>
  <c r="I149" i="3" s="1"/>
  <c r="F112" i="3"/>
  <c r="D125" i="3" s="1"/>
  <c r="I125" i="3" s="1"/>
  <c r="F93" i="3"/>
  <c r="D104" i="3" s="1"/>
  <c r="I104" i="3" s="1"/>
  <c r="F72" i="3"/>
  <c r="F51" i="3"/>
  <c r="F17" i="3"/>
  <c r="D38" i="3" s="1"/>
  <c r="I38" i="3" s="1"/>
  <c r="C155" i="4"/>
  <c r="G167" i="4"/>
  <c r="B45" i="3"/>
  <c r="B44" i="3"/>
  <c r="B43" i="3"/>
  <c r="B128" i="3"/>
  <c r="B129" i="3"/>
  <c r="B38" i="3"/>
  <c r="B40" i="3"/>
  <c r="B39" i="3"/>
  <c r="B34" i="3"/>
  <c r="B35" i="3"/>
  <c r="B23" i="3"/>
  <c r="B33" i="3"/>
  <c r="B31" i="3"/>
  <c r="B32" i="3"/>
  <c r="G14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19" i="3"/>
  <c r="B123" i="3" s="1"/>
  <c r="G125" i="3"/>
  <c r="B118" i="3"/>
  <c r="B122" i="3" s="1"/>
  <c r="B120" i="3"/>
  <c r="B126" i="3"/>
  <c r="B117" i="3"/>
  <c r="B121" i="3" s="1"/>
  <c r="B125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37" i="3"/>
  <c r="B42" i="3"/>
  <c r="B99" i="3"/>
  <c r="B100" i="3"/>
  <c r="B29" i="3"/>
  <c r="B101" i="3"/>
  <c r="B30" i="3"/>
  <c r="B106" i="3"/>
  <c r="B59" i="3"/>
  <c r="B65" i="3"/>
  <c r="B26" i="3"/>
  <c r="B60" i="3"/>
  <c r="B62" i="3"/>
  <c r="B24" i="3"/>
  <c r="B63" i="3"/>
  <c r="B25" i="3"/>
  <c r="B27" i="3"/>
  <c r="B28" i="3"/>
  <c r="B98" i="3"/>
  <c r="B58" i="3"/>
  <c r="B83" i="3"/>
  <c r="B84" i="3"/>
  <c r="B81" i="3"/>
  <c r="B86" i="3"/>
  <c r="B76" i="3"/>
  <c r="B77" i="3"/>
  <c r="B78" i="3"/>
  <c r="B102" i="3"/>
  <c r="B22" i="3"/>
  <c r="B56" i="3"/>
  <c r="B79" i="3"/>
  <c r="F16" i="7" a="1"/>
  <c r="F69" i="7" a="1"/>
  <c r="F90" i="7" a="1"/>
  <c r="F130" i="7" a="1"/>
  <c r="D72" i="3" a="1"/>
  <c r="D93" i="3" a="1"/>
  <c r="H108" i="4" a="1"/>
  <c r="H72" i="3" a="1"/>
  <c r="D54" i="5" a="1"/>
  <c r="D112" i="3" a="1"/>
  <c r="D19" i="4" a="1"/>
  <c r="H61" i="4" a="1"/>
  <c r="D135" i="3" a="1"/>
  <c r="H156" i="4" a="1"/>
  <c r="D108" i="4" a="1"/>
  <c r="H17" i="3" a="1"/>
  <c r="D134" i="4" a="1"/>
  <c r="D156" i="4" a="1"/>
  <c r="H93" i="3" a="1"/>
  <c r="H19" i="4" a="1"/>
  <c r="H21" i="5" a="1"/>
  <c r="H134" i="4" a="1"/>
  <c r="D21" i="5" a="1"/>
  <c r="H54" i="5" a="1"/>
  <c r="D51" i="3" a="1"/>
  <c r="H51" i="3" a="1"/>
  <c r="H40" i="4" a="1"/>
  <c r="F35" i="7" a="1"/>
  <c r="D61" i="4" a="1"/>
  <c r="H135" i="3" a="1"/>
  <c r="H85" i="4" a="1"/>
  <c r="F111" i="7" a="1"/>
  <c r="D85" i="4" a="1"/>
  <c r="H112" i="3" a="1"/>
  <c r="D40" i="4" a="1"/>
  <c r="D80" i="5" l="1"/>
  <c r="I80" i="5" s="1"/>
  <c r="D79" i="5"/>
  <c r="I79" i="5" s="1"/>
  <c r="D78" i="5"/>
  <c r="I78" i="5" s="1"/>
  <c r="D81" i="5"/>
  <c r="I81" i="5" s="1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G32" i="7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48" i="3"/>
  <c r="I148" i="3" s="1"/>
  <c r="D37" i="3"/>
  <c r="I37" i="3" s="1"/>
  <c r="D40" i="3"/>
  <c r="I40" i="3" s="1"/>
  <c r="D39" i="3"/>
  <c r="I39" i="3" s="1"/>
  <c r="H135" i="3"/>
  <c r="H112" i="3"/>
  <c r="H93" i="3"/>
  <c r="D100" i="3" s="1"/>
  <c r="I100" i="3" s="1"/>
  <c r="H72" i="3"/>
  <c r="D77" i="3" s="1"/>
  <c r="I77" i="3" s="1"/>
  <c r="H51" i="3"/>
  <c r="D58" i="3" s="1"/>
  <c r="I58" i="3" s="1"/>
  <c r="H17" i="3"/>
  <c r="D34" i="3" s="1"/>
  <c r="D135" i="3"/>
  <c r="D151" i="3" s="1"/>
  <c r="I151" i="3" s="1"/>
  <c r="D112" i="3"/>
  <c r="D128" i="3" s="1"/>
  <c r="I128" i="3" s="1"/>
  <c r="D93" i="3"/>
  <c r="D106" i="3" s="1"/>
  <c r="I106" i="3" s="1"/>
  <c r="D72" i="3"/>
  <c r="D86" i="3" s="1"/>
  <c r="I86" i="3" s="1"/>
  <c r="D51" i="3"/>
  <c r="D65" i="3" s="1"/>
  <c r="I65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42" i="3"/>
  <c r="I42" i="3" s="1"/>
  <c r="D45" i="3"/>
  <c r="I45" i="3" s="1"/>
  <c r="D43" i="3"/>
  <c r="I43" i="3" s="1"/>
  <c r="D44" i="3"/>
  <c r="I44" i="3" s="1"/>
  <c r="D126" i="3"/>
  <c r="D62" i="3"/>
  <c r="I62" i="3" s="1"/>
  <c r="D63" i="3"/>
  <c r="I63" i="3" s="1"/>
  <c r="D83" i="3"/>
  <c r="I83" i="3" s="1"/>
  <c r="D84" i="3"/>
  <c r="I84" i="3" s="1"/>
  <c r="D16" i="7" a="1"/>
  <c r="H90" i="7" a="1"/>
  <c r="H69" i="7" a="1"/>
  <c r="D111" i="7" a="1"/>
  <c r="H130" i="7" a="1"/>
  <c r="D130" i="7" a="1"/>
  <c r="H16" i="7" a="1"/>
  <c r="D90" i="7" a="1"/>
  <c r="D69" i="7" a="1"/>
  <c r="H35" i="7" a="1"/>
  <c r="H111" i="7" a="1"/>
  <c r="D121" i="3" l="1"/>
  <c r="I121" i="3" s="1"/>
  <c r="D122" i="3"/>
  <c r="I122" i="3" s="1"/>
  <c r="D123" i="3"/>
  <c r="I123" i="3" s="1"/>
  <c r="D144" i="3"/>
  <c r="I144" i="3" s="1"/>
  <c r="D145" i="3"/>
  <c r="I145" i="3" s="1"/>
  <c r="D146" i="3"/>
  <c r="I146" i="3" s="1"/>
  <c r="D113" i="4"/>
  <c r="I113" i="4" s="1"/>
  <c r="D112" i="4"/>
  <c r="I112" i="4" s="1"/>
  <c r="D116" i="4"/>
  <c r="I116" i="4" s="1"/>
  <c r="D114" i="4"/>
  <c r="I114" i="4" s="1"/>
  <c r="D120" i="3"/>
  <c r="I120" i="3" s="1"/>
  <c r="D117" i="4"/>
  <c r="I117" i="4" s="1"/>
  <c r="D118" i="3"/>
  <c r="I118" i="3" s="1"/>
  <c r="D102" i="3"/>
  <c r="I102" i="3" s="1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99" i="3"/>
  <c r="I99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55" i="3"/>
  <c r="I55" i="3" s="1"/>
  <c r="D25" i="5"/>
  <c r="I25" i="5" s="1"/>
  <c r="D65" i="4"/>
  <c r="I65" i="4" s="1"/>
  <c r="D66" i="4"/>
  <c r="I66" i="4" s="1"/>
  <c r="D72" i="5"/>
  <c r="I72" i="5" s="1"/>
  <c r="D78" i="3"/>
  <c r="I78" i="3" s="1"/>
  <c r="D76" i="3"/>
  <c r="I76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80" i="3"/>
  <c r="I80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79" i="3"/>
  <c r="I79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24" i="3"/>
  <c r="I24" i="3" s="1"/>
  <c r="D81" i="3"/>
  <c r="I81" i="3" s="1"/>
  <c r="D30" i="3"/>
  <c r="I30" i="3" s="1"/>
  <c r="D97" i="3"/>
  <c r="I97" i="3" s="1"/>
  <c r="D101" i="3"/>
  <c r="I101" i="3" s="1"/>
  <c r="D98" i="3"/>
  <c r="I98" i="3" s="1"/>
  <c r="D23" i="3"/>
  <c r="I23" i="3" s="1"/>
  <c r="D143" i="3"/>
  <c r="I143" i="3" s="1"/>
  <c r="D139" i="3"/>
  <c r="I139" i="3" s="1"/>
  <c r="D141" i="3"/>
  <c r="I141" i="3" s="1"/>
  <c r="D142" i="3"/>
  <c r="I142" i="3" s="1"/>
  <c r="D140" i="3"/>
  <c r="I140" i="3" s="1"/>
  <c r="D27" i="3"/>
  <c r="I27" i="3" s="1"/>
  <c r="D22" i="3"/>
  <c r="I22" i="3" s="1"/>
  <c r="D28" i="3"/>
  <c r="I28" i="3" s="1"/>
  <c r="D21" i="3"/>
  <c r="I21" i="3" s="1"/>
  <c r="D29" i="3"/>
  <c r="I29" i="3" s="1"/>
  <c r="D26" i="3"/>
  <c r="I26" i="3" s="1"/>
  <c r="D25" i="3"/>
  <c r="I25" i="3" s="1"/>
  <c r="D56" i="3"/>
  <c r="I56" i="3" s="1"/>
  <c r="D60" i="3"/>
  <c r="I60" i="3" s="1"/>
  <c r="D59" i="3"/>
  <c r="I59" i="3" s="1"/>
  <c r="D57" i="3"/>
  <c r="I57" i="3" s="1"/>
  <c r="D129" i="3"/>
  <c r="I129" i="3" s="1"/>
  <c r="D31" i="3"/>
  <c r="I31" i="3" s="1"/>
  <c r="D32" i="3"/>
  <c r="I32" i="3" s="1"/>
  <c r="D33" i="3"/>
  <c r="I33" i="3" s="1"/>
  <c r="D35" i="3"/>
  <c r="D119" i="3"/>
  <c r="I119" i="3" s="1"/>
  <c r="D116" i="3"/>
  <c r="I116" i="3" s="1"/>
  <c r="D152" i="3"/>
  <c r="I152" i="3" s="1"/>
  <c r="D117" i="3"/>
  <c r="I117" i="3" s="1"/>
  <c r="D61" i="7"/>
  <c r="I61" i="7" s="1"/>
  <c r="D60" i="7"/>
  <c r="I60" i="7" s="1"/>
  <c r="D62" i="7"/>
  <c r="I62" i="7" s="1"/>
  <c r="I126" i="3"/>
  <c r="H126" i="4"/>
  <c r="H125" i="4"/>
  <c r="F126" i="4"/>
  <c r="G26" i="4"/>
  <c r="G24" i="4"/>
  <c r="G23" i="4"/>
  <c r="D139" i="7" l="1"/>
  <c r="I139" i="7" s="1"/>
  <c r="D140" i="7"/>
  <c r="I140" i="7" s="1"/>
  <c r="D141" i="7"/>
  <c r="I141" i="7" s="1"/>
  <c r="D147" i="7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35" i="7"/>
  <c r="I135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06" i="3"/>
  <c r="H104" i="3"/>
  <c r="H102" i="3"/>
  <c r="H101" i="3"/>
  <c r="H100" i="3"/>
  <c r="H99" i="3"/>
  <c r="H98" i="3"/>
  <c r="H97" i="3"/>
  <c r="H86" i="3"/>
  <c r="H79" i="3"/>
  <c r="H78" i="3"/>
  <c r="H77" i="3"/>
  <c r="H84" i="3"/>
  <c r="H83" i="3"/>
  <c r="H81" i="3"/>
  <c r="H80" i="3"/>
  <c r="H76" i="3"/>
  <c r="H65" i="3"/>
  <c r="H63" i="3"/>
  <c r="H62" i="3"/>
  <c r="H59" i="3"/>
  <c r="H60" i="3"/>
  <c r="H58" i="3"/>
  <c r="H57" i="3"/>
  <c r="H55" i="3"/>
  <c r="H42" i="3"/>
  <c r="H24" i="3"/>
  <c r="H23" i="3"/>
  <c r="H22" i="3"/>
  <c r="H21" i="3"/>
  <c r="I34" i="3" l="1"/>
  <c r="I35" i="3"/>
  <c r="C26" i="7"/>
  <c r="C80" i="7"/>
  <c r="C99" i="7"/>
  <c r="C34" i="5"/>
  <c r="C35" i="5" s="1"/>
  <c r="C37" i="5" s="1"/>
  <c r="C67" i="5"/>
  <c r="C112" i="5"/>
  <c r="C154" i="5"/>
  <c r="C156" i="5" s="1"/>
  <c r="C134" i="5"/>
  <c r="F86" i="3"/>
  <c r="F106" i="3"/>
  <c r="G65" i="3"/>
  <c r="F65" i="3"/>
  <c r="G42" i="3"/>
  <c r="F42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04" i="3"/>
  <c r="G104" i="3"/>
  <c r="F102" i="3"/>
  <c r="G102" i="3"/>
  <c r="F100" i="3"/>
  <c r="F99" i="3"/>
  <c r="F98" i="3"/>
  <c r="G98" i="3"/>
  <c r="C98" i="3"/>
  <c r="F97" i="3"/>
  <c r="G97" i="3"/>
  <c r="F84" i="3"/>
  <c r="G84" i="3"/>
  <c r="F83" i="3"/>
  <c r="G83" i="3"/>
  <c r="F81" i="3"/>
  <c r="G81" i="3"/>
  <c r="F80" i="3"/>
  <c r="F79" i="3"/>
  <c r="F78" i="3"/>
  <c r="F77" i="3"/>
  <c r="G77" i="3"/>
  <c r="C77" i="3"/>
  <c r="F76" i="3"/>
  <c r="G76" i="3"/>
  <c r="F63" i="3"/>
  <c r="F62" i="3"/>
  <c r="F60" i="3"/>
  <c r="F59" i="3"/>
  <c r="G59" i="3"/>
  <c r="F58" i="3"/>
  <c r="F57" i="3"/>
  <c r="F56" i="3"/>
  <c r="G56" i="3"/>
  <c r="C56" i="3"/>
  <c r="F55" i="3"/>
  <c r="G55" i="3"/>
  <c r="G37" i="3"/>
  <c r="F30" i="3"/>
  <c r="F29" i="3"/>
  <c r="F28" i="3"/>
  <c r="F27" i="3"/>
  <c r="F26" i="3"/>
  <c r="F25" i="3"/>
  <c r="F24" i="3"/>
  <c r="F23" i="3"/>
  <c r="F22" i="3"/>
  <c r="G22" i="3"/>
  <c r="C22" i="3"/>
  <c r="C23" i="3" s="1"/>
  <c r="C24" i="3" s="1"/>
  <c r="C25" i="3" s="1"/>
  <c r="C26" i="3" s="1"/>
  <c r="F21" i="3"/>
  <c r="G21" i="3"/>
  <c r="C71" i="5" l="1"/>
  <c r="C47" i="4"/>
  <c r="C27" i="3"/>
  <c r="C28" i="3" s="1"/>
  <c r="C29" i="3" s="1"/>
  <c r="C30" i="3" s="1"/>
  <c r="C115" i="4"/>
  <c r="C28" i="4"/>
  <c r="C29" i="4" s="1"/>
  <c r="C99" i="3"/>
  <c r="C78" i="3"/>
  <c r="C57" i="3"/>
  <c r="C31" i="3" l="1"/>
  <c r="C32" i="3" s="1"/>
  <c r="C33" i="3" s="1"/>
  <c r="C34" i="3" s="1"/>
  <c r="C35" i="3" s="1"/>
  <c r="C37" i="3" s="1"/>
  <c r="C38" i="3" s="1"/>
  <c r="C31" i="4"/>
  <c r="C72" i="5"/>
  <c r="C116" i="4"/>
  <c r="C49" i="4"/>
  <c r="C69" i="4"/>
  <c r="C100" i="3"/>
  <c r="C79" i="3"/>
  <c r="C58" i="3"/>
  <c r="C39" i="3" l="1"/>
  <c r="C43" i="3"/>
  <c r="C42" i="3"/>
  <c r="C74" i="5"/>
  <c r="C71" i="4"/>
  <c r="C117" i="4"/>
  <c r="C145" i="4"/>
  <c r="C147" i="4" s="1"/>
  <c r="C80" i="3"/>
  <c r="C101" i="3"/>
  <c r="C59" i="3"/>
  <c r="C40" i="3" l="1"/>
  <c r="C45" i="3" s="1"/>
  <c r="C44" i="3"/>
  <c r="C75" i="5"/>
  <c r="C119" i="4"/>
  <c r="C72" i="4"/>
  <c r="C74" i="4" s="1"/>
  <c r="C76" i="4" s="1"/>
  <c r="C102" i="3"/>
  <c r="C81" i="3"/>
  <c r="C60" i="3"/>
  <c r="C76" i="5" l="1"/>
  <c r="C120" i="4"/>
  <c r="C122" i="4" s="1"/>
  <c r="C123" i="4" s="1"/>
  <c r="C125" i="4" s="1"/>
  <c r="C104" i="3"/>
  <c r="C106" i="3" s="1"/>
  <c r="C83" i="3"/>
  <c r="C62" i="3"/>
  <c r="C126" i="4" l="1"/>
  <c r="C77" i="5"/>
  <c r="C50" i="4"/>
  <c r="C84" i="3"/>
  <c r="C86" i="3" s="1"/>
  <c r="C63" i="3"/>
  <c r="C65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<sst xmlns="http://schemas.openxmlformats.org/spreadsheetml/2006/main" count="1068" uniqueCount="185">
  <si>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</si>
  <si>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</si>
  <si>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</si>
  <si>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</si>
  <si>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</si>
  <si>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</si>
  <si>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</si>
  <si>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</si>
  <si>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</si>
  <si>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</si>
  <si>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</si>
  <si>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</si>
  <si>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</si>
  <si>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</si>
  <si>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</si>
  <si>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</si>
  <si>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</si>
  <si>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</si>
  <si>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</si>
  <si>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</si>
  <si>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</si>
  <si>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</si>
  <si>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</si>
  <si>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</si>
  <si>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</si>
  <si>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</si>
  <si>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</si>
  <si>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</si>
  <si>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</si>
  <si>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</si>
  <si>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</si>
  <si>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</si>
  <si>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</si>
  <si>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</si>
  <si>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</si>
  <si>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</si>
  <si>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</si>
  <si>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</si>
  <si>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</si>
  <si>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</si>
  <si>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</si>
  <si>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</si>
  <si>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</si>
  <si>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</si>
  <si>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</si>
  <si>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</si>
  <si>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</si>
  <si>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</si>
  <si>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</si>
  <si>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</si>
  <si>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</si>
  <si>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</si>
  <si>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</si>
  <si>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</si>
  <si>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</si>
  <si>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</si>
  <si>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</si>
  <si>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</si>
  <si>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</si>
  <si>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</si>
  <si>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</si>
  <si>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</si>
  <si>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</si>
  <si>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</si>
  <si>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</si>
  <si>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</si>
  <si>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</si>
  <si>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</si>
  <si>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</si>
  <si>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</si>
  <si>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</si>
  <si>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</si>
  <si>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</si>
  <si>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</si>
  <si>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</si>
  <si>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</si>
  <si>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</si>
  <si>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</si>
  <si>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</si>
  <si>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</si>
  <si>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</si>
  <si>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</si>
  <si>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</si>
  <si>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</si>
  <si>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</si>
  <si>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</si>
  <si>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</si>
  <si>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</si>
  <si>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</si>
  <si>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</si>
  <si>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</si>
  <si>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</si>
  <si>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</si>
  <si>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</si>
  <si>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</si>
  <si>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</si>
  <si>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</si>
  <si>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</si>
  <si>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</si>
  <si>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</si>
  <si>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</si>
  <si>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</si>
  <si>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</si>
  <si>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</si>
  <si>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</si>
  <si>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</si>
  <si>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</si>
  <si>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</si>
  <si>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</si>
  <si>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</si>
  <si>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</si>
  <si>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</si>
  <si>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</si>
  <si>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</si>
  <si>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</si>
  <si>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</si>
  <si>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</si>
  <si>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</si>
  <si>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</si>
  <si>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</si>
  <si>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</si>
  <si>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</si>
  <si>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</si>
  <si>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</si>
  <si>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</si>
  <si>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</si>
  <si>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</si>
  <si>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</si>
  <si>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</si>
  <si>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</si>
  <si>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</si>
  <si>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</si>
  <si>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</si>
  <si>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</si>
  <si>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</si>
  <si>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</si>
  <si>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</si>
  <si>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</si>
  <si>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</si>
  <si>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</si>
  <si>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</si>
  <si>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</si>
  <si>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</si>
  <si>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</si>
  <si>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</si>
  <si>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</si>
  <si>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</si>
  <si>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</si>
  <si>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</si>
  <si>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</si>
  <si>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</si>
  <si>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</si>
  <si>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</si>
  <si>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</si>
  <si>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</si>
  <si>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</si>
  <si>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</si>
  <si>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</si>
  <si>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</si>
  <si>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</si>
  <si>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</si>
  <si>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</si>
  <si>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</si>
  <si>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</si>
  <si>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</si>
  <si>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</si>
  <si>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</si>
  <si>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</si>
  <si>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</si>
  <si>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</si>
  <si>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</si>
  <si>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</si>
  <si>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</si>
  <si>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</si>
  <si>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</si>
  <si>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</si>
  <si>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</si>
  <si>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</si>
  <si>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</si>
  <si>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</si>
  <si>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</si>
  <si>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</si>
  <si>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</si>
  <si>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</si>
  <si>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وحدة سفلية دلفة/ دلفتين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</si>
</sst>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2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259080</xdr:colOff>
          <xdr:row>5</xdr:row>
          <xdr:rowOff>60960</xdr:rowOff>
        </xdr:from>
        <xdr:to>
          <xdr:col>10</xdr:col>
          <xdr:colOff>754380</xdr:colOff>
          <xdr:row>7</xdr:row>
          <xdr:rowOff>53340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5</xdr:row>
          <xdr:rowOff>60960</xdr:rowOff>
        </xdr:from>
        <xdr:to>
          <xdr:col>5</xdr:col>
          <xdr:colOff>182880</xdr:colOff>
          <xdr:row>7</xdr:row>
          <xdr:rowOff>53340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320040</xdr:colOff>
          <xdr:row>5</xdr:row>
          <xdr:rowOff>60960</xdr:rowOff>
        </xdr:from>
        <xdr:to>
          <xdr:col>7</xdr:col>
          <xdr:colOff>868680</xdr:colOff>
          <xdr:row>7</xdr:row>
          <xdr:rowOff>53340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6275</xdr:colOff>
          <xdr:row>5</xdr:row>
          <xdr:rowOff>43031</xdr:rowOff>
        </xdr:from>
        <xdr:to>
          <xdr:col>14</xdr:col>
          <xdr:colOff>173915</xdr:colOff>
          <xdr:row>7</xdr:row>
          <xdr:rowOff>35411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صف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4</xdr:col>
          <xdr:colOff>1882140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5</xdr:row>
          <xdr:rowOff>45720</xdr:rowOff>
        </xdr:from>
        <xdr:to>
          <xdr:col>7</xdr:col>
          <xdr:colOff>495300</xdr:colOff>
          <xdr:row>7</xdr:row>
          <xdr:rowOff>30480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5</xdr:row>
          <xdr:rowOff>60960</xdr:rowOff>
        </xdr:from>
        <xdr:to>
          <xdr:col>10</xdr:col>
          <xdr:colOff>541020</xdr:colOff>
          <xdr:row>7</xdr:row>
          <xdr:rowOff>45720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693420</xdr:colOff>
          <xdr:row>5</xdr:row>
          <xdr:rowOff>45720</xdr:rowOff>
        </xdr:from>
        <xdr:to>
          <xdr:col>5</xdr:col>
          <xdr:colOff>274320</xdr:colOff>
          <xdr:row>6</xdr:row>
          <xdr:rowOff>220980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5</xdr:row>
          <xdr:rowOff>45720</xdr:rowOff>
        </xdr:from>
        <xdr:to>
          <xdr:col>8</xdr:col>
          <xdr:colOff>358140</xdr:colOff>
          <xdr:row>6</xdr:row>
          <xdr:rowOff>220980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5</xdr:row>
          <xdr:rowOff>7620</xdr:rowOff>
        </xdr:from>
        <xdr:to>
          <xdr:col>4</xdr:col>
          <xdr:colOff>922020</xdr:colOff>
          <xdr:row>6</xdr:row>
          <xdr:rowOff>175260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1059180</xdr:colOff>
          <xdr:row>5</xdr:row>
          <xdr:rowOff>7620</xdr:rowOff>
        </xdr:from>
        <xdr:to>
          <xdr:col>8</xdr:col>
          <xdr:colOff>396240</xdr:colOff>
          <xdr:row>6</xdr:row>
          <xdr:rowOff>175260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7620</xdr:rowOff>
        </xdr:from>
        <xdr:to>
          <xdr:col>11</xdr:col>
          <xdr:colOff>464820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4</xdr:row>
          <xdr:rowOff>121920</xdr:rowOff>
        </xdr:from>
        <xdr:to>
          <xdr:col>4</xdr:col>
          <xdr:colOff>960120</xdr:colOff>
          <xdr:row>6</xdr:row>
          <xdr:rowOff>121920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1097280</xdr:colOff>
          <xdr:row>4</xdr:row>
          <xdr:rowOff>121920</xdr:rowOff>
        </xdr:from>
        <xdr:to>
          <xdr:col>8</xdr:col>
          <xdr:colOff>60960</xdr:colOff>
          <xdr:row>6</xdr:row>
          <xdr:rowOff>121920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12</xdr:col>
          <xdr:colOff>15240</xdr:colOff>
          <xdr:row>6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403860</xdr:colOff>
          <xdr:row>5</xdr:row>
          <xdr:rowOff>7620</xdr:rowOff>
        </xdr:from>
        <xdr:to>
          <xdr:col>4</xdr:col>
          <xdr:colOff>1104900</xdr:colOff>
          <xdr:row>6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5</xdr:row>
          <xdr:rowOff>7620</xdr:rowOff>
        </xdr:from>
        <xdr:to>
          <xdr:col>8</xdr:col>
          <xdr:colOff>220980</xdr:colOff>
          <xdr:row>6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60960</xdr:rowOff>
        </xdr:from>
        <xdr:to>
          <xdr:col>11</xdr:col>
          <xdr:colOff>563880</xdr:colOff>
          <xdr:row>6</xdr:row>
          <xdr:rowOff>220980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4</xdr:row>
          <xdr:rowOff>182880</xdr:rowOff>
        </xdr:from>
        <xdr:to>
          <xdr:col>4</xdr:col>
          <xdr:colOff>373380</xdr:colOff>
          <xdr:row>6</xdr:row>
          <xdr:rowOff>152400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510540</xdr:colOff>
          <xdr:row>4</xdr:row>
          <xdr:rowOff>182880</xdr:rowOff>
        </xdr:from>
        <xdr:to>
          <xdr:col>8</xdr:col>
          <xdr:colOff>60960</xdr:colOff>
          <xdr:row>6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C12:N14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19:D31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I19:J31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defaultValue(J19,3)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19:G31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defaultValue(G19,1)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O19:P31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72">
      <calculatedColumnFormula array="1">defaultValue(P19,C18)</calculatedColumnFormula>
    </tableColumn>
    <tableColumn id="2" xr3:uid="{E5D458B6-4695-4151-8C3A-36078280174C}" name="Column2" headerRowDxfId="71" dataDxfId="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L19:M31" headerRowCount="0" totalsRowShown="0" headerRowDxfId="69" dataDxfId="67" headerRowBorderDxfId="68" tableBorderDxfId="66" totalsRowBorderDxfId="65">
  <tableColumns count="2">
    <tableColumn id="1" xr3:uid="{CDCD5A84-7D20-4E65-9944-DF64AFBDCF15}" name="Column1" headerRowDxfId="64" dataDxfId="63">
      <calculatedColumnFormula>INDEX(global[[#All],[Column1]],MATCH(M19,global[[#All],[Column2]],0))</calculatedColumnFormula>
    </tableColumn>
    <tableColumn id="2" xr3:uid="{6A1D9F36-66CC-4BFA-B363-3C22327FB984}" name="Column2" headerRowDxfId="62" dataDxfId="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R19:S31" headerRowCount="0" totalsRowShown="0" headerRowDxfId="60" dataDxfId="58" headerRowBorderDxfId="59" tableBorderDxfId="57" totalsRowBorderDxfId="56">
  <tableColumns count="2">
    <tableColumn id="1" xr3:uid="{3DB08154-ACD6-41BF-8D18-EE97F412E9D9}" name="Column1" headerRowDxfId="55" dataDxfId="54">
      <calculatedColumnFormula array="1">defaultValue("دلف المطبخ",1)</calculatedColumnFormula>
    </tableColumn>
    <tableColumn id="2" xr3:uid="{E148ED46-BA14-4105-9B99-1191A0BF50F8}" name="Column2" headerRowDxfId="53" dataDxfId="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1"/>
  <sheetViews>
    <sheetView zoomScale="55" zoomScaleNormal="55" workbookViewId="0">
      <selection activeCell="H27" sqref="H27"/>
    </sheetView>
  </sheetViews>
  <sheetFormatPr defaultRowHeight="21" customHeight="1" x14ac:dyDescent="0.3"/>
  <cols>
    <col min="1" max="1" width="8.88671875" style="90" customWidth="1"/>
    <col min="2" max="2" width="31.88671875" style="63" customWidth="1"/>
    <col min="3" max="3" width="8.88671875" style="63"/>
    <col min="4" max="4" width="17.664062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23" s="90" customFormat="1" ht="21" customHeight="1" x14ac:dyDescent="0.3">
      <c r="H1" s="92"/>
      <c r="K1" s="92"/>
      <c r="N1" s="92"/>
      <c r="Q1" s="92"/>
      <c r="T1" s="92"/>
      <c r="W1" s="92"/>
    </row>
    <row r="2" spans="1:23" s="90" customFormat="1" ht="21" customHeight="1" x14ac:dyDescent="0.3">
      <c r="H2" s="92"/>
      <c r="K2" s="92"/>
      <c r="N2" s="92"/>
      <c r="Q2" s="92"/>
      <c r="T2" s="92"/>
      <c r="W2" s="92"/>
    </row>
    <row r="3" spans="1:23" s="89" customFormat="1" ht="31.2" x14ac:dyDescent="0.3">
      <c r="B3" s="90" t="s">
        <v>179</v>
      </c>
    </row>
    <row r="4" spans="1:23" s="90" customFormat="1" ht="21" customHeight="1" x14ac:dyDescent="0.3">
      <c r="H4" s="92"/>
      <c r="K4" s="92"/>
      <c r="N4" s="92"/>
      <c r="Q4" s="92"/>
      <c r="T4" s="92"/>
      <c r="W4" s="92"/>
    </row>
    <row r="5" spans="1:23" s="90" customFormat="1" ht="21" customHeight="1" x14ac:dyDescent="0.3">
      <c r="H5" s="92"/>
      <c r="K5" s="92"/>
      <c r="N5" s="92"/>
      <c r="Q5" s="92"/>
      <c r="T5" s="92"/>
      <c r="W5" s="92"/>
    </row>
    <row r="6" spans="1:23" s="90" customFormat="1" ht="21" customHeight="1" x14ac:dyDescent="0.3">
      <c r="H6" s="92"/>
      <c r="K6" s="92"/>
      <c r="N6" s="92"/>
      <c r="Q6" s="92"/>
      <c r="T6" s="92"/>
      <c r="W6" s="92"/>
    </row>
    <row r="7" spans="1:23" s="90" customFormat="1" ht="21" customHeight="1" x14ac:dyDescent="0.3">
      <c r="H7" s="92"/>
      <c r="K7" s="92"/>
      <c r="N7" s="92"/>
      <c r="Q7" s="92"/>
      <c r="T7" s="92"/>
      <c r="W7" s="92"/>
    </row>
    <row r="8" spans="1:23" s="90" customFormat="1" ht="21" customHeight="1" x14ac:dyDescent="0.3">
      <c r="H8" s="92"/>
      <c r="K8" s="92"/>
      <c r="N8" s="92"/>
      <c r="Q8" s="92"/>
      <c r="T8" s="92"/>
      <c r="W8" s="92"/>
    </row>
    <row r="9" spans="1:23" s="84" customFormat="1" ht="31.2" x14ac:dyDescent="0.3">
      <c r="A9" s="91"/>
    </row>
    <row r="11" spans="1:23" ht="21" customHeight="1" x14ac:dyDescent="0.3">
      <c r="B11" s="70"/>
      <c r="C11" s="93" t="s">
        <v>111</v>
      </c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5"/>
      <c r="O11" s="84"/>
      <c r="P11" s="83"/>
      <c r="Q11" s="84"/>
      <c r="R11" s="84"/>
      <c r="S11" s="83"/>
    </row>
    <row r="12" spans="1:23" ht="21" customHeight="1" x14ac:dyDescent="0.3">
      <c r="B12"/>
      <c r="C12" s="64"/>
      <c r="D12" s="65" t="s">
        <v>40</v>
      </c>
      <c r="E12" s="65" t="s">
        <v>38</v>
      </c>
      <c r="F12" s="65" t="s">
        <v>37</v>
      </c>
      <c r="G12" s="65" t="s">
        <v>36</v>
      </c>
      <c r="H12" s="65" t="s">
        <v>34</v>
      </c>
      <c r="I12" s="65" t="s">
        <v>104</v>
      </c>
      <c r="J12" s="65" t="s">
        <v>35</v>
      </c>
      <c r="K12" s="65" t="s">
        <v>20</v>
      </c>
      <c r="L12" s="65" t="s">
        <v>39</v>
      </c>
      <c r="M12" s="65" t="s">
        <v>58</v>
      </c>
      <c r="N12" s="66"/>
      <c r="P12" s="83"/>
      <c r="Q12" s="63"/>
      <c r="S12" s="83"/>
    </row>
    <row r="13" spans="1:23" x14ac:dyDescent="0.3">
      <c r="A13" s="54"/>
      <c r="B13"/>
      <c r="C13" s="64"/>
      <c r="D13" s="65">
        <v>4</v>
      </c>
      <c r="E13" s="65">
        <v>4</v>
      </c>
      <c r="F13" s="65">
        <v>4</v>
      </c>
      <c r="G13" s="65">
        <v>4</v>
      </c>
      <c r="H13" s="65">
        <v>6</v>
      </c>
      <c r="I13" s="65">
        <v>2</v>
      </c>
      <c r="J13" s="65">
        <v>2</v>
      </c>
      <c r="K13" s="65">
        <v>2</v>
      </c>
      <c r="L13" s="65">
        <v>2</v>
      </c>
      <c r="M13" s="65">
        <v>2</v>
      </c>
      <c r="N13" s="66" t="s">
        <v>60</v>
      </c>
      <c r="P13" s="83"/>
      <c r="Q13" s="63"/>
      <c r="S13" s="83"/>
    </row>
    <row r="14" spans="1:23" ht="21" customHeight="1" x14ac:dyDescent="0.3">
      <c r="A14" s="51"/>
      <c r="B14"/>
      <c r="C14" s="67"/>
      <c r="D14" s="68">
        <v>3</v>
      </c>
      <c r="E14" s="68">
        <v>3</v>
      </c>
      <c r="F14" s="68">
        <v>3</v>
      </c>
      <c r="G14" s="68">
        <v>3</v>
      </c>
      <c r="H14" s="68">
        <v>5</v>
      </c>
      <c r="I14" s="68">
        <v>1</v>
      </c>
      <c r="J14" s="68">
        <v>1</v>
      </c>
      <c r="K14" s="68">
        <v>1</v>
      </c>
      <c r="L14" s="68">
        <v>1</v>
      </c>
      <c r="M14" s="68">
        <v>1</v>
      </c>
      <c r="N14" s="69" t="s">
        <v>61</v>
      </c>
      <c r="P14" s="83"/>
      <c r="Q14" s="63"/>
      <c r="S14" s="83"/>
    </row>
    <row r="15" spans="1:23" ht="21" customHeight="1" x14ac:dyDescent="0.3">
      <c r="A15" s="51"/>
      <c r="B15"/>
      <c r="D15" s="83"/>
      <c r="G15" s="83"/>
      <c r="H15" s="63"/>
      <c r="J15" s="83"/>
      <c r="K15" s="63"/>
      <c r="M15" s="83"/>
      <c r="N15" s="63"/>
      <c r="P15" s="83"/>
      <c r="Q15" s="63"/>
      <c r="S15" s="83"/>
    </row>
    <row r="16" spans="1:23" ht="21" customHeight="1" x14ac:dyDescent="0.3">
      <c r="A16" s="51"/>
      <c r="B16"/>
      <c r="D16" s="83"/>
      <c r="G16" s="83"/>
      <c r="H16" s="63"/>
      <c r="J16" s="83"/>
      <c r="K16" s="63"/>
      <c r="M16" s="83"/>
      <c r="N16" s="63"/>
      <c r="P16" s="83"/>
      <c r="Q16" s="63"/>
      <c r="S16" s="83"/>
    </row>
    <row r="17" spans="1:19" ht="31.2" x14ac:dyDescent="0.3">
      <c r="A17" s="51"/>
      <c r="B17"/>
      <c r="C17" s="98" t="s">
        <v>173</v>
      </c>
      <c r="D17" s="99"/>
      <c r="E17" s="84"/>
      <c r="F17" s="98" t="s">
        <v>0</v>
      </c>
      <c r="G17" s="99"/>
      <c r="H17" s="84"/>
      <c r="I17" s="98" t="s">
        <v>104</v>
      </c>
      <c r="J17" s="99"/>
      <c r="K17" s="84"/>
      <c r="L17" s="98" t="s">
        <v>43</v>
      </c>
      <c r="M17" s="99"/>
      <c r="N17" s="84"/>
      <c r="O17" s="98" t="s">
        <v>64</v>
      </c>
      <c r="P17" s="99"/>
      <c r="Q17" s="84"/>
      <c r="R17" s="98" t="s">
        <v>103</v>
      </c>
      <c r="S17" s="99"/>
    </row>
    <row r="18" spans="1:19" ht="21" customHeight="1" x14ac:dyDescent="0.3">
      <c r="A18" s="51"/>
      <c r="B18"/>
      <c r="C18" s="96">
        <f ca="1">_xlfn.SHEET("إعدادات")</f>
        <v>1</v>
      </c>
      <c r="D18" s="97"/>
      <c r="F18" s="96">
        <f ca="1">_xlfn.SHEET("وحدات سفلية")</f>
        <v>4</v>
      </c>
      <c r="G18" s="97"/>
      <c r="H18" s="63"/>
      <c r="I18" s="96">
        <f ca="1">_xlfn.SHEET("بورديوم")</f>
        <v>5</v>
      </c>
      <c r="J18" s="97"/>
      <c r="K18" s="63"/>
      <c r="L18" s="96">
        <f ca="1">_xlfn.SHEET("وحدات علوية")</f>
        <v>6</v>
      </c>
      <c r="M18" s="97"/>
      <c r="N18" s="63"/>
      <c r="O18" s="96">
        <f ca="1">_xlfn.SHEET("دواليب")</f>
        <v>7</v>
      </c>
      <c r="P18" s="97"/>
      <c r="Q18" s="63"/>
      <c r="R18" s="96">
        <f ca="1">_xlfn.SHEET("تجاليد")</f>
        <v>8</v>
      </c>
      <c r="S18" s="97"/>
    </row>
    <row r="19" spans="1:19" ht="21" customHeight="1" x14ac:dyDescent="0.3">
      <c r="A19" s="51"/>
      <c r="B19"/>
      <c r="C19" s="71" t="str">
        <f>K12</f>
        <v>HPL</v>
      </c>
      <c r="D19" s="72" t="s">
        <v>31</v>
      </c>
      <c r="F19" s="71" t="str" cm="1">
        <f t="array" aca="1" ref="F19" ca="1">defaultValue(G19,C18)</f>
        <v>HPL</v>
      </c>
      <c r="G19" s="72" t="s">
        <v>31</v>
      </c>
      <c r="H19" s="63"/>
      <c r="I19" s="71" t="str">
        <f>I12</f>
        <v>بورديوم</v>
      </c>
      <c r="J19" s="72" t="s">
        <v>31</v>
      </c>
      <c r="K19" s="63"/>
      <c r="L19" s="71" t="str" cm="1">
        <f t="array" aca="1" ref="L19" ca="1">defaultValue(M19,C18)</f>
        <v>HPL</v>
      </c>
      <c r="M19" s="72" t="s">
        <v>31</v>
      </c>
      <c r="N19" s="63"/>
      <c r="O19" s="71" t="str" cm="1">
        <f t="array" aca="1" ref="O19" ca="1">defaultValue(P19,C18)</f>
        <v>HPL</v>
      </c>
      <c r="P19" s="72" t="s">
        <v>31</v>
      </c>
      <c r="Q19" s="63"/>
      <c r="R19" s="75" t="str" cm="1">
        <f t="array" aca="1" ref="R19" ca="1">defaultValue("دلف المطبخ",C18)</f>
        <v>يوفيلاك</v>
      </c>
      <c r="S19" s="75" t="s">
        <v>9</v>
      </c>
    </row>
    <row r="20" spans="1:19" ht="21" customHeight="1" x14ac:dyDescent="0.3">
      <c r="A20" s="51"/>
      <c r="B20"/>
      <c r="C20" s="73" t="str">
        <f>H12</f>
        <v>يوفيلاك</v>
      </c>
      <c r="D20" s="74" t="s">
        <v>32</v>
      </c>
      <c r="F20" s="73" t="str" cm="1">
        <f t="array" aca="1" ref="F20" ca="1">defaultValue(G20,C18)</f>
        <v>يوفيلاك</v>
      </c>
      <c r="G20" s="74" t="s">
        <v>32</v>
      </c>
      <c r="H20" s="63"/>
      <c r="I20" s="73" t="str" cm="1">
        <f t="array" aca="1" ref="I20" ca="1">defaultValue(J20,F18)</f>
        <v>يوفيلاك</v>
      </c>
      <c r="J20" s="74" t="s">
        <v>32</v>
      </c>
      <c r="K20" s="63"/>
      <c r="L20" s="73" t="str" cm="1">
        <f t="array" aca="1" ref="L20" ca="1">defaultValue(M20,C18)</f>
        <v>يوفيلاك</v>
      </c>
      <c r="M20" s="74" t="s">
        <v>32</v>
      </c>
      <c r="N20" s="63"/>
      <c r="O20" s="73" t="str" cm="1">
        <f t="array" aca="1" ref="O20" ca="1">defaultValue(P20,C18)</f>
        <v>يوفيلاك</v>
      </c>
      <c r="P20" s="74" t="s">
        <v>32</v>
      </c>
      <c r="Q20" s="63"/>
      <c r="R20" s="79" t="e" cm="1">
        <f t="array" ref="R20">defaultValue(S20,1)</f>
        <v>#N/A</v>
      </c>
      <c r="S20" s="81"/>
    </row>
    <row r="21" spans="1:19" ht="21" customHeight="1" x14ac:dyDescent="0.3">
      <c r="A21" s="51"/>
      <c r="B21"/>
      <c r="C21" s="76" t="str">
        <f>M12</f>
        <v>ظهر</v>
      </c>
      <c r="D21" s="77" t="s">
        <v>58</v>
      </c>
      <c r="F21" s="76" t="str" cm="1">
        <f t="array" aca="1" ref="F21" ca="1">defaultValue(G21,C18)</f>
        <v>ظهر</v>
      </c>
      <c r="G21" s="77" t="s">
        <v>58</v>
      </c>
      <c r="H21" s="63"/>
      <c r="I21" s="76" t="str" cm="1">
        <f t="array" aca="1" ref="I21" ca="1">defaultValue(J21,F18)</f>
        <v>ظهر</v>
      </c>
      <c r="J21" s="77" t="s">
        <v>58</v>
      </c>
      <c r="K21" s="63"/>
      <c r="L21" s="87" t="str" cm="1">
        <f t="array" aca="1" ref="L21" ca="1">defaultValue(M21,C18)</f>
        <v>ظهر</v>
      </c>
      <c r="M21" s="88" t="s">
        <v>58</v>
      </c>
      <c r="N21" s="63"/>
      <c r="O21" s="87" t="str" cm="1">
        <f t="array" aca="1" ref="O21" ca="1">defaultValue(P21,C18)</f>
        <v>ظهر</v>
      </c>
      <c r="P21" s="88" t="s">
        <v>58</v>
      </c>
      <c r="Q21" s="63"/>
      <c r="R21" s="79" t="e" cm="1">
        <f t="array" ref="R21">defaultValue(S21,1)</f>
        <v>#N/A</v>
      </c>
      <c r="S21" s="81"/>
    </row>
    <row r="22" spans="1:19" ht="21" customHeight="1" x14ac:dyDescent="0.3">
      <c r="A22" s="51"/>
      <c r="B22"/>
      <c r="C22" s="79">
        <v>45</v>
      </c>
      <c r="D22" s="81" t="s">
        <v>19</v>
      </c>
      <c r="F22" s="79">
        <v>56</v>
      </c>
      <c r="G22" s="81" t="s">
        <v>113</v>
      </c>
      <c r="H22" s="78"/>
      <c r="I22" s="79" cm="1">
        <f t="array" aca="1" ref="I22" ca="1">defaultValue(J22,F18)</f>
        <v>56</v>
      </c>
      <c r="J22" s="81" t="s">
        <v>113</v>
      </c>
      <c r="K22" s="63"/>
      <c r="L22" s="79">
        <v>30</v>
      </c>
      <c r="M22" s="81" t="s">
        <v>113</v>
      </c>
      <c r="N22" s="63"/>
      <c r="O22" s="79" t="e" cm="1">
        <f t="array" ref="O22">defaultValue(P22,C21)</f>
        <v>#VALUE!</v>
      </c>
      <c r="P22" s="81"/>
      <c r="Q22" s="63"/>
      <c r="R22" s="79" t="e" cm="1">
        <f t="array" ref="R22">defaultValue(S22,1)</f>
        <v>#N/A</v>
      </c>
      <c r="S22" s="81"/>
    </row>
    <row r="23" spans="1:19" ht="21" customHeight="1" x14ac:dyDescent="0.3">
      <c r="A23" s="51"/>
      <c r="B23"/>
      <c r="C23" s="80">
        <v>3.5</v>
      </c>
      <c r="D23" s="82" t="s">
        <v>16</v>
      </c>
      <c r="F23" s="79">
        <v>78</v>
      </c>
      <c r="G23" s="81" t="s">
        <v>3</v>
      </c>
      <c r="H23" s="63"/>
      <c r="I23" s="79" cm="1">
        <f t="array" aca="1" ref="I23" ca="1">defaultValue(J23,F18)</f>
        <v>78</v>
      </c>
      <c r="J23" s="81" t="s">
        <v>3</v>
      </c>
      <c r="K23" s="63"/>
      <c r="L23" s="79">
        <v>70</v>
      </c>
      <c r="M23" s="81" t="s">
        <v>3</v>
      </c>
      <c r="N23" s="63"/>
      <c r="O23" s="79" t="e" cm="1">
        <f t="array" ref="O23">defaultValue(P23,C22)</f>
        <v>#VALUE!</v>
      </c>
      <c r="P23" s="81"/>
      <c r="Q23" s="63"/>
      <c r="R23" s="79" t="e" cm="1">
        <f t="array" ref="R23">defaultValue(S23,1)</f>
        <v>#N/A</v>
      </c>
      <c r="S23" s="81"/>
    </row>
    <row r="24" spans="1:19" ht="21" customHeight="1" x14ac:dyDescent="0.3">
      <c r="A24" s="51"/>
      <c r="B24"/>
      <c r="C24" s="85" t="b">
        <v>1</v>
      </c>
      <c r="D24" s="81" t="s">
        <v>114</v>
      </c>
      <c r="F24" s="79" cm="1">
        <f t="array" aca="1" ref="F24" ca="1">defaultValue(G24,C18)</f>
        <v>45</v>
      </c>
      <c r="G24" s="81" t="s">
        <v>19</v>
      </c>
      <c r="H24" s="63"/>
      <c r="I24" s="79" cm="1">
        <f t="array" aca="1" ref="I24" ca="1">defaultValue(J24,F18)</f>
        <v>45</v>
      </c>
      <c r="J24" s="81" t="s">
        <v>19</v>
      </c>
      <c r="K24" s="63"/>
      <c r="L24" s="79" cm="1">
        <f t="array" ref="L24">defaultValue(M24,1)</f>
        <v>45</v>
      </c>
      <c r="M24" s="81" t="s">
        <v>19</v>
      </c>
      <c r="N24" s="63"/>
      <c r="O24" s="79" t="e" cm="1">
        <f t="array" ref="O24">defaultValue(P24,C23)</f>
        <v>#N/A</v>
      </c>
      <c r="P24" s="81"/>
      <c r="Q24" s="63"/>
      <c r="R24" s="79" t="e" cm="1">
        <f t="array" ref="R24">defaultValue(S24,1)</f>
        <v>#N/A</v>
      </c>
      <c r="S24" s="81"/>
    </row>
    <row r="25" spans="1:19" ht="21" customHeight="1" x14ac:dyDescent="0.3">
      <c r="A25" s="51"/>
      <c r="B25"/>
      <c r="C25" s="85"/>
      <c r="D25" s="81"/>
      <c r="F25" s="79" cm="1">
        <f t="array" aca="1" ref="F25" ca="1">defaultValue(G25,C18)</f>
        <v>3.5</v>
      </c>
      <c r="G25" s="81" t="s">
        <v>16</v>
      </c>
      <c r="H25" s="63"/>
      <c r="I25" s="79" cm="1">
        <f t="array" aca="1" ref="I25" ca="1">defaultValue(J25,F18)</f>
        <v>3.5</v>
      </c>
      <c r="J25" s="81" t="s">
        <v>16</v>
      </c>
      <c r="K25" s="63"/>
      <c r="L25" s="79" cm="1">
        <f t="array" ref="L25">defaultValue(M25,1)</f>
        <v>3.5</v>
      </c>
      <c r="M25" s="81" t="s">
        <v>16</v>
      </c>
      <c r="N25" s="63"/>
      <c r="O25" s="79" t="e" cm="1">
        <f t="array" ref="O25">defaultValue(P25,C24)</f>
        <v>#VALUE!</v>
      </c>
      <c r="P25" s="81"/>
      <c r="Q25" s="63"/>
      <c r="R25" s="79" t="e" cm="1">
        <f t="array" ref="R25">defaultValue(S25,1)</f>
        <v>#N/A</v>
      </c>
      <c r="S25" s="81"/>
    </row>
    <row r="26" spans="1:19" ht="21" customHeight="1" x14ac:dyDescent="0.3">
      <c r="A26" s="51"/>
      <c r="B26"/>
      <c r="C26" s="85"/>
      <c r="D26" s="81"/>
      <c r="F26" s="79" t="b" cm="1">
        <f t="array" aca="1" ref="F26" ca="1">defaultValue(G26,C18)</f>
        <v>1</v>
      </c>
      <c r="G26" s="81" t="s">
        <v>114</v>
      </c>
      <c r="H26" s="63"/>
      <c r="I26" s="79" t="b" cm="1">
        <f t="array" aca="1" ref="I26" ca="1">defaultValue(J26,F18)</f>
        <v>1</v>
      </c>
      <c r="J26" s="81" t="s">
        <v>114</v>
      </c>
      <c r="K26" s="63"/>
      <c r="L26" s="79">
        <v>0</v>
      </c>
      <c r="M26" s="81" t="s">
        <v>115</v>
      </c>
      <c r="N26" s="63"/>
      <c r="O26" s="79" t="e" cm="1">
        <f t="array" ref="O26">defaultValue(P26,C25)</f>
        <v>#VALUE!</v>
      </c>
      <c r="P26" s="81"/>
      <c r="Q26" s="63"/>
      <c r="R26" s="79" t="e" cm="1">
        <f t="array" ref="R26">defaultValue(S26,1)</f>
        <v>#N/A</v>
      </c>
      <c r="S26" s="82"/>
    </row>
    <row r="27" spans="1:19" ht="21" customHeight="1" x14ac:dyDescent="0.3">
      <c r="A27" s="51"/>
      <c r="B27"/>
      <c r="C27" s="86"/>
      <c r="D27" s="82"/>
      <c r="F27" s="80" t="e" cm="1">
        <f t="array" ref="F27">defaultValue(G27,1)</f>
        <v>#N/A</v>
      </c>
      <c r="G27" s="82"/>
      <c r="H27" s="63"/>
      <c r="I27" s="80" t="e" cm="1">
        <f t="array" ref="I27">defaultValue(J27,3)</f>
        <v>#VALUE!</v>
      </c>
      <c r="J27" s="82"/>
      <c r="K27" s="63"/>
      <c r="L27" s="80" t="e" cm="1">
        <f t="array" ref="L27">defaultValue(M27,1)</f>
        <v>#N/A</v>
      </c>
      <c r="M27" s="82"/>
      <c r="N27" s="63"/>
      <c r="O27" s="80" t="e" cm="1">
        <f t="array" ref="O27">defaultValue(P27,C26)</f>
        <v>#VALUE!</v>
      </c>
      <c r="P27" s="82"/>
      <c r="Q27" s="63"/>
      <c r="R27" s="79" t="e" cm="1">
        <f t="array" ref="R27">defaultValue(S27,1)</f>
        <v>#N/A</v>
      </c>
      <c r="S27" s="81"/>
    </row>
    <row r="28" spans="1:19" ht="21" customHeight="1" x14ac:dyDescent="0.3">
      <c r="A28" s="51"/>
      <c r="B28"/>
      <c r="C28" s="85"/>
      <c r="D28" s="81"/>
      <c r="F28" s="79" t="e" cm="1">
        <f t="array" ref="F28">defaultValue(G28,1)</f>
        <v>#N/A</v>
      </c>
      <c r="G28" s="81"/>
      <c r="H28" s="63"/>
      <c r="I28" s="79" t="e" cm="1">
        <f t="array" ref="I28">defaultValue(J28,3)</f>
        <v>#VALUE!</v>
      </c>
      <c r="J28" s="81"/>
      <c r="K28" s="63"/>
      <c r="L28" s="79" t="e" cm="1">
        <f t="array" ref="L28">defaultValue(M28,1)</f>
        <v>#N/A</v>
      </c>
      <c r="M28" s="81"/>
      <c r="N28" s="63"/>
      <c r="O28" s="79" t="e" cm="1">
        <f t="array" ref="O28">defaultValue(P28,C27)</f>
        <v>#VALUE!</v>
      </c>
      <c r="P28" s="81"/>
      <c r="Q28" s="63"/>
      <c r="R28" s="79" t="e" cm="1">
        <f t="array" ref="R28">defaultValue(S28,1)</f>
        <v>#N/A</v>
      </c>
      <c r="S28" s="81"/>
    </row>
    <row r="29" spans="1:19" ht="21" customHeight="1" x14ac:dyDescent="0.3">
      <c r="A29" s="51"/>
      <c r="B29"/>
      <c r="C29" s="85"/>
      <c r="D29" s="81"/>
      <c r="F29" s="79" t="e" cm="1">
        <f t="array" ref="F29">defaultValue(G29,1)</f>
        <v>#N/A</v>
      </c>
      <c r="G29" s="81"/>
      <c r="H29" s="63"/>
      <c r="I29" s="79" t="e" cm="1">
        <f t="array" ref="I29">defaultValue(J29,3)</f>
        <v>#VALUE!</v>
      </c>
      <c r="J29" s="81"/>
      <c r="K29" s="63"/>
      <c r="L29" s="79" t="e" cm="1">
        <f t="array" ref="L29">defaultValue(M29,1)</f>
        <v>#N/A</v>
      </c>
      <c r="M29" s="81"/>
      <c r="N29" s="63"/>
      <c r="O29" s="79" t="e" cm="1">
        <f t="array" ref="O29">defaultValue(P29,C28)</f>
        <v>#VALUE!</v>
      </c>
      <c r="P29" s="81"/>
      <c r="Q29" s="63"/>
      <c r="R29" s="79" t="e" cm="1">
        <f t="array" ref="R29">defaultValue(S29,1)</f>
        <v>#N/A</v>
      </c>
      <c r="S29" s="81"/>
    </row>
    <row r="30" spans="1:19" ht="21" customHeight="1" x14ac:dyDescent="0.3">
      <c r="A30" s="51"/>
      <c r="B30"/>
      <c r="C30" s="85"/>
      <c r="D30" s="81"/>
      <c r="F30" s="79" t="e" cm="1">
        <f t="array" ref="F30">defaultValue(G30,1)</f>
        <v>#N/A</v>
      </c>
      <c r="G30" s="81"/>
      <c r="H30" s="63"/>
      <c r="I30" s="79" t="e" cm="1">
        <f t="array" ref="I30">defaultValue(J30,3)</f>
        <v>#VALUE!</v>
      </c>
      <c r="J30" s="81"/>
      <c r="K30" s="63"/>
      <c r="L30" s="79" t="e" cm="1">
        <f t="array" ref="L30">defaultValue(M30,1)</f>
        <v>#N/A</v>
      </c>
      <c r="M30" s="81"/>
      <c r="N30" s="63"/>
      <c r="O30" s="79" t="e" cm="1">
        <f t="array" ref="O30">defaultValue(P30,C29)</f>
        <v>#VALUE!</v>
      </c>
      <c r="P30" s="81"/>
      <c r="Q30" s="63"/>
      <c r="R30" s="79" t="e" cm="1">
        <f t="array" ref="R30">defaultValue(S30,1)</f>
        <v>#N/A</v>
      </c>
      <c r="S30" s="82"/>
    </row>
    <row r="31" spans="1:19" ht="21" customHeight="1" x14ac:dyDescent="0.3">
      <c r="C31" s="86"/>
      <c r="D31" s="82"/>
      <c r="F31" s="80" t="e" cm="1">
        <f t="array" ref="F31">defaultValue(G31,1)</f>
        <v>#N/A</v>
      </c>
      <c r="G31" s="82"/>
      <c r="H31" s="63"/>
      <c r="I31" s="79" t="e" cm="1">
        <f t="array" ref="I31">defaultValue(J31,3)</f>
        <v>#VALUE!</v>
      </c>
      <c r="J31" s="82"/>
      <c r="K31" s="63"/>
      <c r="L31" s="79" t="e" cm="1">
        <f t="array" ref="L31">defaultValue(M31,1)</f>
        <v>#N/A</v>
      </c>
      <c r="M31" s="82"/>
      <c r="N31" s="63"/>
      <c r="O31" s="79" t="e" cm="1">
        <f t="array" ref="O31">defaultValue(P31,C30)</f>
        <v>#VALUE!</v>
      </c>
      <c r="P31" s="82"/>
      <c r="Q31" s="63"/>
      <c r="R31" s="79" t="e" cm="1">
        <f t="array" ref="R31">defaultValue(S31,1)</f>
        <v>#N/A</v>
      </c>
      <c r="S31" s="82"/>
    </row>
  </sheetData>
  <mergeCells count="13">
    <mergeCell ref="C11:N11"/>
    <mergeCell ref="O18:P18"/>
    <mergeCell ref="R18:S18"/>
    <mergeCell ref="C17:D17"/>
    <mergeCell ref="C18:D18"/>
    <mergeCell ref="F18:G18"/>
    <mergeCell ref="I18:J18"/>
    <mergeCell ref="L18:M18"/>
    <mergeCell ref="F17:G17"/>
    <mergeCell ref="I17:J17"/>
    <mergeCell ref="L17:M17"/>
    <mergeCell ref="O17:P17"/>
    <mergeCell ref="R17:S17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67"/>
  <sheetViews>
    <sheetView tabSelected="1" zoomScale="85" zoomScaleNormal="85" workbookViewId="0">
      <pane ySplit="8" topLeftCell="A29" activePane="bottomLeft" state="frozen"/>
      <selection pane="bottomLeft" activeCell="K46" sqref="K46"/>
    </sheetView>
  </sheetViews>
  <sheetFormatPr defaultRowHeight="14.4" x14ac:dyDescent="0.3"/>
  <cols>
    <col min="1" max="1" width="8.88671875" style="34" customWidth="1"/>
    <col min="2" max="2" width="21.21875" style="1" customWidth="1"/>
    <col min="3" max="3" width="10.77734375" style="1" customWidth="1"/>
    <col min="4" max="4" width="14" style="1" customWidth="1"/>
    <col min="5" max="5" width="12.6640625" style="1" customWidth="1"/>
    <col min="6" max="6" width="10.664062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62" s="34" customFormat="1" x14ac:dyDescent="0.3">
      <c r="B1" s="34">
        <v>3</v>
      </c>
    </row>
    <row r="2" spans="1:62" s="34" customFormat="1" x14ac:dyDescent="0.3">
      <c r="B2" s="34" t="s">
        <v>180</v>
      </c>
    </row>
    <row r="3" spans="1:62" s="34" customFormat="1" x14ac:dyDescent="0.3">
      <c r="B3" s="34" t="s">
        <v>179</v>
      </c>
    </row>
    <row r="4" spans="1:62" s="34" customFormat="1" x14ac:dyDescent="0.3"/>
    <row r="5" spans="1:62" s="34" customFormat="1" x14ac:dyDescent="0.3"/>
    <row r="6" spans="1:62" s="34" customFormat="1" x14ac:dyDescent="0.3"/>
    <row r="7" spans="1:62" s="34" customFormat="1" x14ac:dyDescent="0.3"/>
    <row r="8" spans="1:62" s="34" customFormat="1" x14ac:dyDescent="0.3"/>
    <row r="9" spans="1:62" x14ac:dyDescent="0.3">
      <c r="A9" s="40"/>
    </row>
    <row r="13" spans="1:62" ht="34.799999999999997" customHeight="1" x14ac:dyDescent="0.3">
      <c r="A13" s="54" t="s">
        <v>155</v>
      </c>
      <c r="B13" s="15"/>
      <c r="C13" s="14">
        <v>1</v>
      </c>
      <c r="D13" s="22" t="s">
        <v>59</v>
      </c>
      <c r="E13" s="100" t="s">
        <v>181</v>
      </c>
      <c r="F13" s="101"/>
      <c r="G13" s="101"/>
      <c r="H13" s="102"/>
      <c r="I13" s="2" t="s">
        <v>30</v>
      </c>
      <c r="J13" s="2">
        <f>letterToNumber(A13)</f>
        <v>1</v>
      </c>
      <c r="K13" s="27">
        <f ca="1">_xlfn.SHEET("نماذج")</f>
        <v>2</v>
      </c>
      <c r="BB13"/>
      <c r="BC13"/>
      <c r="BD13"/>
      <c r="BE13"/>
      <c r="BF13"/>
      <c r="BG13"/>
      <c r="BH13"/>
      <c r="BI13"/>
      <c r="BJ13"/>
    </row>
    <row r="14" spans="1:62" ht="21" x14ac:dyDescent="0.3">
      <c r="A14" s="51">
        <v>1</v>
      </c>
      <c r="B14" s="15"/>
      <c r="C14" s="8"/>
      <c r="D14" s="7"/>
      <c r="E14" s="27" t="str" cm="1">
        <f t="array" aca="1" ref="E14" ca="1">defaultValue(F14,K13)</f>
        <v>ظهر</v>
      </c>
      <c r="F14" s="7" t="s">
        <v>58</v>
      </c>
      <c r="G14" s="27" t="str" cm="1">
        <f t="array" aca="1" ref="G14" ca="1">defaultValue(H14,K13)</f>
        <v>يوفيلاك</v>
      </c>
      <c r="H14" s="7" t="s">
        <v>32</v>
      </c>
      <c r="I14" s="27" t="str" cm="1">
        <f t="array" aca="1" ref="I14" ca="1">defaultValue(J14,K13)</f>
        <v>HPL</v>
      </c>
      <c r="J14" s="7" t="s">
        <v>31</v>
      </c>
      <c r="K14" s="25" t="s">
        <v>111</v>
      </c>
      <c r="BB14"/>
      <c r="BC14"/>
      <c r="BD14"/>
      <c r="BE14"/>
      <c r="BF14"/>
      <c r="BG14"/>
      <c r="BH14"/>
      <c r="BI14"/>
      <c r="BJ14"/>
    </row>
    <row r="15" spans="1:62" ht="15.6" x14ac:dyDescent="0.3">
      <c r="A15" s="51">
        <v>1</v>
      </c>
      <c r="B15" s="15"/>
      <c r="C15" s="7"/>
      <c r="D15" s="18"/>
      <c r="E15" s="7"/>
      <c r="F15" s="7"/>
      <c r="G15" s="7" t="s">
        <v>16</v>
      </c>
      <c r="H15" s="7" t="s">
        <v>22</v>
      </c>
      <c r="I15" s="7" t="s">
        <v>3</v>
      </c>
      <c r="J15" s="7" t="s">
        <v>113</v>
      </c>
      <c r="K15" s="7"/>
      <c r="BB15"/>
      <c r="BC15"/>
      <c r="BD15"/>
      <c r="BE15"/>
      <c r="BF15"/>
      <c r="BG15"/>
      <c r="BH15"/>
      <c r="BI15"/>
      <c r="BJ15"/>
    </row>
    <row r="16" spans="1:62" ht="15.6" x14ac:dyDescent="0.3">
      <c r="A16" s="51">
        <v>1</v>
      </c>
      <c r="B16" s="15"/>
      <c r="C16" s="8"/>
      <c r="D16" s="8"/>
      <c r="E16" s="27"/>
      <c r="F16" s="7"/>
      <c r="G16" s="27" cm="1">
        <f t="array" aca="1" ref="G16" ca="1">defaultValue(G15,K13)</f>
        <v>3.5</v>
      </c>
      <c r="H16" s="8"/>
      <c r="I16" s="27"/>
      <c r="J16" s="27"/>
      <c r="K16" s="7"/>
      <c r="BB16"/>
      <c r="BC16"/>
      <c r="BD16"/>
      <c r="BE16"/>
      <c r="BF16"/>
      <c r="BG16"/>
      <c r="BH16"/>
      <c r="BI16"/>
      <c r="BJ16"/>
    </row>
    <row r="17" spans="1:62" ht="15.6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  <c r="BB17"/>
      <c r="BC17"/>
      <c r="BD17"/>
      <c r="BE17"/>
      <c r="BF17"/>
      <c r="BG17"/>
      <c r="BH17"/>
      <c r="BI17"/>
      <c r="BJ17"/>
    </row>
    <row r="18" spans="1:62" ht="15.6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/>
      <c r="BB18"/>
      <c r="BC18"/>
      <c r="BD18"/>
      <c r="BE18"/>
      <c r="BF18"/>
      <c r="BG18"/>
      <c r="BH18"/>
      <c r="BI18"/>
      <c r="BJ18"/>
    </row>
    <row r="19" spans="1:62" ht="15.6" x14ac:dyDescent="0.3">
      <c r="A19" s="51">
        <v>0</v>
      </c>
      <c r="B19" s="15"/>
      <c r="K19" s="3"/>
      <c r="BB19"/>
      <c r="BC19"/>
      <c r="BD19"/>
      <c r="BE19"/>
      <c r="BF19"/>
      <c r="BG19"/>
      <c r="BH19"/>
      <c r="BI19"/>
      <c r="BJ19"/>
    </row>
    <row r="20" spans="1:62" ht="15.6" x14ac:dyDescent="0.3">
      <c r="A20" s="51">
        <v>3</v>
      </c>
      <c r="B20" s="15" t="str" cm="1">
        <f t="array" ref="B20">visible(E13, K20)</f>
        <v>وحدة عادية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visible((""),K20)</f>
        <v/>
      </c>
      <c r="K20" s="6" t="b">
        <v>1</v>
      </c>
      <c r="BB20"/>
      <c r="BC20"/>
      <c r="BD20"/>
      <c r="BE20"/>
      <c r="BF20"/>
      <c r="BG20"/>
      <c r="BH20"/>
      <c r="BI20"/>
      <c r="BJ20"/>
    </row>
    <row r="21" spans="1:62" ht="15.6" x14ac:dyDescent="0.3">
      <c r="A21" s="51">
        <v>3</v>
      </c>
      <c r="B21" s="15" t="str" cm="1">
        <f t="array" ref="B21">visible(E13, K21)</f>
        <v>وحدة عادية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visible((""),K21)</f>
        <v/>
      </c>
      <c r="K21" s="6" t="b">
        <v>1</v>
      </c>
      <c r="BB21"/>
      <c r="BC21"/>
      <c r="BD21"/>
      <c r="BE21"/>
      <c r="BF21"/>
      <c r="BG21"/>
      <c r="BH21"/>
      <c r="BI21"/>
      <c r="BJ21"/>
    </row>
    <row r="22" spans="1:62" ht="15.6" x14ac:dyDescent="0.3">
      <c r="A22" s="51">
        <v>3</v>
      </c>
      <c r="B22" s="15" t="str" cm="1">
        <f t="array" ref="B22">visible(E13, K22)</f>
        <v>وحدة عادية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visible((""),K22)</f>
        <v/>
      </c>
      <c r="K22" s="6" t="b">
        <v>1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51">
        <v>3</v>
      </c>
      <c r="B23" s="15" t="str" cm="1">
        <f t="array" ref="B23">visible(E13, K23)</f>
        <v>وحدة عادية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visible((""),K23)</f>
        <v/>
      </c>
      <c r="K23" s="6" t="b">
        <v>1</v>
      </c>
      <c r="BB23"/>
      <c r="BC23"/>
      <c r="BD23"/>
      <c r="BE23"/>
      <c r="BF23"/>
      <c r="BG23"/>
      <c r="BH23"/>
      <c r="BI23"/>
      <c r="BJ23"/>
    </row>
    <row r="24" spans="1:62" ht="15.6" x14ac:dyDescent="0.3">
      <c r="A24" s="51">
        <v>0</v>
      </c>
      <c r="B24" s="15"/>
      <c r="K24" s="3"/>
      <c r="BB24"/>
      <c r="BC24"/>
      <c r="BD24"/>
      <c r="BE24"/>
      <c r="BF24"/>
      <c r="BG24"/>
      <c r="BH24"/>
      <c r="BI24"/>
      <c r="BJ24"/>
    </row>
    <row r="25" spans="1:62" ht="15.6" x14ac:dyDescent="0.3">
      <c r="A25" s="51">
        <v>4</v>
      </c>
      <c r="B25" s="15" t="str" cm="1">
        <f t="array" ref="B25">visible(E13, K25)</f>
        <v>وحدة عادية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visible((""),K25)</f>
        <v/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51">
        <v>4</v>
      </c>
      <c r="B26" s="15" t="str" cm="1">
        <f t="array" ref="B26">visible(E13, K26)</f>
        <v>وحدة عادية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visible((""),K26)</f>
        <v/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51">
        <v>0</v>
      </c>
      <c r="B27" s="15"/>
      <c r="K27" s="3"/>
      <c r="BB27"/>
      <c r="BC27"/>
      <c r="BD27"/>
      <c r="BE27"/>
      <c r="BF27"/>
      <c r="BG27"/>
      <c r="BH27"/>
      <c r="BI27"/>
      <c r="BJ27"/>
    </row>
    <row r="28" spans="1:62" ht="15.6" x14ac:dyDescent="0.3">
      <c r="A28" s="51">
        <v>5</v>
      </c>
      <c r="B28" s="15" t="str" cm="1">
        <f t="array" ref="B28">visible(E13, K28)</f>
        <v>وحدة عادية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visible((""),K28)</f>
        <v/>
      </c>
      <c r="K28" s="19" t="b">
        <v>1</v>
      </c>
      <c r="BB28"/>
      <c r="BC28"/>
      <c r="BD28"/>
      <c r="BE28"/>
      <c r="BF28"/>
      <c r="BG28"/>
      <c r="BH28"/>
      <c r="BI28"/>
      <c r="BJ28"/>
    </row>
    <row r="29" spans="1:62" x14ac:dyDescent="0.3">
      <c r="A29" s="34">
        <v>255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4">
        <v>255</v>
      </c>
      <c r="BB30"/>
      <c r="BC30"/>
      <c r="BD30"/>
      <c r="BE30"/>
      <c r="BF30"/>
      <c r="BG30"/>
      <c r="BH30"/>
      <c r="BI30"/>
      <c r="BJ30"/>
    </row>
    <row r="31" spans="1:62" ht="37.200000000000003" customHeight="1" x14ac:dyDescent="0.3">
      <c r="A31" s="54" t="s">
        <v>160</v>
      </c>
      <c r="B31" s="15"/>
      <c r="C31" s="14">
        <v>1</v>
      </c>
      <c r="D31" s="22" t="s">
        <v>59</v>
      </c>
      <c r="E31" s="100" t="s">
        <v>182</v>
      </c>
      <c r="F31" s="101"/>
      <c r="G31" s="101"/>
      <c r="H31" s="102"/>
      <c r="I31" s="2" t="s">
        <v>30</v>
      </c>
      <c r="J31" s="2">
        <f>letterToNumber(A31)</f>
        <v>2</v>
      </c>
      <c r="K31" s="27">
        <f ca="1">_xlfn.SHEET("وحدات سفلية")</f>
        <v>4</v>
      </c>
      <c r="BB31"/>
      <c r="BC31"/>
      <c r="BD31"/>
      <c r="BE31"/>
      <c r="BF31"/>
      <c r="BG31"/>
      <c r="BH31"/>
      <c r="BI31"/>
      <c r="BJ31"/>
    </row>
    <row r="32" spans="1:62" ht="21" x14ac:dyDescent="0.3">
      <c r="A32" s="51">
        <v>1</v>
      </c>
      <c r="B32" s="15"/>
      <c r="C32" s="8"/>
      <c r="D32" s="7"/>
      <c r="E32" s="27" t="str" cm="1">
        <f t="array" aca="1" ref="E32" ca="1">defaultValue(F32,K31)</f>
        <v>ظهر</v>
      </c>
      <c r="F32" s="7" t="s">
        <v>58</v>
      </c>
      <c r="G32" s="27" t="str" cm="1">
        <f t="array" aca="1" ref="G32" ca="1">defaultValue(H32,K31)</f>
        <v>يوفيلاك</v>
      </c>
      <c r="H32" s="7" t="s">
        <v>32</v>
      </c>
      <c r="I32" s="27" t="str" cm="1">
        <f t="array" aca="1" ref="I32" ca="1">defaultValue(J32,K31)</f>
        <v>HPL</v>
      </c>
      <c r="J32" s="7" t="s">
        <v>31</v>
      </c>
      <c r="K32" s="25" t="s">
        <v>111</v>
      </c>
      <c r="BB32"/>
      <c r="BC32"/>
      <c r="BD32"/>
      <c r="BE32"/>
      <c r="BF32"/>
      <c r="BG32"/>
      <c r="BH32"/>
      <c r="BI32"/>
      <c r="BJ32"/>
    </row>
    <row r="33" spans="1:62" ht="15.6" x14ac:dyDescent="0.3">
      <c r="A33" s="51">
        <v>1</v>
      </c>
      <c r="B33" s="15"/>
      <c r="C33" s="7" t="s">
        <v>12</v>
      </c>
      <c r="D33" s="7" t="s">
        <v>18</v>
      </c>
      <c r="E33" s="121"/>
      <c r="F33" s="121" t="s">
        <v>114</v>
      </c>
      <c r="G33" s="7" t="s">
        <v>16</v>
      </c>
      <c r="H33" s="7" t="s">
        <v>22</v>
      </c>
      <c r="I33" s="7" t="s">
        <v>3</v>
      </c>
      <c r="J33" s="7" t="s">
        <v>113</v>
      </c>
      <c r="K33" s="7"/>
      <c r="BB33"/>
      <c r="BC33"/>
      <c r="BD33"/>
      <c r="BE33"/>
      <c r="BF33"/>
      <c r="BG33"/>
      <c r="BH33"/>
      <c r="BI33"/>
      <c r="BJ33"/>
    </row>
    <row r="34" spans="1:62" ht="15.6" x14ac:dyDescent="0.3">
      <c r="A34" s="51">
        <v>1</v>
      </c>
      <c r="B34" s="15"/>
      <c r="C34" s="27">
        <v>1</v>
      </c>
      <c r="D34" s="27">
        <v>5</v>
      </c>
      <c r="E34" s="46"/>
      <c r="F34" s="27" t="b" cm="1">
        <f t="array" aca="1" ref="F34" ca="1">defaultValue(F33,K31)</f>
        <v>1</v>
      </c>
      <c r="G34" s="27" cm="1">
        <f t="array" aca="1" ref="G34" ca="1">defaultValue(G33,K31)</f>
        <v>3.5</v>
      </c>
      <c r="H34" s="8"/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BB34"/>
      <c r="BC34"/>
      <c r="BD34"/>
      <c r="BE34"/>
      <c r="BF34"/>
      <c r="BG34"/>
      <c r="BH34"/>
      <c r="BI34"/>
      <c r="BJ34"/>
    </row>
    <row r="35" spans="1:62" ht="15.6" x14ac:dyDescent="0.3">
      <c r="A35" s="51">
        <v>0</v>
      </c>
      <c r="B35" s="15"/>
      <c r="C35" s="3"/>
      <c r="D35" s="3"/>
      <c r="E35" s="3"/>
      <c r="F35" s="3"/>
      <c r="G35" s="3"/>
      <c r="H35" s="3"/>
      <c r="I35" s="3"/>
      <c r="J35" s="3"/>
      <c r="K35" s="3"/>
      <c r="BB35"/>
      <c r="BC35"/>
      <c r="BD35"/>
      <c r="BE35"/>
      <c r="BF35"/>
      <c r="BG35"/>
      <c r="BH35"/>
      <c r="BI35"/>
      <c r="BJ35"/>
    </row>
    <row r="36" spans="1:62" ht="15.6" x14ac:dyDescent="0.3">
      <c r="A36" s="51">
        <v>2</v>
      </c>
      <c r="B36" s="15"/>
      <c r="C36" s="6" t="s">
        <v>4</v>
      </c>
      <c r="D36" s="6" t="s">
        <v>9</v>
      </c>
      <c r="E36" s="6" t="s">
        <v>5</v>
      </c>
      <c r="F36" s="6" t="s">
        <v>7</v>
      </c>
      <c r="G36" s="6" t="s">
        <v>1</v>
      </c>
      <c r="H36" s="6" t="s">
        <v>6</v>
      </c>
      <c r="I36" s="6" t="s">
        <v>33</v>
      </c>
      <c r="J36" s="6" t="s">
        <v>8</v>
      </c>
      <c r="K36" s="6"/>
      <c r="BB36"/>
      <c r="BC36"/>
      <c r="BD36"/>
      <c r="BE36"/>
      <c r="BF36"/>
      <c r="BG36"/>
      <c r="BH36"/>
      <c r="BI36"/>
      <c r="BJ36"/>
    </row>
    <row r="37" spans="1:62" ht="15.6" x14ac:dyDescent="0.3">
      <c r="A37" s="51">
        <v>0</v>
      </c>
      <c r="B37" s="15"/>
      <c r="K37" s="3"/>
      <c r="BB37"/>
      <c r="BC37"/>
      <c r="BD37"/>
      <c r="BE37"/>
      <c r="BF37"/>
      <c r="BG37"/>
      <c r="BH37"/>
      <c r="BI37"/>
      <c r="BJ37"/>
    </row>
    <row r="38" spans="1:62" ht="15.6" x14ac:dyDescent="0.3">
      <c r="A38" s="51">
        <v>3</v>
      </c>
      <c r="B38" s="15" t="str" cm="1">
        <f t="array" ref="B38">visible(E31, K38)</f>
        <v>وحدة سفلية</v>
      </c>
      <c r="C38" s="6" cm="1">
        <f t="array" ref="C38">visible((1),K38)</f>
        <v>1</v>
      </c>
      <c r="D38" s="6" t="str" cm="1">
        <f t="array" aca="1" ref="D38" ca="1">visible((I32),K38)</f>
        <v>HPL</v>
      </c>
      <c r="E38" s="6" t="str" cm="1">
        <f t="array" ref="E38">visible(("قاعدة"),K38)</f>
        <v>قاعدة</v>
      </c>
      <c r="F38" s="6" cm="1">
        <f t="array" ref="F38">visible((H34 -3.6),K38)</f>
        <v>-3.6</v>
      </c>
      <c r="G38" s="6" cm="1">
        <f t="array" aca="1" ref="G38" ca="1">visible((J34),K38)</f>
        <v>56</v>
      </c>
      <c r="H38" s="6" cm="1">
        <f t="array" ref="H38">visible((C31),K38)</f>
        <v>1</v>
      </c>
      <c r="I38" s="6" cm="1">
        <f t="array" aca="1" ref="I38" ca="1">visible(materialNum(D38),K38)</f>
        <v>2</v>
      </c>
      <c r="J38" s="6" t="str" cm="1">
        <f t="array" ref="J38">visible((""),M38)</f>
        <v/>
      </c>
      <c r="K38" s="6" t="b">
        <v>1</v>
      </c>
      <c r="BB38"/>
      <c r="BC38"/>
      <c r="BD38"/>
      <c r="BE38"/>
      <c r="BF38"/>
      <c r="BG38"/>
      <c r="BH38"/>
      <c r="BI38"/>
      <c r="BJ38"/>
    </row>
    <row r="39" spans="1:62" ht="15.6" x14ac:dyDescent="0.3">
      <c r="A39" s="51">
        <v>3</v>
      </c>
      <c r="B39" s="15" t="str" cm="1">
        <f t="array" ref="B39">visible(E31, K39)</f>
        <v>وحدة سفلية</v>
      </c>
      <c r="C39" s="6" cm="1">
        <f t="array" ref="C39">visible(2,K39)</f>
        <v>2</v>
      </c>
      <c r="D39" s="6" t="str" cm="1">
        <f t="array" aca="1" ref="D39" ca="1">visible((I32),K39)</f>
        <v>HPL</v>
      </c>
      <c r="E39" s="6" t="str" cm="1">
        <f t="array" ref="E39">visible(("أجناب"),K39)</f>
        <v>أجناب</v>
      </c>
      <c r="F39" s="6" cm="1">
        <f t="array" aca="1" ref="F39" ca="1">visible((I34),K39)</f>
        <v>78</v>
      </c>
      <c r="G39" s="6" cm="1">
        <f t="array" aca="1" ref="G39" ca="1">visible((J34),K39)</f>
        <v>56</v>
      </c>
      <c r="H39" s="6" cm="1">
        <f t="array" ref="H39">visible((2 *C31),K39)</f>
        <v>2</v>
      </c>
      <c r="I39" s="6" cm="1">
        <f t="array" aca="1" ref="I39" ca="1">visible(materialNum(D39),K39)</f>
        <v>2</v>
      </c>
      <c r="J39" s="6" t="str" cm="1">
        <f t="array" ref="J39">visible((""),M39)</f>
        <v/>
      </c>
      <c r="K39" s="6" t="b">
        <v>1</v>
      </c>
      <c r="BB39"/>
      <c r="BC39"/>
      <c r="BD39"/>
      <c r="BE39"/>
      <c r="BF39"/>
      <c r="BG39"/>
      <c r="BH39"/>
      <c r="BI39"/>
      <c r="BJ39"/>
    </row>
    <row r="40" spans="1:62" ht="15.6" x14ac:dyDescent="0.3">
      <c r="A40" s="51">
        <v>3</v>
      </c>
      <c r="B40" s="15" t="str" cm="1">
        <f t="array" ref="B40">visible(E31, K40)</f>
        <v>وحدة سفلية</v>
      </c>
      <c r="C40" s="6" cm="1">
        <f t="array" ref="C40">visible(3,K40)</f>
        <v>3</v>
      </c>
      <c r="D40" s="6" t="str" cm="1">
        <f t="array" aca="1" ref="D40" ca="1">visible((I32),K40)</f>
        <v>HPL</v>
      </c>
      <c r="E40" s="6" t="str" cm="1">
        <f t="array" ref="E40">visible(("مرايا علوية 1"),K40)</f>
        <v>مرايا علوية 1</v>
      </c>
      <c r="F40" s="6" cm="1">
        <f t="array" ref="F40">visible((H34-3.6),K40)</f>
        <v>-3.6</v>
      </c>
      <c r="G40" s="6" cm="1">
        <f t="array" ref="G40">visible((10),K40)</f>
        <v>10</v>
      </c>
      <c r="H40" s="6" cm="1">
        <f t="array" ref="H40">visible((C31),K40)</f>
        <v>1</v>
      </c>
      <c r="I40" s="6" cm="1">
        <f t="array" aca="1" ref="I40" ca="1">visible(materialNum(D40),K40)</f>
        <v>2</v>
      </c>
      <c r="J40" s="6" t="str" cm="1">
        <f t="array" ref="J40">visible((""),M40)</f>
        <v/>
      </c>
      <c r="K40" s="6" t="b">
        <v>1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51">
        <v>3</v>
      </c>
      <c r="B41" s="15" t="str" cm="1">
        <f t="array" ref="B41">visible(E31, K41)</f>
        <v>وحدة سفلية</v>
      </c>
      <c r="C41" s="6" cm="1">
        <f t="array" ref="C41">visible(4,K41)</f>
        <v>4</v>
      </c>
      <c r="D41" s="6" t="str" cm="1">
        <f t="array" aca="1" ref="D41" ca="1">visible((I32),K41)</f>
        <v>HPL</v>
      </c>
      <c r="E41" s="6" t="str" cm="1">
        <f t="array" ref="E41">visible(("مرايا علوية 2"),K41)</f>
        <v>مرايا علوية 2</v>
      </c>
      <c r="F41" s="6" cm="1">
        <f t="array" ref="F41">visible((H34-3.6),K41)</f>
        <v>-3.6</v>
      </c>
      <c r="G41" s="6" cm="1">
        <f t="array" ref="G41">visible((7),K41)</f>
        <v>7</v>
      </c>
      <c r="H41" s="6" cm="1">
        <f t="array" ref="H41">visible((C31),K41)</f>
        <v>1</v>
      </c>
      <c r="I41" s="6" cm="1">
        <f t="array" aca="1" ref="I41" ca="1">visible(materialNum(D41),K41)</f>
        <v>2</v>
      </c>
      <c r="J41" s="6" t="str" cm="1">
        <f t="array" ref="J41">visible((""),M41)</f>
        <v/>
      </c>
      <c r="K41" s="6" t="b">
        <v>1</v>
      </c>
      <c r="BB41"/>
      <c r="BC41"/>
      <c r="BD41"/>
      <c r="BE41"/>
      <c r="BF41"/>
      <c r="BG41"/>
      <c r="BH41"/>
      <c r="BI41"/>
      <c r="BJ41"/>
    </row>
    <row r="42" spans="1:62" ht="15.6" x14ac:dyDescent="0.3">
      <c r="A42" s="51">
        <v>3</v>
      </c>
      <c r="B42" s="15" t="str" cm="1">
        <f t="array" ref="B42">visible(E31, K42)</f>
        <v>وحدة سفلية</v>
      </c>
      <c r="C42" s="6" cm="1">
        <f t="array" ref="C42">visible(5,K42)</f>
        <v>5</v>
      </c>
      <c r="D42" s="6" t="str" cm="1">
        <f t="array" aca="1" ref="D42" ca="1">visible((I32),K42)</f>
        <v>HPL</v>
      </c>
      <c r="E42" s="6" t="str" cm="1">
        <f t="array" ref="E42">visible(("رف"),K42)</f>
        <v>رف</v>
      </c>
      <c r="F42" s="6" cm="1">
        <f t="array" ref="F42">visible((H35-3.8),K42)</f>
        <v>-3.8</v>
      </c>
      <c r="G42" s="6" cm="1">
        <f t="array" aca="1" ref="G42" ca="1">visible((J34-6),K42)</f>
        <v>50</v>
      </c>
      <c r="H42" s="6" cm="1">
        <f t="array" ref="H42">visible((D34*C31),K42)</f>
        <v>5</v>
      </c>
      <c r="I42" s="6" cm="1">
        <f t="array" aca="1" ref="I42" ca="1">visible(materialNum(D42),K42)</f>
        <v>2</v>
      </c>
      <c r="J42" s="6" t="str" cm="1">
        <f t="array" ref="J42">visible((""),M42)</f>
        <v/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51">
        <v>0</v>
      </c>
      <c r="B43" s="15"/>
      <c r="C43" s="3"/>
      <c r="D43" s="3"/>
      <c r="E43" s="3"/>
      <c r="F43" s="3"/>
      <c r="G43" s="3"/>
      <c r="H43" s="3"/>
      <c r="I43" s="3"/>
      <c r="J43" s="3"/>
      <c r="K43" s="3"/>
      <c r="BB43"/>
      <c r="BC43"/>
      <c r="BD43"/>
      <c r="BE43"/>
      <c r="BF43"/>
      <c r="BG43"/>
      <c r="BH43"/>
      <c r="BI43"/>
      <c r="BJ43"/>
    </row>
    <row r="44" spans="1:62" ht="15.6" x14ac:dyDescent="0.3">
      <c r="A44" s="51">
        <v>4</v>
      </c>
      <c r="B44" s="15" t="str" cm="1">
        <f t="array" ref="B44">visible(E31, K44)</f>
        <v>وحدة سفلية</v>
      </c>
      <c r="C44" s="9" cm="1">
        <f t="array" ref="C44">visible(6,K44)</f>
        <v>6</v>
      </c>
      <c r="D44" s="9" t="str" cm="1">
        <f t="array" aca="1" ref="D44" ca="1">visible((G32),K44)</f>
        <v>يوفيلاك</v>
      </c>
      <c r="E44" s="9" t="str" cm="1">
        <f t="array" ref="E44">visible(("دلف"),K44)</f>
        <v>دلف</v>
      </c>
      <c r="F44" s="9" cm="1">
        <f t="array" aca="1" ref="F44" ca="1">visible((I34-0.5-G34),K44)</f>
        <v>74</v>
      </c>
      <c r="G44" s="9" cm="1">
        <f t="array" ref="G44">visible(((H34/C34)-0.5),K44)</f>
        <v>-0.5</v>
      </c>
      <c r="H44" s="9" cm="1">
        <f t="array" ref="H44">visible((C34*C31),K44)</f>
        <v>1</v>
      </c>
      <c r="I44" s="9" cm="1">
        <f t="array" aca="1" ref="I44" ca="1">visible(materialNum(D44),K44)</f>
        <v>6</v>
      </c>
      <c r="J44" s="9" t="str" cm="1">
        <f t="array" ref="J44">visible((""),M44)</f>
        <v/>
      </c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51">
        <v>0</v>
      </c>
      <c r="B45" s="15"/>
      <c r="K45" s="3"/>
      <c r="BB45"/>
      <c r="BC45"/>
      <c r="BD45"/>
      <c r="BE45"/>
      <c r="BF45"/>
      <c r="BG45"/>
      <c r="BH45"/>
      <c r="BI45"/>
      <c r="BJ45"/>
    </row>
    <row r="46" spans="1:62" ht="15.6" x14ac:dyDescent="0.3">
      <c r="A46" s="51">
        <v>5</v>
      </c>
      <c r="B46" s="15" t="str" cm="1">
        <f t="array" aca="1" ref="B46" ca="1">visible(E31, K46)</f>
        <v>وحدة سفلية</v>
      </c>
      <c r="C46" s="19" cm="1">
        <f t="array" aca="1" ref="C46" ca="1">visible(7,K46)</f>
        <v>7</v>
      </c>
      <c r="D46" s="19" t="str" cm="1">
        <f t="array" aca="1" ref="D46" ca="1">visible((E32),K46)</f>
        <v>ظهر</v>
      </c>
      <c r="E46" s="19" t="str" cm="1">
        <f t="array" aca="1" ref="E46" ca="1">visible(("ظهر"),K46)</f>
        <v>ظهر</v>
      </c>
      <c r="F46" s="19" cm="1">
        <f t="array" aca="1" ref="F46" ca="1">visible((I34-2),K46)</f>
        <v>76</v>
      </c>
      <c r="G46" s="19" cm="1">
        <f t="array" aca="1" ref="G46" ca="1">visible((H34-2),K46)</f>
        <v>-2</v>
      </c>
      <c r="H46" s="19" cm="1">
        <f t="array" aca="1" ref="H46" ca="1">visible((C31),K46)</f>
        <v>1</v>
      </c>
      <c r="I46" s="19" cm="1">
        <f t="array" aca="1" ref="I46" ca="1">visible(materialNum(D46),K46)</f>
        <v>2</v>
      </c>
      <c r="J46" s="19" t="str" cm="1">
        <f t="array" ref="J46">visible((""),M46)</f>
        <v/>
      </c>
      <c r="K46" s="19" t="b">
        <f ca="1">F34</f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51">
        <v>255</v>
      </c>
      <c r="B47" s="15"/>
      <c r="C47"/>
      <c r="D47"/>
      <c r="E47"/>
      <c r="F47"/>
      <c r="G47"/>
      <c r="H47"/>
      <c r="I47"/>
      <c r="J47"/>
      <c r="K47"/>
      <c r="BB47"/>
      <c r="BC47"/>
      <c r="BD47"/>
      <c r="BE47"/>
      <c r="BF47"/>
      <c r="BG47"/>
      <c r="BH47"/>
      <c r="BI47"/>
      <c r="BJ47"/>
    </row>
    <row r="48" spans="1:62" ht="15.6" x14ac:dyDescent="0.3">
      <c r="A48" s="51">
        <v>255</v>
      </c>
      <c r="B48" s="15"/>
      <c r="C48"/>
      <c r="D48"/>
      <c r="E48"/>
      <c r="F48"/>
      <c r="G48"/>
      <c r="H48"/>
      <c r="I48"/>
      <c r="J48"/>
      <c r="K48"/>
      <c r="BB48"/>
      <c r="BC48"/>
      <c r="BD48"/>
      <c r="BE48"/>
      <c r="BF48"/>
      <c r="BG48"/>
      <c r="BH48"/>
      <c r="BI48"/>
      <c r="BJ48"/>
    </row>
    <row r="49" spans="1:62" ht="35.4" customHeight="1" x14ac:dyDescent="0.3">
      <c r="A49" s="54" t="s">
        <v>156</v>
      </c>
      <c r="B49" s="15"/>
      <c r="C49" s="14">
        <v>1</v>
      </c>
      <c r="D49" s="22" t="s">
        <v>59</v>
      </c>
      <c r="E49" s="100" t="s">
        <v>183</v>
      </c>
      <c r="F49" s="101"/>
      <c r="G49" s="101"/>
      <c r="H49" s="102"/>
      <c r="I49" s="2" t="s">
        <v>30</v>
      </c>
      <c r="J49" s="2">
        <f>letterToNumber(A49)</f>
        <v>3</v>
      </c>
      <c r="K49" s="27">
        <f ca="1">_xlfn.SHEET("وحدات سفلية")</f>
        <v>4</v>
      </c>
      <c r="BB49"/>
      <c r="BC49"/>
      <c r="BD49"/>
      <c r="BE49"/>
      <c r="BF49"/>
      <c r="BG49"/>
      <c r="BH49"/>
      <c r="BI49"/>
      <c r="BJ49"/>
    </row>
    <row r="50" spans="1:62" ht="21" x14ac:dyDescent="0.3">
      <c r="A50" s="51">
        <v>1</v>
      </c>
      <c r="B50" s="15"/>
      <c r="C50" s="8"/>
      <c r="D50" s="7"/>
      <c r="E50" s="27" t="str" cm="1">
        <f t="array" aca="1" ref="E50" ca="1">defaultValue(F50,K49)</f>
        <v>ظهر</v>
      </c>
      <c r="F50" s="7" t="s">
        <v>58</v>
      </c>
      <c r="G50" s="27" t="str" cm="1">
        <f t="array" aca="1" ref="G50" ca="1">defaultValue(H50,K49)</f>
        <v>يوفيلاك</v>
      </c>
      <c r="H50" s="7" t="s">
        <v>32</v>
      </c>
      <c r="I50" s="27" t="str" cm="1">
        <f t="array" aca="1" ref="I50" ca="1">defaultValue(J50,K49)</f>
        <v>HPL</v>
      </c>
      <c r="J50" s="7" t="s">
        <v>31</v>
      </c>
      <c r="K50" s="25" t="s">
        <v>111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51">
        <v>1</v>
      </c>
      <c r="B51" s="15"/>
      <c r="C51" s="7" t="s">
        <v>12</v>
      </c>
      <c r="D51" s="7" t="s">
        <v>18</v>
      </c>
      <c r="E51" s="121"/>
      <c r="F51" s="121" t="s">
        <v>114</v>
      </c>
      <c r="G51" s="7" t="s">
        <v>16</v>
      </c>
      <c r="H51" s="7" t="s">
        <v>22</v>
      </c>
      <c r="I51" s="7" t="s">
        <v>3</v>
      </c>
      <c r="J51" s="7" t="s">
        <v>113</v>
      </c>
      <c r="K51" s="7"/>
      <c r="BB51"/>
      <c r="BC51"/>
      <c r="BD51"/>
      <c r="BE51"/>
      <c r="BF51"/>
      <c r="BG51"/>
      <c r="BH51"/>
      <c r="BI51"/>
      <c r="BJ51"/>
    </row>
    <row r="52" spans="1:62" ht="15.6" x14ac:dyDescent="0.3">
      <c r="A52" s="51">
        <v>1</v>
      </c>
      <c r="B52" s="15"/>
      <c r="C52" s="27">
        <v>1</v>
      </c>
      <c r="D52" s="27">
        <v>5</v>
      </c>
      <c r="E52" s="46"/>
      <c r="F52" s="27" t="b" cm="1">
        <f t="array" aca="1" ref="F52" ca="1">defaultValue(F51,K49)</f>
        <v>1</v>
      </c>
      <c r="G52" s="27" cm="1">
        <f t="array" aca="1" ref="G52" ca="1">defaultValue(G51,K49)</f>
        <v>3.5</v>
      </c>
      <c r="H52" s="8"/>
      <c r="I52" s="27" cm="1">
        <f t="array" aca="1" ref="I52" ca="1">defaultValue(I51,K49)</f>
        <v>78</v>
      </c>
      <c r="J52" s="27" cm="1">
        <f t="array" aca="1" ref="J52" ca="1">defaultValue(J51,K49)</f>
        <v>56</v>
      </c>
      <c r="K52" s="7"/>
      <c r="BB52"/>
      <c r="BC52"/>
      <c r="BD52"/>
      <c r="BE52"/>
      <c r="BF52"/>
      <c r="BG52"/>
      <c r="BH52"/>
      <c r="BI52"/>
      <c r="BJ52"/>
    </row>
    <row r="53" spans="1:62" ht="15.6" x14ac:dyDescent="0.3">
      <c r="A53" s="51">
        <v>0</v>
      </c>
      <c r="B53" s="15"/>
      <c r="C53" s="3"/>
      <c r="D53" s="3"/>
      <c r="E53" s="3"/>
      <c r="F53" s="3"/>
      <c r="G53" s="3"/>
      <c r="H53" s="3"/>
      <c r="I53" s="3"/>
      <c r="J53" s="3"/>
      <c r="K53" s="3"/>
      <c r="BB53"/>
      <c r="BC53"/>
      <c r="BD53"/>
      <c r="BE53"/>
      <c r="BF53"/>
      <c r="BG53"/>
      <c r="BH53"/>
      <c r="BI53"/>
      <c r="BJ53"/>
    </row>
    <row r="54" spans="1:62" ht="15.6" x14ac:dyDescent="0.3">
      <c r="A54" s="51">
        <v>2</v>
      </c>
      <c r="B54" s="15"/>
      <c r="C54" s="6" t="s">
        <v>4</v>
      </c>
      <c r="D54" s="6" t="s">
        <v>9</v>
      </c>
      <c r="E54" s="6" t="s">
        <v>5</v>
      </c>
      <c r="F54" s="6" t="s">
        <v>7</v>
      </c>
      <c r="G54" s="6" t="s">
        <v>1</v>
      </c>
      <c r="H54" s="6" t="s">
        <v>6</v>
      </c>
      <c r="I54" s="6" t="s">
        <v>33</v>
      </c>
      <c r="J54" s="6" t="s">
        <v>8</v>
      </c>
      <c r="K54" s="6"/>
      <c r="BB54"/>
      <c r="BC54"/>
      <c r="BD54"/>
      <c r="BE54"/>
      <c r="BF54"/>
      <c r="BG54"/>
      <c r="BH54"/>
      <c r="BI54"/>
      <c r="BJ54"/>
    </row>
    <row r="55" spans="1:62" ht="15.6" x14ac:dyDescent="0.3">
      <c r="A55" s="51">
        <v>0</v>
      </c>
      <c r="B55" s="15"/>
      <c r="K55" s="3"/>
      <c r="BB55"/>
      <c r="BC55"/>
      <c r="BD55"/>
      <c r="BE55"/>
      <c r="BF55"/>
      <c r="BG55"/>
      <c r="BH55"/>
      <c r="BI55"/>
      <c r="BJ55"/>
    </row>
    <row r="56" spans="1:62" ht="15.6" x14ac:dyDescent="0.3">
      <c r="A56" s="51">
        <v>3</v>
      </c>
      <c r="B56" s="15" t="str" cm="1">
        <f t="array" ref="B56">visible(E49, K56)</f>
        <v>وحدة سفلية ادراج</v>
      </c>
      <c r="C56" s="6" cm="1">
        <f t="array" ref="C56">visible((1),K56)</f>
        <v>1</v>
      </c>
      <c r="D56" s="6" t="str" cm="1">
        <f t="array" aca="1" ref="D56" ca="1">visible((I50),K56)</f>
        <v>HPL</v>
      </c>
      <c r="E56" s="6" t="str" cm="1">
        <f t="array" ref="E56">visible(("قاعدة"),K56)</f>
        <v>قاعدة</v>
      </c>
      <c r="F56" s="6" cm="1">
        <f t="array" ref="F56">visible((H52 -3.6),K56)</f>
        <v>-3.6</v>
      </c>
      <c r="G56" s="6" cm="1">
        <f t="array" aca="1" ref="G56" ca="1">visible((J52),K56)</f>
        <v>56</v>
      </c>
      <c r="H56" s="6" cm="1">
        <f t="array" ref="H56">visible((C49),K56)</f>
        <v>1</v>
      </c>
      <c r="I56" s="6" cm="1">
        <f t="array" aca="1" ref="I56" ca="1">visible(materialNum(D56),K56)</f>
        <v>2</v>
      </c>
      <c r="J56" s="6" t="str" cm="1">
        <f t="array" ref="J56">visible((""),M56)</f>
        <v/>
      </c>
      <c r="K56" s="6" t="b">
        <v>1</v>
      </c>
      <c r="BB56"/>
      <c r="BC56"/>
      <c r="BD56"/>
      <c r="BE56"/>
      <c r="BF56"/>
      <c r="BG56"/>
      <c r="BH56"/>
      <c r="BI56"/>
      <c r="BJ56"/>
    </row>
    <row r="57" spans="1:62" ht="15.6" x14ac:dyDescent="0.3">
      <c r="A57" s="51">
        <v>3</v>
      </c>
      <c r="B57" s="15" t="str" cm="1">
        <f t="array" ref="B57">visible(E49, K57)</f>
        <v>وحدة سفلية ادراج</v>
      </c>
      <c r="C57" s="6" cm="1">
        <f t="array" ref="C57">visible(2,K57)</f>
        <v>2</v>
      </c>
      <c r="D57" s="6" t="str" cm="1">
        <f t="array" aca="1" ref="D57" ca="1">visible((I50),K57)</f>
        <v>HPL</v>
      </c>
      <c r="E57" s="6" t="str" cm="1">
        <f t="array" ref="E57">visible(("أجناب"),K57)</f>
        <v>أجناب</v>
      </c>
      <c r="F57" s="6" cm="1">
        <f t="array" aca="1" ref="F57" ca="1">visible((I52),K57)</f>
        <v>78</v>
      </c>
      <c r="G57" s="6" cm="1">
        <f t="array" aca="1" ref="G57" ca="1">visible((J52),K57)</f>
        <v>56</v>
      </c>
      <c r="H57" s="6" cm="1">
        <f t="array" ref="H57">visible((2 *C49),K57)</f>
        <v>2</v>
      </c>
      <c r="I57" s="6" cm="1">
        <f t="array" aca="1" ref="I57" ca="1">visible(materialNum(D57),K57)</f>
        <v>2</v>
      </c>
      <c r="J57" s="6" t="str" cm="1">
        <f t="array" ref="J57">visible((""),M57)</f>
        <v/>
      </c>
      <c r="K57" s="6" t="b">
        <v>1</v>
      </c>
      <c r="BB57"/>
      <c r="BC57"/>
      <c r="BD57"/>
      <c r="BE57"/>
      <c r="BF57"/>
      <c r="BG57"/>
      <c r="BH57"/>
      <c r="BI57"/>
      <c r="BJ57"/>
    </row>
    <row r="58" spans="1:62" ht="15.6" x14ac:dyDescent="0.3">
      <c r="A58" s="51">
        <v>3</v>
      </c>
      <c r="B58" s="15" t="str" cm="1">
        <f t="array" ref="B58">visible(E49, K58)</f>
        <v>وحدة سفلية ادراج</v>
      </c>
      <c r="C58" s="6" cm="1">
        <f t="array" ref="C58">visible(3,K58)</f>
        <v>3</v>
      </c>
      <c r="D58" s="6" t="str" cm="1">
        <f t="array" aca="1" ref="D58" ca="1">visible((I50),K58)</f>
        <v>HPL</v>
      </c>
      <c r="E58" s="6" t="str" cm="1">
        <f t="array" ref="E58">visible(("مرايا علوية 1"),K58)</f>
        <v>مرايا علوية 1</v>
      </c>
      <c r="F58" s="6" cm="1">
        <f t="array" ref="F58">visible((H52-3.6),K58)</f>
        <v>-3.6</v>
      </c>
      <c r="G58" s="6" cm="1">
        <f t="array" ref="G58">visible((10),K58)</f>
        <v>10</v>
      </c>
      <c r="H58" s="6" cm="1">
        <f t="array" ref="H58">visible((C49),K58)</f>
        <v>1</v>
      </c>
      <c r="I58" s="6" cm="1">
        <f t="array" aca="1" ref="I58" ca="1">visible(materialNum(D58),K58)</f>
        <v>2</v>
      </c>
      <c r="J58" s="6" t="str" cm="1">
        <f t="array" ref="J58">visible((""),M58)</f>
        <v/>
      </c>
      <c r="K58" s="6" t="b">
        <v>1</v>
      </c>
      <c r="BB58"/>
      <c r="BC58"/>
      <c r="BD58"/>
      <c r="BE58"/>
      <c r="BF58"/>
      <c r="BG58"/>
      <c r="BH58"/>
      <c r="BI58"/>
      <c r="BJ58"/>
    </row>
    <row r="59" spans="1:62" ht="15.6" x14ac:dyDescent="0.3">
      <c r="A59" s="51">
        <v>3</v>
      </c>
      <c r="B59" s="15" t="str" cm="1">
        <f t="array" ref="B59">visible(E49, K59)</f>
        <v>وحدة سفلية ادراج</v>
      </c>
      <c r="C59" s="6" cm="1">
        <f t="array" ref="C59">visible(4,K59)</f>
        <v>4</v>
      </c>
      <c r="D59" s="6" t="str" cm="1">
        <f t="array" aca="1" ref="D59" ca="1">visible((I50),K59)</f>
        <v>HPL</v>
      </c>
      <c r="E59" s="6" t="str" cm="1">
        <f t="array" ref="E59">visible(("مرايا علوية 2"),K59)</f>
        <v>مرايا علوية 2</v>
      </c>
      <c r="F59" s="6" cm="1">
        <f t="array" ref="F59">visible((H52-3.6),K59)</f>
        <v>-3.6</v>
      </c>
      <c r="G59" s="6" cm="1">
        <f t="array" ref="G59">visible((7),K59)</f>
        <v>7</v>
      </c>
      <c r="H59" s="6" cm="1">
        <f t="array" ref="H59">visible((C49),K59)</f>
        <v>1</v>
      </c>
      <c r="I59" s="6" cm="1">
        <f t="array" aca="1" ref="I59" ca="1">visible(materialNum(D59),K59)</f>
        <v>2</v>
      </c>
      <c r="J59" s="6" t="str" cm="1">
        <f t="array" ref="J59">visible((""),M59)</f>
        <v/>
      </c>
      <c r="K59" s="6" t="b">
        <v>1</v>
      </c>
      <c r="BB59"/>
      <c r="BC59"/>
      <c r="BD59"/>
      <c r="BE59"/>
      <c r="BF59"/>
      <c r="BG59"/>
      <c r="BH59"/>
      <c r="BI59"/>
      <c r="BJ59"/>
    </row>
    <row r="60" spans="1:62" ht="15.6" x14ac:dyDescent="0.3">
      <c r="A60" s="51">
        <v>3</v>
      </c>
      <c r="B60" s="15" t="str" cm="1">
        <f t="array" ref="B60">visible(E49, K60)</f>
        <v>وحدة سفلية ادراج</v>
      </c>
      <c r="C60" s="6" cm="1">
        <f t="array" ref="C60">visible(5,K60)</f>
        <v>5</v>
      </c>
      <c r="D60" s="6" t="str" cm="1">
        <f t="array" aca="1" ref="D60" ca="1">visible((I50),K60)</f>
        <v>HPL</v>
      </c>
      <c r="E60" s="6" t="str" cm="1">
        <f t="array" ref="E60">visible(("رف"),K60)</f>
        <v>رف</v>
      </c>
      <c r="F60" s="6" cm="1">
        <f t="array" ref="F60">visible((H53-3.8),K60)</f>
        <v>-3.8</v>
      </c>
      <c r="G60" s="6" cm="1">
        <f t="array" aca="1" ref="G60" ca="1">visible((J52-6),K60)</f>
        <v>50</v>
      </c>
      <c r="H60" s="6" cm="1">
        <f t="array" ref="H60">visible((D52*C49),K60)</f>
        <v>5</v>
      </c>
      <c r="I60" s="6" cm="1">
        <f t="array" aca="1" ref="I60" ca="1">visible(materialNum(D60),K60)</f>
        <v>2</v>
      </c>
      <c r="J60" s="6" t="str" cm="1">
        <f t="array" ref="J60">visible((""),M60)</f>
        <v/>
      </c>
      <c r="K60" s="6" t="b">
        <v>1</v>
      </c>
      <c r="BB60"/>
      <c r="BC60"/>
      <c r="BD60"/>
      <c r="BE60"/>
      <c r="BF60"/>
      <c r="BG60"/>
      <c r="BH60"/>
      <c r="BI60"/>
      <c r="BJ60"/>
    </row>
    <row r="61" spans="1:62" ht="15.6" x14ac:dyDescent="0.3">
      <c r="A61" s="51">
        <v>0</v>
      </c>
      <c r="B61" s="15"/>
      <c r="C61" s="3"/>
      <c r="D61" s="3"/>
      <c r="E61" s="3"/>
      <c r="F61" s="3"/>
      <c r="G61" s="3"/>
      <c r="H61" s="3"/>
      <c r="I61" s="3"/>
      <c r="J61" s="3"/>
      <c r="K61" s="3"/>
      <c r="BB61"/>
      <c r="BC61"/>
      <c r="BD61"/>
      <c r="BE61"/>
      <c r="BF61"/>
      <c r="BG61"/>
      <c r="BH61"/>
      <c r="BI61"/>
      <c r="BJ61"/>
    </row>
    <row r="62" spans="1:62" ht="15.6" x14ac:dyDescent="0.3">
      <c r="A62" s="51">
        <v>4</v>
      </c>
      <c r="B62" s="15" t="str" cm="1">
        <f t="array" ref="B62">visible(E49, K62)</f>
        <v>وحدة سفلية ادراج</v>
      </c>
      <c r="C62" s="9" cm="1">
        <f t="array" ref="C62">visible(6,K62)</f>
        <v>6</v>
      </c>
      <c r="D62" s="9" t="str" cm="1">
        <f t="array" aca="1" ref="D62" ca="1">visible((G50),K62)</f>
        <v>يوفيلاك</v>
      </c>
      <c r="E62" s="9" t="str" cm="1">
        <f t="array" ref="E62">visible(("دلف"),K62)</f>
        <v>دلف</v>
      </c>
      <c r="F62" s="9" cm="1">
        <f t="array" aca="1" ref="F62" ca="1">visible((I52-0.5-G52),K62)</f>
        <v>74</v>
      </c>
      <c r="G62" s="9" cm="1">
        <f t="array" ref="G62">visible(((H52/C52)-0.5),K62)</f>
        <v>-0.5</v>
      </c>
      <c r="H62" s="9" cm="1">
        <f t="array" ref="H62">visible((C52*C49),K62)</f>
        <v>1</v>
      </c>
      <c r="I62" s="9" cm="1">
        <f t="array" aca="1" ref="I62" ca="1">visible(materialNum(D62),K62)</f>
        <v>6</v>
      </c>
      <c r="J62" s="9" t="str" cm="1">
        <f t="array" ref="J62">visible((""),M62)</f>
        <v/>
      </c>
      <c r="K62" s="9" t="b">
        <v>1</v>
      </c>
      <c r="BB62"/>
      <c r="BC62"/>
      <c r="BD62"/>
      <c r="BE62"/>
      <c r="BF62"/>
      <c r="BG62"/>
      <c r="BH62"/>
      <c r="BI62"/>
      <c r="BJ62"/>
    </row>
    <row r="63" spans="1:62" ht="15.6" x14ac:dyDescent="0.3">
      <c r="A63" s="51">
        <v>0</v>
      </c>
      <c r="B63" s="15"/>
      <c r="K63" s="3"/>
      <c r="BB63"/>
      <c r="BC63"/>
      <c r="BD63"/>
      <c r="BE63"/>
      <c r="BF63"/>
      <c r="BG63"/>
      <c r="BH63"/>
      <c r="BI63"/>
      <c r="BJ63"/>
    </row>
    <row r="64" spans="1:62" ht="15.6" x14ac:dyDescent="0.3">
      <c r="A64" s="51">
        <v>5</v>
      </c>
      <c r="B64" s="15" t="str" cm="1">
        <f t="array" aca="1" ref="B64" ca="1">visible(E49, K64)</f>
        <v>وحدة سفلية ادراج</v>
      </c>
      <c r="C64" s="19" cm="1">
        <f t="array" aca="1" ref="C64" ca="1">visible(7,K64)</f>
        <v>7</v>
      </c>
      <c r="D64" s="19" t="str" cm="1">
        <f t="array" aca="1" ref="D64" ca="1">visible((E50),K64)</f>
        <v>ظهر</v>
      </c>
      <c r="E64" s="19" t="str" cm="1">
        <f t="array" aca="1" ref="E64" ca="1">visible(("ظهر"),K64)</f>
        <v>ظهر</v>
      </c>
      <c r="F64" s="19" cm="1">
        <f t="array" aca="1" ref="F64" ca="1">visible((I52-2),K64)</f>
        <v>76</v>
      </c>
      <c r="G64" s="19" cm="1">
        <f t="array" aca="1" ref="G64" ca="1">visible((H52-2),K64)</f>
        <v>-2</v>
      </c>
      <c r="H64" s="19" cm="1">
        <f t="array" aca="1" ref="H64" ca="1">visible((C49),K64)</f>
        <v>1</v>
      </c>
      <c r="I64" s="19" cm="1">
        <f t="array" aca="1" ref="I64" ca="1">visible(materialNum(D64),K64)</f>
        <v>2</v>
      </c>
      <c r="J64" s="19" t="str" cm="1">
        <f t="array" ref="J64">visible((""),M64)</f>
        <v/>
      </c>
      <c r="K64" s="19" t="b">
        <f ca="1">F52</f>
        <v>1</v>
      </c>
      <c r="BB64"/>
      <c r="BC64"/>
      <c r="BD64"/>
      <c r="BE64"/>
      <c r="BF64"/>
      <c r="BG64"/>
      <c r="BH64"/>
      <c r="BI64"/>
      <c r="BJ64"/>
    </row>
    <row r="65" spans="1:62" ht="15.6" x14ac:dyDescent="0.3">
      <c r="A65" s="51">
        <v>255</v>
      </c>
      <c r="B65" s="15"/>
      <c r="C65"/>
      <c r="D65"/>
      <c r="E65"/>
      <c r="F65"/>
      <c r="G65"/>
      <c r="H65"/>
      <c r="I65"/>
      <c r="J65"/>
      <c r="K65"/>
      <c r="BB65"/>
      <c r="BC65"/>
      <c r="BD65"/>
      <c r="BE65"/>
      <c r="BF65"/>
      <c r="BG65"/>
      <c r="BH65"/>
      <c r="BI65"/>
      <c r="BJ65"/>
    </row>
    <row r="66" spans="1:62" ht="15.6" x14ac:dyDescent="0.3">
      <c r="A66" s="51">
        <v>255</v>
      </c>
      <c r="B66" s="15"/>
      <c r="C66"/>
      <c r="D66"/>
      <c r="E66"/>
      <c r="F66"/>
      <c r="G66"/>
      <c r="H66"/>
      <c r="I66"/>
      <c r="J66"/>
      <c r="K66"/>
      <c r="BB66"/>
      <c r="BC66"/>
      <c r="BD66"/>
      <c r="BE66"/>
      <c r="BF66"/>
      <c r="BG66"/>
      <c r="BH66"/>
      <c r="BI66"/>
      <c r="BJ66"/>
    </row>
    <row r="67" spans="1:62" x14ac:dyDescent="0.3">
      <c r="BB67"/>
      <c r="BC67"/>
      <c r="BD67"/>
      <c r="BE67"/>
      <c r="BF67"/>
      <c r="BG67"/>
      <c r="BH67"/>
      <c r="BI67"/>
      <c r="BJ67"/>
    </row>
  </sheetData>
  <mergeCells count="3">
    <mergeCell ref="E13:H13"/>
    <mergeCell ref="E31:H31"/>
    <mergeCell ref="E49:H4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259080</xdr:colOff>
                    <xdr:row>5</xdr:row>
                    <xdr:rowOff>60960</xdr:rowOff>
                  </from>
                  <to>
                    <xdr:col>10</xdr:col>
                    <xdr:colOff>754380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15240</xdr:colOff>
                    <xdr:row>5</xdr:row>
                    <xdr:rowOff>60960</xdr:rowOff>
                  </from>
                  <to>
                    <xdr:col>5</xdr:col>
                    <xdr:colOff>182880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320040</xdr:colOff>
                    <xdr:row>5</xdr:row>
                    <xdr:rowOff>60960</xdr:rowOff>
                  </from>
                  <to>
                    <xdr:col>7</xdr:col>
                    <xdr:colOff>868680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7620</xdr:colOff>
                    <xdr:row>5</xdr:row>
                    <xdr:rowOff>45720</xdr:rowOff>
                  </from>
                  <to>
                    <xdr:col>14</xdr:col>
                    <xdr:colOff>175260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zoomScale="70" zoomScaleNormal="70" workbookViewId="0">
      <pane ySplit="8" topLeftCell="A9" activePane="bottomLeft" state="frozen"/>
      <selection pane="bottomLeft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126</v>
      </c>
      <c r="E2" s="103" t="s">
        <v>112</v>
      </c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104</v>
      </c>
      <c r="T3" s="41" t="s">
        <v>43</v>
      </c>
      <c r="U3" s="41" t="s">
        <v>64</v>
      </c>
      <c r="V3" s="44" t="s">
        <v>103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  <row r="13" spans="2:63" x14ac:dyDescent="0.3">
      <c r="BB13"/>
      <c r="BC13"/>
      <c r="BD13"/>
      <c r="BE13"/>
      <c r="BF13"/>
      <c r="BG13"/>
      <c r="BH13"/>
      <c r="BI13"/>
      <c r="BJ13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4</xdr:col>
                    <xdr:colOff>1882140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266700</xdr:colOff>
                    <xdr:row>5</xdr:row>
                    <xdr:rowOff>45720</xdr:rowOff>
                  </from>
                  <to>
                    <xdr:col>7</xdr:col>
                    <xdr:colOff>495300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213360</xdr:colOff>
                    <xdr:row>5</xdr:row>
                    <xdr:rowOff>60960</xdr:rowOff>
                  </from>
                  <to>
                    <xdr:col>10</xdr:col>
                    <xdr:colOff>541020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zoomScale="85" zoomScaleNormal="85" workbookViewId="0">
      <selection activeCell="M159" sqref="M159"/>
    </sheetView>
  </sheetViews>
  <sheetFormatPr defaultRowHeight="15.6" x14ac:dyDescent="0.3"/>
  <cols>
    <col min="1" max="1" width="8.21875" style="5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1.21875" style="3" customWidth="1"/>
    <col min="9" max="9" width="9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7</v>
      </c>
    </row>
    <row r="2" spans="1:75" s="35" customFormat="1" ht="37.200000000000003" customHeight="1" x14ac:dyDescent="0.3">
      <c r="A2" s="51">
        <v>30</v>
      </c>
      <c r="B2" s="48" t="s">
        <v>121</v>
      </c>
      <c r="C2" s="105" t="s">
        <v>0</v>
      </c>
      <c r="D2" s="105"/>
      <c r="E2" s="105"/>
      <c r="F2" s="105"/>
      <c r="G2" s="105"/>
      <c r="H2" s="105"/>
      <c r="I2" s="105"/>
      <c r="J2" s="10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174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ht="36" x14ac:dyDescent="0.3">
      <c r="A13" s="51" t="s">
        <v>155</v>
      </c>
      <c r="C13" s="14">
        <v>1</v>
      </c>
      <c r="D13" s="22" t="s">
        <v>59</v>
      </c>
      <c r="E13" s="100" t="s">
        <v>142</v>
      </c>
      <c r="F13" s="101"/>
      <c r="G13" s="101"/>
      <c r="H13" s="102"/>
      <c r="I13" s="2" t="s">
        <v>30</v>
      </c>
      <c r="J13" s="2">
        <f>letterToNumber(A13)</f>
        <v>1</v>
      </c>
      <c r="K13" s="7">
        <f ca="1">_xlfn.SHEET("وحدات سفلية")</f>
        <v>4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40.799999999999997" customHeight="1" x14ac:dyDescent="0.3">
      <c r="A14" s="51">
        <v>1</v>
      </c>
      <c r="C14" s="7" t="s">
        <v>129</v>
      </c>
      <c r="D14" s="7" t="s">
        <v>128</v>
      </c>
      <c r="E14" s="7" t="s">
        <v>130</v>
      </c>
      <c r="F14" s="7" t="s">
        <v>127</v>
      </c>
      <c r="G14" s="27" t="str">
        <f>INDEX(global[[#All],[Column1]],MATCH(H14,global[[#All],[Column2]],0))</f>
        <v>ظهر</v>
      </c>
      <c r="H14" s="7" t="s">
        <v>58</v>
      </c>
      <c r="I14" s="9" cm="1">
        <f t="array" aca="1" ref="I14" ca="1">defaultValue(J14,K13)</f>
        <v>45</v>
      </c>
      <c r="J14" s="16" t="s">
        <v>19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ht="31.2" x14ac:dyDescent="0.3">
      <c r="A15" s="51">
        <v>1</v>
      </c>
      <c r="C15" s="8">
        <v>0</v>
      </c>
      <c r="D15" s="8">
        <v>0</v>
      </c>
      <c r="E15" s="7">
        <v>0</v>
      </c>
      <c r="F15" s="7">
        <v>0</v>
      </c>
      <c r="G15" s="7" t="s">
        <v>16</v>
      </c>
      <c r="H15" s="7" t="s">
        <v>22</v>
      </c>
      <c r="I15" s="7" t="s">
        <v>3</v>
      </c>
      <c r="J15" s="7" t="s">
        <v>113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A16" s="51">
        <v>1</v>
      </c>
      <c r="C16" s="8">
        <v>30</v>
      </c>
      <c r="D16" s="8">
        <v>20</v>
      </c>
      <c r="E16" s="7">
        <v>10</v>
      </c>
      <c r="F16" s="7">
        <v>7</v>
      </c>
      <c r="G16" s="27" cm="1">
        <f t="array" aca="1" ref="G16" ca="1">defaultValue(G15,K13)</f>
        <v>3.5</v>
      </c>
      <c r="H16" s="8">
        <v>60</v>
      </c>
      <c r="I16" s="27" cm="1">
        <f t="array" aca="1" ref="I16" ca="1">defaultValue(I15,K13)</f>
        <v>78</v>
      </c>
      <c r="J16" s="27" cm="1">
        <f t="array" aca="1" ref="J16" ca="1">defaultValue(J15,K13)</f>
        <v>56</v>
      </c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1.2" x14ac:dyDescent="0.3">
      <c r="A17" s="51">
        <v>1</v>
      </c>
      <c r="B17" s="59" t="s">
        <v>148</v>
      </c>
      <c r="C17" s="60">
        <v>0</v>
      </c>
      <c r="D17" s="58">
        <v>4</v>
      </c>
      <c r="E17" s="58" t="s">
        <v>143</v>
      </c>
      <c r="F17" s="27" t="str" cm="1">
        <f t="array" aca="1" ref="F17" ca="1">defaultValue(G17,K13)</f>
        <v>يوفيلاك</v>
      </c>
      <c r="G17" s="7" t="s">
        <v>32</v>
      </c>
      <c r="H17" s="27" t="str" cm="1">
        <f t="array" aca="1" ref="H17" ca="1">defaultValue(I17,K13)</f>
        <v>HPL</v>
      </c>
      <c r="I17" s="7" t="s">
        <v>31</v>
      </c>
      <c r="J17" s="25" t="s">
        <v>111</v>
      </c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14.4" x14ac:dyDescent="0.3">
      <c r="A18" s="51">
        <v>0</v>
      </c>
      <c r="B18"/>
      <c r="C18"/>
      <c r="D18"/>
      <c r="E18"/>
      <c r="F18"/>
      <c r="G18"/>
      <c r="H18"/>
      <c r="I18"/>
      <c r="J18"/>
      <c r="K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51">
        <v>2</v>
      </c>
      <c r="C19" s="6" t="s">
        <v>4</v>
      </c>
      <c r="D19" s="6" t="s">
        <v>9</v>
      </c>
      <c r="E19" s="6" t="s">
        <v>5</v>
      </c>
      <c r="F19" s="6" t="s">
        <v>7</v>
      </c>
      <c r="G19" s="6" t="s">
        <v>1</v>
      </c>
      <c r="H19" s="6" t="s">
        <v>6</v>
      </c>
      <c r="I19" s="6" t="s">
        <v>33</v>
      </c>
      <c r="J19" s="6" t="s">
        <v>8</v>
      </c>
      <c r="K19" s="6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ht="14.4" x14ac:dyDescent="0.3">
      <c r="A20" s="51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E13</f>
        <v xml:space="preserve">وحدة سفلية    أدراج </v>
      </c>
      <c r="C21" s="6">
        <v>1</v>
      </c>
      <c r="D21" s="6" t="str">
        <f ca="1">H17</f>
        <v>HPL</v>
      </c>
      <c r="E21" s="6" t="s">
        <v>10</v>
      </c>
      <c r="F21" s="6">
        <f>H16-3.6</f>
        <v>56.4</v>
      </c>
      <c r="G21" s="6">
        <f ca="1">J16</f>
        <v>56</v>
      </c>
      <c r="H21" s="6">
        <f>1*C13</f>
        <v>1</v>
      </c>
      <c r="I21" s="6">
        <f ca="1">HLOOKUP(D21, materials[], 2,FALSE)</f>
        <v>2</v>
      </c>
      <c r="J21" s="6"/>
      <c r="K21" s="6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B21</f>
        <v xml:space="preserve">وحدة سفلية    أدراج </v>
      </c>
      <c r="C22" s="6">
        <f>C21+1</f>
        <v>2</v>
      </c>
      <c r="D22" s="6" t="str">
        <f ca="1">H17</f>
        <v>HPL</v>
      </c>
      <c r="E22" s="6" t="s">
        <v>11</v>
      </c>
      <c r="F22" s="6">
        <f ca="1">I16</f>
        <v>78</v>
      </c>
      <c r="G22" s="6">
        <f ca="1">J16</f>
        <v>56</v>
      </c>
      <c r="H22" s="6">
        <f>2*C13</f>
        <v>2</v>
      </c>
      <c r="I22" s="6">
        <f ca="1">HLOOKUP(D22, materials[], 2,FALSE)</f>
        <v>2</v>
      </c>
      <c r="J22" s="6"/>
      <c r="K22" s="6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B21</f>
        <v xml:space="preserve">وحدة سفلية    أدراج </v>
      </c>
      <c r="C23" s="6">
        <f t="shared" ref="C23:C35" si="0">C22+1</f>
        <v>3</v>
      </c>
      <c r="D23" s="6" t="str">
        <f ca="1">H17</f>
        <v>HPL</v>
      </c>
      <c r="E23" s="6" t="s">
        <v>13</v>
      </c>
      <c r="F23" s="6">
        <f>H16-3.6</f>
        <v>56.4</v>
      </c>
      <c r="G23" s="6">
        <v>10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B21</f>
        <v xml:space="preserve">وحدة سفلية    أدراج </v>
      </c>
      <c r="C24" s="6">
        <f t="shared" si="0"/>
        <v>4</v>
      </c>
      <c r="D24" s="6" t="str">
        <f ca="1">H17</f>
        <v>HPL</v>
      </c>
      <c r="E24" s="6" t="s">
        <v>14</v>
      </c>
      <c r="F24" s="6">
        <f>H16-3.6</f>
        <v>56.4</v>
      </c>
      <c r="G24" s="6">
        <v>7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51">
        <v>3</v>
      </c>
      <c r="B25" s="15" t="str">
        <f>B21</f>
        <v xml:space="preserve">وحدة سفلية    أدراج </v>
      </c>
      <c r="C25" s="10">
        <f t="shared" si="0"/>
        <v>5</v>
      </c>
      <c r="D25" s="10" t="str">
        <f ca="1">H17</f>
        <v>HPL</v>
      </c>
      <c r="E25" s="10" t="s">
        <v>131</v>
      </c>
      <c r="F25" s="10">
        <f>H16-3.6-3.6-2.5</f>
        <v>50.3</v>
      </c>
      <c r="G25" s="10">
        <f>E16</f>
        <v>10</v>
      </c>
      <c r="H25" s="10">
        <f>E15*C13</f>
        <v>0</v>
      </c>
      <c r="I25" s="10">
        <f ca="1">HLOOKUP(D25, materials[], 2,FALSE)</f>
        <v>2</v>
      </c>
      <c r="J25" s="10"/>
      <c r="K25" s="10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3</v>
      </c>
      <c r="B26" s="15" t="str">
        <f>B21</f>
        <v xml:space="preserve">وحدة سفلية    أدراج </v>
      </c>
      <c r="C26" s="10">
        <f t="shared" si="0"/>
        <v>6</v>
      </c>
      <c r="D26" s="10" t="str">
        <f ca="1">H17</f>
        <v>HPL</v>
      </c>
      <c r="E26" s="10" t="s">
        <v>132</v>
      </c>
      <c r="F26" s="10">
        <f ca="1">I14</f>
        <v>45</v>
      </c>
      <c r="G26" s="10">
        <f>E16</f>
        <v>10</v>
      </c>
      <c r="H26" s="10">
        <f>E15*2*C13</f>
        <v>0</v>
      </c>
      <c r="I26" s="10">
        <f ca="1">HLOOKUP(D26, materials[], 2,FALSE)</f>
        <v>2</v>
      </c>
      <c r="J26" s="10"/>
      <c r="K26" s="10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51">
        <v>3</v>
      </c>
      <c r="B27" s="15" t="str">
        <f>B21</f>
        <v xml:space="preserve">وحدة سفلية    أدراج </v>
      </c>
      <c r="C27" s="10">
        <f t="shared" si="0"/>
        <v>7</v>
      </c>
      <c r="D27" s="10" t="str">
        <f ca="1">H17</f>
        <v>HPL</v>
      </c>
      <c r="E27" s="10" t="s">
        <v>133</v>
      </c>
      <c r="F27" s="10">
        <f>H16-3.6-3.6-2.5</f>
        <v>50.3</v>
      </c>
      <c r="G27" s="10">
        <f>E16-3</f>
        <v>7</v>
      </c>
      <c r="H27" s="10">
        <f>E15*C13</f>
        <v>0</v>
      </c>
      <c r="I27" s="10">
        <f ca="1">HLOOKUP(D27, materials[], 2,FALSE)</f>
        <v>2</v>
      </c>
      <c r="J27" s="10"/>
      <c r="K27" s="10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3</v>
      </c>
      <c r="B28" s="15" t="str">
        <f>B21</f>
        <v xml:space="preserve">وحدة سفلية    أدراج </v>
      </c>
      <c r="C28" s="11">
        <f t="shared" si="0"/>
        <v>8</v>
      </c>
      <c r="D28" s="11" t="str">
        <f ca="1">H17</f>
        <v>HPL</v>
      </c>
      <c r="E28" s="11" t="s">
        <v>134</v>
      </c>
      <c r="F28" s="11">
        <f>H16-3.6-3.6-2.5</f>
        <v>50.3</v>
      </c>
      <c r="G28" s="11">
        <f>D16</f>
        <v>20</v>
      </c>
      <c r="H28" s="11">
        <f>(D15*C13)</f>
        <v>0</v>
      </c>
      <c r="I28" s="11">
        <f ca="1">HLOOKUP(D28, materials[], 2,FALSE)</f>
        <v>2</v>
      </c>
      <c r="J28" s="11"/>
      <c r="K28" s="11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3</v>
      </c>
      <c r="B29" s="15" t="str">
        <f>B21</f>
        <v xml:space="preserve">وحدة سفلية    أدراج </v>
      </c>
      <c r="C29" s="11">
        <f t="shared" si="0"/>
        <v>9</v>
      </c>
      <c r="D29" s="11" t="str">
        <f ca="1">H17</f>
        <v>HPL</v>
      </c>
      <c r="E29" s="11" t="s">
        <v>135</v>
      </c>
      <c r="F29" s="11">
        <f ca="1">I14</f>
        <v>45</v>
      </c>
      <c r="G29" s="11">
        <f>D16</f>
        <v>20</v>
      </c>
      <c r="H29" s="11">
        <f>(D15)*2*C13</f>
        <v>0</v>
      </c>
      <c r="I29" s="11">
        <f ca="1">HLOOKUP(D29, materials[], 2,FALSE)</f>
        <v>2</v>
      </c>
      <c r="J29" s="11"/>
      <c r="K29" s="11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3</v>
      </c>
      <c r="B30" s="15" t="str">
        <f>B21</f>
        <v xml:space="preserve">وحدة سفلية    أدراج </v>
      </c>
      <c r="C30" s="11">
        <f t="shared" si="0"/>
        <v>10</v>
      </c>
      <c r="D30" s="11" t="str">
        <f ca="1">H17</f>
        <v>HPL</v>
      </c>
      <c r="E30" s="11" t="s">
        <v>136</v>
      </c>
      <c r="F30" s="11">
        <f>H16-3.6-3.6-2.5</f>
        <v>50.3</v>
      </c>
      <c r="G30" s="11">
        <f>D16-3</f>
        <v>17</v>
      </c>
      <c r="H30" s="11">
        <f>(D15)*C13</f>
        <v>0</v>
      </c>
      <c r="I30" s="11">
        <f ca="1">HLOOKUP(D30, materials[], 2,FALSE)</f>
        <v>2</v>
      </c>
      <c r="J30" s="11"/>
      <c r="K30" s="11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51">
        <v>3</v>
      </c>
      <c r="B31" s="15" t="str">
        <f>B21</f>
        <v xml:space="preserve">وحدة سفلية    أدراج </v>
      </c>
      <c r="C31" s="10">
        <f t="shared" si="0"/>
        <v>11</v>
      </c>
      <c r="D31" s="10" t="str">
        <f ca="1">H17</f>
        <v>HPL</v>
      </c>
      <c r="E31" s="10" t="s">
        <v>139</v>
      </c>
      <c r="F31" s="10">
        <f>H16-3.6-3.6-2.5</f>
        <v>50.3</v>
      </c>
      <c r="G31" s="10">
        <f>C16</f>
        <v>30</v>
      </c>
      <c r="H31" s="10">
        <f>C15*C13</f>
        <v>0</v>
      </c>
      <c r="I31" s="10">
        <f ca="1">HLOOKUP(D31, materials[], 2,FALSE)</f>
        <v>2</v>
      </c>
      <c r="J31" s="10"/>
      <c r="K31" s="10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51">
        <v>3</v>
      </c>
      <c r="B32" s="15" t="str">
        <f>B21</f>
        <v xml:space="preserve">وحدة سفلية    أدراج </v>
      </c>
      <c r="C32" s="10">
        <f t="shared" si="0"/>
        <v>12</v>
      </c>
      <c r="D32" s="10" t="str">
        <f ca="1">H17</f>
        <v>HPL</v>
      </c>
      <c r="E32" s="10" t="s">
        <v>140</v>
      </c>
      <c r="F32" s="10">
        <f ca="1">I14</f>
        <v>45</v>
      </c>
      <c r="G32" s="10">
        <f>C16</f>
        <v>30</v>
      </c>
      <c r="H32" s="10">
        <f>C15*2*C13</f>
        <v>0</v>
      </c>
      <c r="I32" s="10">
        <f ca="1">HLOOKUP(D32, materials[], 2,FALSE)</f>
        <v>2</v>
      </c>
      <c r="J32" s="10"/>
      <c r="K32" s="10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51">
        <v>3</v>
      </c>
      <c r="B33" s="15" t="str">
        <f>B21</f>
        <v xml:space="preserve">وحدة سفلية    أدراج </v>
      </c>
      <c r="C33" s="10">
        <f t="shared" si="0"/>
        <v>13</v>
      </c>
      <c r="D33" s="10" t="str">
        <f ca="1">H17</f>
        <v>HPL</v>
      </c>
      <c r="E33" s="10" t="s">
        <v>141</v>
      </c>
      <c r="F33" s="10">
        <f>H16-3.6-3.6-2.5</f>
        <v>50.3</v>
      </c>
      <c r="G33" s="10">
        <f>C16-3</f>
        <v>27</v>
      </c>
      <c r="H33" s="10">
        <f>C15*C13</f>
        <v>0</v>
      </c>
      <c r="I33" s="10">
        <f ca="1">HLOOKUP(D33, materials[], 2,FALSE)</f>
        <v>2</v>
      </c>
      <c r="J33" s="10"/>
      <c r="K33" s="10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3</v>
      </c>
      <c r="B34" s="15" t="str">
        <f>B21</f>
        <v xml:space="preserve">وحدة سفلية    أدراج </v>
      </c>
      <c r="C34" s="11">
        <f t="shared" si="0"/>
        <v>14</v>
      </c>
      <c r="D34" s="11" t="str">
        <f ca="1">H17</f>
        <v>HPL</v>
      </c>
      <c r="E34" s="11" t="s">
        <v>138</v>
      </c>
      <c r="F34" s="11">
        <f>H16-3.6-3.6-2.5</f>
        <v>50.3</v>
      </c>
      <c r="G34" s="11">
        <f>F16</f>
        <v>7</v>
      </c>
      <c r="H34" s="11">
        <f>C13*F15*2</f>
        <v>0</v>
      </c>
      <c r="I34" s="11">
        <f ca="1">HLOOKUP(D34, materials[], 2,FALSE)</f>
        <v>2</v>
      </c>
      <c r="J34" s="11"/>
      <c r="K34" s="11" t="b">
        <v>1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x14ac:dyDescent="0.3">
      <c r="A35" s="51">
        <v>3</v>
      </c>
      <c r="B35" s="15" t="str">
        <f>B21</f>
        <v xml:space="preserve">وحدة سفلية    أدراج </v>
      </c>
      <c r="C35" s="11">
        <f t="shared" si="0"/>
        <v>15</v>
      </c>
      <c r="D35" s="11" t="str">
        <f ca="1">H17</f>
        <v>HPL</v>
      </c>
      <c r="E35" s="11" t="s">
        <v>137</v>
      </c>
      <c r="F35" s="11">
        <f ca="1">I14</f>
        <v>45</v>
      </c>
      <c r="G35" s="11">
        <f>F16</f>
        <v>7</v>
      </c>
      <c r="H35" s="11">
        <f>C13*F15*2</f>
        <v>0</v>
      </c>
      <c r="I35" s="11">
        <f ca="1">HLOOKUP(D35, materials[], 2,FALSE)</f>
        <v>2</v>
      </c>
      <c r="J35" s="11"/>
      <c r="K35" s="11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4</v>
      </c>
      <c r="B37" s="15" t="str">
        <f>B21</f>
        <v xml:space="preserve">وحدة سفلية    أدراج </v>
      </c>
      <c r="C37" s="9">
        <f>C35+1</f>
        <v>16</v>
      </c>
      <c r="D37" s="9" t="str">
        <f ca="1">F17</f>
        <v>يوفيلاك</v>
      </c>
      <c r="E37" s="9" t="s">
        <v>144</v>
      </c>
      <c r="F37" s="9">
        <f ca="1">((I16/D17)-0.5-G16)</f>
        <v>15.5</v>
      </c>
      <c r="G37" s="9">
        <f>H16-0.5</f>
        <v>59.5</v>
      </c>
      <c r="H37" s="9" t="str">
        <f>IF(D17&gt;3,"",(D17*C13))</f>
        <v/>
      </c>
      <c r="I37" s="9">
        <f ca="1">HLOOKUP(D37, materials[], 2,FALSE)</f>
        <v>6</v>
      </c>
      <c r="J37" s="9"/>
      <c r="K37" s="9" t="b">
        <v>1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51">
        <v>4</v>
      </c>
      <c r="B38" s="15" t="str">
        <f>B21</f>
        <v xml:space="preserve">وحدة سفلية    أدراج </v>
      </c>
      <c r="C38" s="9">
        <f>C37+1</f>
        <v>17</v>
      </c>
      <c r="D38" s="9" t="str">
        <f ca="1">F17</f>
        <v>يوفيلاك</v>
      </c>
      <c r="E38" s="9" t="s">
        <v>145</v>
      </c>
      <c r="F38" s="9">
        <f ca="1">((I16/D17)-0.5-G16)</f>
        <v>15.5</v>
      </c>
      <c r="G38" s="9">
        <f>H16-0.5</f>
        <v>59.5</v>
      </c>
      <c r="H38" s="9" t="str">
        <f>IF(AND(D17=4,C17),(D17*C13),"")</f>
        <v/>
      </c>
      <c r="I38" s="9">
        <f ca="1">HLOOKUP(D38, materials[], 2,FALSE)</f>
        <v>6</v>
      </c>
      <c r="J38" s="9"/>
      <c r="K38" s="9" t="b">
        <v>1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4</v>
      </c>
      <c r="B39" s="15" t="str">
        <f>B21</f>
        <v xml:space="preserve">وحدة سفلية    أدراج </v>
      </c>
      <c r="C39" s="9">
        <f>C38+1</f>
        <v>18</v>
      </c>
      <c r="D39" s="9" t="str">
        <f ca="1">F17</f>
        <v>يوفيلاك</v>
      </c>
      <c r="E39" s="9" t="s">
        <v>146</v>
      </c>
      <c r="F39" s="9">
        <f ca="1">((I16/D17)-0.5-G16)</f>
        <v>15.5</v>
      </c>
      <c r="G39" s="9">
        <f>H16-0.5</f>
        <v>59.5</v>
      </c>
      <c r="H39" s="9">
        <f>IF(AND(D17=4,NOT(C17)),(D17*C13),"")</f>
        <v>4</v>
      </c>
      <c r="I39" s="9">
        <f ca="1">HLOOKUP(D39, materials[], 2,FALSE)</f>
        <v>6</v>
      </c>
      <c r="J39" s="9"/>
      <c r="K39" s="9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4</v>
      </c>
      <c r="B40" s="15" t="str">
        <f>B21</f>
        <v xml:space="preserve">وحدة سفلية    أدراج </v>
      </c>
      <c r="C40" s="9">
        <f>C39+1</f>
        <v>19</v>
      </c>
      <c r="D40" s="9" t="str">
        <f ca="1">F17</f>
        <v>يوفيلاك</v>
      </c>
      <c r="E40" s="9" t="s">
        <v>147</v>
      </c>
      <c r="F40" s="9">
        <f ca="1">((I16/D17)*2)-G16-0.5</f>
        <v>35</v>
      </c>
      <c r="G40" s="9">
        <f>H16-0.5</f>
        <v>59.5</v>
      </c>
      <c r="H40" s="9">
        <f>IF(AND(D17=4,NOT(C17)),(D17*C13),"")</f>
        <v>4</v>
      </c>
      <c r="I40" s="9">
        <f ca="1">HLOOKUP(D40, materials[], 2,FALSE)</f>
        <v>6</v>
      </c>
      <c r="J40" s="9"/>
      <c r="K40" s="9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ht="14.4" x14ac:dyDescent="0.3">
      <c r="A41" s="51">
        <v>0</v>
      </c>
      <c r="B41"/>
      <c r="C41"/>
      <c r="D41"/>
      <c r="E41"/>
      <c r="F41"/>
      <c r="G41"/>
      <c r="H41"/>
      <c r="I41"/>
      <c r="J41"/>
      <c r="K4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5</v>
      </c>
      <c r="B42" s="15" t="str">
        <f>B21</f>
        <v xml:space="preserve">وحدة سفلية    أدراج </v>
      </c>
      <c r="C42" s="19">
        <f>C37+1</f>
        <v>17</v>
      </c>
      <c r="D42" s="19" t="str">
        <f>G14</f>
        <v>ظهر</v>
      </c>
      <c r="E42" s="19" t="s">
        <v>58</v>
      </c>
      <c r="F42" s="19">
        <f ca="1">I16-2</f>
        <v>76</v>
      </c>
      <c r="G42" s="19">
        <f>H16-2</f>
        <v>58</v>
      </c>
      <c r="H42" s="19">
        <f>1*C13</f>
        <v>1</v>
      </c>
      <c r="I42" s="19">
        <f>HLOOKUP(D42, materials[], 2,FALSE)</f>
        <v>2</v>
      </c>
      <c r="J42" s="19"/>
      <c r="K42" s="19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5</v>
      </c>
      <c r="B43" s="15" t="str">
        <f>B21</f>
        <v xml:space="preserve">وحدة سفلية    أدراج </v>
      </c>
      <c r="C43" s="19">
        <f>C38+1</f>
        <v>18</v>
      </c>
      <c r="D43" s="19" t="str">
        <f>G14</f>
        <v>ظهر</v>
      </c>
      <c r="E43" s="19" t="s">
        <v>149</v>
      </c>
      <c r="F43" s="19">
        <f>H16-3.6-3.6-2.5+2</f>
        <v>52.3</v>
      </c>
      <c r="G43" s="19">
        <f ca="1">I14-1</f>
        <v>44</v>
      </c>
      <c r="H43" s="19">
        <f>E15*C13</f>
        <v>0</v>
      </c>
      <c r="I43" s="19">
        <f>HLOOKUP(D43, materials[], 2,FALSE)</f>
        <v>2</v>
      </c>
      <c r="J43" s="19"/>
      <c r="K43" s="19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5</v>
      </c>
      <c r="B44" s="15" t="str">
        <f>B21</f>
        <v xml:space="preserve">وحدة سفلية    أدراج </v>
      </c>
      <c r="C44" s="19">
        <f>C39+1</f>
        <v>19</v>
      </c>
      <c r="D44" s="19" t="str">
        <f>G14</f>
        <v>ظهر</v>
      </c>
      <c r="E44" s="19" t="s">
        <v>150</v>
      </c>
      <c r="F44" s="19">
        <f>H16-3.6-3.6-2.5+2</f>
        <v>52.3</v>
      </c>
      <c r="G44" s="19">
        <f ca="1">I14-1</f>
        <v>44</v>
      </c>
      <c r="H44" s="19">
        <f>(D15*C13)</f>
        <v>0</v>
      </c>
      <c r="I44" s="19">
        <f>HLOOKUP(D44, materials[], 2,FALSE)</f>
        <v>2</v>
      </c>
      <c r="J44" s="19"/>
      <c r="K44" s="19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5</v>
      </c>
      <c r="B45" s="15" t="str">
        <f>B21</f>
        <v xml:space="preserve">وحدة سفلية    أدراج </v>
      </c>
      <c r="C45" s="19">
        <f>C40+1</f>
        <v>20</v>
      </c>
      <c r="D45" s="19" t="str">
        <f>G14</f>
        <v>ظهر</v>
      </c>
      <c r="E45" s="19" t="s">
        <v>151</v>
      </c>
      <c r="F45" s="19">
        <f>H16-3.6-3.6-2.5+2</f>
        <v>52.3</v>
      </c>
      <c r="G45" s="19">
        <f ca="1">I14-1</f>
        <v>44</v>
      </c>
      <c r="H45" s="19">
        <f>C15*C13</f>
        <v>0</v>
      </c>
      <c r="I45" s="19">
        <f>HLOOKUP(D45, materials[], 2,FALSE)</f>
        <v>2</v>
      </c>
      <c r="J45" s="19"/>
      <c r="K45" s="19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255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255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ht="36" x14ac:dyDescent="0.3">
      <c r="A48" s="51" t="s">
        <v>160</v>
      </c>
      <c r="C48" s="14">
        <v>1</v>
      </c>
      <c r="D48" s="22" t="s">
        <v>59</v>
      </c>
      <c r="E48" s="100" t="s">
        <v>23</v>
      </c>
      <c r="F48" s="101"/>
      <c r="G48" s="101"/>
      <c r="H48" s="102"/>
      <c r="I48" s="2" t="s">
        <v>30</v>
      </c>
      <c r="J48" s="2">
        <f>letterToNumber(A48)</f>
        <v>2</v>
      </c>
      <c r="K48" s="7">
        <f ca="1">_xlfn.SHEET("وحدات سفلية")</f>
        <v>4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ht="31.2" x14ac:dyDescent="0.3">
      <c r="A49" s="51">
        <v>1</v>
      </c>
      <c r="C49" s="7" t="s">
        <v>12</v>
      </c>
      <c r="D49" s="7" t="s">
        <v>18</v>
      </c>
      <c r="E49" s="7" t="s">
        <v>16</v>
      </c>
      <c r="F49" s="104"/>
      <c r="G49" s="7" t="s">
        <v>24</v>
      </c>
      <c r="H49" s="7" t="s">
        <v>22</v>
      </c>
      <c r="I49" s="7" t="s">
        <v>3</v>
      </c>
      <c r="J49" s="7" t="s">
        <v>113</v>
      </c>
      <c r="K49" s="7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1</v>
      </c>
      <c r="C50" s="8">
        <v>1</v>
      </c>
      <c r="D50" s="8">
        <v>1</v>
      </c>
      <c r="E50" s="27" cm="1">
        <f t="array" aca="1" ref="E50" ca="1">defaultValue(E49,K48)</f>
        <v>3.5</v>
      </c>
      <c r="F50" s="104"/>
      <c r="G50" s="27">
        <v>56</v>
      </c>
      <c r="H50" s="8">
        <v>105</v>
      </c>
      <c r="I50" s="27" cm="1">
        <f t="array" aca="1" ref="I50" ca="1">defaultValue(I49,K48)</f>
        <v>78</v>
      </c>
      <c r="J50" s="27" cm="1">
        <f t="array" aca="1" ref="J50" ca="1">defaultValue(J49,K48)</f>
        <v>56</v>
      </c>
      <c r="K50" s="7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ht="31.2" x14ac:dyDescent="0.3">
      <c r="A51" s="51">
        <v>1</v>
      </c>
      <c r="C51" s="8"/>
      <c r="D51" s="27" t="str" cm="1">
        <f t="array" aca="1" ref="D51" ca="1">defaultValue(E51,K48)</f>
        <v>ظهر</v>
      </c>
      <c r="E51" s="7" t="s">
        <v>58</v>
      </c>
      <c r="F51" s="27" t="str" cm="1">
        <f t="array" aca="1" ref="F51" ca="1">defaultValue(G51,K48)</f>
        <v>يوفيلاك</v>
      </c>
      <c r="G51" s="7" t="s">
        <v>32</v>
      </c>
      <c r="H51" s="27" t="str" cm="1">
        <f t="array" aca="1" ref="H51" ca="1">defaultValue(I51,K48)</f>
        <v>HPL</v>
      </c>
      <c r="I51" s="7" t="s">
        <v>31</v>
      </c>
      <c r="J51" s="25" t="s">
        <v>111</v>
      </c>
      <c r="K51" s="7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ht="14.4" x14ac:dyDescent="0.3">
      <c r="A52" s="51">
        <v>0</v>
      </c>
      <c r="B52"/>
      <c r="C52"/>
      <c r="D52"/>
      <c r="E52"/>
      <c r="F52"/>
      <c r="G52"/>
      <c r="H52"/>
      <c r="I52"/>
      <c r="J52"/>
      <c r="K52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2</v>
      </c>
      <c r="C53" s="6" t="s">
        <v>4</v>
      </c>
      <c r="D53" s="6" t="s">
        <v>9</v>
      </c>
      <c r="E53" s="6" t="s">
        <v>5</v>
      </c>
      <c r="F53" s="6" t="s">
        <v>7</v>
      </c>
      <c r="G53" s="6" t="s">
        <v>1</v>
      </c>
      <c r="H53" s="6" t="s">
        <v>6</v>
      </c>
      <c r="I53" s="6" t="s">
        <v>33</v>
      </c>
      <c r="J53" s="6" t="s">
        <v>8</v>
      </c>
      <c r="K53" s="6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3</v>
      </c>
      <c r="B55" s="15" t="str">
        <f>E48</f>
        <v xml:space="preserve">وحدة سفلية  تلبيسة دلفة /دلفتين </v>
      </c>
      <c r="C55" s="6">
        <v>1</v>
      </c>
      <c r="D55" s="6" t="str">
        <f ca="1">H51</f>
        <v>HPL</v>
      </c>
      <c r="E55" s="6" t="s">
        <v>10</v>
      </c>
      <c r="F55" s="6">
        <f>H50-3.6</f>
        <v>101.4</v>
      </c>
      <c r="G55" s="6">
        <f ca="1">J50</f>
        <v>56</v>
      </c>
      <c r="H55" s="6">
        <f>1*C48</f>
        <v>1</v>
      </c>
      <c r="I55" s="6">
        <f ca="1">HLOOKUP(D55, materials[], 2,FALSE)</f>
        <v>2</v>
      </c>
      <c r="J55" s="6"/>
      <c r="K55" s="6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3</v>
      </c>
      <c r="B56" s="15" t="str">
        <f>B55</f>
        <v xml:space="preserve">وحدة سفلية  تلبيسة دلفة /دلفتين </v>
      </c>
      <c r="C56" s="6">
        <f>C55+1</f>
        <v>2</v>
      </c>
      <c r="D56" s="6" t="str">
        <f ca="1">H51</f>
        <v>HPL</v>
      </c>
      <c r="E56" s="6" t="s">
        <v>11</v>
      </c>
      <c r="F56" s="6">
        <f ca="1">I50</f>
        <v>78</v>
      </c>
      <c r="G56" s="6">
        <f ca="1">J50</f>
        <v>56</v>
      </c>
      <c r="H56" s="6">
        <v>2</v>
      </c>
      <c r="I56" s="6">
        <f ca="1">HLOOKUP(D56, materials[], 2,FALSE)</f>
        <v>2</v>
      </c>
      <c r="J56" s="6"/>
      <c r="K56" s="6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3</v>
      </c>
      <c r="B57" s="15" t="str">
        <f>B55</f>
        <v xml:space="preserve">وحدة سفلية  تلبيسة دلفة /دلفتين </v>
      </c>
      <c r="C57" s="6">
        <f t="shared" ref="C57:C60" si="1">C56+1</f>
        <v>3</v>
      </c>
      <c r="D57" s="6" t="str">
        <f ca="1">H51</f>
        <v>HPL</v>
      </c>
      <c r="E57" s="6" t="s">
        <v>13</v>
      </c>
      <c r="F57" s="6">
        <f>H50-3.6</f>
        <v>101.4</v>
      </c>
      <c r="G57" s="6">
        <v>10</v>
      </c>
      <c r="H57" s="6">
        <f>1*C48</f>
        <v>1</v>
      </c>
      <c r="I57" s="6">
        <f ca="1">HLOOKUP(D57, materials[], 2,FALSE)</f>
        <v>2</v>
      </c>
      <c r="J57" s="6"/>
      <c r="K57" s="6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3</v>
      </c>
      <c r="B58" s="15" t="str">
        <f>B55</f>
        <v xml:space="preserve">وحدة سفلية  تلبيسة دلفة /دلفتين </v>
      </c>
      <c r="C58" s="6">
        <f t="shared" si="1"/>
        <v>4</v>
      </c>
      <c r="D58" s="6" t="str">
        <f ca="1">H51</f>
        <v>HPL</v>
      </c>
      <c r="E58" s="6" t="s">
        <v>14</v>
      </c>
      <c r="F58" s="6">
        <f>H50-3.6</f>
        <v>101.4</v>
      </c>
      <c r="G58" s="6">
        <v>7</v>
      </c>
      <c r="H58" s="6">
        <f>1*C48</f>
        <v>1</v>
      </c>
      <c r="I58" s="6">
        <f ca="1">HLOOKUP(D58, materials[], 2,FALSE)</f>
        <v>2</v>
      </c>
      <c r="J58" s="6"/>
      <c r="K58" s="6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51">
        <v>3</v>
      </c>
      <c r="B59" s="15" t="str">
        <f>B55</f>
        <v xml:space="preserve">وحدة سفلية  تلبيسة دلفة /دلفتين </v>
      </c>
      <c r="C59" s="6">
        <f t="shared" si="1"/>
        <v>5</v>
      </c>
      <c r="D59" s="6" t="str">
        <f ca="1">H51</f>
        <v>HPL</v>
      </c>
      <c r="E59" s="6" t="s">
        <v>17</v>
      </c>
      <c r="F59" s="6">
        <f>H50-3.8</f>
        <v>101.2</v>
      </c>
      <c r="G59" s="6">
        <f ca="1">J50-6</f>
        <v>50</v>
      </c>
      <c r="H59" s="6">
        <f>D50*C48</f>
        <v>1</v>
      </c>
      <c r="I59" s="6">
        <f ca="1">HLOOKUP(D59, materials[], 2,FALSE)</f>
        <v>2</v>
      </c>
      <c r="J59" s="6"/>
      <c r="K59" s="6" t="b"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3</v>
      </c>
      <c r="B60" s="15" t="str">
        <f>B55</f>
        <v xml:space="preserve">وحدة سفلية  تلبيسة دلفة /دلفتين </v>
      </c>
      <c r="C60" s="6">
        <f t="shared" si="1"/>
        <v>6</v>
      </c>
      <c r="D60" s="6" t="str">
        <f ca="1">H51</f>
        <v>HPL</v>
      </c>
      <c r="E60" s="6" t="s">
        <v>24</v>
      </c>
      <c r="F60" s="6">
        <f ca="1">I50</f>
        <v>78</v>
      </c>
      <c r="G60" s="6">
        <f>G50</f>
        <v>56</v>
      </c>
      <c r="H60" s="6">
        <f>1*C48</f>
        <v>1</v>
      </c>
      <c r="I60" s="6">
        <f ca="1">HLOOKUP(D60, materials[], 2,FALSE)</f>
        <v>2</v>
      </c>
      <c r="J60" s="6"/>
      <c r="K60" s="6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ht="14.4" x14ac:dyDescent="0.3">
      <c r="A61" s="51">
        <v>0</v>
      </c>
      <c r="B61"/>
      <c r="C61"/>
      <c r="D61"/>
      <c r="E61"/>
      <c r="F61"/>
      <c r="G61"/>
      <c r="H61"/>
      <c r="I61"/>
      <c r="J61"/>
      <c r="K6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4</v>
      </c>
      <c r="B62" s="15" t="str">
        <f>B55</f>
        <v xml:space="preserve">وحدة سفلية  تلبيسة دلفة /دلفتين </v>
      </c>
      <c r="C62" s="9">
        <f>C60+1</f>
        <v>7</v>
      </c>
      <c r="D62" s="9" t="str">
        <f ca="1">F51</f>
        <v>يوفيلاك</v>
      </c>
      <c r="E62" s="9" t="s">
        <v>15</v>
      </c>
      <c r="F62" s="9">
        <f ca="1">I50-0.5-E50</f>
        <v>74</v>
      </c>
      <c r="G62" s="9">
        <f>(H50-G50-G63)/C50-0.5</f>
        <v>44.5</v>
      </c>
      <c r="H62" s="9">
        <f>C50*C48</f>
        <v>1</v>
      </c>
      <c r="I62" s="9">
        <f ca="1">HLOOKUP(D62, materials[], 2,FALSE)</f>
        <v>6</v>
      </c>
      <c r="J62" s="9"/>
      <c r="K62" s="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4</v>
      </c>
      <c r="B63" s="15" t="str">
        <f>B55</f>
        <v xml:space="preserve">وحدة سفلية  تلبيسة دلفة /دلفتين </v>
      </c>
      <c r="C63" s="9">
        <f t="shared" ref="C63" si="2">C62+1</f>
        <v>8</v>
      </c>
      <c r="D63" s="9" t="str">
        <f ca="1">F51</f>
        <v>يوفيلاك</v>
      </c>
      <c r="E63" s="9" t="s">
        <v>25</v>
      </c>
      <c r="F63" s="9">
        <f ca="1">I50</f>
        <v>78</v>
      </c>
      <c r="G63" s="9">
        <v>4</v>
      </c>
      <c r="H63" s="9">
        <f>1*C48</f>
        <v>1</v>
      </c>
      <c r="I63" s="9">
        <f ca="1">HLOOKUP(D63, materials[], 2,FALSE)</f>
        <v>6</v>
      </c>
      <c r="J63" s="9"/>
      <c r="K63" s="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ht="14.4" x14ac:dyDescent="0.3">
      <c r="A64" s="51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5</v>
      </c>
      <c r="B65" s="15" t="str">
        <f>B55</f>
        <v xml:space="preserve">وحدة سفلية  تلبيسة دلفة /دلفتين </v>
      </c>
      <c r="C65" s="19">
        <f>C63+1</f>
        <v>9</v>
      </c>
      <c r="D65" s="19" t="str">
        <f ca="1">D51</f>
        <v>ظهر</v>
      </c>
      <c r="E65" s="19" t="s">
        <v>58</v>
      </c>
      <c r="F65" s="19">
        <f ca="1">I50-2</f>
        <v>76</v>
      </c>
      <c r="G65" s="19">
        <f>H50-2</f>
        <v>103</v>
      </c>
      <c r="H65" s="19">
        <f>1*C48</f>
        <v>1</v>
      </c>
      <c r="I65" s="19">
        <f ca="1">HLOOKUP(D65, materials[], 2,FALSE)</f>
        <v>2</v>
      </c>
      <c r="J65" s="19"/>
      <c r="K65" s="19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51">
        <v>255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51">
        <v>255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ht="36" x14ac:dyDescent="0.3">
      <c r="A68" s="51" t="s">
        <v>156</v>
      </c>
      <c r="C68" s="14">
        <v>1</v>
      </c>
      <c r="D68" s="22" t="s">
        <v>59</v>
      </c>
      <c r="E68" s="100" t="s">
        <v>26</v>
      </c>
      <c r="F68" s="101"/>
      <c r="G68" s="101"/>
      <c r="H68" s="102"/>
      <c r="I68" s="2" t="s">
        <v>30</v>
      </c>
      <c r="J68" s="2">
        <f>letterToNumber(A68)</f>
        <v>3</v>
      </c>
      <c r="K68" s="7">
        <f ca="1">_xlfn.SHEET("وحدات سفلية")</f>
        <v>4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51">
        <v>1</v>
      </c>
      <c r="C69" s="7"/>
      <c r="D69" s="7" t="s">
        <v>18</v>
      </c>
      <c r="E69" s="7" t="s">
        <v>16</v>
      </c>
      <c r="F69" s="104"/>
      <c r="G69" s="7"/>
      <c r="H69" s="7" t="s">
        <v>22</v>
      </c>
      <c r="I69" s="7" t="s">
        <v>3</v>
      </c>
      <c r="J69" s="7" t="s">
        <v>113</v>
      </c>
      <c r="K69" s="7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x14ac:dyDescent="0.3">
      <c r="A70" s="51">
        <v>1</v>
      </c>
      <c r="C70" s="8"/>
      <c r="D70" s="8">
        <v>1</v>
      </c>
      <c r="E70" s="27" cm="1">
        <f t="array" aca="1" ref="E70" ca="1">defaultValue(E69,K68)</f>
        <v>3.5</v>
      </c>
      <c r="F70" s="104"/>
      <c r="G70" s="7"/>
      <c r="H70" s="8"/>
      <c r="I70" s="27" cm="1">
        <f t="array" aca="1" ref="I70" ca="1">defaultValue(I69,K68)</f>
        <v>78</v>
      </c>
      <c r="J70" s="27" cm="1">
        <f t="array" aca="1" ref="J70" ca="1">defaultValue(J69,K68)</f>
        <v>56</v>
      </c>
      <c r="K70" s="7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1</v>
      </c>
      <c r="C71" s="28"/>
      <c r="D71" s="12"/>
      <c r="E71" s="12"/>
      <c r="F71" s="13"/>
      <c r="G71" s="7"/>
      <c r="H71" s="8"/>
      <c r="I71" s="27" cm="1">
        <f t="array" aca="1" ref="I71" ca="1">defaultValue(I69,K68)</f>
        <v>78</v>
      </c>
      <c r="J71" s="27" cm="1">
        <f t="array" aca="1" ref="J71" ca="1">defaultValue(J69,K68)</f>
        <v>56</v>
      </c>
      <c r="K71" s="7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51">
        <v>1</v>
      </c>
      <c r="C72" s="8"/>
      <c r="D72" s="27" t="str" cm="1">
        <f t="array" aca="1" ref="D72" ca="1">defaultValue(E72,K68)</f>
        <v>ظهر</v>
      </c>
      <c r="E72" s="7" t="s">
        <v>58</v>
      </c>
      <c r="F72" s="27" t="str" cm="1">
        <f t="array" aca="1" ref="F72" ca="1">defaultValue(G72,K68)</f>
        <v>يوفيلاك</v>
      </c>
      <c r="G72" s="7" t="s">
        <v>32</v>
      </c>
      <c r="H72" s="27" t="str" cm="1">
        <f t="array" aca="1" ref="H72" ca="1">defaultValue(I72,K68)</f>
        <v>HPL</v>
      </c>
      <c r="I72" s="7" t="s">
        <v>31</v>
      </c>
      <c r="J72" s="25" t="s">
        <v>111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ht="14.4" x14ac:dyDescent="0.3">
      <c r="A73" s="51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2</v>
      </c>
      <c r="C74" s="6" t="s">
        <v>4</v>
      </c>
      <c r="D74" s="6" t="s">
        <v>9</v>
      </c>
      <c r="E74" s="6" t="s">
        <v>5</v>
      </c>
      <c r="F74" s="6" t="s">
        <v>7</v>
      </c>
      <c r="G74" s="6" t="s">
        <v>1</v>
      </c>
      <c r="H74" s="6" t="s">
        <v>6</v>
      </c>
      <c r="I74" s="6" t="s">
        <v>33</v>
      </c>
      <c r="J74" s="6" t="s">
        <v>8</v>
      </c>
      <c r="K74" s="6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ht="14.4" x14ac:dyDescent="0.3">
      <c r="A75" s="51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>
        <f>B75</f>
        <v>0</v>
      </c>
      <c r="C76" s="6">
        <v>1</v>
      </c>
      <c r="D76" s="6" t="str">
        <f ca="1">H72</f>
        <v>HPL</v>
      </c>
      <c r="E76" s="6" t="s">
        <v>10</v>
      </c>
      <c r="F76" s="6">
        <f>H70-1.8</f>
        <v>-1.8</v>
      </c>
      <c r="G76" s="6">
        <f>H71-1.8</f>
        <v>-1.8</v>
      </c>
      <c r="H76" s="6">
        <f>1*C68</f>
        <v>1</v>
      </c>
      <c r="I76" s="6">
        <f ca="1">HLOOKUP(D76, materials[], 2,FALSE)</f>
        <v>2</v>
      </c>
      <c r="J76" s="6"/>
      <c r="K76" s="6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>
        <f>B75</f>
        <v>0</v>
      </c>
      <c r="C77" s="6">
        <f>C76+1</f>
        <v>2</v>
      </c>
      <c r="D77" s="6" t="str">
        <f ca="1">H72</f>
        <v>HPL</v>
      </c>
      <c r="E77" s="6" t="s">
        <v>11</v>
      </c>
      <c r="F77" s="6">
        <f ca="1">I70</f>
        <v>78</v>
      </c>
      <c r="G77" s="6">
        <f ca="1">J70</f>
        <v>56</v>
      </c>
      <c r="H77" s="6">
        <f>2*C68</f>
        <v>2</v>
      </c>
      <c r="I77" s="6">
        <f ca="1">HLOOKUP(D77, materials[], 2,FALSE)</f>
        <v>2</v>
      </c>
      <c r="J77" s="6"/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>
        <f>B75</f>
        <v>0</v>
      </c>
      <c r="C78" s="6">
        <f t="shared" ref="C78:C81" si="3">C77+1</f>
        <v>3</v>
      </c>
      <c r="D78" s="6" t="str">
        <f ca="1">H72</f>
        <v>HPL</v>
      </c>
      <c r="E78" s="6" t="s">
        <v>13</v>
      </c>
      <c r="F78" s="6">
        <f>H70-1.8</f>
        <v>-1.8</v>
      </c>
      <c r="G78" s="6">
        <v>10</v>
      </c>
      <c r="H78" s="6">
        <f>2*C68</f>
        <v>2</v>
      </c>
      <c r="I78" s="6">
        <f ca="1">HLOOKUP(D78, materials[], 2,FALSE)</f>
        <v>2</v>
      </c>
      <c r="J78" s="6"/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51">
        <v>3</v>
      </c>
      <c r="B79" s="15">
        <f>B75</f>
        <v>0</v>
      </c>
      <c r="C79" s="6">
        <f t="shared" si="3"/>
        <v>4</v>
      </c>
      <c r="D79" s="6" t="str">
        <f ca="1">H72</f>
        <v>HPL</v>
      </c>
      <c r="E79" s="6" t="s">
        <v>14</v>
      </c>
      <c r="F79" s="6">
        <f>H70-1.8</f>
        <v>-1.8</v>
      </c>
      <c r="G79" s="6">
        <v>7</v>
      </c>
      <c r="H79" s="6">
        <f>2*C68</f>
        <v>2</v>
      </c>
      <c r="I79" s="6">
        <f ca="1">HLOOKUP(D79, materials[], 2,FALSE)</f>
        <v>2</v>
      </c>
      <c r="J79" s="6"/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3</v>
      </c>
      <c r="B80" s="15">
        <f>B75</f>
        <v>0</v>
      </c>
      <c r="C80" s="6">
        <f t="shared" si="3"/>
        <v>5</v>
      </c>
      <c r="D80" s="6" t="str">
        <f ca="1">H72</f>
        <v>HPL</v>
      </c>
      <c r="E80" s="6" t="s">
        <v>27</v>
      </c>
      <c r="F80" s="6">
        <f ca="1">I70</f>
        <v>78</v>
      </c>
      <c r="G80" s="6">
        <v>10</v>
      </c>
      <c r="H80" s="6">
        <f>1*C68</f>
        <v>1</v>
      </c>
      <c r="I80" s="6">
        <f ca="1">HLOOKUP(D80, materials[], 2,FALSE)</f>
        <v>2</v>
      </c>
      <c r="J80" s="6"/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3</v>
      </c>
      <c r="B81" s="15">
        <f>B75</f>
        <v>0</v>
      </c>
      <c r="C81" s="6">
        <f t="shared" si="3"/>
        <v>6</v>
      </c>
      <c r="D81" s="6" t="str">
        <f ca="1">H72</f>
        <v>HPL</v>
      </c>
      <c r="E81" s="6" t="s">
        <v>17</v>
      </c>
      <c r="F81" s="6">
        <f>H70-3.8</f>
        <v>-3.8</v>
      </c>
      <c r="G81" s="6">
        <f>H71-3.8</f>
        <v>-3.8</v>
      </c>
      <c r="H81" s="6">
        <f>D70*C68</f>
        <v>1</v>
      </c>
      <c r="I81" s="6">
        <f ca="1">HLOOKUP(D81, materials[], 2,FALSE)</f>
        <v>2</v>
      </c>
      <c r="J81" s="6"/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ht="14.4" x14ac:dyDescent="0.3">
      <c r="A82" s="51">
        <v>0</v>
      </c>
      <c r="B82"/>
      <c r="C82"/>
      <c r="D82"/>
      <c r="E82"/>
      <c r="F82"/>
      <c r="G82"/>
      <c r="H82"/>
      <c r="I82"/>
      <c r="J82"/>
      <c r="K82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4</v>
      </c>
      <c r="B83" s="15">
        <f>B75</f>
        <v>0</v>
      </c>
      <c r="C83" s="9">
        <f>C81+1</f>
        <v>7</v>
      </c>
      <c r="D83" s="9" t="str">
        <f ca="1">F72</f>
        <v>يوفيلاك</v>
      </c>
      <c r="E83" s="9" t="s">
        <v>28</v>
      </c>
      <c r="F83" s="9">
        <f ca="1">I70-0.5-E70</f>
        <v>74</v>
      </c>
      <c r="G83" s="9">
        <f>H70-56-3</f>
        <v>-59</v>
      </c>
      <c r="H83" s="9">
        <f>1*C68</f>
        <v>1</v>
      </c>
      <c r="I83" s="9">
        <f ca="1">HLOOKUP(D83, materials[], 2,FALSE)</f>
        <v>6</v>
      </c>
      <c r="J83" s="9"/>
      <c r="K83" s="9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4</v>
      </c>
      <c r="B84" s="15">
        <f>B75</f>
        <v>0</v>
      </c>
      <c r="C84" s="9">
        <f t="shared" ref="C84" si="4">C83+1</f>
        <v>8</v>
      </c>
      <c r="D84" s="9" t="str">
        <f ca="1">F72</f>
        <v>يوفيلاك</v>
      </c>
      <c r="E84" s="9" t="s">
        <v>41</v>
      </c>
      <c r="F84" s="9">
        <f ca="1">I71-0.5-E70</f>
        <v>74</v>
      </c>
      <c r="G84" s="9">
        <f>H71-56-3</f>
        <v>-59</v>
      </c>
      <c r="H84" s="9">
        <f>1*C68</f>
        <v>1</v>
      </c>
      <c r="I84" s="9">
        <f ca="1">HLOOKUP(D84, materials[], 2,FALSE)</f>
        <v>6</v>
      </c>
      <c r="J84" s="9"/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ht="14.4" x14ac:dyDescent="0.3">
      <c r="A85" s="51">
        <v>0</v>
      </c>
      <c r="B85"/>
      <c r="C85"/>
      <c r="D85"/>
      <c r="E85"/>
      <c r="F85"/>
      <c r="G85"/>
      <c r="H85"/>
      <c r="I85"/>
      <c r="J85"/>
      <c r="K85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51">
        <v>5</v>
      </c>
      <c r="B86" s="15">
        <f>B75</f>
        <v>0</v>
      </c>
      <c r="C86" s="19">
        <f>C84+1</f>
        <v>9</v>
      </c>
      <c r="D86" s="19" t="str">
        <f ca="1">D72</f>
        <v>ظهر</v>
      </c>
      <c r="E86" s="19" t="s">
        <v>58</v>
      </c>
      <c r="F86" s="19">
        <f ca="1">I71-1</f>
        <v>77</v>
      </c>
      <c r="G86" s="19">
        <f>H71-1</f>
        <v>-1</v>
      </c>
      <c r="H86" s="19">
        <f>2*C68</f>
        <v>2</v>
      </c>
      <c r="I86" s="19">
        <f ca="1">HLOOKUP(D86, materials[], 2,FALSE)</f>
        <v>2</v>
      </c>
      <c r="J86" s="19"/>
      <c r="K86" s="19" t="b">
        <v>1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255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255</v>
      </c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ht="36" x14ac:dyDescent="0.3">
      <c r="A89" s="51" t="s">
        <v>161</v>
      </c>
      <c r="C89" s="14">
        <v>1</v>
      </c>
      <c r="D89" s="22" t="s">
        <v>59</v>
      </c>
      <c r="E89" s="100" t="s">
        <v>29</v>
      </c>
      <c r="F89" s="101"/>
      <c r="G89" s="101"/>
      <c r="H89" s="102"/>
      <c r="I89" s="2" t="s">
        <v>30</v>
      </c>
      <c r="J89" s="2">
        <f>letterToNumber(A89)</f>
        <v>4</v>
      </c>
      <c r="K89" s="7">
        <f ca="1">_xlfn.SHEET("وحدات سفلية")</f>
        <v>4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x14ac:dyDescent="0.3">
      <c r="A90" s="51">
        <v>1</v>
      </c>
      <c r="C90" s="7"/>
      <c r="D90" s="7" t="s">
        <v>18</v>
      </c>
      <c r="E90" s="7" t="s">
        <v>16</v>
      </c>
      <c r="F90" s="104"/>
      <c r="G90" s="7"/>
      <c r="H90" s="7" t="s">
        <v>22</v>
      </c>
      <c r="I90" s="7" t="s">
        <v>3</v>
      </c>
      <c r="J90" s="7" t="s">
        <v>113</v>
      </c>
      <c r="K90" s="7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x14ac:dyDescent="0.3">
      <c r="A91" s="51">
        <v>1</v>
      </c>
      <c r="C91" s="8"/>
      <c r="D91" s="8">
        <v>1</v>
      </c>
      <c r="E91" s="27" cm="1">
        <f t="array" aca="1" ref="E91" ca="1">defaultValue(E90,K89)</f>
        <v>3.5</v>
      </c>
      <c r="F91" s="104"/>
      <c r="G91" s="7"/>
      <c r="H91" s="8"/>
      <c r="I91" s="27" cm="1">
        <f t="array" aca="1" ref="I91" ca="1">defaultValue(I90,K89)</f>
        <v>78</v>
      </c>
      <c r="J91" s="27" cm="1">
        <f t="array" aca="1" ref="J91" ca="1">defaultValue(J90,K89)</f>
        <v>56</v>
      </c>
      <c r="K91" s="7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1</v>
      </c>
      <c r="C92" s="28"/>
      <c r="D92" s="12"/>
      <c r="E92" s="12"/>
      <c r="F92" s="13"/>
      <c r="G92" s="7"/>
      <c r="H92" s="8"/>
      <c r="I92" s="27" cm="1">
        <f t="array" aca="1" ref="I92" ca="1">defaultValue(I90,K89)</f>
        <v>78</v>
      </c>
      <c r="J92" s="27" cm="1">
        <f t="array" aca="1" ref="J92" ca="1">defaultValue(J90,K89)</f>
        <v>56</v>
      </c>
      <c r="K92" s="7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ht="31.2" x14ac:dyDescent="0.3">
      <c r="A93" s="51">
        <v>1</v>
      </c>
      <c r="C93" s="8"/>
      <c r="D93" s="27" t="str" cm="1">
        <f t="array" aca="1" ref="D93" ca="1">defaultValue(E93,K89)</f>
        <v>ظهر</v>
      </c>
      <c r="E93" s="7" t="s">
        <v>58</v>
      </c>
      <c r="F93" s="27" t="str" cm="1">
        <f t="array" aca="1" ref="F93" ca="1">defaultValue(G93,K89)</f>
        <v>يوفيلاك</v>
      </c>
      <c r="G93" s="7" t="s">
        <v>32</v>
      </c>
      <c r="H93" s="27" t="str" cm="1">
        <f t="array" aca="1" ref="H93" ca="1">defaultValue(I93,K89)</f>
        <v>HPL</v>
      </c>
      <c r="I93" s="7" t="s">
        <v>31</v>
      </c>
      <c r="J93" s="25" t="s">
        <v>111</v>
      </c>
      <c r="K93" s="7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ht="14.4" x14ac:dyDescent="0.3">
      <c r="A94" s="51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2</v>
      </c>
      <c r="C95" s="6" t="s">
        <v>4</v>
      </c>
      <c r="D95" s="6" t="s">
        <v>9</v>
      </c>
      <c r="E95" s="6" t="s">
        <v>5</v>
      </c>
      <c r="F95" s="6" t="s">
        <v>7</v>
      </c>
      <c r="G95" s="6" t="s">
        <v>1</v>
      </c>
      <c r="H95" s="6" t="s">
        <v>6</v>
      </c>
      <c r="I95" s="6" t="s">
        <v>33</v>
      </c>
      <c r="J95" s="6" t="s">
        <v>8</v>
      </c>
      <c r="K95" s="6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ht="14.4" x14ac:dyDescent="0.3">
      <c r="A96" s="51">
        <v>0</v>
      </c>
      <c r="B96"/>
      <c r="C96"/>
      <c r="D96"/>
      <c r="E96"/>
      <c r="F96"/>
      <c r="G96"/>
      <c r="H96"/>
      <c r="I96"/>
      <c r="J96"/>
      <c r="K96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9" x14ac:dyDescent="0.3">
      <c r="A97" s="51">
        <v>3</v>
      </c>
      <c r="B97" s="15" t="str">
        <f>E89</f>
        <v>وحدة سفلية  ركنة 45</v>
      </c>
      <c r="C97" s="6">
        <v>1</v>
      </c>
      <c r="D97" s="6" t="str">
        <f ca="1">H93</f>
        <v>HPL</v>
      </c>
      <c r="E97" s="6" t="s">
        <v>10</v>
      </c>
      <c r="F97" s="6">
        <f>H91-1.8</f>
        <v>-1.8</v>
      </c>
      <c r="G97" s="6">
        <f>H92-1.8</f>
        <v>-1.8</v>
      </c>
      <c r="H97" s="6">
        <f>1*C89</f>
        <v>1</v>
      </c>
      <c r="I97" s="6">
        <f ca="1">HLOOKUP(D97, materials[], 2,FALSE)</f>
        <v>2</v>
      </c>
      <c r="J97" s="6"/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9" x14ac:dyDescent="0.3">
      <c r="A98" s="51">
        <v>3</v>
      </c>
      <c r="B98" s="15" t="str">
        <f>B97</f>
        <v>وحدة سفلية  ركنة 45</v>
      </c>
      <c r="C98" s="6">
        <f>C97+1</f>
        <v>2</v>
      </c>
      <c r="D98" s="6" t="str">
        <f ca="1">H93</f>
        <v>HPL</v>
      </c>
      <c r="E98" s="6" t="s">
        <v>11</v>
      </c>
      <c r="F98" s="6">
        <f ca="1">I91</f>
        <v>78</v>
      </c>
      <c r="G98" s="6">
        <f ca="1">J91</f>
        <v>56</v>
      </c>
      <c r="H98" s="6">
        <f>2*C89</f>
        <v>2</v>
      </c>
      <c r="I98" s="6">
        <f ca="1">HLOOKUP(D98, materials[], 2,FALSE)</f>
        <v>2</v>
      </c>
      <c r="J98" s="6"/>
      <c r="K98" s="6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9" x14ac:dyDescent="0.3">
      <c r="A99" s="51">
        <v>3</v>
      </c>
      <c r="B99" s="15" t="str">
        <f>B97</f>
        <v>وحدة سفلية  ركنة 45</v>
      </c>
      <c r="C99" s="6">
        <f t="shared" ref="C99:C102" si="5">C98+1</f>
        <v>3</v>
      </c>
      <c r="D99" s="6" t="str">
        <f ca="1">H93</f>
        <v>HPL</v>
      </c>
      <c r="E99" s="6" t="s">
        <v>13</v>
      </c>
      <c r="F99" s="6">
        <f>H91-1.8</f>
        <v>-1.8</v>
      </c>
      <c r="G99" s="6">
        <v>10</v>
      </c>
      <c r="H99" s="6">
        <f>3*C89</f>
        <v>3</v>
      </c>
      <c r="I99" s="6">
        <f ca="1">HLOOKUP(D99, materials[], 2,FALSE)</f>
        <v>2</v>
      </c>
      <c r="J99" s="6"/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</row>
    <row r="100" spans="1:79" x14ac:dyDescent="0.3">
      <c r="A100" s="51">
        <v>3</v>
      </c>
      <c r="B100" s="15" t="str">
        <f>B97</f>
        <v>وحدة سفلية  ركنة 45</v>
      </c>
      <c r="C100" s="6">
        <f t="shared" si="5"/>
        <v>4</v>
      </c>
      <c r="D100" s="6" t="str">
        <f ca="1">H93</f>
        <v>HPL</v>
      </c>
      <c r="E100" s="6" t="s">
        <v>14</v>
      </c>
      <c r="F100" s="6">
        <f>H91-1.8</f>
        <v>-1.8</v>
      </c>
      <c r="G100" s="6">
        <v>7</v>
      </c>
      <c r="H100" s="6">
        <f>2*C89</f>
        <v>2</v>
      </c>
      <c r="I100" s="6">
        <f ca="1">HLOOKUP(D100, materials[], 2,FALSE)</f>
        <v>2</v>
      </c>
      <c r="J100" s="6"/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</row>
    <row r="101" spans="1:79" x14ac:dyDescent="0.3">
      <c r="A101" s="51">
        <v>3</v>
      </c>
      <c r="B101" s="15" t="str">
        <f>B97</f>
        <v>وحدة سفلية  ركنة 45</v>
      </c>
      <c r="C101" s="6">
        <f t="shared" si="5"/>
        <v>5</v>
      </c>
      <c r="D101" s="6" t="str">
        <f ca="1">H93</f>
        <v>HPL</v>
      </c>
      <c r="E101" s="6" t="s">
        <v>27</v>
      </c>
      <c r="F101" s="6">
        <v>70</v>
      </c>
      <c r="G101" s="6">
        <v>10</v>
      </c>
      <c r="H101" s="6">
        <f>1*C89</f>
        <v>1</v>
      </c>
      <c r="I101" s="6">
        <f ca="1">HLOOKUP(D101, materials[], 2,FALSE)</f>
        <v>2</v>
      </c>
      <c r="J101" s="6"/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</row>
    <row r="102" spans="1:79" x14ac:dyDescent="0.3">
      <c r="A102" s="51">
        <v>3</v>
      </c>
      <c r="B102" s="15" t="str">
        <f>B97</f>
        <v>وحدة سفلية  ركنة 45</v>
      </c>
      <c r="C102" s="6">
        <f t="shared" si="5"/>
        <v>6</v>
      </c>
      <c r="D102" s="6" t="str">
        <f ca="1">H93</f>
        <v>HPL</v>
      </c>
      <c r="E102" s="6" t="s">
        <v>17</v>
      </c>
      <c r="F102" s="6">
        <f>H91-3.8</f>
        <v>-3.8</v>
      </c>
      <c r="G102" s="6">
        <f>H92-3.8</f>
        <v>-3.8</v>
      </c>
      <c r="H102" s="6">
        <f>D91*C89</f>
        <v>1</v>
      </c>
      <c r="I102" s="6">
        <f ca="1">HLOOKUP(D102, materials[], 2,FALSE)</f>
        <v>2</v>
      </c>
      <c r="J102" s="6"/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</row>
    <row r="103" spans="1:79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</row>
    <row r="104" spans="1:79" x14ac:dyDescent="0.3">
      <c r="A104" s="51">
        <v>4</v>
      </c>
      <c r="B104" s="15" t="str">
        <f>B97</f>
        <v>وحدة سفلية  ركنة 45</v>
      </c>
      <c r="C104" s="9">
        <f>C102+1</f>
        <v>7</v>
      </c>
      <c r="D104" s="9" t="str">
        <f ca="1">F93</f>
        <v>يوفيلاك</v>
      </c>
      <c r="E104" s="9" t="s">
        <v>28</v>
      </c>
      <c r="F104" s="9">
        <f ca="1">I91-0.5-E91</f>
        <v>74</v>
      </c>
      <c r="G104" s="17">
        <f ca="1">(SQRT((H91-J91)^2+(H92-J92)^2))-2</f>
        <v>77.195959492893323</v>
      </c>
      <c r="H104" s="9">
        <f>1*C89</f>
        <v>1</v>
      </c>
      <c r="I104" s="9">
        <f ca="1">HLOOKUP(D104, materials[], 2,FALSE)</f>
        <v>6</v>
      </c>
      <c r="J104" s="9"/>
      <c r="K104" s="9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</row>
    <row r="105" spans="1:79" ht="14.4" x14ac:dyDescent="0.3">
      <c r="A105" s="51">
        <v>0</v>
      </c>
      <c r="B105"/>
      <c r="C105"/>
      <c r="D105"/>
      <c r="E105"/>
      <c r="F105"/>
      <c r="G105"/>
      <c r="H105"/>
      <c r="I105"/>
      <c r="J105"/>
      <c r="K105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</row>
    <row r="106" spans="1:79" x14ac:dyDescent="0.3">
      <c r="A106" s="51">
        <v>5</v>
      </c>
      <c r="B106" s="15" t="str">
        <f>B97</f>
        <v>وحدة سفلية  ركنة 45</v>
      </c>
      <c r="C106" s="19">
        <f>C104+1</f>
        <v>8</v>
      </c>
      <c r="D106" s="19" t="str">
        <f ca="1">D93</f>
        <v>ظهر</v>
      </c>
      <c r="E106" s="19" t="s">
        <v>58</v>
      </c>
      <c r="F106" s="19">
        <f ca="1">I91-1</f>
        <v>77</v>
      </c>
      <c r="G106" s="19">
        <f>H91-1</f>
        <v>-1</v>
      </c>
      <c r="H106" s="19">
        <f>1*C89</f>
        <v>1</v>
      </c>
      <c r="I106" s="19">
        <f ca="1">HLOOKUP(D106, materials[], 2,FALSE)</f>
        <v>2</v>
      </c>
      <c r="J106" s="19"/>
      <c r="K106" s="1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</row>
    <row r="107" spans="1:79" x14ac:dyDescent="0.3">
      <c r="A107" s="51">
        <v>255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</row>
    <row r="108" spans="1:79" x14ac:dyDescent="0.3">
      <c r="A108" s="51">
        <v>255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</row>
    <row r="109" spans="1:79" ht="36" x14ac:dyDescent="0.3">
      <c r="A109" s="51" t="s">
        <v>157</v>
      </c>
      <c r="B109" s="3"/>
      <c r="C109" s="14">
        <v>1</v>
      </c>
      <c r="D109" s="22" t="s">
        <v>59</v>
      </c>
      <c r="E109" s="100" t="s">
        <v>105</v>
      </c>
      <c r="F109" s="101"/>
      <c r="G109" s="101"/>
      <c r="H109" s="102"/>
      <c r="I109" s="2" t="s">
        <v>30</v>
      </c>
      <c r="J109" s="2">
        <f>letterToNumber(A109)</f>
        <v>5</v>
      </c>
      <c r="K109" s="7">
        <f ca="1">_xlfn.SHEET("وحدات سفلية")</f>
        <v>4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</row>
    <row r="110" spans="1:79" ht="31.2" x14ac:dyDescent="0.3">
      <c r="A110" s="51">
        <v>1</v>
      </c>
      <c r="B110" s="21"/>
      <c r="C110" s="7" t="s">
        <v>12</v>
      </c>
      <c r="D110" s="7" t="s">
        <v>18</v>
      </c>
      <c r="E110" s="7" t="s">
        <v>16</v>
      </c>
      <c r="F110" s="104"/>
      <c r="G110" s="16" t="s">
        <v>19</v>
      </c>
      <c r="H110" s="7" t="s">
        <v>22</v>
      </c>
      <c r="I110" s="7" t="s">
        <v>3</v>
      </c>
      <c r="J110" s="7" t="s">
        <v>113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</row>
    <row r="111" spans="1:79" x14ac:dyDescent="0.3">
      <c r="A111" s="51">
        <v>1</v>
      </c>
      <c r="B111" s="21"/>
      <c r="C111" s="8"/>
      <c r="D111" s="8">
        <v>0</v>
      </c>
      <c r="E111" s="27" cm="1">
        <f t="array" aca="1" ref="E111" ca="1">defaultValue(E110,K109)</f>
        <v>3.5</v>
      </c>
      <c r="F111" s="104"/>
      <c r="G111" s="27" cm="1">
        <f t="array" aca="1" ref="G111" ca="1">defaultValue(G110,K109)</f>
        <v>45</v>
      </c>
      <c r="H111" s="8">
        <v>60</v>
      </c>
      <c r="I111" s="27" cm="1">
        <f t="array" aca="1" ref="I111" ca="1">defaultValue(I110,K109)</f>
        <v>78</v>
      </c>
      <c r="J111" s="27" cm="1">
        <f t="array" aca="1" ref="J111" ca="1">defaultValue(J110,K109)</f>
        <v>56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</row>
    <row r="112" spans="1:79" ht="31.2" x14ac:dyDescent="0.3">
      <c r="A112" s="51">
        <v>1</v>
      </c>
      <c r="B112" s="21"/>
      <c r="C112" s="8"/>
      <c r="D112" s="27" t="str" cm="1">
        <f t="array" aca="1" ref="D112" ca="1">defaultValue(E112,K109)</f>
        <v>ظهر</v>
      </c>
      <c r="E112" s="7" t="s">
        <v>58</v>
      </c>
      <c r="F112" s="27" t="str" cm="1">
        <f t="array" aca="1" ref="F112" ca="1">defaultValue(G112,K109)</f>
        <v>يوفيلاك</v>
      </c>
      <c r="G112" s="7" t="s">
        <v>32</v>
      </c>
      <c r="H112" s="27" t="str" cm="1">
        <f t="array" aca="1" ref="H112" ca="1">defaultValue(I112,K109)</f>
        <v>HPL</v>
      </c>
      <c r="I112" s="7" t="s">
        <v>31</v>
      </c>
      <c r="J112" s="25" t="s">
        <v>111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</row>
    <row r="113" spans="1:79" ht="14.4" x14ac:dyDescent="0.3">
      <c r="A113" s="51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</row>
    <row r="114" spans="1:79" ht="14.4" x14ac:dyDescent="0.3">
      <c r="A114" s="51">
        <v>2</v>
      </c>
      <c r="B114" s="21"/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33</v>
      </c>
      <c r="J114" s="6" t="s">
        <v>8</v>
      </c>
      <c r="K114" s="6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</row>
    <row r="115" spans="1:79" ht="14.4" x14ac:dyDescent="0.3">
      <c r="A115" s="51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</row>
    <row r="116" spans="1:79" x14ac:dyDescent="0.3">
      <c r="A116" s="51">
        <v>3</v>
      </c>
      <c r="B116" s="15" t="str">
        <f>E109</f>
        <v xml:space="preserve">وحدة سفلية  فرن </v>
      </c>
      <c r="C116" s="6">
        <v>1</v>
      </c>
      <c r="D116" s="6" t="str">
        <f ca="1">H112</f>
        <v>HPL</v>
      </c>
      <c r="E116" s="6" t="s">
        <v>10</v>
      </c>
      <c r="F116" s="6">
        <f>H111-3.6</f>
        <v>56.4</v>
      </c>
      <c r="G116" s="6">
        <f ca="1">J111</f>
        <v>56</v>
      </c>
      <c r="H116" s="6">
        <f>2*C109</f>
        <v>2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</row>
    <row r="117" spans="1:79" x14ac:dyDescent="0.3">
      <c r="A117" s="51">
        <v>3</v>
      </c>
      <c r="B117" s="15" t="str">
        <f>B116</f>
        <v xml:space="preserve">وحدة سفلية  فرن </v>
      </c>
      <c r="C117" s="6">
        <f>C116+1</f>
        <v>2</v>
      </c>
      <c r="D117" s="6" t="str">
        <f ca="1">H112</f>
        <v>HPL</v>
      </c>
      <c r="E117" s="6" t="s">
        <v>11</v>
      </c>
      <c r="F117" s="6">
        <f ca="1">I111</f>
        <v>78</v>
      </c>
      <c r="G117" s="6">
        <f ca="1">J111</f>
        <v>56</v>
      </c>
      <c r="H117" s="6">
        <f>2*C109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B116</f>
        <v xml:space="preserve">وحدة سفلية  فرن </v>
      </c>
      <c r="C118" s="6">
        <f t="shared" ref="C118:C123" si="6">C117+1</f>
        <v>3</v>
      </c>
      <c r="D118" s="6" t="str">
        <f ca="1">H112</f>
        <v>HPL</v>
      </c>
      <c r="E118" s="6" t="s">
        <v>13</v>
      </c>
      <c r="F118" s="6">
        <f>H111-3.6</f>
        <v>56.4</v>
      </c>
      <c r="G118" s="6">
        <v>10</v>
      </c>
      <c r="H118" s="6">
        <f>2*C109</f>
        <v>2</v>
      </c>
      <c r="I118" s="6">
        <f ca="1">HLOOKUP(D118, materials[], 2,FALSE)</f>
        <v>2</v>
      </c>
      <c r="J118" s="6"/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B116</f>
        <v xml:space="preserve">وحدة سفلية  فرن </v>
      </c>
      <c r="C119" s="6">
        <f t="shared" si="6"/>
        <v>4</v>
      </c>
      <c r="D119" s="6" t="str">
        <f ca="1">H112</f>
        <v>HPL</v>
      </c>
      <c r="E119" s="6" t="s">
        <v>14</v>
      </c>
      <c r="F119" s="6">
        <f>H111-3.6</f>
        <v>56.4</v>
      </c>
      <c r="G119" s="6">
        <v>7</v>
      </c>
      <c r="H119" s="6">
        <f>2*C109</f>
        <v>2</v>
      </c>
      <c r="I119" s="6">
        <f ca="1">HLOOKUP(D119, materials[], 2,FALSE)</f>
        <v>2</v>
      </c>
      <c r="J119" s="6"/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B116</f>
        <v xml:space="preserve">وحدة سفلية  فرن </v>
      </c>
      <c r="C120" s="6">
        <f t="shared" si="6"/>
        <v>5</v>
      </c>
      <c r="D120" s="6" t="str">
        <f ca="1">H112</f>
        <v>HPL</v>
      </c>
      <c r="E120" s="6" t="s">
        <v>17</v>
      </c>
      <c r="F120" s="6">
        <f>H111-3.8</f>
        <v>56.2</v>
      </c>
      <c r="G120" s="6">
        <f ca="1">J111-6</f>
        <v>50</v>
      </c>
      <c r="H120" s="6">
        <f>D111*C109</f>
        <v>0</v>
      </c>
      <c r="I120" s="6">
        <f ca="1">HLOOKUP(D120, materials[], 2,FALSE)</f>
        <v>2</v>
      </c>
      <c r="J120" s="6"/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x14ac:dyDescent="0.3">
      <c r="A121" s="51">
        <v>3</v>
      </c>
      <c r="B121" s="15" t="str">
        <f>B117</f>
        <v xml:space="preserve">وحدة سفلية  فرن </v>
      </c>
      <c r="C121" s="10">
        <f t="shared" si="6"/>
        <v>6</v>
      </c>
      <c r="D121" s="10" t="str">
        <f ca="1">H112</f>
        <v>HPL</v>
      </c>
      <c r="E121" s="10" t="s">
        <v>21</v>
      </c>
      <c r="F121" s="10">
        <f>H111-3.6-3.6-2.5</f>
        <v>50.3</v>
      </c>
      <c r="G121" s="10">
        <v>10</v>
      </c>
      <c r="H121" s="10">
        <f>1*C109</f>
        <v>1</v>
      </c>
      <c r="I121" s="10">
        <f ca="1">HLOOKUP(D121, materials[], 2,FALSE)</f>
        <v>2</v>
      </c>
      <c r="J121" s="10"/>
      <c r="K121" s="10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3</v>
      </c>
      <c r="B122" s="15" t="str">
        <f>B118</f>
        <v xml:space="preserve">وحدة سفلية  فرن </v>
      </c>
      <c r="C122" s="10">
        <f t="shared" si="6"/>
        <v>7</v>
      </c>
      <c r="D122" s="10" t="str">
        <f ca="1">H112</f>
        <v>HPL</v>
      </c>
      <c r="E122" s="10" t="s">
        <v>153</v>
      </c>
      <c r="F122" s="10">
        <f ca="1">G111</f>
        <v>45</v>
      </c>
      <c r="G122" s="10">
        <v>10</v>
      </c>
      <c r="H122" s="10">
        <f>2*C109</f>
        <v>2</v>
      </c>
      <c r="I122" s="10">
        <f ca="1">HLOOKUP(D122, materials[], 2,FALSE)</f>
        <v>2</v>
      </c>
      <c r="J122" s="10"/>
      <c r="K122" s="10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51">
        <v>3</v>
      </c>
      <c r="B123" s="15" t="str">
        <f>B119</f>
        <v xml:space="preserve">وحدة سفلية  فرن </v>
      </c>
      <c r="C123" s="10">
        <f t="shared" si="6"/>
        <v>8</v>
      </c>
      <c r="D123" s="10" t="str">
        <f ca="1">H112</f>
        <v>HPL</v>
      </c>
      <c r="E123" s="10" t="s">
        <v>154</v>
      </c>
      <c r="F123" s="10">
        <f>H111-3.6-3.6-2.5</f>
        <v>50.3</v>
      </c>
      <c r="G123" s="10">
        <f>10-3</f>
        <v>7</v>
      </c>
      <c r="H123" s="10">
        <f>1*C109</f>
        <v>1</v>
      </c>
      <c r="I123" s="10">
        <f ca="1">HLOOKUP(D123, materials[], 2,FALSE)</f>
        <v>2</v>
      </c>
      <c r="J123" s="10"/>
      <c r="K123" s="10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ht="14.4" x14ac:dyDescent="0.3">
      <c r="A124" s="51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4</v>
      </c>
      <c r="B125" s="15" t="str">
        <f>B116</f>
        <v xml:space="preserve">وحدة سفلية  فرن </v>
      </c>
      <c r="C125" s="9">
        <f>C123+1</f>
        <v>9</v>
      </c>
      <c r="D125" s="9" t="str">
        <f ca="1">F112</f>
        <v>يوفيلاك</v>
      </c>
      <c r="E125" s="9" t="s">
        <v>15</v>
      </c>
      <c r="F125" s="9" t="str">
        <f>IF(H125=0,"",(I111-0.5-E111))</f>
        <v/>
      </c>
      <c r="G125" s="9" t="str">
        <f>IF(H125=0, "",(H111/C111)-0.5)</f>
        <v/>
      </c>
      <c r="H125" s="9">
        <f>C111*C109</f>
        <v>0</v>
      </c>
      <c r="I125" s="9">
        <f ca="1">HLOOKUP(D125, materials[], 2,FALSE)</f>
        <v>6</v>
      </c>
      <c r="J125" s="9"/>
      <c r="K125" s="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4</v>
      </c>
      <c r="B126" s="15" t="str">
        <f>B116</f>
        <v xml:space="preserve">وحدة سفلية  فرن </v>
      </c>
      <c r="C126" s="9">
        <f>C125+1</f>
        <v>10</v>
      </c>
      <c r="D126" s="9" t="str">
        <f ca="1">F112</f>
        <v>يوفيلاك</v>
      </c>
      <c r="E126" s="9" t="s">
        <v>152</v>
      </c>
      <c r="F126" s="9">
        <f>H111-0.5</f>
        <v>59.5</v>
      </c>
      <c r="G126" s="9">
        <f ca="1">I111-E111-60.5</f>
        <v>14</v>
      </c>
      <c r="H126" s="9">
        <f>1*C109</f>
        <v>1</v>
      </c>
      <c r="I126" s="9">
        <f ca="1">HLOOKUP(D126, materials[], 2,FALSE)</f>
        <v>6</v>
      </c>
      <c r="J126" s="9"/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51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51">
        <v>5</v>
      </c>
      <c r="B128" s="15" t="str">
        <f>B116</f>
        <v xml:space="preserve">وحدة سفلية  فرن </v>
      </c>
      <c r="C128" s="19">
        <f>C126+1</f>
        <v>11</v>
      </c>
      <c r="D128" s="19" t="str">
        <f ca="1">D112</f>
        <v>ظهر</v>
      </c>
      <c r="E128" s="19" t="s">
        <v>58</v>
      </c>
      <c r="F128" s="19">
        <f ca="1">I111-2</f>
        <v>76</v>
      </c>
      <c r="G128" s="19">
        <f>H111-2</f>
        <v>58</v>
      </c>
      <c r="H128" s="19">
        <f>1*C109</f>
        <v>1</v>
      </c>
      <c r="I128" s="19">
        <f ca="1">HLOOKUP(D128, materials[], 2,FALSE)</f>
        <v>2</v>
      </c>
      <c r="J128" s="19"/>
      <c r="K128" s="19" t="b">
        <v>1</v>
      </c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5</v>
      </c>
      <c r="B129" s="15" t="str">
        <f>B116</f>
        <v xml:space="preserve">وحدة سفلية  فرن </v>
      </c>
      <c r="C129" s="19">
        <f>C128+1</f>
        <v>12</v>
      </c>
      <c r="D129" s="19" t="str">
        <f ca="1">D112</f>
        <v>ظهر</v>
      </c>
      <c r="E129" s="19" t="s">
        <v>149</v>
      </c>
      <c r="F129" s="19">
        <f>H111-3.6-3.6-2.5+2</f>
        <v>52.3</v>
      </c>
      <c r="G129" s="19">
        <f ca="1">G111-1</f>
        <v>44</v>
      </c>
      <c r="H129" s="19">
        <f>1*C109</f>
        <v>1</v>
      </c>
      <c r="I129" s="19">
        <f ca="1">HLOOKUP(D129, materials[], 2,FALSE)</f>
        <v>2</v>
      </c>
      <c r="J129" s="19"/>
      <c r="K129" s="19" t="b">
        <v>1</v>
      </c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51">
        <v>255</v>
      </c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x14ac:dyDescent="0.3">
      <c r="A131" s="51">
        <v>255</v>
      </c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36" x14ac:dyDescent="0.3">
      <c r="A132" s="54" t="s">
        <v>158</v>
      </c>
      <c r="C132" s="14">
        <v>1</v>
      </c>
      <c r="D132" s="22" t="s">
        <v>59</v>
      </c>
      <c r="E132" s="100" t="s">
        <v>162</v>
      </c>
      <c r="F132" s="101"/>
      <c r="G132" s="101"/>
      <c r="H132" s="102"/>
      <c r="I132" s="2" t="s">
        <v>30</v>
      </c>
      <c r="J132" s="2">
        <f>letterToNumber(A132)</f>
        <v>6</v>
      </c>
      <c r="K132" s="7">
        <f ca="1">_xlfn.SHEET("وحدات سفلية")</f>
        <v>4</v>
      </c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31.2" x14ac:dyDescent="0.3">
      <c r="A133" s="51">
        <v>1</v>
      </c>
      <c r="C133" s="7" t="s">
        <v>12</v>
      </c>
      <c r="D133" s="18" t="s">
        <v>18</v>
      </c>
      <c r="E133" s="7" t="s">
        <v>16</v>
      </c>
      <c r="F133" s="18" t="s">
        <v>163</v>
      </c>
      <c r="G133" s="16" t="s">
        <v>19</v>
      </c>
      <c r="H133" s="7" t="s">
        <v>22</v>
      </c>
      <c r="I133" s="7" t="s">
        <v>3</v>
      </c>
      <c r="J133" s="7" t="s">
        <v>113</v>
      </c>
      <c r="K133" s="7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1</v>
      </c>
      <c r="C134" s="8">
        <v>2</v>
      </c>
      <c r="D134" s="8">
        <v>1</v>
      </c>
      <c r="E134" s="27" cm="1">
        <f t="array" aca="1" ref="E134" ca="1">defaultValue(E133,K132)</f>
        <v>3.5</v>
      </c>
      <c r="F134" s="8">
        <v>1</v>
      </c>
      <c r="G134" s="27" cm="1">
        <f t="array" aca="1" ref="G134" ca="1">defaultValue(G133,K132)</f>
        <v>45</v>
      </c>
      <c r="H134" s="8">
        <v>60</v>
      </c>
      <c r="I134" s="27" cm="1">
        <f t="array" aca="1" ref="I134" ca="1">defaultValue(I133,K132)</f>
        <v>78</v>
      </c>
      <c r="J134" s="27" cm="1">
        <f t="array" aca="1" ref="J134" ca="1">defaultValue(J133,K132)</f>
        <v>56</v>
      </c>
      <c r="K134" s="7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31.2" x14ac:dyDescent="0.3">
      <c r="A135" s="51">
        <v>1</v>
      </c>
      <c r="C135" s="8"/>
      <c r="D135" s="27" t="str" cm="1">
        <f t="array" aca="1" ref="D135" ca="1">defaultValue(E135,K132)</f>
        <v>ظهر</v>
      </c>
      <c r="E135" s="7" t="s">
        <v>58</v>
      </c>
      <c r="F135" s="27" t="str" cm="1">
        <f t="array" aca="1" ref="F135" ca="1">defaultValue(G135,K132)</f>
        <v>يوفيلاك</v>
      </c>
      <c r="G135" s="7" t="s">
        <v>32</v>
      </c>
      <c r="H135" s="27" t="str" cm="1">
        <f t="array" aca="1" ref="H135" ca="1">defaultValue(I135,K132)</f>
        <v>HPL</v>
      </c>
      <c r="I135" s="7" t="s">
        <v>31</v>
      </c>
      <c r="J135" s="25" t="s">
        <v>111</v>
      </c>
      <c r="K135" s="7"/>
      <c r="BB135"/>
      <c r="BC135"/>
      <c r="BD135"/>
      <c r="BE135"/>
      <c r="BF135"/>
      <c r="BG135"/>
      <c r="BH135"/>
      <c r="BI135"/>
      <c r="BJ135"/>
    </row>
    <row r="136" spans="1:79" ht="14.4" x14ac:dyDescent="0.3">
      <c r="A136" s="51">
        <v>0</v>
      </c>
      <c r="B136"/>
      <c r="C136"/>
      <c r="D136"/>
      <c r="E136"/>
      <c r="F136"/>
      <c r="G136"/>
      <c r="H136"/>
      <c r="I136"/>
      <c r="J136"/>
      <c r="K136"/>
      <c r="BB136"/>
      <c r="BC136"/>
      <c r="BD136"/>
      <c r="BE136"/>
      <c r="BF136"/>
      <c r="BG136"/>
      <c r="BH136"/>
      <c r="BI136"/>
      <c r="BJ136"/>
    </row>
    <row r="137" spans="1:79" x14ac:dyDescent="0.3">
      <c r="A137" s="51">
        <v>2</v>
      </c>
      <c r="C137" s="6" t="s">
        <v>4</v>
      </c>
      <c r="D137" s="6" t="s">
        <v>9</v>
      </c>
      <c r="E137" s="6" t="s">
        <v>5</v>
      </c>
      <c r="F137" s="6" t="s">
        <v>7</v>
      </c>
      <c r="G137" s="6" t="s">
        <v>1</v>
      </c>
      <c r="H137" s="6" t="s">
        <v>6</v>
      </c>
      <c r="I137" s="6" t="s">
        <v>33</v>
      </c>
      <c r="J137" s="6" t="s">
        <v>8</v>
      </c>
      <c r="K137" s="6"/>
      <c r="BB137"/>
      <c r="BC137"/>
      <c r="BD137"/>
      <c r="BE137"/>
      <c r="BF137"/>
      <c r="BG137"/>
      <c r="BH137"/>
      <c r="BI137"/>
      <c r="BJ137"/>
    </row>
    <row r="138" spans="1:79" ht="14.4" x14ac:dyDescent="0.3">
      <c r="A138" s="51">
        <v>0</v>
      </c>
      <c r="B138"/>
      <c r="C138"/>
      <c r="D138"/>
      <c r="E138"/>
      <c r="F138"/>
      <c r="G138"/>
      <c r="H138"/>
      <c r="I138"/>
      <c r="J138"/>
      <c r="K138"/>
      <c r="BB138"/>
      <c r="BC138"/>
      <c r="BD138"/>
      <c r="BE138"/>
      <c r="BF138"/>
      <c r="BG138"/>
      <c r="BH138"/>
      <c r="BI138"/>
      <c r="BJ138"/>
    </row>
    <row r="139" spans="1:79" x14ac:dyDescent="0.3">
      <c r="A139" s="51">
        <v>3</v>
      </c>
      <c r="B139" s="15" t="str">
        <f>E132</f>
        <v>وحدة سفلية دلفة /دلفتين + درج</v>
      </c>
      <c r="C139" s="6">
        <v>1</v>
      </c>
      <c r="D139" s="6" t="str">
        <f ca="1">H135</f>
        <v>HPL</v>
      </c>
      <c r="E139" s="6" t="s">
        <v>10</v>
      </c>
      <c r="F139" s="6">
        <f>H134-3.6</f>
        <v>56.4</v>
      </c>
      <c r="G139" s="6">
        <f ca="1">J134</f>
        <v>56</v>
      </c>
      <c r="H139" s="6">
        <f>1*C132</f>
        <v>1</v>
      </c>
      <c r="I139" s="6">
        <f ca="1">HLOOKUP(D139, materials[], 2,FALSE)</f>
        <v>2</v>
      </c>
      <c r="J139" s="6"/>
      <c r="K139" s="6" t="b">
        <v>1</v>
      </c>
      <c r="BB139"/>
      <c r="BC139"/>
      <c r="BD139"/>
      <c r="BE139"/>
      <c r="BF139"/>
      <c r="BG139"/>
      <c r="BH139"/>
      <c r="BI139"/>
      <c r="BJ139"/>
    </row>
    <row r="140" spans="1:79" x14ac:dyDescent="0.3">
      <c r="A140" s="51">
        <v>3</v>
      </c>
      <c r="B140" s="15" t="str">
        <f>B139</f>
        <v>وحدة سفلية دلفة /دلفتين + درج</v>
      </c>
      <c r="C140" s="6">
        <f>C139+1</f>
        <v>2</v>
      </c>
      <c r="D140" s="6" t="str">
        <f ca="1">H135</f>
        <v>HPL</v>
      </c>
      <c r="E140" s="6" t="s">
        <v>11</v>
      </c>
      <c r="F140" s="6">
        <f ca="1">I134</f>
        <v>78</v>
      </c>
      <c r="G140" s="6">
        <f ca="1">J134</f>
        <v>56</v>
      </c>
      <c r="H140" s="6">
        <f>2*C132</f>
        <v>2</v>
      </c>
      <c r="I140" s="6">
        <f ca="1">HLOOKUP(D140, materials[], 2,FALSE)</f>
        <v>2</v>
      </c>
      <c r="J140" s="6"/>
      <c r="K140" s="6" t="b">
        <v>1</v>
      </c>
      <c r="BB140"/>
      <c r="BC140"/>
      <c r="BD140"/>
      <c r="BE140"/>
      <c r="BF140"/>
      <c r="BG140"/>
      <c r="BH140"/>
      <c r="BI140"/>
      <c r="BJ140"/>
    </row>
    <row r="141" spans="1:79" x14ac:dyDescent="0.3">
      <c r="A141" s="51">
        <v>3</v>
      </c>
      <c r="B141" s="15" t="str">
        <f>B139</f>
        <v>وحدة سفلية دلفة /دلفتين + درج</v>
      </c>
      <c r="C141" s="6">
        <f t="shared" ref="C141:C146" si="7">C140+1</f>
        <v>3</v>
      </c>
      <c r="D141" s="6" t="str">
        <f ca="1">H135</f>
        <v>HPL</v>
      </c>
      <c r="E141" s="6" t="s">
        <v>13</v>
      </c>
      <c r="F141" s="6">
        <f>H134-3.6</f>
        <v>56.4</v>
      </c>
      <c r="G141" s="6">
        <f>10</f>
        <v>10</v>
      </c>
      <c r="H141" s="6">
        <f>1*C132</f>
        <v>1</v>
      </c>
      <c r="I141" s="6">
        <f ca="1">HLOOKUP(D141, materials[], 2,FALSE)</f>
        <v>2</v>
      </c>
      <c r="J141" s="6"/>
      <c r="K141" s="6" t="b">
        <v>1</v>
      </c>
      <c r="BB141"/>
      <c r="BC141"/>
      <c r="BD141"/>
      <c r="BE141"/>
      <c r="BF141"/>
      <c r="BG141"/>
      <c r="BH141"/>
      <c r="BI141"/>
      <c r="BJ141"/>
    </row>
    <row r="142" spans="1:79" x14ac:dyDescent="0.3">
      <c r="A142" s="51">
        <v>3</v>
      </c>
      <c r="B142" s="15" t="str">
        <f>B139</f>
        <v>وحدة سفلية دلفة /دلفتين + درج</v>
      </c>
      <c r="C142" s="6">
        <f t="shared" si="7"/>
        <v>4</v>
      </c>
      <c r="D142" s="6" t="str">
        <f ca="1">H135</f>
        <v>HPL</v>
      </c>
      <c r="E142" s="6" t="s">
        <v>14</v>
      </c>
      <c r="F142" s="6">
        <f>H134-3.6</f>
        <v>56.4</v>
      </c>
      <c r="G142" s="6">
        <f>7</f>
        <v>7</v>
      </c>
      <c r="H142" s="6">
        <f>1*C132</f>
        <v>1</v>
      </c>
      <c r="I142" s="6">
        <f ca="1">HLOOKUP(D142, materials[], 2,FALSE)</f>
        <v>2</v>
      </c>
      <c r="J142" s="6"/>
      <c r="K142" s="6" t="b">
        <v>1</v>
      </c>
      <c r="BB142"/>
      <c r="BC142"/>
      <c r="BD142"/>
      <c r="BE142"/>
      <c r="BF142"/>
      <c r="BG142"/>
      <c r="BH142"/>
      <c r="BI142"/>
      <c r="BJ142"/>
    </row>
    <row r="143" spans="1:79" x14ac:dyDescent="0.3">
      <c r="A143" s="51">
        <v>3</v>
      </c>
      <c r="B143" s="15" t="str">
        <f>B139</f>
        <v>وحدة سفلية دلفة /دلفتين + درج</v>
      </c>
      <c r="C143" s="6">
        <f t="shared" si="7"/>
        <v>5</v>
      </c>
      <c r="D143" s="6" t="str">
        <f ca="1">H135</f>
        <v>HPL</v>
      </c>
      <c r="E143" s="6" t="s">
        <v>17</v>
      </c>
      <c r="F143" s="6">
        <f>H134-3.8</f>
        <v>56.2</v>
      </c>
      <c r="G143" s="6">
        <f ca="1">J134-6</f>
        <v>50</v>
      </c>
      <c r="H143" s="6">
        <f>D134*C132</f>
        <v>1</v>
      </c>
      <c r="I143" s="6">
        <f ca="1">HLOOKUP(D143, materials[], 2,FALSE)</f>
        <v>2</v>
      </c>
      <c r="J143" s="6"/>
      <c r="K143" s="6" t="b">
        <v>1</v>
      </c>
      <c r="BB143"/>
      <c r="BC143"/>
      <c r="BD143"/>
      <c r="BE143"/>
      <c r="BF143"/>
      <c r="BG143"/>
      <c r="BH143"/>
      <c r="BI143"/>
      <c r="BJ143"/>
    </row>
    <row r="144" spans="1:79" x14ac:dyDescent="0.3">
      <c r="A144" s="51">
        <v>3</v>
      </c>
      <c r="B144" s="15" t="str">
        <f>B140</f>
        <v>وحدة سفلية دلفة /دلفتين + درج</v>
      </c>
      <c r="C144" s="10">
        <f t="shared" si="7"/>
        <v>6</v>
      </c>
      <c r="D144" s="10" t="str">
        <f ca="1">H135</f>
        <v>HPL</v>
      </c>
      <c r="E144" s="10" t="s">
        <v>21</v>
      </c>
      <c r="F144" s="10">
        <f>H134-3.6-3.6-2.5</f>
        <v>50.3</v>
      </c>
      <c r="G144" s="10">
        <v>10</v>
      </c>
      <c r="H144" s="10">
        <f>F134*C132</f>
        <v>1</v>
      </c>
      <c r="I144" s="10">
        <f ca="1">HLOOKUP(D144, materials[], 2,FALSE)</f>
        <v>2</v>
      </c>
      <c r="J144" s="10"/>
      <c r="K144" s="10" t="b">
        <v>1</v>
      </c>
      <c r="BB144"/>
      <c r="BC144"/>
      <c r="BD144"/>
      <c r="BE144"/>
      <c r="BF144"/>
      <c r="BG144"/>
      <c r="BH144"/>
      <c r="BI144"/>
      <c r="BJ144"/>
    </row>
    <row r="145" spans="1:62" x14ac:dyDescent="0.3">
      <c r="A145" s="51">
        <v>3</v>
      </c>
      <c r="B145" s="15" t="str">
        <f>B141</f>
        <v>وحدة سفلية دلفة /دلفتين + درج</v>
      </c>
      <c r="C145" s="10">
        <f t="shared" si="7"/>
        <v>7</v>
      </c>
      <c r="D145" s="10" t="str">
        <f ca="1">H135</f>
        <v>HPL</v>
      </c>
      <c r="E145" s="10" t="s">
        <v>153</v>
      </c>
      <c r="F145" s="10">
        <f ca="1">G134</f>
        <v>45</v>
      </c>
      <c r="G145" s="10">
        <v>10</v>
      </c>
      <c r="H145" s="10">
        <f>2*C132*F134</f>
        <v>2</v>
      </c>
      <c r="I145" s="10">
        <f ca="1">HLOOKUP(D145, materials[], 2,FALSE)</f>
        <v>2</v>
      </c>
      <c r="J145" s="10"/>
      <c r="K145" s="10" t="b">
        <v>1</v>
      </c>
      <c r="BB145"/>
      <c r="BC145"/>
      <c r="BD145"/>
      <c r="BE145"/>
      <c r="BF145"/>
      <c r="BG145"/>
      <c r="BH145"/>
      <c r="BI145"/>
      <c r="BJ145"/>
    </row>
    <row r="146" spans="1:62" x14ac:dyDescent="0.3">
      <c r="A146" s="51">
        <v>3</v>
      </c>
      <c r="B146" s="15" t="str">
        <f>B142</f>
        <v>وحدة سفلية دلفة /دلفتين + درج</v>
      </c>
      <c r="C146" s="10">
        <f t="shared" si="7"/>
        <v>8</v>
      </c>
      <c r="D146" s="10" t="str">
        <f ca="1">H135</f>
        <v>HPL</v>
      </c>
      <c r="E146" s="10" t="s">
        <v>154</v>
      </c>
      <c r="F146" s="10">
        <f>H134-3.6-3.6-2.5</f>
        <v>50.3</v>
      </c>
      <c r="G146" s="10">
        <f>10-3</f>
        <v>7</v>
      </c>
      <c r="H146" s="10">
        <f>F134*C132</f>
        <v>1</v>
      </c>
      <c r="I146" s="10">
        <f ca="1">HLOOKUP(D146, materials[], 2,FALSE)</f>
        <v>2</v>
      </c>
      <c r="J146" s="10"/>
      <c r="K146" s="10" t="b">
        <v>1</v>
      </c>
      <c r="BB146"/>
      <c r="BC146"/>
      <c r="BD146"/>
      <c r="BE146"/>
      <c r="BF146"/>
      <c r="BG146"/>
      <c r="BH146"/>
      <c r="BI146"/>
      <c r="BJ146"/>
    </row>
    <row r="147" spans="1:62" ht="14.4" x14ac:dyDescent="0.3">
      <c r="A147" s="51">
        <v>0</v>
      </c>
      <c r="B147"/>
      <c r="C147"/>
      <c r="D147"/>
      <c r="E147"/>
      <c r="F147"/>
      <c r="G147"/>
      <c r="H147"/>
      <c r="I147"/>
      <c r="J147"/>
      <c r="K147"/>
      <c r="BB147"/>
      <c r="BC147"/>
      <c r="BD147"/>
      <c r="BE147"/>
      <c r="BF147"/>
      <c r="BG147"/>
      <c r="BH147"/>
      <c r="BI147"/>
      <c r="BJ147"/>
    </row>
    <row r="148" spans="1:62" x14ac:dyDescent="0.3">
      <c r="A148" s="51">
        <v>4</v>
      </c>
      <c r="B148" s="15" t="str">
        <f>B139</f>
        <v>وحدة سفلية دلفة /دلفتين + درج</v>
      </c>
      <c r="C148" s="9">
        <f>C146+1</f>
        <v>9</v>
      </c>
      <c r="D148" s="9" t="str">
        <f ca="1">F135</f>
        <v>يوفيلاك</v>
      </c>
      <c r="E148" s="9" t="s">
        <v>15</v>
      </c>
      <c r="F148" s="9">
        <f ca="1">I134-0.5-E134-G149</f>
        <v>59</v>
      </c>
      <c r="G148" s="9">
        <f>(H134/C134)-0.5</f>
        <v>29.5</v>
      </c>
      <c r="H148" s="9">
        <f>C134*C132</f>
        <v>2</v>
      </c>
      <c r="I148" s="9">
        <f ca="1">HLOOKUP(D148, materials[], 2,FALSE)</f>
        <v>6</v>
      </c>
      <c r="J148" s="9"/>
      <c r="K148" s="9" t="b">
        <v>1</v>
      </c>
      <c r="BB148"/>
      <c r="BC148"/>
      <c r="BD148"/>
      <c r="BE148"/>
      <c r="BF148"/>
      <c r="BG148"/>
      <c r="BH148"/>
      <c r="BI148"/>
      <c r="BJ148"/>
    </row>
    <row r="149" spans="1:62" x14ac:dyDescent="0.3">
      <c r="A149" s="51">
        <v>4</v>
      </c>
      <c r="B149" s="15" t="str">
        <f>B139</f>
        <v>وحدة سفلية دلفة /دلفتين + درج</v>
      </c>
      <c r="C149" s="9">
        <f>C148+1</f>
        <v>10</v>
      </c>
      <c r="D149" s="9" t="str">
        <f ca="1">F135</f>
        <v>يوفيلاك</v>
      </c>
      <c r="E149" s="9" t="s">
        <v>165</v>
      </c>
      <c r="F149" s="9">
        <f>H134-0.5</f>
        <v>59.5</v>
      </c>
      <c r="G149" s="9">
        <f ca="1">I134-E134-59.5</f>
        <v>15</v>
      </c>
      <c r="H149" s="9">
        <f>F134*C132</f>
        <v>1</v>
      </c>
      <c r="I149" s="9">
        <f ca="1">HLOOKUP(D149, materials[], 2,FALSE)</f>
        <v>6</v>
      </c>
      <c r="J149" s="9"/>
      <c r="K149" s="9" t="b">
        <v>1</v>
      </c>
      <c r="BB149"/>
      <c r="BC149"/>
      <c r="BD149"/>
      <c r="BE149"/>
      <c r="BF149"/>
      <c r="BG149"/>
      <c r="BH149"/>
      <c r="BI149"/>
      <c r="BJ149"/>
    </row>
    <row r="150" spans="1:62" ht="14.4" x14ac:dyDescent="0.3">
      <c r="A150" s="51">
        <v>0</v>
      </c>
      <c r="B150"/>
      <c r="C150"/>
      <c r="D150"/>
      <c r="E150"/>
      <c r="F150"/>
      <c r="G150"/>
      <c r="H150"/>
      <c r="I150"/>
      <c r="J150"/>
      <c r="K150"/>
      <c r="BB150"/>
      <c r="BC150"/>
      <c r="BD150"/>
      <c r="BE150"/>
      <c r="BF150"/>
      <c r="BG150"/>
      <c r="BH150"/>
      <c r="BI150"/>
      <c r="BJ150"/>
    </row>
    <row r="151" spans="1:62" x14ac:dyDescent="0.3">
      <c r="A151" s="51">
        <v>5</v>
      </c>
      <c r="B151" s="15" t="str">
        <f>B139</f>
        <v>وحدة سفلية دلفة /دلفتين + درج</v>
      </c>
      <c r="C151" s="19">
        <f>C148+1</f>
        <v>10</v>
      </c>
      <c r="D151" s="19" t="str">
        <f ca="1">D135</f>
        <v>ظهر</v>
      </c>
      <c r="E151" s="19" t="s">
        <v>58</v>
      </c>
      <c r="F151" s="19">
        <f ca="1">I134-2</f>
        <v>76</v>
      </c>
      <c r="G151" s="19">
        <f>H134-2</f>
        <v>58</v>
      </c>
      <c r="H151" s="19">
        <f>1*C132</f>
        <v>1</v>
      </c>
      <c r="I151" s="19">
        <f ca="1">HLOOKUP(D151, materials[], 2,FALSE)</f>
        <v>2</v>
      </c>
      <c r="J151" s="19"/>
      <c r="K151" s="19" t="b">
        <v>1</v>
      </c>
      <c r="BB151"/>
      <c r="BC151"/>
      <c r="BD151"/>
      <c r="BE151"/>
      <c r="BF151"/>
      <c r="BG151"/>
      <c r="BH151"/>
      <c r="BI151"/>
      <c r="BJ151"/>
    </row>
    <row r="152" spans="1:62" x14ac:dyDescent="0.3">
      <c r="A152" s="51">
        <v>5</v>
      </c>
      <c r="B152" s="15" t="str">
        <f>B139</f>
        <v>وحدة سفلية دلفة /دلفتين + درج</v>
      </c>
      <c r="C152" s="19">
        <f>C151+1</f>
        <v>11</v>
      </c>
      <c r="D152" s="19" t="str">
        <f ca="1">D135</f>
        <v>ظهر</v>
      </c>
      <c r="E152" s="19" t="s">
        <v>164</v>
      </c>
      <c r="F152" s="19">
        <f>H134-3.6-3.6-2.5+2</f>
        <v>52.3</v>
      </c>
      <c r="G152" s="19">
        <f ca="1">G134-1</f>
        <v>44</v>
      </c>
      <c r="H152" s="19">
        <f>1*C132</f>
        <v>1</v>
      </c>
      <c r="I152" s="19">
        <f ca="1">HLOOKUP(D152, materials[], 2,FALSE)</f>
        <v>2</v>
      </c>
      <c r="J152" s="19"/>
      <c r="K152" s="19" t="b">
        <v>1</v>
      </c>
      <c r="BB152"/>
      <c r="BC152"/>
      <c r="BD152"/>
      <c r="BE152"/>
      <c r="BF152"/>
      <c r="BG152"/>
      <c r="BH152"/>
      <c r="BI152"/>
      <c r="BJ152"/>
    </row>
    <row r="153" spans="1:62" x14ac:dyDescent="0.3">
      <c r="A153" s="51">
        <v>255</v>
      </c>
      <c r="BB153"/>
      <c r="BC153"/>
      <c r="BD153"/>
      <c r="BE153"/>
      <c r="BF153"/>
      <c r="BG153"/>
      <c r="BH153"/>
      <c r="BI153"/>
      <c r="BJ153"/>
    </row>
    <row r="154" spans="1:62" x14ac:dyDescent="0.3">
      <c r="A154" s="51">
        <v>255</v>
      </c>
      <c r="BB154"/>
      <c r="BC154"/>
      <c r="BD154"/>
      <c r="BE154"/>
      <c r="BF154"/>
      <c r="BG154"/>
      <c r="BH154"/>
      <c r="BI154"/>
      <c r="BJ154"/>
    </row>
    <row r="155" spans="1:62" ht="36" x14ac:dyDescent="0.3">
      <c r="A155" s="54" t="s">
        <v>159</v>
      </c>
      <c r="C155" s="14">
        <v>1</v>
      </c>
      <c r="D155" s="22" t="s">
        <v>59</v>
      </c>
      <c r="E155" s="100" t="s">
        <v>184</v>
      </c>
      <c r="F155" s="101"/>
      <c r="G155" s="101"/>
      <c r="H155" s="102"/>
      <c r="I155" s="2" t="s">
        <v>30</v>
      </c>
      <c r="J155" s="2">
        <f>letterToNumber(A155)</f>
        <v>7</v>
      </c>
      <c r="K155" s="27">
        <f ca="1">_xlfn.SHEET("وحدات سفلية")</f>
        <v>4</v>
      </c>
    </row>
    <row r="156" spans="1:62" ht="21" x14ac:dyDescent="0.3">
      <c r="A156" s="51">
        <v>1</v>
      </c>
      <c r="C156" s="8"/>
      <c r="D156" s="7"/>
      <c r="E156" s="27" t="str" cm="1">
        <f t="array" aca="1" ref="E156" ca="1">defaultValue(F156,K155)</f>
        <v>ظهر</v>
      </c>
      <c r="F156" s="7" t="s">
        <v>58</v>
      </c>
      <c r="G156" s="27" t="str" cm="1">
        <f t="array" aca="1" ref="G156" ca="1">defaultValue(H156,K155)</f>
        <v>يوفيلاك</v>
      </c>
      <c r="H156" s="7" t="s">
        <v>32</v>
      </c>
      <c r="I156" s="27" t="str" cm="1">
        <f t="array" aca="1" ref="I156" ca="1">defaultValue(J156,K155)</f>
        <v>HPL</v>
      </c>
      <c r="J156" s="7" t="s">
        <v>31</v>
      </c>
      <c r="K156" s="25" t="s">
        <v>111</v>
      </c>
    </row>
    <row r="157" spans="1:62" ht="31.2" x14ac:dyDescent="0.3">
      <c r="A157" s="51">
        <v>1</v>
      </c>
      <c r="C157" s="7" t="s">
        <v>12</v>
      </c>
      <c r="D157" s="7" t="s">
        <v>18</v>
      </c>
      <c r="E157" s="121"/>
      <c r="F157" s="121" t="s">
        <v>114</v>
      </c>
      <c r="G157" s="7" t="s">
        <v>16</v>
      </c>
      <c r="H157" s="7" t="s">
        <v>22</v>
      </c>
      <c r="I157" s="7" t="s">
        <v>3</v>
      </c>
      <c r="J157" s="7" t="s">
        <v>113</v>
      </c>
      <c r="K157" s="7"/>
    </row>
    <row r="158" spans="1:62" x14ac:dyDescent="0.3">
      <c r="A158" s="51">
        <v>1</v>
      </c>
      <c r="C158" s="27">
        <v>1</v>
      </c>
      <c r="D158" s="27">
        <v>5</v>
      </c>
      <c r="E158" s="46"/>
      <c r="F158" s="27" t="b" cm="1">
        <f t="array" aca="1" ref="F158" ca="1">defaultValue(F157,K155)</f>
        <v>1</v>
      </c>
      <c r="G158" s="27" cm="1">
        <f t="array" aca="1" ref="G158" ca="1">defaultValue(G157,K155)</f>
        <v>3.5</v>
      </c>
      <c r="H158" s="8"/>
      <c r="I158" s="27" cm="1">
        <f t="array" aca="1" ref="I158" ca="1">defaultValue(I157,K155)</f>
        <v>78</v>
      </c>
      <c r="J158" s="27" cm="1">
        <f t="array" aca="1" ref="J158" ca="1">defaultValue(J157,K155)</f>
        <v>56</v>
      </c>
      <c r="K158" s="7"/>
    </row>
    <row r="159" spans="1:62" x14ac:dyDescent="0.3">
      <c r="A159" s="51">
        <v>0</v>
      </c>
    </row>
    <row r="160" spans="1:62" x14ac:dyDescent="0.3">
      <c r="A160" s="51">
        <v>2</v>
      </c>
      <c r="C160" s="6" t="s">
        <v>4</v>
      </c>
      <c r="D160" s="6" t="s">
        <v>9</v>
      </c>
      <c r="E160" s="6" t="s">
        <v>5</v>
      </c>
      <c r="F160" s="6" t="s">
        <v>7</v>
      </c>
      <c r="G160" s="6" t="s">
        <v>1</v>
      </c>
      <c r="H160" s="6" t="s">
        <v>6</v>
      </c>
      <c r="I160" s="6" t="s">
        <v>33</v>
      </c>
      <c r="J160" s="6" t="s">
        <v>8</v>
      </c>
      <c r="K160" s="6"/>
    </row>
    <row r="161" spans="1:11" x14ac:dyDescent="0.3">
      <c r="A161" s="51">
        <v>0</v>
      </c>
      <c r="C161" s="1"/>
      <c r="D161" s="1"/>
      <c r="E161" s="1"/>
      <c r="F161" s="1"/>
      <c r="G161" s="1"/>
      <c r="H161" s="1"/>
      <c r="I161" s="1"/>
      <c r="J161" s="1"/>
    </row>
    <row r="162" spans="1:11" x14ac:dyDescent="0.3">
      <c r="A162" s="51">
        <v>3</v>
      </c>
      <c r="B162" s="15" t="str" cm="1">
        <f t="array" ref="B162">visible(E155, K162)</f>
        <v>وحدة سفلية دلفة/ دلفتين</v>
      </c>
      <c r="C162" s="6" cm="1">
        <f t="array" ref="C162">visible((1),K162)</f>
        <v>1</v>
      </c>
      <c r="D162" s="6" t="str" cm="1">
        <f t="array" aca="1" ref="D162" ca="1">visible((I156),K162)</f>
        <v>HPL</v>
      </c>
      <c r="E162" s="6" t="str" cm="1">
        <f t="array" ref="E162">visible(("قاعدة"),K162)</f>
        <v>قاعدة</v>
      </c>
      <c r="F162" s="6" cm="1">
        <f t="array" ref="F162">visible((H158 -3.6),K162)</f>
        <v>-3.6</v>
      </c>
      <c r="G162" s="6" cm="1">
        <f t="array" aca="1" ref="G162" ca="1">visible((J158),K162)</f>
        <v>56</v>
      </c>
      <c r="H162" s="6" cm="1">
        <f t="array" ref="H162">visible((C155),K162)</f>
        <v>1</v>
      </c>
      <c r="I162" s="6" cm="1">
        <f t="array" aca="1" ref="I162" ca="1">visible(materialNum(D162),K162)</f>
        <v>2</v>
      </c>
      <c r="J162" s="6" t="str" cm="1">
        <f t="array" ref="J162">visible((""),M162)</f>
        <v/>
      </c>
      <c r="K162" s="6" t="b">
        <v>1</v>
      </c>
    </row>
    <row r="163" spans="1:11" x14ac:dyDescent="0.3">
      <c r="A163" s="51">
        <v>3</v>
      </c>
      <c r="B163" s="15" t="str" cm="1">
        <f t="array" ref="B163">visible(E155, K163)</f>
        <v>وحدة سفلية دلفة/ دلفتين</v>
      </c>
      <c r="C163" s="6" cm="1">
        <f t="array" ref="C163">visible(2,K163)</f>
        <v>2</v>
      </c>
      <c r="D163" s="6" t="str" cm="1">
        <f t="array" aca="1" ref="D163" ca="1">visible((I156),K163)</f>
        <v>HPL</v>
      </c>
      <c r="E163" s="6" t="str" cm="1">
        <f t="array" ref="E163">visible(("أجناب"),K163)</f>
        <v>أجناب</v>
      </c>
      <c r="F163" s="6" cm="1">
        <f t="array" aca="1" ref="F163" ca="1">visible((I158),K163)</f>
        <v>78</v>
      </c>
      <c r="G163" s="6" cm="1">
        <f t="array" aca="1" ref="G163" ca="1">visible((J158),K163)</f>
        <v>56</v>
      </c>
      <c r="H163" s="6" cm="1">
        <f t="array" ref="H163">visible((2 *C155),K163)</f>
        <v>2</v>
      </c>
      <c r="I163" s="6" cm="1">
        <f t="array" aca="1" ref="I163" ca="1">visible(materialNum(D163),K163)</f>
        <v>2</v>
      </c>
      <c r="J163" s="6" t="str" cm="1">
        <f t="array" ref="J163">visible((""),M163)</f>
        <v/>
      </c>
      <c r="K163" s="6" t="b">
        <v>1</v>
      </c>
    </row>
    <row r="164" spans="1:11" x14ac:dyDescent="0.3">
      <c r="A164" s="51">
        <v>3</v>
      </c>
      <c r="B164" s="15" t="str" cm="1">
        <f t="array" ref="B164">visible(E155, K164)</f>
        <v>وحدة سفلية دلفة/ دلفتين</v>
      </c>
      <c r="C164" s="6" cm="1">
        <f t="array" ref="C164">visible(3,K164)</f>
        <v>3</v>
      </c>
      <c r="D164" s="6" t="str" cm="1">
        <f t="array" aca="1" ref="D164" ca="1">visible((I156),K164)</f>
        <v>HPL</v>
      </c>
      <c r="E164" s="6" t="str" cm="1">
        <f t="array" ref="E164">visible(("مرايا علوية 1"),K164)</f>
        <v>مرايا علوية 1</v>
      </c>
      <c r="F164" s="6" cm="1">
        <f t="array" ref="F164">visible((H158-3.6),K164)</f>
        <v>-3.6</v>
      </c>
      <c r="G164" s="6" cm="1">
        <f t="array" ref="G164">visible((10),K164)</f>
        <v>10</v>
      </c>
      <c r="H164" s="6" cm="1">
        <f t="array" ref="H164">visible((C155),K164)</f>
        <v>1</v>
      </c>
      <c r="I164" s="6" cm="1">
        <f t="array" aca="1" ref="I164" ca="1">visible(materialNum(D164),K164)</f>
        <v>2</v>
      </c>
      <c r="J164" s="6" t="str" cm="1">
        <f t="array" ref="J164">visible((""),M164)</f>
        <v/>
      </c>
      <c r="K164" s="6" t="b">
        <v>1</v>
      </c>
    </row>
    <row r="165" spans="1:11" x14ac:dyDescent="0.3">
      <c r="A165" s="51">
        <v>3</v>
      </c>
      <c r="B165" s="15" t="str" cm="1">
        <f t="array" ref="B165">visible(E155, K165)</f>
        <v>وحدة سفلية دلفة/ دلفتين</v>
      </c>
      <c r="C165" s="6" cm="1">
        <f t="array" ref="C165">visible(4,K165)</f>
        <v>4</v>
      </c>
      <c r="D165" s="6" t="str" cm="1">
        <f t="array" aca="1" ref="D165" ca="1">visible((I156),K165)</f>
        <v>HPL</v>
      </c>
      <c r="E165" s="6" t="str" cm="1">
        <f t="array" ref="E165">visible(("مرايا علوية 2"),K165)</f>
        <v>مرايا علوية 2</v>
      </c>
      <c r="F165" s="6" cm="1">
        <f t="array" ref="F165">visible((H158-3.6),K165)</f>
        <v>-3.6</v>
      </c>
      <c r="G165" s="6" cm="1">
        <f t="array" ref="G165">visible((7),K165)</f>
        <v>7</v>
      </c>
      <c r="H165" s="6" cm="1">
        <f t="array" ref="H165">visible((C155),K165)</f>
        <v>1</v>
      </c>
      <c r="I165" s="6" cm="1">
        <f t="array" aca="1" ref="I165" ca="1">visible(materialNum(D165),K165)</f>
        <v>2</v>
      </c>
      <c r="J165" s="6" t="str" cm="1">
        <f t="array" ref="J165">visible((""),M165)</f>
        <v/>
      </c>
      <c r="K165" s="6" t="b">
        <v>1</v>
      </c>
    </row>
    <row r="166" spans="1:11" x14ac:dyDescent="0.3">
      <c r="A166" s="51">
        <v>3</v>
      </c>
      <c r="B166" s="15" t="str" cm="1">
        <f t="array" ref="B166">visible(E155, K166)</f>
        <v>وحدة سفلية دلفة/ دلفتين</v>
      </c>
      <c r="C166" s="6" cm="1">
        <f t="array" ref="C166">visible(5,K166)</f>
        <v>5</v>
      </c>
      <c r="D166" s="6" t="str" cm="1">
        <f t="array" aca="1" ref="D166" ca="1">visible((I156),K166)</f>
        <v>HPL</v>
      </c>
      <c r="E166" s="6" t="str" cm="1">
        <f t="array" ref="E166">visible(("رف"),K166)</f>
        <v>رف</v>
      </c>
      <c r="F166" s="6" cm="1">
        <f t="array" ref="F166">visible((H159-3.8),K166)</f>
        <v>-3.8</v>
      </c>
      <c r="G166" s="6" cm="1">
        <f t="array" aca="1" ref="G166" ca="1">visible((J158-6),K166)</f>
        <v>50</v>
      </c>
      <c r="H166" s="6" cm="1">
        <f t="array" ref="H166">visible((D158*C155),K166)</f>
        <v>5</v>
      </c>
      <c r="I166" s="6" cm="1">
        <f t="array" aca="1" ref="I166" ca="1">visible(materialNum(D166),K166)</f>
        <v>2</v>
      </c>
      <c r="J166" s="6" t="str" cm="1">
        <f t="array" ref="J166">visible((""),M166)</f>
        <v/>
      </c>
      <c r="K166" s="6" t="b">
        <v>1</v>
      </c>
    </row>
    <row r="167" spans="1:11" x14ac:dyDescent="0.3">
      <c r="A167" s="51">
        <v>0</v>
      </c>
    </row>
    <row r="168" spans="1:11" x14ac:dyDescent="0.3">
      <c r="A168" s="51">
        <v>4</v>
      </c>
      <c r="B168" s="15" t="str" cm="1">
        <f t="array" ref="B168">visible(E155, K168)</f>
        <v>وحدة سفلية دلفة/ دلفتين</v>
      </c>
      <c r="C168" s="9" cm="1">
        <f t="array" ref="C168">visible(6,K168)</f>
        <v>6</v>
      </c>
      <c r="D168" s="9" t="str" cm="1">
        <f t="array" aca="1" ref="D168" ca="1">visible((G156),K168)</f>
        <v>يوفيلاك</v>
      </c>
      <c r="E168" s="9" t="str" cm="1">
        <f t="array" ref="E168">visible(("دلف"),K168)</f>
        <v>دلف</v>
      </c>
      <c r="F168" s="9" cm="1">
        <f t="array" aca="1" ref="F168" ca="1">visible((I158-0.5-G158),K168)</f>
        <v>74</v>
      </c>
      <c r="G168" s="9" cm="1">
        <f t="array" ref="G168">visible(((H158/C158)-0.5),K168)</f>
        <v>-0.5</v>
      </c>
      <c r="H168" s="9" cm="1">
        <f t="array" ref="H168">visible((C158*C155),K168)</f>
        <v>1</v>
      </c>
      <c r="I168" s="9" cm="1">
        <f t="array" aca="1" ref="I168" ca="1">visible(materialNum(D168),K168)</f>
        <v>6</v>
      </c>
      <c r="J168" s="9" t="str" cm="1">
        <f t="array" ref="J168">visible((""),M168)</f>
        <v/>
      </c>
      <c r="K168" s="9" t="b">
        <v>1</v>
      </c>
    </row>
    <row r="169" spans="1:11" x14ac:dyDescent="0.3">
      <c r="A169" s="51">
        <v>0</v>
      </c>
      <c r="C169" s="1"/>
      <c r="D169" s="1"/>
      <c r="E169" s="1"/>
      <c r="F169" s="1"/>
      <c r="G169" s="1"/>
      <c r="H169" s="1"/>
      <c r="I169" s="1"/>
      <c r="J169" s="1"/>
    </row>
    <row r="170" spans="1:11" x14ac:dyDescent="0.3">
      <c r="A170" s="51">
        <v>5</v>
      </c>
      <c r="B170" s="15" t="str" cm="1">
        <f t="array" aca="1" ref="B170" ca="1">visible(E155, K170)</f>
        <v>وحدة سفلية دلفة/ دلفتين</v>
      </c>
      <c r="C170" s="19" cm="1">
        <f t="array" aca="1" ref="C170" ca="1">visible(7,K170)</f>
        <v>7</v>
      </c>
      <c r="D170" s="19" t="str" cm="1">
        <f t="array" aca="1" ref="D170" ca="1">visible((E156),K170)</f>
        <v>ظهر</v>
      </c>
      <c r="E170" s="19" t="str" cm="1">
        <f t="array" aca="1" ref="E170" ca="1">visible(("ظهر"),K170)</f>
        <v>ظهر</v>
      </c>
      <c r="F170" s="19" cm="1">
        <f t="array" aca="1" ref="F170" ca="1">visible((I158-2),K170)</f>
        <v>76</v>
      </c>
      <c r="G170" s="19" cm="1">
        <f t="array" aca="1" ref="G170" ca="1">visible((H158-2),K170)</f>
        <v>-2</v>
      </c>
      <c r="H170" s="19" cm="1">
        <f t="array" aca="1" ref="H170" ca="1">visible((C155),K170)</f>
        <v>1</v>
      </c>
      <c r="I170" s="19" cm="1">
        <f t="array" aca="1" ref="I170" ca="1">visible(materialNum(D170),K170)</f>
        <v>2</v>
      </c>
      <c r="J170" s="19" t="str" cm="1">
        <f t="array" ref="J170">visible((""),M170)</f>
        <v/>
      </c>
      <c r="K170" s="19" t="b">
        <f ca="1">F158</f>
        <v>1</v>
      </c>
    </row>
    <row r="171" spans="1:11" x14ac:dyDescent="0.3">
      <c r="A171" s="51">
        <v>255</v>
      </c>
      <c r="C171"/>
      <c r="D171"/>
      <c r="E171"/>
      <c r="F171"/>
      <c r="G171"/>
      <c r="H171"/>
      <c r="I171"/>
      <c r="J171"/>
      <c r="K171"/>
    </row>
    <row r="172" spans="1:11" x14ac:dyDescent="0.3">
      <c r="A172" s="51">
        <v>255</v>
      </c>
      <c r="C172"/>
      <c r="D172"/>
      <c r="E172"/>
      <c r="F172"/>
      <c r="G172"/>
      <c r="H172"/>
      <c r="I172"/>
      <c r="J172"/>
      <c r="K172"/>
    </row>
  </sheetData>
  <mergeCells count="12">
    <mergeCell ref="E48:H48"/>
    <mergeCell ref="F90:F91"/>
    <mergeCell ref="F69:F70"/>
    <mergeCell ref="E68:H68"/>
    <mergeCell ref="C2:J2"/>
    <mergeCell ref="F49:F50"/>
    <mergeCell ref="E13:H13"/>
    <mergeCell ref="E155:H155"/>
    <mergeCell ref="E132:H132"/>
    <mergeCell ref="E109:H109"/>
    <mergeCell ref="F110:F111"/>
    <mergeCell ref="E89:H89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693420</xdr:colOff>
                    <xdr:row>5</xdr:row>
                    <xdr:rowOff>45720</xdr:rowOff>
                  </from>
                  <to>
                    <xdr:col>5</xdr:col>
                    <xdr:colOff>274320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411480</xdr:colOff>
                    <xdr:row>5</xdr:row>
                    <xdr:rowOff>45720</xdr:rowOff>
                  </from>
                  <to>
                    <xdr:col>8</xdr:col>
                    <xdr:colOff>358140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>
      <selection activeCell="G12" sqref="G12"/>
    </sheetView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6</v>
      </c>
    </row>
    <row r="2" spans="1:25" s="35" customFormat="1" ht="31.2" x14ac:dyDescent="0.3">
      <c r="A2" s="36">
        <v>96</v>
      </c>
      <c r="B2" s="48" t="s">
        <v>122</v>
      </c>
      <c r="C2" s="105" t="s">
        <v>104</v>
      </c>
      <c r="D2" s="105"/>
      <c r="E2" s="105"/>
      <c r="F2" s="105"/>
      <c r="G2" s="105"/>
      <c r="H2" s="105"/>
      <c r="I2" s="105"/>
      <c r="J2" s="105"/>
    </row>
    <row r="3" spans="1:25" s="35" customFormat="1" ht="14.4" x14ac:dyDescent="0.3">
      <c r="A3" s="45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155</v>
      </c>
      <c r="B13" s="15"/>
      <c r="C13" s="14">
        <v>1</v>
      </c>
      <c r="D13" s="22" t="s">
        <v>59</v>
      </c>
      <c r="E13" s="100" t="s">
        <v>116</v>
      </c>
      <c r="F13" s="101"/>
      <c r="G13" s="101"/>
      <c r="H13" s="102"/>
      <c r="I13" s="2" t="s">
        <v>30</v>
      </c>
      <c r="J13" s="2">
        <f>letterToNumber(A13)</f>
        <v>1</v>
      </c>
      <c r="K13" s="7">
        <f ca="1">_xlfn.SHEET("بورديوم")</f>
        <v>5</v>
      </c>
    </row>
    <row r="14" spans="1:25" ht="31.2" x14ac:dyDescent="0.3">
      <c r="A14" s="35">
        <v>1</v>
      </c>
      <c r="B14" s="15"/>
      <c r="C14" s="7" t="s">
        <v>12</v>
      </c>
      <c r="D14" s="18" t="s">
        <v>18</v>
      </c>
      <c r="E14" s="7" t="s">
        <v>16</v>
      </c>
      <c r="F14" s="29" t="s">
        <v>114</v>
      </c>
      <c r="G14" s="104"/>
      <c r="H14" s="7" t="s">
        <v>22</v>
      </c>
      <c r="I14" s="7" t="s">
        <v>3</v>
      </c>
      <c r="J14" s="7" t="s">
        <v>113</v>
      </c>
      <c r="K14" s="7"/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t="b" cm="1">
        <f t="array" aca="1" ref="F15" ca="1">defaultValue(F14,K13)</f>
        <v>1</v>
      </c>
      <c r="G15" s="104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58</v>
      </c>
      <c r="F16" s="27" t="str" cm="1">
        <f t="array" aca="1" ref="F16" ca="1">defaultValue(G16,K13)</f>
        <v>يوفيلاك</v>
      </c>
      <c r="G16" s="7" t="s">
        <v>32</v>
      </c>
      <c r="H16" s="27" t="str" cm="1">
        <f t="array" aca="1" ref="H16" ca="1">defaultValue(I16,K13)</f>
        <v>بورديوم</v>
      </c>
      <c r="I16" s="7" t="s">
        <v>31</v>
      </c>
      <c r="J16" s="25" t="s">
        <v>111</v>
      </c>
      <c r="K16" s="7"/>
    </row>
    <row r="17" spans="1:75" ht="14.4" x14ac:dyDescent="0.3">
      <c r="A17" s="35">
        <v>0</v>
      </c>
      <c r="B17"/>
      <c r="C17"/>
      <c r="D17"/>
      <c r="E17"/>
      <c r="F17"/>
      <c r="G17"/>
      <c r="H17"/>
      <c r="I17"/>
      <c r="J17"/>
      <c r="K17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/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بورديوم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بورديوم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بورديوم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بورديوم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بورديوم</v>
      </c>
      <c r="E24" s="6" t="s">
        <v>17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  <c r="K26" s="9" t="b">
        <v>1</v>
      </c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  <c r="K28" s="19" t="b">
        <v>1</v>
      </c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160</v>
      </c>
      <c r="B31" s="15"/>
      <c r="C31" s="14">
        <v>1</v>
      </c>
      <c r="D31" s="22" t="s">
        <v>59</v>
      </c>
      <c r="E31" s="100" t="s">
        <v>142</v>
      </c>
      <c r="F31" s="101"/>
      <c r="G31" s="101"/>
      <c r="H31" s="102"/>
      <c r="I31" s="2" t="s">
        <v>30</v>
      </c>
      <c r="J31" s="2">
        <f>letterToNumber(A31)</f>
        <v>2</v>
      </c>
      <c r="K31" s="7">
        <f ca="1">_xlfn.SHEET("بورديوم")</f>
        <v>5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129</v>
      </c>
      <c r="D32" s="7" t="s">
        <v>128</v>
      </c>
      <c r="E32" s="7" t="s">
        <v>130</v>
      </c>
      <c r="F32" s="7" t="s">
        <v>127</v>
      </c>
      <c r="G32" s="27" t="str">
        <f ca="1">INDEX(boardiumGlobal[[#All],[Column1]],MATCH(H32,boardiumGlobal[[#All],[Column2]],0))</f>
        <v>ظهر</v>
      </c>
      <c r="H32" s="7" t="s">
        <v>58</v>
      </c>
      <c r="I32" s="27" cm="1">
        <f t="array" aca="1" ref="I32" ca="1">defaultValue(J32,K31)</f>
        <v>45</v>
      </c>
      <c r="J32" s="16" t="s">
        <v>19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114</v>
      </c>
      <c r="C33" s="8">
        <v>0</v>
      </c>
      <c r="D33" s="8">
        <v>0</v>
      </c>
      <c r="E33" s="7">
        <v>0</v>
      </c>
      <c r="F33" s="7">
        <v>0</v>
      </c>
      <c r="G33" s="7" t="s">
        <v>16</v>
      </c>
      <c r="H33" s="7" t="s">
        <v>22</v>
      </c>
      <c r="I33" s="7" t="s">
        <v>3</v>
      </c>
      <c r="J33" s="7" t="s">
        <v>113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t="b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148</v>
      </c>
      <c r="C35" s="60">
        <v>0</v>
      </c>
      <c r="D35" s="58">
        <v>4</v>
      </c>
      <c r="E35" s="58" t="s">
        <v>143</v>
      </c>
      <c r="F35" s="27" t="str" cm="1">
        <f t="array" aca="1" ref="F35" ca="1">defaultValue(G35,K31)</f>
        <v>يوفيلاك</v>
      </c>
      <c r="G35" s="7" t="s">
        <v>32</v>
      </c>
      <c r="H35" s="27" t="str" cm="1">
        <f t="array" aca="1" ref="H35" ca="1">defaultValue(I35,K31)</f>
        <v>بورديوم</v>
      </c>
      <c r="I35" s="7" t="s">
        <v>31</v>
      </c>
      <c r="J35" s="25" t="s">
        <v>111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33</v>
      </c>
      <c r="J37" s="6" t="s">
        <v>8</v>
      </c>
      <c r="K37" s="6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بورديوم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بورديوم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بورديوم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بورديوم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بورديوم</v>
      </c>
      <c r="E43" s="10" t="s">
        <v>131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بورديوم</v>
      </c>
      <c r="E44" s="10" t="s">
        <v>132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بورديوم</v>
      </c>
      <c r="E45" s="10" t="s">
        <v>133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بورديوم</v>
      </c>
      <c r="E46" s="11" t="s">
        <v>134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بورديوم</v>
      </c>
      <c r="E47" s="11" t="s">
        <v>135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بورديوم</v>
      </c>
      <c r="E48" s="11" t="s">
        <v>136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بورديوم</v>
      </c>
      <c r="E49" s="10" t="s">
        <v>139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بورديوم</v>
      </c>
      <c r="E50" s="10" t="s">
        <v>140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بورديوم</v>
      </c>
      <c r="E51" s="10" t="s">
        <v>141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بورديوم</v>
      </c>
      <c r="E52" s="11" t="s">
        <v>138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بورديوم</v>
      </c>
      <c r="E53" s="11" t="s">
        <v>137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144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145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146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147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 ca="1">G32</f>
        <v>ظهر</v>
      </c>
      <c r="E60" s="19" t="s">
        <v>58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 ca="1"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 ca="1">G32</f>
        <v>ظهر</v>
      </c>
      <c r="E61" s="19" t="s">
        <v>149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 ca="1"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 ca="1">G32</f>
        <v>ظهر</v>
      </c>
      <c r="E62" s="19" t="s">
        <v>150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 ca="1"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 ca="1">G32</f>
        <v>ظهر</v>
      </c>
      <c r="E63" s="19" t="s">
        <v>151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 ca="1"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156</v>
      </c>
      <c r="B66" s="15"/>
      <c r="C66" s="14">
        <v>1</v>
      </c>
      <c r="D66" s="22" t="s">
        <v>59</v>
      </c>
      <c r="E66" s="100" t="s">
        <v>119</v>
      </c>
      <c r="F66" s="101"/>
      <c r="G66" s="101"/>
      <c r="H66" s="102"/>
      <c r="I66" s="2" t="s">
        <v>30</v>
      </c>
      <c r="J66" s="2">
        <f>letterToNumber(A66)</f>
        <v>3</v>
      </c>
      <c r="K66" s="7">
        <f ca="1">_xlfn.SHEET("بورديوم")</f>
        <v>5</v>
      </c>
    </row>
    <row r="67" spans="1:75" ht="31.2" x14ac:dyDescent="0.3">
      <c r="A67" s="35">
        <v>1</v>
      </c>
      <c r="B67" s="15"/>
      <c r="C67" s="7" t="s">
        <v>12</v>
      </c>
      <c r="D67" s="7" t="s">
        <v>18</v>
      </c>
      <c r="E67" s="7" t="s">
        <v>16</v>
      </c>
      <c r="F67" s="29" t="s">
        <v>114</v>
      </c>
      <c r="G67" s="104"/>
      <c r="H67" s="7" t="s">
        <v>22</v>
      </c>
      <c r="I67" s="7" t="s">
        <v>3</v>
      </c>
      <c r="J67" s="7" t="s">
        <v>113</v>
      </c>
      <c r="K67" s="7"/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t="b" cm="1">
        <f t="array" aca="1" ref="F68" ca="1">defaultValue(F67,K66)</f>
        <v>1</v>
      </c>
      <c r="G68" s="104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58</v>
      </c>
      <c r="F69" s="27" t="str" cm="1">
        <f t="array" aca="1" ref="F69" ca="1">defaultValue(G69,K66)</f>
        <v>يوفيلاك</v>
      </c>
      <c r="G69" s="7" t="s">
        <v>32</v>
      </c>
      <c r="H69" s="27" t="str" cm="1">
        <f t="array" aca="1" ref="H69" ca="1">defaultValue(I69,K66)</f>
        <v>بورديوم</v>
      </c>
      <c r="I69" s="7" t="s">
        <v>31</v>
      </c>
      <c r="J69" s="25" t="s">
        <v>111</v>
      </c>
      <c r="K69" s="7"/>
    </row>
    <row r="70" spans="1:75" ht="14.4" x14ac:dyDescent="0.3">
      <c r="A70" s="35">
        <v>0</v>
      </c>
      <c r="B70"/>
      <c r="C70"/>
      <c r="D70"/>
      <c r="E70"/>
      <c r="F70"/>
      <c r="G70"/>
      <c r="H70"/>
      <c r="I70"/>
      <c r="J70"/>
      <c r="K70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33</v>
      </c>
      <c r="J71" s="6" t="s">
        <v>8</v>
      </c>
      <c r="K71" s="6"/>
    </row>
    <row r="72" spans="1:75" ht="15.6" customHeight="1" x14ac:dyDescent="0.3">
      <c r="A72" s="51">
        <v>0</v>
      </c>
      <c r="B72"/>
      <c r="C72"/>
      <c r="D72"/>
      <c r="E72"/>
      <c r="F72"/>
      <c r="G72"/>
      <c r="H72"/>
      <c r="I72"/>
      <c r="J72"/>
      <c r="K72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بورديوم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بورديوم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بورديوم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بورديوم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بورديوم</v>
      </c>
      <c r="E77" s="6" t="s">
        <v>17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بورديوم</v>
      </c>
      <c r="E78" s="6" t="s">
        <v>24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</row>
    <row r="79" spans="1:75" ht="15.6" customHeight="1" x14ac:dyDescent="0.3">
      <c r="A79" s="51">
        <v>0</v>
      </c>
      <c r="B79"/>
      <c r="C79"/>
      <c r="D79"/>
      <c r="E79"/>
      <c r="F79"/>
      <c r="G79"/>
      <c r="H79"/>
      <c r="I79"/>
      <c r="J79"/>
      <c r="K79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25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</row>
    <row r="82" spans="1:11" ht="15.6" customHeight="1" x14ac:dyDescent="0.3">
      <c r="A82" s="51">
        <v>0</v>
      </c>
      <c r="B82"/>
      <c r="C82"/>
      <c r="D82"/>
      <c r="E82"/>
      <c r="F82"/>
      <c r="G82"/>
      <c r="H82"/>
      <c r="I82"/>
      <c r="J82"/>
      <c r="K82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  <c r="K83" s="19" t="b">
        <v>1</v>
      </c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161</v>
      </c>
      <c r="B86" s="15"/>
      <c r="C86" s="14">
        <v>1</v>
      </c>
      <c r="D86" s="22" t="s">
        <v>59</v>
      </c>
      <c r="E86" s="100" t="s">
        <v>117</v>
      </c>
      <c r="F86" s="101"/>
      <c r="G86" s="101"/>
      <c r="H86" s="102"/>
      <c r="I86" s="2" t="s">
        <v>30</v>
      </c>
      <c r="J86" s="2">
        <f>letterToNumber(A86)</f>
        <v>4</v>
      </c>
      <c r="K86" s="7">
        <f ca="1">_xlfn.SHEET("بورديوم")</f>
        <v>5</v>
      </c>
    </row>
    <row r="87" spans="1:11" ht="31.2" x14ac:dyDescent="0.3">
      <c r="A87" s="35">
        <v>1</v>
      </c>
      <c r="B87" s="15"/>
      <c r="C87" s="7"/>
      <c r="D87" s="7" t="s">
        <v>18</v>
      </c>
      <c r="E87" s="7" t="s">
        <v>16</v>
      </c>
      <c r="F87" s="29" t="s">
        <v>114</v>
      </c>
      <c r="G87" s="7"/>
      <c r="H87" s="7" t="s">
        <v>22</v>
      </c>
      <c r="I87" s="7" t="s">
        <v>3</v>
      </c>
      <c r="J87" s="7" t="s">
        <v>113</v>
      </c>
      <c r="K87" s="7"/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t="b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58</v>
      </c>
      <c r="F90" s="27" t="str" cm="1">
        <f t="array" aca="1" ref="F90" ca="1">defaultValue(G90,K86)</f>
        <v>يوفيلاك</v>
      </c>
      <c r="G90" s="7" t="s">
        <v>32</v>
      </c>
      <c r="H90" s="27" t="str" cm="1">
        <f t="array" aca="1" ref="H90" ca="1">defaultValue(I90,K86)</f>
        <v>بورديوم</v>
      </c>
      <c r="I90" s="7" t="s">
        <v>31</v>
      </c>
      <c r="J90" s="25" t="s">
        <v>111</v>
      </c>
      <c r="K90" s="7"/>
    </row>
    <row r="91" spans="1:11" ht="14.4" x14ac:dyDescent="0.3">
      <c r="A91" s="35">
        <v>0</v>
      </c>
      <c r="B91"/>
      <c r="C91"/>
      <c r="D91"/>
      <c r="E91"/>
      <c r="F91"/>
      <c r="G91"/>
      <c r="H91"/>
      <c r="I91"/>
      <c r="J91"/>
      <c r="K91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33</v>
      </c>
      <c r="J92" s="6" t="s">
        <v>8</v>
      </c>
      <c r="K92" s="6"/>
    </row>
    <row r="93" spans="1:11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بورديوم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بورديوم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بورديوم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بورديوم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بورديوم</v>
      </c>
      <c r="E98" s="6" t="s">
        <v>27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بورديوم</v>
      </c>
      <c r="E99" s="6" t="s">
        <v>17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</row>
    <row r="100" spans="1:11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28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41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</row>
    <row r="103" spans="1:11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  <c r="K104" s="19" t="b">
        <v>1</v>
      </c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157</v>
      </c>
      <c r="B107" s="15"/>
      <c r="C107" s="14">
        <v>1</v>
      </c>
      <c r="D107" s="22" t="s">
        <v>59</v>
      </c>
      <c r="E107" s="100" t="s">
        <v>118</v>
      </c>
      <c r="F107" s="101"/>
      <c r="G107" s="101"/>
      <c r="H107" s="102"/>
      <c r="I107" s="2" t="s">
        <v>30</v>
      </c>
      <c r="J107" s="2">
        <f>letterToNumber(A107)</f>
        <v>5</v>
      </c>
      <c r="K107" s="7">
        <f ca="1">_xlfn.SHEET("بورديوم")</f>
        <v>5</v>
      </c>
    </row>
    <row r="108" spans="1:11" ht="31.2" x14ac:dyDescent="0.3">
      <c r="A108" s="35">
        <v>1</v>
      </c>
      <c r="B108" s="15"/>
      <c r="C108" s="7"/>
      <c r="D108" s="7" t="s">
        <v>18</v>
      </c>
      <c r="E108" s="7" t="s">
        <v>16</v>
      </c>
      <c r="F108" s="29" t="s">
        <v>114</v>
      </c>
      <c r="G108" s="7"/>
      <c r="H108" s="7" t="s">
        <v>22</v>
      </c>
      <c r="I108" s="7" t="s">
        <v>3</v>
      </c>
      <c r="J108" s="7" t="s">
        <v>113</v>
      </c>
      <c r="K108" s="7"/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t="b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58</v>
      </c>
      <c r="F111" s="27" t="str" cm="1">
        <f t="array" aca="1" ref="F111" ca="1">defaultValue(G111,K107)</f>
        <v>يوفيلاك</v>
      </c>
      <c r="G111" s="7" t="s">
        <v>32</v>
      </c>
      <c r="H111" s="27" t="str" cm="1">
        <f t="array" aca="1" ref="H111" ca="1">defaultValue(I111,K107)</f>
        <v>بورديوم</v>
      </c>
      <c r="I111" s="7" t="s">
        <v>31</v>
      </c>
      <c r="J111" s="25" t="s">
        <v>111</v>
      </c>
      <c r="K111" s="7"/>
    </row>
    <row r="112" spans="1:11" ht="14.4" x14ac:dyDescent="0.3">
      <c r="A112" s="35">
        <v>0</v>
      </c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33</v>
      </c>
      <c r="J113" s="6" t="s">
        <v>8</v>
      </c>
      <c r="K113" s="6"/>
    </row>
    <row r="114" spans="1:11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بورديوم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بورديوم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بورديوم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بورديوم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بورديوم</v>
      </c>
      <c r="E119" s="6" t="s">
        <v>27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بورديوم</v>
      </c>
      <c r="E120" s="6" t="s">
        <v>17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</row>
    <row r="121" spans="1:11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28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</row>
    <row r="123" spans="1:11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  <c r="K124" s="19" t="b">
        <v>1</v>
      </c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158</v>
      </c>
      <c r="B127" s="15"/>
      <c r="C127" s="14">
        <v>1</v>
      </c>
      <c r="D127" s="22" t="s">
        <v>59</v>
      </c>
      <c r="E127" s="100" t="s">
        <v>162</v>
      </c>
      <c r="F127" s="101"/>
      <c r="G127" s="101"/>
      <c r="H127" s="102"/>
      <c r="I127" s="2" t="s">
        <v>30</v>
      </c>
      <c r="J127" s="2">
        <f>letterToNumber(A127)</f>
        <v>6</v>
      </c>
      <c r="K127" s="7">
        <f ca="1">_xlfn.SHEET("بورديوم")</f>
        <v>5</v>
      </c>
    </row>
    <row r="128" spans="1:11" ht="31.2" x14ac:dyDescent="0.3">
      <c r="A128" s="51">
        <v>1</v>
      </c>
      <c r="B128" s="15"/>
      <c r="C128" s="7" t="s">
        <v>12</v>
      </c>
      <c r="D128" s="18" t="s">
        <v>18</v>
      </c>
      <c r="E128" s="7" t="s">
        <v>16</v>
      </c>
      <c r="F128" s="29" t="s">
        <v>114</v>
      </c>
      <c r="G128" s="16" t="s">
        <v>19</v>
      </c>
      <c r="H128" s="7" t="s">
        <v>22</v>
      </c>
      <c r="I128" s="7" t="s">
        <v>3</v>
      </c>
      <c r="J128" s="7" t="s">
        <v>113</v>
      </c>
      <c r="K128" s="7"/>
    </row>
    <row r="129" spans="1:11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t="b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</row>
    <row r="130" spans="1:11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58</v>
      </c>
      <c r="F130" s="27" t="str" cm="1">
        <f t="array" aca="1" ref="F130" ca="1">defaultValue(G130,K127)</f>
        <v>يوفيلاك</v>
      </c>
      <c r="G130" s="7" t="s">
        <v>32</v>
      </c>
      <c r="H130" s="27" t="str" cm="1">
        <f t="array" aca="1" ref="H130" ca="1">defaultValue(I130,K127)</f>
        <v>بورديوم</v>
      </c>
      <c r="I130" s="7" t="s">
        <v>31</v>
      </c>
      <c r="J130" s="25" t="s">
        <v>111</v>
      </c>
      <c r="K130" s="7"/>
    </row>
    <row r="131" spans="1:11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33</v>
      </c>
      <c r="J132" s="6" t="s">
        <v>8</v>
      </c>
      <c r="K132" s="6"/>
    </row>
    <row r="133" spans="1:11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بورديوم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  <c r="K134" s="6" t="b">
        <v>1</v>
      </c>
    </row>
    <row r="135" spans="1:11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بورديوم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</row>
    <row r="136" spans="1:11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بورديوم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  <c r="K136" s="6" t="b">
        <v>1</v>
      </c>
    </row>
    <row r="137" spans="1:11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بورديوم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  <c r="K137" s="6" t="b">
        <v>1</v>
      </c>
    </row>
    <row r="138" spans="1:11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بورديوم</v>
      </c>
      <c r="E138" s="6" t="s">
        <v>17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  <c r="K138" s="6" t="b">
        <v>1</v>
      </c>
    </row>
    <row r="139" spans="1:11" x14ac:dyDescent="0.3">
      <c r="A139" s="51">
        <v>3</v>
      </c>
      <c r="B139" s="15" t="str">
        <f>B135</f>
        <v>وحدة سفلية دلفة /دلفتين + درج</v>
      </c>
      <c r="C139" s="10">
        <f t="shared" si="7"/>
        <v>6</v>
      </c>
      <c r="D139" s="10" t="str">
        <f ca="1">H130</f>
        <v>بورديوم</v>
      </c>
      <c r="E139" s="10" t="s">
        <v>21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10">
        <f ca="1">HLOOKUP(D139, materials[], 2,FALSE)</f>
        <v>2</v>
      </c>
      <c r="J139" s="10"/>
      <c r="K139" s="6" t="b">
        <v>1</v>
      </c>
    </row>
    <row r="140" spans="1:11" x14ac:dyDescent="0.3">
      <c r="A140" s="51">
        <v>3</v>
      </c>
      <c r="B140" s="15" t="str">
        <f>B136</f>
        <v>وحدة سفلية دلفة /دلفتين + درج</v>
      </c>
      <c r="C140" s="10">
        <f t="shared" si="7"/>
        <v>7</v>
      </c>
      <c r="D140" s="10" t="str">
        <f ca="1">H130</f>
        <v>بورديوم</v>
      </c>
      <c r="E140" s="10" t="s">
        <v>153</v>
      </c>
      <c r="F140" s="10">
        <f ca="1">G129</f>
        <v>45</v>
      </c>
      <c r="G140" s="10">
        <v>10</v>
      </c>
      <c r="H140" s="10">
        <f ca="1">2*C127*F129</f>
        <v>2</v>
      </c>
      <c r="I140" s="10">
        <f ca="1">HLOOKUP(D140, materials[], 2,FALSE)</f>
        <v>2</v>
      </c>
      <c r="J140" s="10"/>
      <c r="K140" s="6" t="b">
        <v>1</v>
      </c>
    </row>
    <row r="141" spans="1:11" x14ac:dyDescent="0.3">
      <c r="A141" s="51">
        <v>3</v>
      </c>
      <c r="B141" s="15" t="str">
        <f>B137</f>
        <v>وحدة سفلية دلفة /دلفتين + درج</v>
      </c>
      <c r="C141" s="10">
        <f t="shared" si="7"/>
        <v>8</v>
      </c>
      <c r="D141" s="10" t="str">
        <f ca="1">H130</f>
        <v>بورديوم</v>
      </c>
      <c r="E141" s="10" t="s">
        <v>154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10">
        <f ca="1">HLOOKUP(D141, materials[], 2,FALSE)</f>
        <v>2</v>
      </c>
      <c r="J141" s="10"/>
      <c r="K141" s="6" t="b">
        <v>1</v>
      </c>
    </row>
    <row r="142" spans="1:11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  <c r="K143" s="9" t="b">
        <v>1</v>
      </c>
    </row>
    <row r="144" spans="1:11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165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  <c r="K144" s="9" t="b">
        <v>1</v>
      </c>
    </row>
    <row r="145" spans="1:11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58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</row>
    <row r="147" spans="1:11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164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</row>
    <row r="148" spans="1:11" x14ac:dyDescent="0.3">
      <c r="A148" s="51">
        <v>255</v>
      </c>
      <c r="B148" s="15"/>
    </row>
    <row r="149" spans="1:11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insertBlock">
                <anchor moveWithCells="1" sizeWithCells="1">
                  <from>
                    <xdr:col>2</xdr:col>
                    <xdr:colOff>15240</xdr:colOff>
                    <xdr:row>5</xdr:row>
                    <xdr:rowOff>7620</xdr:rowOff>
                  </from>
                  <to>
                    <xdr:col>4</xdr:col>
                    <xdr:colOff>922020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deleteBlock">
                <anchor moveWithCells="1" sizeWithCells="1">
                  <from>
                    <xdr:col>4</xdr:col>
                    <xdr:colOff>1059180</xdr:colOff>
                    <xdr:row>5</xdr:row>
                    <xdr:rowOff>7620</xdr:rowOff>
                  </from>
                  <to>
                    <xdr:col>8</xdr:col>
                    <xdr:colOff>396240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" zoomScale="86" zoomScaleNormal="70" workbookViewId="0">
      <selection activeCell="G11" sqref="G11"/>
    </sheetView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7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123</v>
      </c>
      <c r="C2" s="105" t="s">
        <v>43</v>
      </c>
      <c r="D2" s="105"/>
      <c r="E2" s="105"/>
      <c r="F2" s="105"/>
      <c r="G2" s="105"/>
      <c r="H2" s="105"/>
      <c r="I2" s="105"/>
      <c r="J2" s="105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155</v>
      </c>
      <c r="B13" s="3"/>
      <c r="C13" s="14">
        <v>1</v>
      </c>
      <c r="D13" s="22" t="s">
        <v>59</v>
      </c>
      <c r="E13" s="100" t="s">
        <v>44</v>
      </c>
      <c r="F13" s="101"/>
      <c r="G13" s="101"/>
      <c r="H13" s="102"/>
      <c r="I13" s="2" t="s">
        <v>30</v>
      </c>
      <c r="J13" s="2">
        <f>letterToNumber(A13)</f>
        <v>1</v>
      </c>
      <c r="K13" s="7">
        <f ca="1">_xlfn.SHEET("وحدات علوية")</f>
        <v>6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54</v>
      </c>
      <c r="D14" s="7" t="s">
        <v>55</v>
      </c>
      <c r="E14" s="18" t="s">
        <v>18</v>
      </c>
      <c r="F14" s="7" t="s">
        <v>16</v>
      </c>
      <c r="G14" s="7" t="s">
        <v>115</v>
      </c>
      <c r="H14" s="7" t="s">
        <v>22</v>
      </c>
      <c r="I14" s="7" t="s">
        <v>3</v>
      </c>
      <c r="J14" s="7" t="s">
        <v>113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106</v>
      </c>
      <c r="F16" s="111" t="b">
        <f ca="1">NOT(AND(F15&gt;0,G15&gt;0))</f>
        <v>1</v>
      </c>
      <c r="G16" s="111"/>
      <c r="H16" s="3" t="b">
        <f>_xlfn.XOR(H15&lt;=50,C17=2)</f>
        <v>1</v>
      </c>
      <c r="I16" s="46"/>
      <c r="J16" s="8"/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10">
        <f>C15+D15</f>
        <v>1</v>
      </c>
      <c r="D17" s="110"/>
      <c r="E17" s="26">
        <v>10</v>
      </c>
      <c r="F17" s="112" t="str">
        <f ca="1">IF(F16,"المقابض مظبوطة","مينفعش مقبض مخفي مع بيلت ان")</f>
        <v>المقابض مظبوطة</v>
      </c>
      <c r="G17" s="112"/>
      <c r="H17" s="111" t="str">
        <f>IF(H16,"عدد الدلف صحيح","عدد الدلف غير صحيح")</f>
        <v>عدد الدلف صحيح</v>
      </c>
      <c r="I17" s="111"/>
      <c r="J17" s="111"/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15.6" x14ac:dyDescent="0.3">
      <c r="A18" s="35">
        <v>1</v>
      </c>
      <c r="C18" s="111" t="b">
        <f>C17&lt;=2</f>
        <v>1</v>
      </c>
      <c r="D18" s="111"/>
      <c r="E18" s="8"/>
      <c r="F18" s="8"/>
      <c r="G18" s="8"/>
      <c r="H18" s="8"/>
      <c r="I18" s="8"/>
      <c r="J18" s="8"/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58</v>
      </c>
      <c r="F19" s="27" t="str" cm="1">
        <f t="array" aca="1" ref="F19" ca="1">defaultValue(G19,K13)</f>
        <v>يوفيلاك</v>
      </c>
      <c r="G19" s="7" t="s">
        <v>32</v>
      </c>
      <c r="H19" s="27" t="str" cm="1">
        <f t="array" aca="1" ref="H19" ca="1">defaultValue(I19,K13)</f>
        <v>HPL</v>
      </c>
      <c r="I19" s="7" t="s">
        <v>31</v>
      </c>
      <c r="J19" s="25" t="s">
        <v>111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33</v>
      </c>
      <c r="J21" s="6" t="s">
        <v>8</v>
      </c>
      <c r="K21" s="6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49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17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52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53</v>
      </c>
      <c r="E29" s="9" t="s">
        <v>71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9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58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K31" s="19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160</v>
      </c>
      <c r="C34" s="14">
        <v>1</v>
      </c>
      <c r="D34" s="22" t="s">
        <v>59</v>
      </c>
      <c r="E34" s="100" t="s">
        <v>50</v>
      </c>
      <c r="F34" s="101"/>
      <c r="G34" s="101"/>
      <c r="H34" s="102"/>
      <c r="I34" s="2" t="s">
        <v>30</v>
      </c>
      <c r="J34" s="2">
        <f>letterToNumber(A34)</f>
        <v>2</v>
      </c>
      <c r="K34" s="7">
        <f ca="1">_xlfn.SHEET("وحدات علوية")</f>
        <v>6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54</v>
      </c>
      <c r="D35" s="7" t="s">
        <v>55</v>
      </c>
      <c r="E35" s="7" t="s">
        <v>51</v>
      </c>
      <c r="F35" s="7" t="s">
        <v>16</v>
      </c>
      <c r="G35" s="7" t="s">
        <v>115</v>
      </c>
      <c r="H35" s="7" t="s">
        <v>22</v>
      </c>
      <c r="I35" s="7" t="s">
        <v>3</v>
      </c>
      <c r="J35" s="7" t="s">
        <v>113</v>
      </c>
      <c r="K35" s="7"/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K36" s="7"/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106</v>
      </c>
      <c r="F37" s="113" t="b">
        <f ca="1">NOT(AND(F36&gt;0,G36&gt;0))</f>
        <v>1</v>
      </c>
      <c r="G37" s="113"/>
      <c r="H37" s="8"/>
      <c r="I37" s="3" t="b">
        <f ca="1">_xlfn.XOR(I36&lt;=50,C38=2)</f>
        <v>1</v>
      </c>
      <c r="J37" s="8"/>
      <c r="K37" s="7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10">
        <f>C36+D36</f>
        <v>2</v>
      </c>
      <c r="D38" s="110"/>
      <c r="E38" s="7">
        <v>0</v>
      </c>
      <c r="F38" s="114" t="str">
        <f ca="1">IF(F37,"المقابض مظبوطة","مينفعش مقبض مخفي مع بيلت ان")</f>
        <v>المقابض مظبوطة</v>
      </c>
      <c r="G38" s="114"/>
      <c r="H38" s="30"/>
      <c r="I38" s="32" t="str">
        <f ca="1">IF(I37,"عدد الدلف صحيح","عدد الدلف غير صحيح")</f>
        <v>عدد الدلف صحيح</v>
      </c>
      <c r="J38" s="8"/>
      <c r="K38" s="7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15.6" x14ac:dyDescent="0.3">
      <c r="A39" s="35">
        <v>1</v>
      </c>
      <c r="C39" s="111" t="b">
        <f>C38&lt;=2</f>
        <v>1</v>
      </c>
      <c r="D39" s="111"/>
      <c r="E39" s="46"/>
      <c r="F39" s="8"/>
      <c r="G39" s="8"/>
      <c r="H39" s="8"/>
      <c r="I39" s="8"/>
      <c r="J39" s="8"/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58</v>
      </c>
      <c r="F40" s="27" t="str" cm="1">
        <f t="array" aca="1" ref="F40" ca="1">defaultValue(G40,K34)</f>
        <v>يوفيلاك</v>
      </c>
      <c r="G40" s="7" t="s">
        <v>32</v>
      </c>
      <c r="H40" s="27" t="str" cm="1">
        <f t="array" aca="1" ref="H40" ca="1">defaultValue(I40,K34)</f>
        <v>HPL</v>
      </c>
      <c r="I40" s="7" t="s">
        <v>31</v>
      </c>
      <c r="J40" s="25" t="s">
        <v>111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33</v>
      </c>
      <c r="J42" s="6" t="s">
        <v>8</v>
      </c>
      <c r="K42" s="6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49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K44" s="6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K45" s="6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K46" s="6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51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K47" s="6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56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K49" s="9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53</v>
      </c>
      <c r="E50" s="9" t="s">
        <v>57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9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58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K52" s="19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156</v>
      </c>
      <c r="C55" s="14">
        <v>1</v>
      </c>
      <c r="D55" s="22" t="s">
        <v>59</v>
      </c>
      <c r="E55" s="100" t="s">
        <v>45</v>
      </c>
      <c r="F55" s="101"/>
      <c r="G55" s="101"/>
      <c r="H55" s="102"/>
      <c r="I55" s="2" t="s">
        <v>30</v>
      </c>
      <c r="J55" s="2">
        <f>letterToNumber(A55)</f>
        <v>3</v>
      </c>
      <c r="K55" s="7">
        <f ca="1">_xlfn.SHEET("وحدات علوية")</f>
        <v>6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55</v>
      </c>
      <c r="E56" s="7" t="s">
        <v>18</v>
      </c>
      <c r="F56" s="7" t="s">
        <v>16</v>
      </c>
      <c r="G56" s="7" t="s">
        <v>115</v>
      </c>
      <c r="H56" s="7" t="s">
        <v>22</v>
      </c>
      <c r="I56" s="7" t="s">
        <v>3</v>
      </c>
      <c r="J56" s="7" t="s">
        <v>113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11" t="b">
        <f ca="1">NOT(AND(F57&gt;0,G57&gt;0))</f>
        <v>1</v>
      </c>
      <c r="G58" s="108"/>
      <c r="H58" s="3" t="b">
        <f>_xlfn.XOR(H57&lt;=50,C59=2)</f>
        <v>0</v>
      </c>
      <c r="I58" s="61" t="s">
        <v>166</v>
      </c>
      <c r="J58" s="62" t="s">
        <v>167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10">
        <f>C57+D57</f>
        <v>2</v>
      </c>
      <c r="D59" s="110"/>
      <c r="E59" s="7" t="s">
        <v>106</v>
      </c>
      <c r="F59" s="115" t="str">
        <f ca="1">IF(F58,"المقابض مظبوطة","مينفعش مقبض مخفي مع بيلت ان")</f>
        <v>المقابض مظبوطة</v>
      </c>
      <c r="G59" s="115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11" t="b">
        <f>C59&lt;=2</f>
        <v>1</v>
      </c>
      <c r="D60" s="111"/>
      <c r="E60" s="7">
        <v>0</v>
      </c>
      <c r="F60" s="8"/>
      <c r="G60" s="8"/>
      <c r="H60" s="8"/>
      <c r="I60" s="8"/>
      <c r="J60" s="8"/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58</v>
      </c>
      <c r="F61" s="27" t="str" cm="1">
        <f t="array" aca="1" ref="F61" ca="1">defaultValue(G61,K55)</f>
        <v>يوفيلاك</v>
      </c>
      <c r="G61" s="7" t="s">
        <v>32</v>
      </c>
      <c r="H61" s="27" t="str" cm="1">
        <f t="array" aca="1" ref="H61" ca="1">defaultValue(I61,K55)</f>
        <v>HPL</v>
      </c>
      <c r="I61" s="7" t="s">
        <v>31</v>
      </c>
      <c r="J61" s="25" t="s">
        <v>111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33</v>
      </c>
      <c r="J63" s="6" t="s">
        <v>8</v>
      </c>
      <c r="K63" s="6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49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17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24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K71" s="9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25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K72" s="9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53</v>
      </c>
      <c r="E74" s="9" t="s">
        <v>71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58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K76" s="1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161</v>
      </c>
      <c r="C79" s="14">
        <v>1</v>
      </c>
      <c r="D79" s="22" t="s">
        <v>59</v>
      </c>
      <c r="E79" s="100" t="s">
        <v>168</v>
      </c>
      <c r="F79" s="101"/>
      <c r="G79" s="101"/>
      <c r="H79" s="102"/>
      <c r="I79" s="2" t="s">
        <v>30</v>
      </c>
      <c r="J79" s="2">
        <f>letterToNumber(A79)</f>
        <v>4</v>
      </c>
      <c r="K79" s="7">
        <f ca="1">_xlfn.SHEET("وحدات علوية")</f>
        <v>6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55</v>
      </c>
      <c r="E80" s="7" t="s">
        <v>51</v>
      </c>
      <c r="F80" s="7" t="s">
        <v>16</v>
      </c>
      <c r="G80" s="7" t="s">
        <v>115</v>
      </c>
      <c r="H80" s="7" t="s">
        <v>22</v>
      </c>
      <c r="I80" s="7" t="s">
        <v>3</v>
      </c>
      <c r="J80" s="7" t="s">
        <v>113</v>
      </c>
      <c r="K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K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11" t="b">
        <f ca="1">NOT(AND(F81&gt;0,G81&gt;0))</f>
        <v>1</v>
      </c>
      <c r="G82" s="108"/>
      <c r="H82" s="3" t="b">
        <f ca="1">_xlfn.XOR(I81&lt;=50,C83=2)</f>
        <v>0</v>
      </c>
      <c r="I82" s="61" t="s">
        <v>166</v>
      </c>
      <c r="J82" s="62" t="s">
        <v>167</v>
      </c>
      <c r="K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10">
        <f>C81+D81</f>
        <v>1</v>
      </c>
      <c r="D83" s="110"/>
      <c r="E83" s="7" t="s">
        <v>106</v>
      </c>
      <c r="F83" s="115" t="str">
        <f ca="1">IF(F82,"المقابض مظبوطة","مينفعش مقبض مخفي مع بيلت ان")</f>
        <v>المقابض مظبوطة</v>
      </c>
      <c r="G83" s="115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K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11" t="b">
        <f>C83&lt;=2</f>
        <v>1</v>
      </c>
      <c r="D84" s="111"/>
      <c r="E84" s="7">
        <v>0</v>
      </c>
      <c r="F84" s="8"/>
      <c r="G84" s="8"/>
      <c r="H84" s="8"/>
      <c r="I84" s="8"/>
      <c r="J84" s="8"/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58</v>
      </c>
      <c r="F85" s="27" t="str" cm="1">
        <f t="array" aca="1" ref="F85" ca="1">defaultValue(G85,K79)</f>
        <v>يوفيلاك</v>
      </c>
      <c r="G85" s="7" t="s">
        <v>32</v>
      </c>
      <c r="H85" s="27" t="str" cm="1">
        <f t="array" aca="1" ref="H85" ca="1">defaultValue(I85,K79)</f>
        <v>HPL</v>
      </c>
      <c r="I85" s="7" t="s">
        <v>31</v>
      </c>
      <c r="J85" s="25" t="s">
        <v>111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33</v>
      </c>
      <c r="J87" s="6" t="s">
        <v>8</v>
      </c>
      <c r="K87" s="6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49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K89" s="6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K90" s="6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K91" s="6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51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K92" s="6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24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169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K95" s="9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25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K96" s="9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53</v>
      </c>
      <c r="E98" s="9" t="s">
        <v>71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9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58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K100" s="1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157</v>
      </c>
      <c r="C103" s="14">
        <v>1</v>
      </c>
      <c r="D103" s="22" t="s">
        <v>59</v>
      </c>
      <c r="E103" s="100" t="s">
        <v>46</v>
      </c>
      <c r="F103" s="101"/>
      <c r="G103" s="101"/>
      <c r="H103" s="102"/>
      <c r="I103" s="2" t="s">
        <v>30</v>
      </c>
      <c r="J103" s="2">
        <f>letterToNumber(A103)</f>
        <v>5</v>
      </c>
      <c r="K103" s="7">
        <f ca="1">_xlfn.SHEET("وحدات علوية")</f>
        <v>6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18</v>
      </c>
      <c r="E104" s="7"/>
      <c r="F104" s="7" t="s">
        <v>16</v>
      </c>
      <c r="G104" s="7" t="s">
        <v>115</v>
      </c>
      <c r="H104" s="7" t="s">
        <v>22</v>
      </c>
      <c r="I104" s="7" t="s">
        <v>3</v>
      </c>
      <c r="J104" s="7" t="s">
        <v>113</v>
      </c>
      <c r="K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K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11" t="b">
        <f ca="1">NOT(AND(F105&gt;0,G105&gt;0))</f>
        <v>1</v>
      </c>
      <c r="G106" s="111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K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15.6" x14ac:dyDescent="0.3">
      <c r="A107" s="35">
        <v>1</v>
      </c>
      <c r="C107" s="8"/>
      <c r="D107" s="8"/>
      <c r="E107" s="8"/>
      <c r="F107" s="114" t="str">
        <f ca="1">IF(F106,"المقابض مظبوطة","مينفعش مقبض مخفي مع بيلت ان")</f>
        <v>المقابض مظبوطة</v>
      </c>
      <c r="G107" s="114"/>
      <c r="H107" s="8"/>
      <c r="I107" s="8"/>
      <c r="J107" s="8"/>
      <c r="K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58</v>
      </c>
      <c r="F108" s="27" t="str" cm="1">
        <f t="array" aca="1" ref="F108" ca="1">defaultValue(G108,K103)</f>
        <v>يوفيلاك</v>
      </c>
      <c r="G108" s="7" t="s">
        <v>32</v>
      </c>
      <c r="H108" s="27" t="str" cm="1">
        <f t="array" aca="1" ref="H108" ca="1">defaultValue(I108,K103)</f>
        <v>HPL</v>
      </c>
      <c r="I108" s="7" t="s">
        <v>31</v>
      </c>
      <c r="J108" s="25" t="s">
        <v>111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33</v>
      </c>
      <c r="J110" s="6" t="s">
        <v>8</v>
      </c>
      <c r="K110" s="6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49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K112" s="6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K113" s="6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62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K114" s="6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63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27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17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28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K119" s="9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41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K120" s="9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53</v>
      </c>
      <c r="E122" s="9" t="s">
        <v>71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53</v>
      </c>
      <c r="E123" s="9" t="s">
        <v>71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107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K125" s="1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108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K126" s="1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158</v>
      </c>
      <c r="C129" s="14">
        <v>1</v>
      </c>
      <c r="D129" s="22" t="s">
        <v>59</v>
      </c>
      <c r="E129" s="100" t="s">
        <v>47</v>
      </c>
      <c r="F129" s="101"/>
      <c r="G129" s="101"/>
      <c r="H129" s="102"/>
      <c r="I129" s="2" t="s">
        <v>30</v>
      </c>
      <c r="J129" s="2">
        <f>letterToNumber(A129)</f>
        <v>6</v>
      </c>
      <c r="K129" s="7">
        <f ca="1">_xlfn.SHEET("وحدات علوية")</f>
        <v>6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18</v>
      </c>
      <c r="E130" s="7"/>
      <c r="F130" s="7" t="s">
        <v>16</v>
      </c>
      <c r="G130" s="7" t="s">
        <v>115</v>
      </c>
      <c r="H130" s="7" t="s">
        <v>22</v>
      </c>
      <c r="I130" s="7" t="s">
        <v>3</v>
      </c>
      <c r="J130" s="7" t="s">
        <v>113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K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11" t="b">
        <f ca="1">NOT(AND(F131&gt;0,G131&gt;0))</f>
        <v>1</v>
      </c>
      <c r="G132" s="111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15.6" x14ac:dyDescent="0.3">
      <c r="A133" s="35">
        <v>1</v>
      </c>
      <c r="C133" s="8"/>
      <c r="D133" s="8"/>
      <c r="E133" s="8"/>
      <c r="F133" s="114" t="str">
        <f ca="1">IF(F132,"المقابض مظبوطة","مينفعش مقبض مخفي مع بيلت ان")</f>
        <v>المقابض مظبوطة</v>
      </c>
      <c r="G133" s="114"/>
      <c r="H133" s="8"/>
      <c r="I133" s="8"/>
      <c r="J133" s="8"/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58</v>
      </c>
      <c r="F134" s="27" t="str" cm="1">
        <f t="array" aca="1" ref="F134" ca="1">defaultValue(G134,K129)</f>
        <v>يوفيلاك</v>
      </c>
      <c r="G134" s="7" t="s">
        <v>32</v>
      </c>
      <c r="H134" s="27" t="str" cm="1">
        <f t="array" aca="1" ref="H134" ca="1">defaultValue(I134,K129)</f>
        <v>HPL</v>
      </c>
      <c r="I134" s="7" t="s">
        <v>31</v>
      </c>
      <c r="J134" s="25" t="s">
        <v>111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33</v>
      </c>
      <c r="J136" s="6" t="s">
        <v>8</v>
      </c>
      <c r="K136" s="6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49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62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63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27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17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28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K145" s="9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58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K147" s="19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159</v>
      </c>
      <c r="C150" s="14">
        <v>1</v>
      </c>
      <c r="D150" s="22" t="s">
        <v>59</v>
      </c>
      <c r="E150" s="100" t="s">
        <v>109</v>
      </c>
      <c r="F150" s="101"/>
      <c r="G150" s="101"/>
      <c r="H150" s="102"/>
      <c r="I150" s="2" t="s">
        <v>30</v>
      </c>
      <c r="J150" s="2">
        <f>letterToNumber(A150)</f>
        <v>7</v>
      </c>
      <c r="K150" s="7">
        <f ca="1">_xlfn.SHEET("وحدات علوية")</f>
        <v>6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54</v>
      </c>
      <c r="D151" s="7" t="s">
        <v>55</v>
      </c>
      <c r="E151" s="18" t="s">
        <v>18</v>
      </c>
      <c r="F151" s="7" t="s">
        <v>16</v>
      </c>
      <c r="G151" s="7" t="s">
        <v>115</v>
      </c>
      <c r="H151" s="7" t="s">
        <v>22</v>
      </c>
      <c r="I151" s="7" t="s">
        <v>3</v>
      </c>
      <c r="J151" s="7" t="s">
        <v>113</v>
      </c>
      <c r="K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K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106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110</v>
      </c>
      <c r="K153" s="7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06">
        <f>C152+D152</f>
        <v>1</v>
      </c>
      <c r="D154" s="107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K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15.6" x14ac:dyDescent="0.3">
      <c r="A155" s="35">
        <v>1</v>
      </c>
      <c r="C155" s="108" t="b">
        <f>C154&lt;=2</f>
        <v>1</v>
      </c>
      <c r="D155" s="109"/>
      <c r="E155" s="8"/>
      <c r="F155" s="8"/>
      <c r="G155" s="8"/>
      <c r="H155" s="8"/>
      <c r="I155" s="8"/>
      <c r="J155" s="8"/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58</v>
      </c>
      <c r="F156" s="27" t="str" cm="1">
        <f t="array" aca="1" ref="F156" ca="1">defaultValue(G156,K150)</f>
        <v>يوفيلاك</v>
      </c>
      <c r="G156" s="7" t="s">
        <v>32</v>
      </c>
      <c r="H156" s="27" t="str" cm="1">
        <f t="array" aca="1" ref="H156" ca="1">defaultValue(I156,K150)</f>
        <v>HPL</v>
      </c>
      <c r="I156" s="7" t="s">
        <v>31</v>
      </c>
      <c r="J156" s="25" t="s">
        <v>111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33</v>
      </c>
      <c r="J158" s="6" t="s">
        <v>8</v>
      </c>
      <c r="K158" s="6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49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K161" s="6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K162" s="6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17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K163" s="6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51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52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K166" s="9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53</v>
      </c>
      <c r="E167" s="9" t="s">
        <v>71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9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58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7620</xdr:colOff>
                    <xdr:row>5</xdr:row>
                    <xdr:rowOff>7620</xdr:rowOff>
                  </from>
                  <to>
                    <xdr:col>11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274320</xdr:colOff>
                    <xdr:row>4</xdr:row>
                    <xdr:rowOff>121920</xdr:rowOff>
                  </from>
                  <to>
                    <xdr:col>4</xdr:col>
                    <xdr:colOff>960120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1097280</xdr:colOff>
                    <xdr:row>4</xdr:row>
                    <xdr:rowOff>121920</xdr:rowOff>
                  </from>
                  <to>
                    <xdr:col>8</xdr:col>
                    <xdr:colOff>60960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1" zoomScale="70" zoomScaleNormal="70" workbookViewId="0">
      <selection activeCell="M13" sqref="M13"/>
    </sheetView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124</v>
      </c>
      <c r="C2" s="105" t="s">
        <v>64</v>
      </c>
      <c r="D2" s="105"/>
      <c r="E2" s="105"/>
      <c r="F2" s="105"/>
      <c r="G2" s="105"/>
      <c r="H2" s="105"/>
      <c r="I2" s="105"/>
      <c r="J2" s="105"/>
    </row>
    <row r="3" spans="1:23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155</v>
      </c>
      <c r="B13" s="3"/>
      <c r="C13" s="14">
        <v>1</v>
      </c>
      <c r="D13" s="22" t="s">
        <v>59</v>
      </c>
      <c r="E13" s="116" t="s">
        <v>65</v>
      </c>
      <c r="F13" s="116"/>
      <c r="G13" s="116"/>
      <c r="H13" s="116"/>
      <c r="I13" s="2" t="s">
        <v>30</v>
      </c>
      <c r="J13" s="2">
        <f>letterToNumber(A13)</f>
        <v>1</v>
      </c>
      <c r="K13" s="7">
        <f ca="1">_xlfn.SHEET("دواليب")</f>
        <v>7</v>
      </c>
    </row>
    <row r="14" spans="1:23" ht="31.2" x14ac:dyDescent="0.3">
      <c r="A14" s="35">
        <v>1</v>
      </c>
      <c r="C14" s="18"/>
      <c r="D14" s="18"/>
      <c r="E14" s="18" t="s">
        <v>18</v>
      </c>
      <c r="F14" s="7" t="s">
        <v>51</v>
      </c>
      <c r="G14" s="7" t="s">
        <v>16</v>
      </c>
      <c r="H14" s="7" t="s">
        <v>22</v>
      </c>
      <c r="I14" s="7" t="s">
        <v>3</v>
      </c>
      <c r="J14" s="7" t="s">
        <v>2</v>
      </c>
      <c r="K14" s="7"/>
    </row>
    <row r="15" spans="1:23" ht="15.6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  <c r="K15" s="7"/>
    </row>
    <row r="16" spans="1:23" ht="15.6" x14ac:dyDescent="0.3">
      <c r="A16" s="35">
        <v>1</v>
      </c>
      <c r="C16" s="8"/>
      <c r="D16" s="8"/>
      <c r="E16" s="8"/>
      <c r="F16" s="8"/>
      <c r="G16" s="7" t="s">
        <v>54</v>
      </c>
      <c r="H16" s="7" t="s">
        <v>55</v>
      </c>
      <c r="I16" s="8"/>
      <c r="J16" s="8"/>
      <c r="K16" s="7"/>
    </row>
    <row r="17" spans="1:13" ht="15.6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69</v>
      </c>
      <c r="K17" s="7"/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70</v>
      </c>
      <c r="K18" s="7"/>
    </row>
    <row r="19" spans="1:13" ht="15.6" x14ac:dyDescent="0.3">
      <c r="A19" s="35">
        <v>1</v>
      </c>
      <c r="C19" s="110">
        <f>G17+H17</f>
        <v>2</v>
      </c>
      <c r="D19" s="110"/>
      <c r="E19" s="8"/>
      <c r="F19" s="46"/>
      <c r="G19" s="46"/>
      <c r="H19" s="46"/>
      <c r="I19" s="8">
        <f>SUM(I17:I18)</f>
        <v>210</v>
      </c>
      <c r="J19" s="114" t="str">
        <f>IF(I20,"مقاس الدلف صحيح","مقاس الدلف غير صحيح")</f>
        <v>مقاس الدلف صحيح</v>
      </c>
      <c r="K19" s="7"/>
    </row>
    <row r="20" spans="1:13" ht="15.6" x14ac:dyDescent="0.3">
      <c r="A20" s="35">
        <v>1</v>
      </c>
      <c r="C20" s="111" t="b">
        <f>C19&lt;=2</f>
        <v>1</v>
      </c>
      <c r="D20" s="111"/>
      <c r="E20" s="8"/>
      <c r="F20" s="8"/>
      <c r="G20" s="8"/>
      <c r="H20" s="8"/>
      <c r="I20" s="6" t="b">
        <f>I19=I15</f>
        <v>1</v>
      </c>
      <c r="J20" s="114"/>
      <c r="K20" s="7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58</v>
      </c>
      <c r="F21" s="27" t="str" cm="1">
        <f t="array" aca="1" ref="F21" ca="1">defaultValue(G21,K13)</f>
        <v>يوفيلاك</v>
      </c>
      <c r="G21" s="7" t="s">
        <v>32</v>
      </c>
      <c r="H21" s="27" t="str" cm="1">
        <f t="array" aca="1" ref="H21" ca="1">defaultValue(I21,K13)</f>
        <v>HPL</v>
      </c>
      <c r="I21" s="7" t="s">
        <v>31</v>
      </c>
      <c r="J21" s="25" t="s">
        <v>111</v>
      </c>
      <c r="K21" s="7"/>
    </row>
    <row r="22" spans="1:13" x14ac:dyDescent="0.3">
      <c r="A22" s="35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33</v>
      </c>
      <c r="J23" s="6" t="s">
        <v>8</v>
      </c>
      <c r="K23" s="6"/>
    </row>
    <row r="24" spans="1:13" x14ac:dyDescent="0.3">
      <c r="A24" s="35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49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  <c r="K25" s="6" t="b">
        <v>1</v>
      </c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  <c r="K26" s="6" t="b">
        <v>1</v>
      </c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51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  <c r="K27" s="6" t="b">
        <v>1</v>
      </c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  <c r="K28" s="6" t="b">
        <v>1</v>
      </c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17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  <c r="K29" s="6" t="b">
        <v>1</v>
      </c>
    </row>
    <row r="30" spans="1:13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72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9"/>
      <c r="K31" s="9" t="b">
        <v>1</v>
      </c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73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9"/>
      <c r="K32" s="9" t="b">
        <v>1</v>
      </c>
    </row>
    <row r="33" spans="1:13" x14ac:dyDescent="0.3">
      <c r="A33" s="35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53</v>
      </c>
      <c r="E34" s="9" t="s">
        <v>74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9" t="b">
        <v>1</v>
      </c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53</v>
      </c>
      <c r="E35" s="9" t="s">
        <v>75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9" t="b">
        <v>1</v>
      </c>
    </row>
    <row r="36" spans="1:13" x14ac:dyDescent="0.3">
      <c r="A36" s="35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58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  <c r="K37" s="19" t="b">
        <v>1</v>
      </c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160</v>
      </c>
      <c r="C40" s="14">
        <v>1</v>
      </c>
      <c r="D40" s="22" t="s">
        <v>59</v>
      </c>
      <c r="E40" s="116" t="s">
        <v>76</v>
      </c>
      <c r="F40" s="116"/>
      <c r="G40" s="116"/>
      <c r="H40" s="116"/>
      <c r="I40" s="2" t="s">
        <v>30</v>
      </c>
      <c r="J40" s="2">
        <f>letterToNumber(A40)</f>
        <v>2</v>
      </c>
      <c r="K40" s="7">
        <f ca="1">_xlfn.SHEET("دواليب")</f>
        <v>7</v>
      </c>
      <c r="L40" s="1"/>
      <c r="M40" s="1"/>
    </row>
    <row r="41" spans="1:13" ht="31.2" x14ac:dyDescent="0.3">
      <c r="A41" s="35">
        <v>1</v>
      </c>
      <c r="C41" s="18"/>
      <c r="D41" s="16" t="s">
        <v>19</v>
      </c>
      <c r="E41" s="18" t="s">
        <v>18</v>
      </c>
      <c r="F41" s="7" t="s">
        <v>51</v>
      </c>
      <c r="G41" s="7" t="s">
        <v>16</v>
      </c>
      <c r="H41" s="7" t="s">
        <v>22</v>
      </c>
      <c r="I41" s="7" t="s">
        <v>3</v>
      </c>
      <c r="J41" s="7" t="s">
        <v>2</v>
      </c>
      <c r="K41" s="7"/>
      <c r="L41" s="1"/>
      <c r="M41" s="1"/>
    </row>
    <row r="42" spans="1:13" ht="15.6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7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54</v>
      </c>
      <c r="H43" s="7" t="s">
        <v>55</v>
      </c>
      <c r="I43" s="8"/>
      <c r="J43" s="8"/>
      <c r="K43" s="7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77</v>
      </c>
      <c r="K44" s="7"/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78</v>
      </c>
      <c r="K45" s="7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79</v>
      </c>
      <c r="K46" s="7"/>
      <c r="L46" s="1"/>
      <c r="M46" s="1"/>
    </row>
    <row r="47" spans="1:13" ht="15.6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69</v>
      </c>
      <c r="K47" s="7"/>
      <c r="L47" s="1"/>
      <c r="M47" s="1"/>
    </row>
    <row r="48" spans="1:13" ht="15.6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80</v>
      </c>
      <c r="K48" s="7"/>
      <c r="L48" s="1"/>
      <c r="M48" s="1"/>
    </row>
    <row r="49" spans="1:13" ht="15.6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81</v>
      </c>
      <c r="K49" s="7"/>
      <c r="L49" s="1"/>
      <c r="M49" s="1"/>
    </row>
    <row r="50" spans="1:13" ht="15.6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82</v>
      </c>
      <c r="K50" s="7"/>
      <c r="L50" s="1"/>
      <c r="M50" s="1"/>
    </row>
    <row r="51" spans="1:13" ht="15.6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83</v>
      </c>
      <c r="K51" s="7"/>
      <c r="L51" s="1"/>
      <c r="M51" s="1"/>
    </row>
    <row r="52" spans="1:13" ht="15.6" x14ac:dyDescent="0.3">
      <c r="A52" s="35">
        <v>1</v>
      </c>
      <c r="C52" s="110">
        <f>G47+H47</f>
        <v>0</v>
      </c>
      <c r="D52" s="110"/>
      <c r="E52" s="8"/>
      <c r="F52" s="46"/>
      <c r="G52" s="46"/>
      <c r="H52" s="46"/>
      <c r="I52" s="8">
        <f>SUM(I44:I51)</f>
        <v>220</v>
      </c>
      <c r="J52" s="114" t="str">
        <f>IF(I53,"مقاس الدلف صحيح","مقاس الدلف غير صحيح")</f>
        <v>مقاس الدلف صحيح</v>
      </c>
      <c r="K52" s="7"/>
      <c r="L52" s="1"/>
      <c r="M52" s="1"/>
    </row>
    <row r="53" spans="1:13" ht="15.6" x14ac:dyDescent="0.3">
      <c r="A53" s="35">
        <v>1</v>
      </c>
      <c r="C53" s="111" t="b">
        <f>C52&lt;=2</f>
        <v>1</v>
      </c>
      <c r="D53" s="111"/>
      <c r="E53" s="8"/>
      <c r="F53" s="8"/>
      <c r="G53" s="8"/>
      <c r="H53" s="8"/>
      <c r="I53" s="6" t="b">
        <f>I52=I42</f>
        <v>1</v>
      </c>
      <c r="J53" s="114"/>
      <c r="K53" s="7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58</v>
      </c>
      <c r="F54" s="27" t="str" cm="1">
        <f t="array" aca="1" ref="F54" ca="1">defaultValue(G54,K40)</f>
        <v>يوفيلاك</v>
      </c>
      <c r="G54" s="7" t="s">
        <v>32</v>
      </c>
      <c r="H54" s="27" t="str" cm="1">
        <f t="array" aca="1" ref="H54" ca="1">defaultValue(I54,K40)</f>
        <v>HPL</v>
      </c>
      <c r="I54" s="7" t="s">
        <v>31</v>
      </c>
      <c r="J54" s="25" t="s">
        <v>111</v>
      </c>
      <c r="K54" s="7"/>
      <c r="L54" s="1"/>
      <c r="M54" s="1"/>
    </row>
    <row r="55" spans="1:13" ht="15.6" customHeight="1" x14ac:dyDescent="0.3">
      <c r="A55" s="35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33</v>
      </c>
      <c r="J56" s="6" t="s">
        <v>8</v>
      </c>
      <c r="K56" s="6"/>
      <c r="L56" s="1"/>
      <c r="M56" s="1"/>
    </row>
    <row r="57" spans="1:13" ht="15.6" customHeight="1" x14ac:dyDescent="0.3">
      <c r="A57" s="35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49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6" t="b">
        <v>1</v>
      </c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6" t="b">
        <v>1</v>
      </c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51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6" t="b">
        <v>1</v>
      </c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6" t="b">
        <v>1</v>
      </c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17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6" t="b">
        <v>1</v>
      </c>
      <c r="L62" s="1"/>
      <c r="M62" s="1"/>
    </row>
    <row r="63" spans="1:13" x14ac:dyDescent="0.3">
      <c r="A63" s="35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84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20"/>
      <c r="K64" s="20" t="b">
        <v>1</v>
      </c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85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20"/>
      <c r="K65" s="20" t="b">
        <v>1</v>
      </c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86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20"/>
      <c r="K66" s="20" t="b">
        <v>1</v>
      </c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87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10"/>
      <c r="K67" s="10" t="b">
        <v>1</v>
      </c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88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10"/>
      <c r="K68" s="10" t="b">
        <v>1</v>
      </c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89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10"/>
      <c r="K69" s="10" t="b">
        <v>1</v>
      </c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90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20"/>
      <c r="K70" s="20" t="b">
        <v>1</v>
      </c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91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20"/>
      <c r="K71" s="20" t="b">
        <v>1</v>
      </c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92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20"/>
      <c r="K72" s="20" t="b">
        <v>1</v>
      </c>
    </row>
    <row r="73" spans="1:12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95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9"/>
      <c r="K74" s="9" t="b">
        <v>1</v>
      </c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96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9"/>
      <c r="K75" s="9" t="b">
        <v>1</v>
      </c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97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9"/>
      <c r="K76" s="9" t="b">
        <v>1</v>
      </c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72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9"/>
      <c r="K77" s="9" t="b">
        <v>1</v>
      </c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98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9"/>
      <c r="K78" s="9" t="b">
        <v>1</v>
      </c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99</v>
      </c>
      <c r="F79" s="9"/>
      <c r="G79" s="9"/>
      <c r="H79" s="9"/>
      <c r="I79" s="9">
        <f ca="1">HLOOKUP(D79, materials[], 2,FALSE)</f>
        <v>6</v>
      </c>
      <c r="J79" s="9"/>
      <c r="K79" s="9" t="b">
        <v>1</v>
      </c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100</v>
      </c>
      <c r="F80" s="9"/>
      <c r="G80" s="9"/>
      <c r="H80" s="9"/>
      <c r="I80" s="9">
        <f ca="1">HLOOKUP(D80, materials[], 2,FALSE)</f>
        <v>6</v>
      </c>
      <c r="J80" s="9"/>
      <c r="K80" s="9" t="b">
        <v>1</v>
      </c>
    </row>
    <row r="81" spans="1:11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93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9"/>
      <c r="K81" s="9" t="b">
        <v>1</v>
      </c>
    </row>
    <row r="82" spans="1:11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94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9"/>
      <c r="K82" s="9" t="b">
        <v>1</v>
      </c>
    </row>
    <row r="83" spans="1:11" x14ac:dyDescent="0.3">
      <c r="A83" s="35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5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53</v>
      </c>
      <c r="E85" s="9" t="s">
        <v>74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9" t="b">
        <v>1</v>
      </c>
    </row>
    <row r="86" spans="1:11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53</v>
      </c>
      <c r="E86" s="9" t="s">
        <v>101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9" t="b">
        <v>1</v>
      </c>
    </row>
    <row r="87" spans="1:11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53</v>
      </c>
      <c r="E87" s="9" t="s">
        <v>102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9" t="b">
        <v>1</v>
      </c>
    </row>
    <row r="88" spans="1:11" x14ac:dyDescent="0.3">
      <c r="A88" s="35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58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  <c r="K89" s="19" t="b">
        <v>1</v>
      </c>
    </row>
    <row r="90" spans="1:11" x14ac:dyDescent="0.3">
      <c r="A90" s="35">
        <v>255</v>
      </c>
    </row>
    <row r="91" spans="1:11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59</v>
      </c>
      <c r="E98" s="100" t="s">
        <v>66</v>
      </c>
      <c r="F98" s="101"/>
      <c r="G98" s="101"/>
      <c r="H98" s="102"/>
      <c r="I98" s="2" t="s">
        <v>30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18</v>
      </c>
      <c r="F99" s="7" t="s">
        <v>16</v>
      </c>
      <c r="G99" s="7" t="s">
        <v>48</v>
      </c>
      <c r="H99" s="7" t="s">
        <v>22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11" t="b">
        <f>NOT(AND(F100&gt;0,G100&gt;0))</f>
        <v>1</v>
      </c>
      <c r="G101" s="111"/>
      <c r="I101" s="3" t="b">
        <f>_xlfn.XOR(I100&lt;=50,C102=2)</f>
        <v>0</v>
      </c>
    </row>
    <row r="102" spans="2:10" ht="24" hidden="1" customHeight="1" x14ac:dyDescent="0.3">
      <c r="C102" s="111">
        <f>C100+E100</f>
        <v>3</v>
      </c>
      <c r="D102" s="111"/>
      <c r="E102" s="33"/>
      <c r="F102" s="115" t="str">
        <f>IF(F101,"المقابض مظبوطة","مينفعش مقبض مخفي مع بيلت ان")</f>
        <v>المقابض مظبوطة</v>
      </c>
      <c r="G102" s="115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11" t="b">
        <f>C102&lt;=2</f>
        <v>0</v>
      </c>
      <c r="D103" s="111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33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49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17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24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25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58</v>
      </c>
      <c r="E116" s="19" t="s">
        <v>58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59</v>
      </c>
      <c r="E118" s="100" t="s">
        <v>67</v>
      </c>
      <c r="F118" s="101"/>
      <c r="G118" s="101"/>
      <c r="H118" s="102"/>
      <c r="I118" s="2" t="s">
        <v>30</v>
      </c>
      <c r="J118" s="2">
        <f>J98+1</f>
        <v>4</v>
      </c>
    </row>
    <row r="119" spans="2:10" ht="31.2" hidden="1" customHeight="1" x14ac:dyDescent="0.3">
      <c r="C119" s="7"/>
      <c r="D119" s="7" t="s">
        <v>18</v>
      </c>
      <c r="E119" s="7"/>
      <c r="F119" s="7" t="s">
        <v>16</v>
      </c>
      <c r="G119" s="7" t="s">
        <v>48</v>
      </c>
      <c r="H119" s="7" t="s">
        <v>22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11" t="b">
        <f>NOT(AND(F120&gt;0,G120&gt;0))</f>
        <v>1</v>
      </c>
      <c r="G121" s="111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5" t="str">
        <f>IF(F121,"المقابض مظبوطة","مينفعش مقبض مخفي مع بيلت ان")</f>
        <v>المقابض مظبوطة</v>
      </c>
      <c r="G122" s="115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33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49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62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63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27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17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28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41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58</v>
      </c>
      <c r="E136" s="19" t="s">
        <v>58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59</v>
      </c>
      <c r="E138" s="100" t="s">
        <v>68</v>
      </c>
      <c r="F138" s="101"/>
      <c r="G138" s="101"/>
      <c r="H138" s="102"/>
      <c r="I138" s="2" t="s">
        <v>30</v>
      </c>
      <c r="J138" s="2">
        <f>J118+1</f>
        <v>5</v>
      </c>
    </row>
    <row r="139" spans="2:10" ht="31.2" hidden="1" customHeight="1" x14ac:dyDescent="0.3">
      <c r="C139" s="7"/>
      <c r="D139" s="7" t="s">
        <v>18</v>
      </c>
      <c r="E139" s="7"/>
      <c r="F139" s="7" t="s">
        <v>16</v>
      </c>
      <c r="G139" s="7" t="s">
        <v>48</v>
      </c>
      <c r="H139" s="7" t="s">
        <v>22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11" t="b">
        <f>NOT(AND(F140&gt;0,G140&gt;0))</f>
        <v>1</v>
      </c>
      <c r="G141" s="111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5" t="str">
        <f>IF(F141,"المقابض مظبوطة","مينفعش مقبض مخفي مع بيلت ان")</f>
        <v>المقابض مظبوطة</v>
      </c>
      <c r="G142" s="115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33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49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62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63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27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17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28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58</v>
      </c>
      <c r="E156" s="19" t="s">
        <v>58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17" t="s">
        <v>42</v>
      </c>
      <c r="D273" s="117"/>
      <c r="E273" s="117"/>
      <c r="F273" s="117"/>
      <c r="G273" s="117"/>
      <c r="H273" s="117"/>
      <c r="I273" s="117"/>
      <c r="J273" s="117"/>
      <c r="K273" s="117"/>
      <c r="L273" s="117"/>
      <c r="M273" s="117"/>
      <c r="N273" s="117"/>
    </row>
  </sheetData>
  <mergeCells count="21"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  <mergeCell ref="C2:J2"/>
    <mergeCell ref="E118:H118"/>
    <mergeCell ref="F121:G121"/>
    <mergeCell ref="F122:G122"/>
    <mergeCell ref="E138:H138"/>
    <mergeCell ref="E13:H13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12</xdr:col>
                    <xdr:colOff>15240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403860</xdr:colOff>
                    <xdr:row>5</xdr:row>
                    <xdr:rowOff>7620</xdr:rowOff>
                  </from>
                  <to>
                    <xdr:col>4</xdr:col>
                    <xdr:colOff>1104900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121920</xdr:colOff>
                    <xdr:row>5</xdr:row>
                    <xdr:rowOff>7620</xdr:rowOff>
                  </from>
                  <to>
                    <xdr:col>8</xdr:col>
                    <xdr:colOff>220980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48"/>
  <sheetViews>
    <sheetView topLeftCell="B1" zoomScale="70" zoomScaleNormal="70" workbookViewId="0">
      <selection activeCell="K11" sqref="K11"/>
    </sheetView>
  </sheetViews>
  <sheetFormatPr defaultRowHeight="15.6" x14ac:dyDescent="0.3"/>
  <cols>
    <col min="1" max="1" width="9" style="36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62" s="35" customFormat="1" x14ac:dyDescent="0.3">
      <c r="A1" s="36">
        <v>13</v>
      </c>
      <c r="B1" s="55">
        <v>3</v>
      </c>
    </row>
    <row r="2" spans="1:62" s="35" customFormat="1" ht="31.2" x14ac:dyDescent="0.3">
      <c r="A2" s="36">
        <v>20</v>
      </c>
      <c r="B2" s="50" t="s">
        <v>125</v>
      </c>
      <c r="C2" s="118" t="s">
        <v>103</v>
      </c>
      <c r="D2" s="119"/>
      <c r="E2" s="119"/>
      <c r="F2" s="119"/>
      <c r="G2" s="119"/>
      <c r="H2" s="119"/>
      <c r="I2" s="119"/>
      <c r="J2" s="120"/>
    </row>
    <row r="3" spans="1:62" s="35" customFormat="1" x14ac:dyDescent="0.3">
      <c r="A3" s="36"/>
      <c r="B3" s="55" t="s">
        <v>178</v>
      </c>
      <c r="R3" s="34"/>
      <c r="S3" s="34"/>
      <c r="T3" s="34"/>
      <c r="U3" s="34"/>
      <c r="V3" s="40"/>
      <c r="W3" s="40"/>
    </row>
    <row r="4" spans="1:62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62" s="35" customFormat="1" x14ac:dyDescent="0.3">
      <c r="A5" s="36"/>
      <c r="B5" s="55"/>
    </row>
    <row r="6" spans="1:62" s="35" customFormat="1" x14ac:dyDescent="0.3">
      <c r="A6" s="36"/>
      <c r="B6" s="55"/>
    </row>
    <row r="7" spans="1:62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62" s="38" customFormat="1" ht="18" x14ac:dyDescent="0.3">
      <c r="A8" s="39"/>
      <c r="B8" s="57"/>
    </row>
    <row r="9" spans="1:62" customFormat="1" x14ac:dyDescent="0.3">
      <c r="A9" s="39"/>
    </row>
    <row r="10" spans="1:62" customFormat="1" x14ac:dyDescent="0.3">
      <c r="A10" s="39"/>
    </row>
    <row r="13" spans="1:62" ht="18" x14ac:dyDescent="0.3">
      <c r="A13" s="36" t="s">
        <v>155</v>
      </c>
      <c r="B13" s="15"/>
      <c r="C13" s="14">
        <v>1</v>
      </c>
      <c r="D13" s="22" t="s">
        <v>59</v>
      </c>
      <c r="E13" s="100" t="s">
        <v>170</v>
      </c>
      <c r="F13" s="101"/>
      <c r="G13" s="101"/>
      <c r="H13" s="102"/>
      <c r="I13" s="2" t="s">
        <v>30</v>
      </c>
      <c r="J13" s="2">
        <f>letterToNumber(A13)</f>
        <v>1</v>
      </c>
      <c r="K13" s="7">
        <f ca="1">_xlfn.SHEET("تجاليد")</f>
        <v>8</v>
      </c>
      <c r="BB13"/>
      <c r="BC13"/>
      <c r="BD13"/>
      <c r="BE13"/>
      <c r="BF13"/>
      <c r="BG13"/>
      <c r="BH13"/>
      <c r="BI13"/>
      <c r="BJ13"/>
    </row>
    <row r="14" spans="1:62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22</v>
      </c>
      <c r="K14" s="7"/>
      <c r="BB14"/>
      <c r="BC14"/>
      <c r="BD14"/>
      <c r="BE14"/>
      <c r="BF14"/>
      <c r="BG14"/>
      <c r="BH14"/>
      <c r="BI14"/>
      <c r="BJ14"/>
    </row>
    <row r="15" spans="1:62" ht="15.6" customHeight="1" x14ac:dyDescent="0.3">
      <c r="A15" s="36">
        <v>0</v>
      </c>
      <c r="B15"/>
      <c r="C15"/>
      <c r="D15"/>
      <c r="E15"/>
      <c r="F15"/>
      <c r="G15"/>
      <c r="H15"/>
      <c r="I15"/>
      <c r="J15"/>
      <c r="K15"/>
      <c r="BB15"/>
      <c r="BC15"/>
      <c r="BD15"/>
      <c r="BE15"/>
      <c r="BF15"/>
      <c r="BG15"/>
      <c r="BH15"/>
      <c r="BI15"/>
      <c r="BJ15"/>
    </row>
    <row r="16" spans="1:62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33</v>
      </c>
      <c r="J16" s="6" t="s">
        <v>8</v>
      </c>
      <c r="K16" s="6"/>
      <c r="BB16"/>
      <c r="BC16"/>
      <c r="BD16"/>
      <c r="BE16"/>
      <c r="BF16"/>
      <c r="BG16"/>
      <c r="BH16"/>
      <c r="BI16"/>
      <c r="BJ16"/>
    </row>
    <row r="17" spans="1:62" x14ac:dyDescent="0.3">
      <c r="A17" s="36">
        <v>0</v>
      </c>
      <c r="B17"/>
      <c r="C17"/>
      <c r="D17"/>
      <c r="E17"/>
      <c r="F17"/>
      <c r="G17"/>
      <c r="H17"/>
      <c r="I17"/>
      <c r="J17"/>
      <c r="K17"/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4</v>
      </c>
      <c r="B18" s="15" t="str">
        <f>E13</f>
        <v>تجليدة سفلية</v>
      </c>
      <c r="C18" s="9">
        <v>1</v>
      </c>
      <c r="D18" s="9" t="str">
        <f ca="1">E14</f>
        <v>يوفيلاك</v>
      </c>
      <c r="E18" s="9" t="s">
        <v>120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9" t="b">
        <v>1</v>
      </c>
      <c r="BB18"/>
      <c r="BC18"/>
      <c r="BD18"/>
      <c r="BE18"/>
      <c r="BF18"/>
      <c r="BG18"/>
      <c r="BH18"/>
      <c r="BI18"/>
      <c r="BJ18"/>
    </row>
    <row r="19" spans="1:62" x14ac:dyDescent="0.3">
      <c r="A19" s="35">
        <v>4</v>
      </c>
      <c r="B19" s="15" t="str">
        <f>E13</f>
        <v>تجليدة سفلية</v>
      </c>
      <c r="C19" s="9">
        <f>C18+1</f>
        <v>2</v>
      </c>
      <c r="D19" s="9" t="str">
        <f ca="1">E14</f>
        <v>يوفيلاك</v>
      </c>
      <c r="E19" s="9" t="s">
        <v>120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9" t="b">
        <v>1</v>
      </c>
      <c r="BB19"/>
      <c r="BC19"/>
      <c r="BD19"/>
      <c r="BE19"/>
      <c r="BF19"/>
      <c r="BG19"/>
      <c r="BH19"/>
      <c r="BI19"/>
      <c r="BJ19"/>
    </row>
    <row r="20" spans="1:62" x14ac:dyDescent="0.3">
      <c r="A20" s="35">
        <v>4</v>
      </c>
      <c r="B20" s="15" t="str">
        <f>E13</f>
        <v>تجليدة سفلية</v>
      </c>
      <c r="C20" s="9">
        <f t="shared" ref="C20:C22" si="0">C19+1</f>
        <v>3</v>
      </c>
      <c r="D20" s="9" t="str">
        <f ca="1">E14</f>
        <v>يوفيلاك</v>
      </c>
      <c r="E20" s="9" t="s">
        <v>120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9" t="b">
        <v>1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4</v>
      </c>
      <c r="B21" s="15" t="str">
        <f>E13</f>
        <v>تجليدة سفلية</v>
      </c>
      <c r="C21" s="9">
        <f t="shared" si="0"/>
        <v>4</v>
      </c>
      <c r="D21" s="9" t="str">
        <f ca="1">E14</f>
        <v>يوفيلاك</v>
      </c>
      <c r="E21" s="9" t="s">
        <v>120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9" t="b">
        <v>1</v>
      </c>
      <c r="BB21"/>
      <c r="BC21"/>
      <c r="BD21"/>
      <c r="BE21"/>
      <c r="BF21"/>
      <c r="BG21"/>
      <c r="BH21"/>
      <c r="BI21"/>
      <c r="BJ21"/>
    </row>
    <row r="22" spans="1:62" x14ac:dyDescent="0.3">
      <c r="A22" s="35">
        <v>4</v>
      </c>
      <c r="B22" s="15" t="str">
        <f>E13</f>
        <v>تجليدة سفلية</v>
      </c>
      <c r="C22" s="9">
        <f t="shared" si="0"/>
        <v>5</v>
      </c>
      <c r="D22" s="9" t="str">
        <f ca="1">E14</f>
        <v>يوفيلاك</v>
      </c>
      <c r="E22" s="9" t="s">
        <v>120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customFormat="1" ht="14.4" x14ac:dyDescent="0.3">
      <c r="A23" s="45">
        <v>255</v>
      </c>
    </row>
    <row r="24" spans="1:62" customFormat="1" ht="14.4" x14ac:dyDescent="0.3">
      <c r="A24" s="45">
        <v>255</v>
      </c>
    </row>
    <row r="25" spans="1:62" ht="18" x14ac:dyDescent="0.3">
      <c r="A25" s="36" t="s">
        <v>160</v>
      </c>
      <c r="B25" s="15"/>
      <c r="C25" s="14">
        <v>1</v>
      </c>
      <c r="D25" s="22" t="s">
        <v>59</v>
      </c>
      <c r="E25" s="100" t="s">
        <v>171</v>
      </c>
      <c r="F25" s="101"/>
      <c r="G25" s="101"/>
      <c r="H25" s="102"/>
      <c r="I25" s="2" t="s">
        <v>30</v>
      </c>
      <c r="J25" s="2">
        <f>letterToNumber(A25)</f>
        <v>2</v>
      </c>
      <c r="K25" s="7">
        <f ca="1">_xlfn.SHEET("تجاليد")</f>
        <v>8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22</v>
      </c>
      <c r="K26" s="7"/>
      <c r="BB26"/>
      <c r="BC26"/>
      <c r="BD26"/>
      <c r="BE26"/>
      <c r="BF26"/>
      <c r="BG26"/>
      <c r="BH26"/>
      <c r="BI26"/>
      <c r="BJ26"/>
    </row>
    <row r="27" spans="1:62" ht="15.6" customHeight="1" x14ac:dyDescent="0.3">
      <c r="A27" s="36">
        <v>0</v>
      </c>
      <c r="B27"/>
      <c r="C27"/>
      <c r="D27"/>
      <c r="E27"/>
      <c r="F27"/>
      <c r="G27"/>
      <c r="H27"/>
      <c r="I27"/>
      <c r="J27"/>
      <c r="K27"/>
      <c r="BB27"/>
      <c r="BC27"/>
      <c r="BD27"/>
      <c r="BE27"/>
      <c r="BF27"/>
      <c r="BG27"/>
      <c r="BH27"/>
      <c r="BI27"/>
      <c r="BJ27"/>
    </row>
    <row r="28" spans="1:62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33</v>
      </c>
      <c r="J28" s="6" t="s">
        <v>8</v>
      </c>
      <c r="K28" s="6"/>
      <c r="BB28"/>
      <c r="BC28"/>
      <c r="BD28"/>
      <c r="BE28"/>
      <c r="BF28"/>
      <c r="BG28"/>
      <c r="BH28"/>
      <c r="BI28"/>
      <c r="BJ28"/>
    </row>
    <row r="29" spans="1:62" x14ac:dyDescent="0.3">
      <c r="A29" s="36">
        <v>0</v>
      </c>
      <c r="B29"/>
      <c r="C29"/>
      <c r="D29"/>
      <c r="E29"/>
      <c r="F29"/>
      <c r="G29"/>
      <c r="H29"/>
      <c r="I29"/>
      <c r="J29"/>
      <c r="K29"/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4</v>
      </c>
      <c r="B30" s="15" t="str">
        <f>E25</f>
        <v>تجليدة علوية</v>
      </c>
      <c r="C30" s="9">
        <v>1</v>
      </c>
      <c r="D30" s="9" t="str">
        <f ca="1">E26</f>
        <v>يوفيلاك</v>
      </c>
      <c r="E30" s="9" t="s">
        <v>120</v>
      </c>
      <c r="F30" s="9"/>
      <c r="G30" s="9">
        <f>G26</f>
        <v>32</v>
      </c>
      <c r="H30" s="9"/>
      <c r="I30" s="9">
        <f ca="1">HLOOKUP(D30, materials[], 2,FALSE)</f>
        <v>6</v>
      </c>
      <c r="J30" s="9"/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x14ac:dyDescent="0.3">
      <c r="A31" s="35">
        <v>4</v>
      </c>
      <c r="B31" s="15" t="str">
        <f>E25</f>
        <v>تجليدة علوية</v>
      </c>
      <c r="C31" s="9">
        <v>1</v>
      </c>
      <c r="D31" s="9" t="str">
        <f ca="1">E26</f>
        <v>يوفيلاك</v>
      </c>
      <c r="E31" s="9" t="s">
        <v>120</v>
      </c>
      <c r="F31" s="9"/>
      <c r="G31" s="9">
        <f>G26</f>
        <v>32</v>
      </c>
      <c r="H31" s="9"/>
      <c r="I31" s="9">
        <f ca="1">HLOOKUP(D31, materials[], 2,FALSE)</f>
        <v>6</v>
      </c>
      <c r="J31" s="9"/>
      <c r="K31" s="9" t="b">
        <v>1</v>
      </c>
      <c r="BB31"/>
      <c r="BC31"/>
      <c r="BD31"/>
      <c r="BE31"/>
      <c r="BF31"/>
      <c r="BG31"/>
      <c r="BH31"/>
      <c r="BI31"/>
      <c r="BJ31"/>
    </row>
    <row r="32" spans="1:62" x14ac:dyDescent="0.3">
      <c r="A32" s="35">
        <v>4</v>
      </c>
      <c r="B32" s="15" t="str">
        <f>E25</f>
        <v>تجليدة علوية</v>
      </c>
      <c r="C32" s="9">
        <v>1</v>
      </c>
      <c r="D32" s="9" t="str">
        <f ca="1">E26</f>
        <v>يوفيلاك</v>
      </c>
      <c r="E32" s="9" t="s">
        <v>120</v>
      </c>
      <c r="F32" s="9"/>
      <c r="G32" s="9">
        <f>G26</f>
        <v>32</v>
      </c>
      <c r="H32" s="9"/>
      <c r="I32" s="9">
        <f ca="1">HLOOKUP(D32, materials[], 2,FALSE)</f>
        <v>6</v>
      </c>
      <c r="J32" s="9"/>
      <c r="K32" s="9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4</v>
      </c>
      <c r="B33" s="15" t="str">
        <f>E25</f>
        <v>تجليدة علوية</v>
      </c>
      <c r="C33" s="9">
        <v>1</v>
      </c>
      <c r="D33" s="9" t="str">
        <f ca="1">E26</f>
        <v>يوفيلاك</v>
      </c>
      <c r="E33" s="9" t="s">
        <v>120</v>
      </c>
      <c r="F33" s="9"/>
      <c r="G33" s="9">
        <f>G26</f>
        <v>32</v>
      </c>
      <c r="H33" s="9"/>
      <c r="I33" s="9">
        <f ca="1">HLOOKUP(D33, materials[], 2,FALSE)</f>
        <v>6</v>
      </c>
      <c r="J33" s="9"/>
      <c r="K33" s="9" t="b">
        <v>1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5">
        <v>4</v>
      </c>
      <c r="B34" s="15" t="str">
        <f>E25</f>
        <v>تجليدة علوية</v>
      </c>
      <c r="C34" s="9">
        <v>1</v>
      </c>
      <c r="D34" s="9" t="str">
        <f ca="1">E26</f>
        <v>يوفيلاك</v>
      </c>
      <c r="E34" s="9" t="s">
        <v>120</v>
      </c>
      <c r="F34" s="9"/>
      <c r="G34" s="9">
        <f>G26</f>
        <v>32</v>
      </c>
      <c r="H34" s="9"/>
      <c r="I34" s="9">
        <f ca="1">HLOOKUP(D34, materials[], 2,FALSE)</f>
        <v>6</v>
      </c>
      <c r="J34" s="9"/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customFormat="1" ht="14.4" x14ac:dyDescent="0.3">
      <c r="A35" s="45">
        <v>255</v>
      </c>
    </row>
    <row r="36" spans="1:62" customFormat="1" ht="14.4" x14ac:dyDescent="0.3">
      <c r="A36" s="45">
        <v>255</v>
      </c>
    </row>
    <row r="37" spans="1:62" ht="18" x14ac:dyDescent="0.3">
      <c r="A37" s="36" t="s">
        <v>156</v>
      </c>
      <c r="B37" s="15"/>
      <c r="C37" s="14">
        <v>1</v>
      </c>
      <c r="D37" s="22" t="s">
        <v>59</v>
      </c>
      <c r="E37" s="100" t="s">
        <v>172</v>
      </c>
      <c r="F37" s="101"/>
      <c r="G37" s="101"/>
      <c r="H37" s="102"/>
      <c r="I37" s="2" t="s">
        <v>30</v>
      </c>
      <c r="J37" s="2">
        <f>letterToNumber(A37)</f>
        <v>3</v>
      </c>
      <c r="K37" s="7">
        <f ca="1">_xlfn.SHEET("تجاليد")</f>
        <v>8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22</v>
      </c>
      <c r="K38" s="7"/>
      <c r="BB38"/>
      <c r="BC38"/>
      <c r="BD38"/>
      <c r="BE38"/>
      <c r="BF38"/>
      <c r="BG38"/>
      <c r="BH38"/>
      <c r="BI38"/>
      <c r="BJ38"/>
    </row>
    <row r="39" spans="1:62" ht="15.6" customHeight="1" x14ac:dyDescent="0.3">
      <c r="A39" s="36">
        <v>0</v>
      </c>
      <c r="B39"/>
      <c r="C39"/>
      <c r="D39"/>
      <c r="E39"/>
      <c r="F39"/>
      <c r="G39"/>
      <c r="H39"/>
      <c r="I39"/>
      <c r="J39"/>
      <c r="K39"/>
      <c r="BB39"/>
      <c r="BC39"/>
      <c r="BD39"/>
      <c r="BE39"/>
      <c r="BF39"/>
      <c r="BG39"/>
      <c r="BH39"/>
      <c r="BI39"/>
      <c r="BJ39"/>
    </row>
    <row r="40" spans="1:62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33</v>
      </c>
      <c r="J40" s="6" t="s">
        <v>8</v>
      </c>
      <c r="K40" s="6"/>
      <c r="BB40"/>
      <c r="BC40"/>
      <c r="BD40"/>
      <c r="BE40"/>
      <c r="BF40"/>
      <c r="BG40"/>
      <c r="BH40"/>
      <c r="BI40"/>
      <c r="BJ40"/>
    </row>
    <row r="41" spans="1:62" x14ac:dyDescent="0.3">
      <c r="A41" s="36">
        <v>0</v>
      </c>
      <c r="B41"/>
      <c r="C41"/>
      <c r="D41"/>
      <c r="E41"/>
      <c r="F41"/>
      <c r="G41"/>
      <c r="H41"/>
      <c r="I41"/>
      <c r="J41"/>
      <c r="K41"/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4</v>
      </c>
      <c r="B42" s="15" t="str">
        <f>E37</f>
        <v>تجليدة مختلفة</v>
      </c>
      <c r="C42" s="9">
        <v>1</v>
      </c>
      <c r="D42" s="9" t="str">
        <f ca="1">E38</f>
        <v>يوفيلاك</v>
      </c>
      <c r="E42" s="9" t="s">
        <v>120</v>
      </c>
      <c r="F42" s="9"/>
      <c r="G42" s="9">
        <f>G38</f>
        <v>20</v>
      </c>
      <c r="H42" s="9"/>
      <c r="I42" s="9">
        <f ca="1">HLOOKUP(D42, materials[], 2,FALSE)</f>
        <v>6</v>
      </c>
      <c r="J42" s="9"/>
      <c r="K42" s="9" t="b">
        <v>1</v>
      </c>
      <c r="BB42"/>
      <c r="BC42"/>
      <c r="BD42"/>
      <c r="BE42"/>
      <c r="BF42"/>
      <c r="BG42"/>
      <c r="BH42"/>
      <c r="BI42"/>
      <c r="BJ42"/>
    </row>
    <row r="43" spans="1:62" x14ac:dyDescent="0.3">
      <c r="A43" s="35">
        <v>4</v>
      </c>
      <c r="B43" s="15" t="str">
        <f>E37</f>
        <v>تجليدة مختلفة</v>
      </c>
      <c r="C43" s="9">
        <v>1</v>
      </c>
      <c r="D43" s="9" t="str">
        <f ca="1">E38</f>
        <v>يوفيلاك</v>
      </c>
      <c r="E43" s="9" t="s">
        <v>120</v>
      </c>
      <c r="F43" s="9"/>
      <c r="G43" s="9">
        <f>G38</f>
        <v>20</v>
      </c>
      <c r="H43" s="9"/>
      <c r="I43" s="9">
        <f ca="1">HLOOKUP(D43, materials[], 2,FALSE)</f>
        <v>6</v>
      </c>
      <c r="J43" s="9"/>
      <c r="K43" s="9" t="b">
        <v>1</v>
      </c>
      <c r="BB43"/>
      <c r="BC43"/>
      <c r="BD43"/>
      <c r="BE43"/>
      <c r="BF43"/>
      <c r="BG43"/>
      <c r="BH43"/>
      <c r="BI43"/>
      <c r="BJ43"/>
    </row>
    <row r="44" spans="1:62" x14ac:dyDescent="0.3">
      <c r="A44" s="35">
        <v>4</v>
      </c>
      <c r="B44" s="15" t="str">
        <f>E37</f>
        <v>تجليدة مختلفة</v>
      </c>
      <c r="C44" s="9">
        <v>1</v>
      </c>
      <c r="D44" s="9" t="str">
        <f ca="1">E38</f>
        <v>يوفيلاك</v>
      </c>
      <c r="E44" s="9" t="s">
        <v>120</v>
      </c>
      <c r="F44" s="9"/>
      <c r="G44" s="9">
        <f>G38</f>
        <v>20</v>
      </c>
      <c r="H44" s="9"/>
      <c r="I44" s="9">
        <f ca="1">HLOOKUP(D44, materials[], 2,FALSE)</f>
        <v>6</v>
      </c>
      <c r="J44" s="9"/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4</v>
      </c>
      <c r="B45" s="15" t="str">
        <f>E37</f>
        <v>تجليدة مختلفة</v>
      </c>
      <c r="C45" s="9">
        <v>1</v>
      </c>
      <c r="D45" s="9" t="str">
        <f ca="1">E38</f>
        <v>يوفيلاك</v>
      </c>
      <c r="E45" s="9" t="s">
        <v>120</v>
      </c>
      <c r="F45" s="9"/>
      <c r="G45" s="9">
        <f>G38</f>
        <v>20</v>
      </c>
      <c r="H45" s="9"/>
      <c r="I45" s="9">
        <f ca="1">HLOOKUP(D45, materials[], 2,FALSE)</f>
        <v>6</v>
      </c>
      <c r="J45" s="9"/>
      <c r="K45" s="9" t="b">
        <v>1</v>
      </c>
      <c r="BB45"/>
      <c r="BC45"/>
      <c r="BD45"/>
      <c r="BE45"/>
      <c r="BF45"/>
      <c r="BG45"/>
      <c r="BH45"/>
      <c r="BI45"/>
      <c r="BJ45"/>
    </row>
    <row r="46" spans="1:62" x14ac:dyDescent="0.3">
      <c r="A46" s="35">
        <v>4</v>
      </c>
      <c r="B46" s="15" t="str">
        <f>E37</f>
        <v>تجليدة مختلفة</v>
      </c>
      <c r="C46" s="9">
        <v>1</v>
      </c>
      <c r="D46" s="9" t="str">
        <f ca="1">E38</f>
        <v>يوفيلاك</v>
      </c>
      <c r="E46" s="9" t="s">
        <v>120</v>
      </c>
      <c r="F46" s="9"/>
      <c r="G46" s="9">
        <f>G38</f>
        <v>20</v>
      </c>
      <c r="H46" s="9"/>
      <c r="I46" s="9">
        <f ca="1">HLOOKUP(D46, materials[], 2,FALSE)</f>
        <v>6</v>
      </c>
      <c r="J46" s="9"/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customFormat="1" ht="14.4" x14ac:dyDescent="0.3">
      <c r="A47" s="45">
        <v>255</v>
      </c>
    </row>
    <row r="48" spans="1:62" customFormat="1" ht="14.4" x14ac:dyDescent="0.3">
      <c r="A48" s="45">
        <v>255</v>
      </c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60960</xdr:rowOff>
                  </from>
                  <to>
                    <xdr:col>11</xdr:col>
                    <xdr:colOff>563880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228600</xdr:colOff>
                    <xdr:row>4</xdr:row>
                    <xdr:rowOff>182880</xdr:rowOff>
                  </from>
                  <to>
                    <xdr:col>4</xdr:col>
                    <xdr:colOff>373380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510540</xdr:colOff>
                    <xdr:row>4</xdr:row>
                    <xdr:rowOff>182880</xdr:rowOff>
                  </from>
                  <to>
                    <xdr:col>8</xdr:col>
                    <xdr:colOff>60960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إعدادات</vt:lpstr>
      <vt:lpstr>نماذج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2024-09-19T19:04:55Z</dcterms:modified>
</cp:coreProperties>
</file>