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1FFE390C-C8E2-4698-BA92-70EDC1A62E2E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بورديوم" sheetId="7" r:id="rId5"/>
    <sheet name="وحدات علوية" sheetId="4" r:id="rId6"/>
    <sheet name="دواليب" sheetId="5" r:id="rId7"/>
    <sheet name="تجاليد" sheetId="6" r:id="rId8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" i="11" l="1"/>
  <c r="C139" i="7"/>
  <c r="F139" i="7"/>
  <c r="C140" i="7"/>
  <c r="C141" i="7" s="1"/>
  <c r="F141" i="7"/>
  <c r="G141" i="7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50" i="3"/>
  <c r="K127" i="3"/>
  <c r="K107" i="3"/>
  <c r="K86" i="3"/>
  <c r="K66" i="3"/>
  <c r="K31" i="3"/>
  <c r="K13" i="3"/>
  <c r="E25" i="11" a="1"/>
  <c r="J28" i="11" a="1"/>
  <c r="G26" i="11" a="1"/>
  <c r="J25" i="11" a="1"/>
  <c r="G23" i="11" a="1"/>
  <c r="J22" i="11" a="1"/>
  <c r="G21" i="11" a="1"/>
  <c r="J20" i="11" a="1"/>
  <c r="C23" i="11" a="1"/>
  <c r="H23" i="11" a="1"/>
  <c r="E20" i="11" a="1"/>
  <c r="F28" i="11" a="1"/>
  <c r="C21" i="11" a="1"/>
  <c r="B21" i="11" a="1"/>
  <c r="C28" i="11" a="1"/>
  <c r="F26" i="11" a="1"/>
  <c r="C25" i="11" a="1"/>
  <c r="F23" i="11" a="1"/>
  <c r="C22" i="11" a="1"/>
  <c r="F21" i="11" a="1"/>
  <c r="C20" i="11" a="1"/>
  <c r="J13" i="11"/>
  <c r="C26" i="11" a="1"/>
  <c r="H28" i="11" a="1"/>
  <c r="B28" i="11" a="1"/>
  <c r="E26" i="11" a="1"/>
  <c r="H25" i="11" a="1"/>
  <c r="B25" i="11" a="1"/>
  <c r="E23" i="11" a="1"/>
  <c r="H22" i="11" a="1"/>
  <c r="B22" i="11" a="1"/>
  <c r="E21" i="11" a="1"/>
  <c r="H20" i="11" a="1"/>
  <c r="B20" i="11" a="1"/>
  <c r="H26" i="11" a="1"/>
  <c r="E22" i="11" a="1"/>
  <c r="F22" i="11" a="1"/>
  <c r="E28" i="11" a="1"/>
  <c r="B26" i="11" a="1"/>
  <c r="B23" i="11" a="1"/>
  <c r="H21" i="11" a="1"/>
  <c r="G28" i="11" a="1"/>
  <c r="J26" i="11" a="1"/>
  <c r="G25" i="11" a="1"/>
  <c r="J23" i="11" a="1"/>
  <c r="G22" i="11" a="1"/>
  <c r="J21" i="11" a="1"/>
  <c r="G20" i="11" a="1"/>
  <c r="G16" i="11" a="1"/>
  <c r="F25" i="11" a="1"/>
  <c r="F20" i="11" a="1"/>
  <c r="F20" i="11" l="1"/>
  <c r="F25" i="11"/>
  <c r="G16" i="11"/>
  <c r="G20" i="11"/>
  <c r="J21" i="11"/>
  <c r="G22" i="11"/>
  <c r="J23" i="11"/>
  <c r="G25" i="11"/>
  <c r="J26" i="11"/>
  <c r="G28" i="11"/>
  <c r="H21" i="11"/>
  <c r="B23" i="11"/>
  <c r="B26" i="11"/>
  <c r="E28" i="11"/>
  <c r="F22" i="11"/>
  <c r="E22" i="11"/>
  <c r="H26" i="11"/>
  <c r="B20" i="11"/>
  <c r="H20" i="11"/>
  <c r="E21" i="11"/>
  <c r="B22" i="11"/>
  <c r="H22" i="11"/>
  <c r="E23" i="11"/>
  <c r="B25" i="11"/>
  <c r="H25" i="11"/>
  <c r="E26" i="11"/>
  <c r="B28" i="11"/>
  <c r="H28" i="11"/>
  <c r="C26" i="11"/>
  <c r="C20" i="11"/>
  <c r="F21" i="11"/>
  <c r="C22" i="11"/>
  <c r="F23" i="11"/>
  <c r="C25" i="11"/>
  <c r="F26" i="11"/>
  <c r="C28" i="11"/>
  <c r="B21" i="11"/>
  <c r="C21" i="11"/>
  <c r="F28" i="11"/>
  <c r="E20" i="11"/>
  <c r="H23" i="11"/>
  <c r="C23" i="11"/>
  <c r="J20" i="11"/>
  <c r="G21" i="11"/>
  <c r="J22" i="11"/>
  <c r="G23" i="11"/>
  <c r="J25" i="11"/>
  <c r="G26" i="11"/>
  <c r="J28" i="11"/>
  <c r="E25" i="11"/>
  <c r="G46" i="6"/>
  <c r="B46" i="6"/>
  <c r="G45" i="6"/>
  <c r="B45" i="6"/>
  <c r="G44" i="6"/>
  <c r="B44" i="6"/>
  <c r="G43" i="6"/>
  <c r="B43" i="6"/>
  <c r="G42" i="6"/>
  <c r="B42" i="6"/>
  <c r="C20" i="6"/>
  <c r="C21" i="6" s="1"/>
  <c r="C22" i="6" s="1"/>
  <c r="C19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43" i="7" s="1"/>
  <c r="H134" i="7"/>
  <c r="F134" i="7"/>
  <c r="B134" i="7"/>
  <c r="B144" i="7" s="1"/>
  <c r="H167" i="3"/>
  <c r="H170" i="3"/>
  <c r="F170" i="3"/>
  <c r="F167" i="3"/>
  <c r="H164" i="3"/>
  <c r="H163" i="3"/>
  <c r="H162" i="3"/>
  <c r="G164" i="3"/>
  <c r="F164" i="3"/>
  <c r="F162" i="3"/>
  <c r="H169" i="3"/>
  <c r="G169" i="3"/>
  <c r="H166" i="3"/>
  <c r="G166" i="3"/>
  <c r="H161" i="3"/>
  <c r="F161" i="3"/>
  <c r="H160" i="3"/>
  <c r="G160" i="3"/>
  <c r="F160" i="3"/>
  <c r="H159" i="3"/>
  <c r="G159" i="3"/>
  <c r="F159" i="3"/>
  <c r="H158" i="3"/>
  <c r="C158" i="3"/>
  <c r="C159" i="3" s="1"/>
  <c r="C160" i="3" s="1"/>
  <c r="C161" i="3" s="1"/>
  <c r="C162" i="3" s="1"/>
  <c r="C163" i="3" s="1"/>
  <c r="C164" i="3" s="1"/>
  <c r="C166" i="3" s="1"/>
  <c r="C167" i="3" s="1"/>
  <c r="H157" i="3"/>
  <c r="F157" i="3"/>
  <c r="B157" i="3"/>
  <c r="B161" i="3" s="1"/>
  <c r="R31" i="8" a="1"/>
  <c r="F30" i="8" a="1"/>
  <c r="I30" i="8" a="1"/>
  <c r="R28" i="8" a="1"/>
  <c r="R24" i="8" a="1"/>
  <c r="I31" i="8" a="1"/>
  <c r="O24" i="8" a="1"/>
  <c r="L27" i="8" a="1"/>
  <c r="R25" i="8" a="1"/>
  <c r="R29" i="8" a="1"/>
  <c r="I22" i="8" a="1"/>
  <c r="I27" i="8" a="1"/>
  <c r="O30" i="8" a="1"/>
  <c r="I28" i="8" a="1"/>
  <c r="F29" i="8" a="1"/>
  <c r="R27" i="8" a="1"/>
  <c r="R30" i="8" a="1"/>
  <c r="F31" i="8" a="1"/>
  <c r="F27" i="8" a="1"/>
  <c r="O28" i="8" a="1"/>
  <c r="O23" i="8" a="1"/>
  <c r="I29" i="8" a="1"/>
  <c r="J127" i="7"/>
  <c r="J31" i="7"/>
  <c r="J37" i="6"/>
  <c r="L31" i="8" a="1"/>
  <c r="L25" i="8" a="1"/>
  <c r="J25" i="6"/>
  <c r="R21" i="8" a="1"/>
  <c r="O27" i="8" a="1"/>
  <c r="R20" i="8" a="1"/>
  <c r="L28" i="8" a="1"/>
  <c r="L29" i="8" a="1"/>
  <c r="O22" i="8" a="1"/>
  <c r="R22" i="8" a="1"/>
  <c r="F24" i="8" a="1"/>
  <c r="I23" i="8" a="1"/>
  <c r="L24" i="8" a="1"/>
  <c r="R26" i="8" a="1"/>
  <c r="F26" i="8" a="1"/>
  <c r="L30" i="8" a="1"/>
  <c r="O29" i="8" a="1"/>
  <c r="F28" i="8" a="1"/>
  <c r="O31" i="8" a="1"/>
  <c r="J79" i="4"/>
  <c r="O26" i="8" a="1"/>
  <c r="O25" i="8" a="1"/>
  <c r="F25" i="8" a="1"/>
  <c r="R23" i="8" a="1"/>
  <c r="J150" i="3"/>
  <c r="I152" i="4" a="1"/>
  <c r="G105" i="4" a="1"/>
  <c r="J105" i="4" a="1"/>
  <c r="I57" i="4" a="1"/>
  <c r="I105" i="4" a="1"/>
  <c r="I81" i="4" a="1"/>
  <c r="G81" i="4" a="1"/>
  <c r="J36" i="4" a="1"/>
  <c r="G152" i="4" a="1"/>
  <c r="G57" i="4" a="1"/>
  <c r="J57" i="4" a="1"/>
  <c r="I132" i="4" a="1"/>
  <c r="G36" i="4" a="1"/>
  <c r="I131" i="4" a="1"/>
  <c r="J15" i="4" a="1"/>
  <c r="J81" i="4" a="1"/>
  <c r="G131" i="4" a="1"/>
  <c r="I15" i="4" a="1"/>
  <c r="J152" i="4" a="1"/>
  <c r="J106" i="4" a="1"/>
  <c r="J131" i="4" a="1"/>
  <c r="J132" i="4" a="1"/>
  <c r="I36" i="4" a="1"/>
  <c r="I106" i="4" a="1"/>
  <c r="G15" i="4" a="1"/>
  <c r="R31" i="8" l="1"/>
  <c r="R24" i="8"/>
  <c r="R30" i="8"/>
  <c r="R23" i="8"/>
  <c r="R22" i="8"/>
  <c r="R28" i="8"/>
  <c r="R20" i="8"/>
  <c r="R25" i="8"/>
  <c r="R29" i="8"/>
  <c r="R27" i="8"/>
  <c r="R26" i="8"/>
  <c r="R21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L25" i="8"/>
  <c r="L27" i="8"/>
  <c r="L28" i="8"/>
  <c r="L29" i="8"/>
  <c r="L24" i="8"/>
  <c r="L30" i="8"/>
  <c r="O24" i="8"/>
  <c r="O29" i="8"/>
  <c r="O23" i="8"/>
  <c r="O30" i="8"/>
  <c r="O22" i="8"/>
  <c r="O28" i="8"/>
  <c r="O27" i="8"/>
  <c r="O26" i="8"/>
  <c r="O31" i="8"/>
  <c r="O25" i="8"/>
  <c r="L31" i="8"/>
  <c r="I27" i="8"/>
  <c r="I22" i="8"/>
  <c r="I28" i="8"/>
  <c r="I29" i="8"/>
  <c r="I30" i="8"/>
  <c r="I23" i="8"/>
  <c r="I31" i="8"/>
  <c r="F25" i="8"/>
  <c r="F27" i="8"/>
  <c r="F28" i="8"/>
  <c r="F29" i="8"/>
  <c r="F30" i="8"/>
  <c r="F24" i="8"/>
  <c r="F31" i="8"/>
  <c r="F26" i="8"/>
  <c r="B147" i="7"/>
  <c r="B167" i="3"/>
  <c r="B135" i="7"/>
  <c r="B139" i="7" s="1"/>
  <c r="B170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69" i="3"/>
  <c r="C170" i="3" s="1"/>
  <c r="B169" i="3"/>
  <c r="B160" i="3"/>
  <c r="B164" i="3" s="1"/>
  <c r="B158" i="3"/>
  <c r="B162" i="3" s="1"/>
  <c r="B166" i="3"/>
  <c r="B159" i="3"/>
  <c r="B163" i="3" s="1"/>
  <c r="H141" i="3"/>
  <c r="G141" i="3"/>
  <c r="F141" i="3"/>
  <c r="H140" i="3"/>
  <c r="H139" i="3"/>
  <c r="F139" i="3"/>
  <c r="H147" i="3"/>
  <c r="F147" i="3"/>
  <c r="H137" i="3"/>
  <c r="H136" i="3"/>
  <c r="H134" i="3"/>
  <c r="G78" i="3"/>
  <c r="G80" i="3"/>
  <c r="H63" i="3"/>
  <c r="H62" i="3"/>
  <c r="H61" i="3"/>
  <c r="F62" i="3"/>
  <c r="F63" i="3"/>
  <c r="F61" i="3"/>
  <c r="H48" i="3"/>
  <c r="H47" i="3"/>
  <c r="H46" i="3"/>
  <c r="H58" i="3"/>
  <c r="H57" i="3"/>
  <c r="H56" i="3"/>
  <c r="G58" i="3"/>
  <c r="G57" i="3"/>
  <c r="G56" i="3"/>
  <c r="H52" i="3"/>
  <c r="H53" i="3"/>
  <c r="H51" i="3"/>
  <c r="H50" i="3"/>
  <c r="H49" i="3"/>
  <c r="H45" i="3"/>
  <c r="H44" i="3"/>
  <c r="H43" i="3"/>
  <c r="G53" i="3"/>
  <c r="G52" i="3"/>
  <c r="G51" i="3"/>
  <c r="G50" i="3"/>
  <c r="G49" i="3"/>
  <c r="G48" i="3"/>
  <c r="G47" i="3"/>
  <c r="G46" i="3"/>
  <c r="G45" i="3"/>
  <c r="G44" i="3"/>
  <c r="G43" i="3"/>
  <c r="F51" i="3"/>
  <c r="F49" i="3"/>
  <c r="F52" i="3"/>
  <c r="G50" i="4"/>
  <c r="G147" i="4"/>
  <c r="G126" i="4"/>
  <c r="G125" i="4"/>
  <c r="G124" i="3"/>
  <c r="G104" i="3"/>
  <c r="J86" i="7"/>
  <c r="I25" i="8" a="1"/>
  <c r="J13" i="7"/>
  <c r="J150" i="4"/>
  <c r="J107" i="7"/>
  <c r="J129" i="4"/>
  <c r="J103" i="4"/>
  <c r="I24" i="8" a="1"/>
  <c r="J55" i="4"/>
  <c r="J66" i="7"/>
  <c r="J13" i="4"/>
  <c r="I26" i="8" a="1"/>
  <c r="J34" i="4"/>
  <c r="J13" i="6"/>
  <c r="J13" i="5"/>
  <c r="J40" i="5"/>
  <c r="J66" i="3"/>
  <c r="J31" i="3"/>
  <c r="J127" i="3"/>
  <c r="J107" i="3"/>
  <c r="J86" i="3"/>
  <c r="J13" i="3"/>
  <c r="E15" i="3" a="1"/>
  <c r="E109" i="3" a="1"/>
  <c r="J109" i="7" a="1"/>
  <c r="J34" i="7" a="1"/>
  <c r="I15" i="3" a="1"/>
  <c r="J129" i="3" a="1"/>
  <c r="E129" i="3" a="1"/>
  <c r="I88" i="7" a="1"/>
  <c r="F152" i="4" a="1"/>
  <c r="I109" i="7" a="1"/>
  <c r="J110" i="7" a="1"/>
  <c r="G152" i="3" a="1"/>
  <c r="J15" i="3" a="1"/>
  <c r="I34" i="3" a="1"/>
  <c r="G129" i="3" a="1"/>
  <c r="I110" i="3" a="1"/>
  <c r="I68" i="3" a="1"/>
  <c r="I89" i="3" a="1"/>
  <c r="I129" i="7" a="1"/>
  <c r="I152" i="3" a="1"/>
  <c r="E68" i="3" a="1"/>
  <c r="I109" i="3" a="1"/>
  <c r="F15" i="4" a="1"/>
  <c r="J89" i="3" a="1"/>
  <c r="J88" i="3" a="1"/>
  <c r="I32" i="3" a="1"/>
  <c r="F105" i="4" a="1"/>
  <c r="E88" i="3" a="1"/>
  <c r="J152" i="3" a="1"/>
  <c r="J68" i="3" a="1"/>
  <c r="I129" i="3" a="1"/>
  <c r="I110" i="7" a="1"/>
  <c r="G34" i="3" a="1"/>
  <c r="I68" i="7" a="1"/>
  <c r="F131" i="4" a="1"/>
  <c r="E152" i="3" a="1"/>
  <c r="J68" i="7" a="1"/>
  <c r="J88" i="7" a="1"/>
  <c r="F36" i="4" a="1"/>
  <c r="J129" i="7" a="1"/>
  <c r="F81" i="4" a="1"/>
  <c r="I34" i="7" a="1"/>
  <c r="J109" i="3" a="1"/>
  <c r="J110" i="3" a="1"/>
  <c r="J34" i="3" a="1"/>
  <c r="J89" i="7" a="1"/>
  <c r="I89" i="7" a="1"/>
  <c r="I88" i="3" a="1"/>
  <c r="F57" i="4" a="1"/>
  <c r="I25" i="8" l="1"/>
  <c r="F105" i="4"/>
  <c r="F36" i="4"/>
  <c r="F57" i="4"/>
  <c r="F152" i="4"/>
  <c r="F81" i="4"/>
  <c r="F95" i="4" s="1"/>
  <c r="F131" i="4"/>
  <c r="F15" i="4"/>
  <c r="I26" i="8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I24" i="8"/>
  <c r="F98" i="4"/>
  <c r="E82" i="4"/>
  <c r="H82" i="4"/>
  <c r="H83" i="4" s="1"/>
  <c r="F93" i="4"/>
  <c r="G90" i="4"/>
  <c r="G92" i="4"/>
  <c r="G89" i="4"/>
  <c r="F96" i="4"/>
  <c r="F100" i="4"/>
  <c r="E152" i="3"/>
  <c r="E129" i="3"/>
  <c r="E109" i="3"/>
  <c r="E88" i="3"/>
  <c r="E68" i="3"/>
  <c r="G34" i="3"/>
  <c r="E15" i="3"/>
  <c r="G152" i="3"/>
  <c r="G129" i="3"/>
  <c r="G147" i="3" s="1"/>
  <c r="I32" i="3"/>
  <c r="I152" i="3"/>
  <c r="I129" i="3"/>
  <c r="I110" i="3"/>
  <c r="I109" i="3"/>
  <c r="I89" i="3"/>
  <c r="I88" i="3"/>
  <c r="I68" i="3"/>
  <c r="I34" i="3"/>
  <c r="I15" i="3"/>
  <c r="J152" i="3"/>
  <c r="G161" i="3" s="1"/>
  <c r="J129" i="3"/>
  <c r="J109" i="3"/>
  <c r="J110" i="3"/>
  <c r="J89" i="3"/>
  <c r="J88" i="3"/>
  <c r="J68" i="3"/>
  <c r="J34" i="3"/>
  <c r="J15" i="3"/>
  <c r="G24" i="3" s="1"/>
  <c r="C57" i="7"/>
  <c r="C61" i="7"/>
  <c r="H55" i="3"/>
  <c r="G18" i="6"/>
  <c r="B18" i="6"/>
  <c r="F123" i="4"/>
  <c r="F122" i="4"/>
  <c r="F74" i="4"/>
  <c r="C20" i="8"/>
  <c r="F20" i="3"/>
  <c r="E3" i="10" a="1"/>
  <c r="G23" i="3"/>
  <c r="G22" i="3"/>
  <c r="G14" i="11" a="1"/>
  <c r="L20" i="8" a="1"/>
  <c r="O20" i="8" a="1"/>
  <c r="F20" i="8" a="1"/>
  <c r="R19" i="8" a="1"/>
  <c r="G129" i="7" a="1"/>
  <c r="F88" i="7" a="1"/>
  <c r="E109" i="7" a="1"/>
  <c r="G34" i="7" a="1"/>
  <c r="E15" i="7" a="1"/>
  <c r="J15" i="7" a="1"/>
  <c r="F109" i="7" a="1"/>
  <c r="B34" i="7" a="1"/>
  <c r="E68" i="7" a="1"/>
  <c r="F68" i="7" a="1"/>
  <c r="I32" i="7" a="1"/>
  <c r="E129" i="7" a="1"/>
  <c r="E88" i="7" a="1"/>
  <c r="I15" i="7" a="1"/>
  <c r="F15" i="7" a="1"/>
  <c r="F129" i="7" a="1"/>
  <c r="G14" i="11" l="1"/>
  <c r="E3" i="10"/>
  <c r="F158" i="3"/>
  <c r="G170" i="3"/>
  <c r="G40" i="7"/>
  <c r="R19" i="8"/>
  <c r="O20" i="8"/>
  <c r="F20" i="8"/>
  <c r="L20" i="8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E109" i="7"/>
  <c r="E68" i="7"/>
  <c r="E88" i="7"/>
  <c r="E15" i="7"/>
  <c r="G129" i="7"/>
  <c r="F140" i="7" s="1"/>
  <c r="I32" i="7"/>
  <c r="F135" i="7"/>
  <c r="F163" i="3"/>
  <c r="G158" i="3"/>
  <c r="G157" i="3"/>
  <c r="F58" i="3"/>
  <c r="J15" i="7"/>
  <c r="I15" i="7"/>
  <c r="G167" i="3"/>
  <c r="F166" i="3" s="1"/>
  <c r="F169" i="3"/>
  <c r="F140" i="3"/>
  <c r="G44" i="4"/>
  <c r="G47" i="4"/>
  <c r="G45" i="4"/>
  <c r="G122" i="4"/>
  <c r="G123" i="4"/>
  <c r="G68" i="4"/>
  <c r="G66" i="4"/>
  <c r="G65" i="4"/>
  <c r="C58" i="7"/>
  <c r="C63" i="7" s="1"/>
  <c r="C62" i="7"/>
  <c r="G62" i="3"/>
  <c r="G61" i="3"/>
  <c r="G63" i="3"/>
  <c r="F57" i="3"/>
  <c r="F55" i="3"/>
  <c r="F56" i="3"/>
  <c r="G144" i="3"/>
  <c r="F50" i="3"/>
  <c r="F53" i="3"/>
  <c r="F26" i="3"/>
  <c r="F23" i="3"/>
  <c r="F28" i="3"/>
  <c r="F22" i="3"/>
  <c r="G28" i="3"/>
  <c r="G26" i="3"/>
  <c r="F21" i="3"/>
  <c r="F24" i="3"/>
  <c r="G20" i="3"/>
  <c r="G21" i="3"/>
  <c r="C21" i="8"/>
  <c r="C19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46" i="3"/>
  <c r="G146" i="3"/>
  <c r="F146" i="3"/>
  <c r="H144" i="3"/>
  <c r="F144" i="3"/>
  <c r="H143" i="3"/>
  <c r="F143" i="3" s="1"/>
  <c r="H138" i="3"/>
  <c r="G138" i="3"/>
  <c r="F138" i="3"/>
  <c r="F137" i="3"/>
  <c r="F136" i="3"/>
  <c r="H135" i="3"/>
  <c r="G135" i="3"/>
  <c r="F135" i="3"/>
  <c r="C135" i="3"/>
  <c r="C136" i="3" s="1"/>
  <c r="C137" i="3" s="1"/>
  <c r="C138" i="3" s="1"/>
  <c r="G134" i="3"/>
  <c r="F134" i="3"/>
  <c r="B134" i="3"/>
  <c r="B138" i="4"/>
  <c r="B112" i="4"/>
  <c r="B120" i="4" s="1"/>
  <c r="B65" i="4"/>
  <c r="B44" i="4"/>
  <c r="B49" i="4" s="1"/>
  <c r="B115" i="7"/>
  <c r="B94" i="7"/>
  <c r="B73" i="7"/>
  <c r="B20" i="7"/>
  <c r="B115" i="3"/>
  <c r="B122" i="3" s="1"/>
  <c r="B98" i="3"/>
  <c r="B73" i="3"/>
  <c r="B75" i="3" s="1"/>
  <c r="B39" i="3"/>
  <c r="B20" i="3"/>
  <c r="B28" i="3" s="1"/>
  <c r="D25" i="11" a="1"/>
  <c r="D26" i="11" a="1"/>
  <c r="I14" i="11" a="1"/>
  <c r="E14" i="11" a="1"/>
  <c r="L21" i="8" a="1"/>
  <c r="O21" i="8" a="1"/>
  <c r="F19" i="8" a="1"/>
  <c r="L19" i="8" a="1"/>
  <c r="O19" i="8" a="1"/>
  <c r="F21" i="8" a="1"/>
  <c r="I20" i="8" a="1"/>
  <c r="F85" i="4" a="1"/>
  <c r="F153" i="3" a="1"/>
  <c r="F111" i="3" a="1"/>
  <c r="F16" i="3" a="1"/>
  <c r="E14" i="6" a="1"/>
  <c r="F54" i="5" a="1"/>
  <c r="F61" i="4" a="1"/>
  <c r="E38" i="6" a="1"/>
  <c r="F156" i="4" a="1"/>
  <c r="F90" i="3" a="1"/>
  <c r="F69" i="3" a="1"/>
  <c r="F19" i="4" a="1"/>
  <c r="F130" i="3" a="1"/>
  <c r="F108" i="4" a="1"/>
  <c r="F35" i="3" a="1"/>
  <c r="F134" i="4" a="1"/>
  <c r="E26" i="6" a="1"/>
  <c r="F40" i="4" a="1"/>
  <c r="F21" i="5" a="1"/>
  <c r="E14" i="11" l="1"/>
  <c r="I14" i="11"/>
  <c r="D26" i="11"/>
  <c r="D25" i="11"/>
  <c r="C139" i="3"/>
  <c r="C140" i="3" s="1"/>
  <c r="C141" i="3" s="1"/>
  <c r="C143" i="3" s="1"/>
  <c r="C144" i="3" s="1"/>
  <c r="C146" i="3" s="1"/>
  <c r="C147" i="3" s="1"/>
  <c r="H141" i="7"/>
  <c r="H140" i="7"/>
  <c r="G144" i="7"/>
  <c r="F143" i="7" s="1"/>
  <c r="O19" i="8"/>
  <c r="L19" i="8"/>
  <c r="F19" i="8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L21" i="8"/>
  <c r="F21" i="8"/>
  <c r="O21" i="8"/>
  <c r="I20" i="8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28" i="7"/>
  <c r="H139" i="7"/>
  <c r="H144" i="7"/>
  <c r="F153" i="3"/>
  <c r="D167" i="3" s="1"/>
  <c r="I167" i="3" s="1"/>
  <c r="F130" i="3"/>
  <c r="D143" i="3" s="1"/>
  <c r="I143" i="3" s="1"/>
  <c r="F111" i="3"/>
  <c r="D122" i="3" s="1"/>
  <c r="I122" i="3" s="1"/>
  <c r="F90" i="3"/>
  <c r="F69" i="3"/>
  <c r="F35" i="3"/>
  <c r="D56" i="3" s="1"/>
  <c r="I56" i="3" s="1"/>
  <c r="F16" i="3"/>
  <c r="D26" i="3" s="1"/>
  <c r="I26" i="3" s="1"/>
  <c r="C155" i="4"/>
  <c r="G167" i="4"/>
  <c r="B63" i="3"/>
  <c r="B62" i="3"/>
  <c r="B61" i="3"/>
  <c r="B146" i="3"/>
  <c r="B147" i="3"/>
  <c r="B56" i="3"/>
  <c r="B58" i="3"/>
  <c r="B57" i="3"/>
  <c r="B52" i="3"/>
  <c r="B53" i="3"/>
  <c r="B41" i="3"/>
  <c r="B51" i="3"/>
  <c r="B49" i="3"/>
  <c r="B50" i="3"/>
  <c r="G32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37" i="3"/>
  <c r="B141" i="3" s="1"/>
  <c r="G143" i="3"/>
  <c r="B136" i="3"/>
  <c r="B140" i="3" s="1"/>
  <c r="B138" i="3"/>
  <c r="B144" i="3"/>
  <c r="B135" i="3"/>
  <c r="B139" i="3" s="1"/>
  <c r="B143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55" i="3"/>
  <c r="B23" i="3"/>
  <c r="B24" i="3"/>
  <c r="B60" i="3"/>
  <c r="B117" i="3"/>
  <c r="B118" i="3"/>
  <c r="B47" i="3"/>
  <c r="B119" i="3"/>
  <c r="B48" i="3"/>
  <c r="B124" i="3"/>
  <c r="B21" i="3"/>
  <c r="B77" i="3"/>
  <c r="B83" i="3"/>
  <c r="B44" i="3"/>
  <c r="B78" i="3"/>
  <c r="B80" i="3"/>
  <c r="B42" i="3"/>
  <c r="B81" i="3"/>
  <c r="B43" i="3"/>
  <c r="B45" i="3"/>
  <c r="B22" i="3"/>
  <c r="B46" i="3"/>
  <c r="B116" i="3"/>
  <c r="B76" i="3"/>
  <c r="B101" i="3"/>
  <c r="B102" i="3"/>
  <c r="B99" i="3"/>
  <c r="B104" i="3"/>
  <c r="B94" i="3"/>
  <c r="B95" i="3"/>
  <c r="B26" i="3"/>
  <c r="B96" i="3"/>
  <c r="B120" i="3"/>
  <c r="B40" i="3"/>
  <c r="B74" i="3"/>
  <c r="B97" i="3"/>
  <c r="D28" i="11" a="1"/>
  <c r="D22" i="11" a="1"/>
  <c r="D20" i="11" a="1"/>
  <c r="D23" i="11" a="1"/>
  <c r="D21" i="11" a="1"/>
  <c r="I26" i="11" a="1"/>
  <c r="I25" i="11" a="1"/>
  <c r="I19" i="8" a="1"/>
  <c r="I21" i="8" a="1"/>
  <c r="H130" i="3" a="1"/>
  <c r="F90" i="7" a="1"/>
  <c r="H54" i="5" a="1"/>
  <c r="H35" i="3" a="1"/>
  <c r="D111" i="3" a="1"/>
  <c r="D69" i="3" a="1"/>
  <c r="D153" i="3" a="1"/>
  <c r="H16" i="3" a="1"/>
  <c r="D19" i="4" a="1"/>
  <c r="F35" i="7" a="1"/>
  <c r="F111" i="7" a="1"/>
  <c r="D134" i="4" a="1"/>
  <c r="D85" i="4" a="1"/>
  <c r="D90" i="3" a="1"/>
  <c r="H156" i="4" a="1"/>
  <c r="D156" i="4" a="1"/>
  <c r="H90" i="3" a="1"/>
  <c r="H21" i="5" a="1"/>
  <c r="D16" i="3" a="1"/>
  <c r="F69" i="7" a="1"/>
  <c r="F130" i="7" a="1"/>
  <c r="H108" i="4" a="1"/>
  <c r="D61" i="4" a="1"/>
  <c r="H111" i="3" a="1"/>
  <c r="F16" i="7" a="1"/>
  <c r="D130" i="3" a="1"/>
  <c r="D108" i="4" a="1"/>
  <c r="H19" i="4" a="1"/>
  <c r="D54" i="5" a="1"/>
  <c r="H69" i="3" a="1"/>
  <c r="D21" i="5" a="1"/>
  <c r="H61" i="4" a="1"/>
  <c r="H153" i="3" a="1"/>
  <c r="H134" i="4" a="1"/>
  <c r="H40" i="4" a="1"/>
  <c r="D40" i="4" a="1"/>
  <c r="H85" i="4" a="1"/>
  <c r="I25" i="11" l="1"/>
  <c r="I26" i="11"/>
  <c r="D21" i="11"/>
  <c r="D23" i="11"/>
  <c r="D20" i="11"/>
  <c r="D22" i="11"/>
  <c r="D28" i="11"/>
  <c r="D80" i="5"/>
  <c r="I80" i="5" s="1"/>
  <c r="D79" i="5"/>
  <c r="I79" i="5" s="1"/>
  <c r="D78" i="5"/>
  <c r="I78" i="5" s="1"/>
  <c r="D81" i="5"/>
  <c r="I81" i="5" s="1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I21" i="8"/>
  <c r="G32" i="7" s="1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I19" i="8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66" i="3"/>
  <c r="I166" i="3" s="1"/>
  <c r="D55" i="3"/>
  <c r="I55" i="3" s="1"/>
  <c r="D58" i="3"/>
  <c r="I58" i="3" s="1"/>
  <c r="D57" i="3"/>
  <c r="I57" i="3" s="1"/>
  <c r="H153" i="3"/>
  <c r="H130" i="3"/>
  <c r="H111" i="3"/>
  <c r="D118" i="3" s="1"/>
  <c r="I118" i="3" s="1"/>
  <c r="H90" i="3"/>
  <c r="D95" i="3" s="1"/>
  <c r="I95" i="3" s="1"/>
  <c r="H69" i="3"/>
  <c r="D76" i="3" s="1"/>
  <c r="I76" i="3" s="1"/>
  <c r="H35" i="3"/>
  <c r="D52" i="3" s="1"/>
  <c r="H16" i="3"/>
  <c r="D24" i="3" s="1"/>
  <c r="I24" i="3" s="1"/>
  <c r="D153" i="3"/>
  <c r="D169" i="3" s="1"/>
  <c r="I169" i="3" s="1"/>
  <c r="D130" i="3"/>
  <c r="D146" i="3" s="1"/>
  <c r="I146" i="3" s="1"/>
  <c r="D111" i="3"/>
  <c r="D124" i="3" s="1"/>
  <c r="I124" i="3" s="1"/>
  <c r="D90" i="3"/>
  <c r="D104" i="3" s="1"/>
  <c r="I104" i="3" s="1"/>
  <c r="D69" i="3"/>
  <c r="D83" i="3" s="1"/>
  <c r="I83" i="3" s="1"/>
  <c r="D16" i="3"/>
  <c r="D28" i="3" s="1"/>
  <c r="I28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60" i="3"/>
  <c r="I60" i="3" s="1"/>
  <c r="D63" i="3"/>
  <c r="I63" i="3" s="1"/>
  <c r="D61" i="3"/>
  <c r="I61" i="3" s="1"/>
  <c r="D62" i="3"/>
  <c r="I62" i="3" s="1"/>
  <c r="D144" i="3"/>
  <c r="D80" i="3"/>
  <c r="I80" i="3" s="1"/>
  <c r="D81" i="3"/>
  <c r="I81" i="3" s="1"/>
  <c r="D101" i="3"/>
  <c r="I101" i="3" s="1"/>
  <c r="D102" i="3"/>
  <c r="I102" i="3" s="1"/>
  <c r="I21" i="11" a="1"/>
  <c r="I23" i="11" a="1"/>
  <c r="I20" i="11" a="1"/>
  <c r="I22" i="11" a="1"/>
  <c r="I28" i="11" a="1"/>
  <c r="D16" i="7" a="1"/>
  <c r="D111" i="7" a="1"/>
  <c r="H16" i="7" a="1"/>
  <c r="D130" i="7" a="1"/>
  <c r="H130" i="7" a="1"/>
  <c r="H111" i="7" a="1"/>
  <c r="D90" i="7" a="1"/>
  <c r="H90" i="7" a="1"/>
  <c r="H35" i="7" a="1"/>
  <c r="D69" i="7" a="1"/>
  <c r="H69" i="7" a="1"/>
  <c r="I28" i="11" l="1"/>
  <c r="I22" i="11"/>
  <c r="I20" i="11"/>
  <c r="I23" i="11"/>
  <c r="I21" i="11"/>
  <c r="D139" i="3"/>
  <c r="I139" i="3" s="1"/>
  <c r="D140" i="3"/>
  <c r="I140" i="3" s="1"/>
  <c r="D141" i="3"/>
  <c r="I141" i="3" s="1"/>
  <c r="D162" i="3"/>
  <c r="I162" i="3" s="1"/>
  <c r="D163" i="3"/>
  <c r="I163" i="3" s="1"/>
  <c r="D164" i="3"/>
  <c r="I164" i="3" s="1"/>
  <c r="D113" i="4"/>
  <c r="I113" i="4" s="1"/>
  <c r="D112" i="4"/>
  <c r="I112" i="4" s="1"/>
  <c r="D116" i="4"/>
  <c r="I116" i="4" s="1"/>
  <c r="D114" i="4"/>
  <c r="I114" i="4" s="1"/>
  <c r="D138" i="3"/>
  <c r="I138" i="3" s="1"/>
  <c r="D117" i="4"/>
  <c r="I117" i="4" s="1"/>
  <c r="D136" i="3"/>
  <c r="I136" i="3" s="1"/>
  <c r="D120" i="3"/>
  <c r="I120" i="3" s="1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117" i="3"/>
  <c r="I117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73" i="3"/>
  <c r="I73" i="3" s="1"/>
  <c r="D25" i="5"/>
  <c r="I25" i="5" s="1"/>
  <c r="D65" i="4"/>
  <c r="I65" i="4" s="1"/>
  <c r="D66" i="4"/>
  <c r="I66" i="4" s="1"/>
  <c r="D72" i="5"/>
  <c r="I72" i="5" s="1"/>
  <c r="D96" i="3"/>
  <c r="I96" i="3" s="1"/>
  <c r="D94" i="3"/>
  <c r="I94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98" i="3"/>
  <c r="I98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97" i="3"/>
  <c r="I97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42" i="3"/>
  <c r="I42" i="3" s="1"/>
  <c r="D99" i="3"/>
  <c r="I99" i="3" s="1"/>
  <c r="D48" i="3"/>
  <c r="I48" i="3" s="1"/>
  <c r="D115" i="3"/>
  <c r="I115" i="3" s="1"/>
  <c r="D119" i="3"/>
  <c r="I119" i="3" s="1"/>
  <c r="D116" i="3"/>
  <c r="I116" i="3" s="1"/>
  <c r="D41" i="3"/>
  <c r="I41" i="3" s="1"/>
  <c r="D161" i="3"/>
  <c r="I161" i="3" s="1"/>
  <c r="D157" i="3"/>
  <c r="I157" i="3" s="1"/>
  <c r="D159" i="3"/>
  <c r="I159" i="3" s="1"/>
  <c r="D160" i="3"/>
  <c r="I160" i="3" s="1"/>
  <c r="D158" i="3"/>
  <c r="I158" i="3" s="1"/>
  <c r="D45" i="3"/>
  <c r="I45" i="3" s="1"/>
  <c r="D40" i="3"/>
  <c r="I40" i="3" s="1"/>
  <c r="D46" i="3"/>
  <c r="I46" i="3" s="1"/>
  <c r="D39" i="3"/>
  <c r="I39" i="3" s="1"/>
  <c r="D47" i="3"/>
  <c r="I47" i="3" s="1"/>
  <c r="D44" i="3"/>
  <c r="I44" i="3" s="1"/>
  <c r="D43" i="3"/>
  <c r="I43" i="3" s="1"/>
  <c r="D74" i="3"/>
  <c r="I74" i="3" s="1"/>
  <c r="D78" i="3"/>
  <c r="I78" i="3" s="1"/>
  <c r="D77" i="3"/>
  <c r="I77" i="3" s="1"/>
  <c r="D75" i="3"/>
  <c r="I75" i="3" s="1"/>
  <c r="D23" i="3"/>
  <c r="I23" i="3" s="1"/>
  <c r="D20" i="3"/>
  <c r="I20" i="3" s="1"/>
  <c r="D22" i="3"/>
  <c r="I22" i="3" s="1"/>
  <c r="D147" i="3"/>
  <c r="I147" i="3" s="1"/>
  <c r="D21" i="3"/>
  <c r="I21" i="3" s="1"/>
  <c r="D49" i="3"/>
  <c r="I49" i="3" s="1"/>
  <c r="D50" i="3"/>
  <c r="I50" i="3" s="1"/>
  <c r="D51" i="3"/>
  <c r="I51" i="3" s="1"/>
  <c r="D53" i="3"/>
  <c r="D137" i="3"/>
  <c r="I137" i="3" s="1"/>
  <c r="D134" i="3"/>
  <c r="I134" i="3" s="1"/>
  <c r="D170" i="3"/>
  <c r="I170" i="3" s="1"/>
  <c r="D135" i="3"/>
  <c r="I135" i="3" s="1"/>
  <c r="D61" i="7"/>
  <c r="I61" i="7" s="1"/>
  <c r="D60" i="7"/>
  <c r="I60" i="7" s="1"/>
  <c r="D62" i="7"/>
  <c r="I62" i="7" s="1"/>
  <c r="I144" i="3"/>
  <c r="H126" i="4"/>
  <c r="H125" i="4"/>
  <c r="F126" i="4"/>
  <c r="G26" i="4"/>
  <c r="G24" i="4"/>
  <c r="G23" i="4"/>
  <c r="D139" i="7" l="1"/>
  <c r="I139" i="7" s="1"/>
  <c r="D140" i="7"/>
  <c r="I140" i="7" s="1"/>
  <c r="D141" i="7"/>
  <c r="I141" i="7" s="1"/>
  <c r="D147" i="7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35" i="7"/>
  <c r="I135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24" i="3"/>
  <c r="H122" i="3"/>
  <c r="H120" i="3"/>
  <c r="H119" i="3"/>
  <c r="H118" i="3"/>
  <c r="H117" i="3"/>
  <c r="H116" i="3"/>
  <c r="H115" i="3"/>
  <c r="H104" i="3"/>
  <c r="H97" i="3"/>
  <c r="H96" i="3"/>
  <c r="H95" i="3"/>
  <c r="H102" i="3"/>
  <c r="H101" i="3"/>
  <c r="H99" i="3"/>
  <c r="H98" i="3"/>
  <c r="H94" i="3"/>
  <c r="H83" i="3"/>
  <c r="H81" i="3"/>
  <c r="H80" i="3"/>
  <c r="H77" i="3"/>
  <c r="H78" i="3"/>
  <c r="H76" i="3"/>
  <c r="H75" i="3"/>
  <c r="H73" i="3"/>
  <c r="H60" i="3"/>
  <c r="H42" i="3"/>
  <c r="H41" i="3"/>
  <c r="H40" i="3"/>
  <c r="H39" i="3"/>
  <c r="H23" i="3"/>
  <c r="H28" i="3"/>
  <c r="H26" i="3"/>
  <c r="H24" i="3"/>
  <c r="H22" i="3"/>
  <c r="H20" i="3"/>
  <c r="H21" i="3"/>
  <c r="I52" i="3" l="1"/>
  <c r="I53" i="3"/>
  <c r="C26" i="7"/>
  <c r="C80" i="7"/>
  <c r="C99" i="7"/>
  <c r="C34" i="5"/>
  <c r="C35" i="5" s="1"/>
  <c r="C37" i="5" s="1"/>
  <c r="C67" i="5"/>
  <c r="C112" i="5"/>
  <c r="C154" i="5"/>
  <c r="C156" i="5" s="1"/>
  <c r="C134" i="5"/>
  <c r="F104" i="3"/>
  <c r="F124" i="3"/>
  <c r="G83" i="3"/>
  <c r="F83" i="3"/>
  <c r="G60" i="3"/>
  <c r="F60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22" i="3"/>
  <c r="G122" i="3"/>
  <c r="F120" i="3"/>
  <c r="G120" i="3"/>
  <c r="F118" i="3"/>
  <c r="F117" i="3"/>
  <c r="F116" i="3"/>
  <c r="G116" i="3"/>
  <c r="C116" i="3"/>
  <c r="F115" i="3"/>
  <c r="G115" i="3"/>
  <c r="F102" i="3"/>
  <c r="G102" i="3"/>
  <c r="F101" i="3"/>
  <c r="G101" i="3"/>
  <c r="F99" i="3"/>
  <c r="G99" i="3"/>
  <c r="F98" i="3"/>
  <c r="F97" i="3"/>
  <c r="F96" i="3"/>
  <c r="F95" i="3"/>
  <c r="G95" i="3"/>
  <c r="C95" i="3"/>
  <c r="F94" i="3"/>
  <c r="G94" i="3"/>
  <c r="F81" i="3"/>
  <c r="F80" i="3"/>
  <c r="F78" i="3"/>
  <c r="F77" i="3"/>
  <c r="G77" i="3"/>
  <c r="F76" i="3"/>
  <c r="F75" i="3"/>
  <c r="F74" i="3"/>
  <c r="G74" i="3"/>
  <c r="C74" i="3"/>
  <c r="F73" i="3"/>
  <c r="G73" i="3"/>
  <c r="G55" i="3"/>
  <c r="F48" i="3"/>
  <c r="F47" i="3"/>
  <c r="F46" i="3"/>
  <c r="F45" i="3"/>
  <c r="F44" i="3"/>
  <c r="F43" i="3"/>
  <c r="F42" i="3"/>
  <c r="F41" i="3"/>
  <c r="F40" i="3"/>
  <c r="G40" i="3"/>
  <c r="C40" i="3"/>
  <c r="C41" i="3" s="1"/>
  <c r="C42" i="3" s="1"/>
  <c r="C43" i="3" s="1"/>
  <c r="C44" i="3" s="1"/>
  <c r="F39" i="3"/>
  <c r="G39" i="3"/>
  <c r="C21" i="3"/>
  <c r="C22" i="3" s="1"/>
  <c r="C71" i="5" l="1"/>
  <c r="C47" i="4"/>
  <c r="C45" i="3"/>
  <c r="C46" i="3" s="1"/>
  <c r="C47" i="3" s="1"/>
  <c r="C48" i="3" s="1"/>
  <c r="C115" i="4"/>
  <c r="C28" i="4"/>
  <c r="C29" i="4" s="1"/>
  <c r="C117" i="3"/>
  <c r="C96" i="3"/>
  <c r="C75" i="3"/>
  <c r="C23" i="3"/>
  <c r="C49" i="3" l="1"/>
  <c r="C50" i="3" s="1"/>
  <c r="C51" i="3" s="1"/>
  <c r="C52" i="3" s="1"/>
  <c r="C53" i="3" s="1"/>
  <c r="C55" i="3" s="1"/>
  <c r="C56" i="3" s="1"/>
  <c r="C31" i="4"/>
  <c r="C72" i="5"/>
  <c r="C116" i="4"/>
  <c r="C49" i="4"/>
  <c r="C69" i="4"/>
  <c r="C118" i="3"/>
  <c r="C97" i="3"/>
  <c r="C76" i="3"/>
  <c r="C24" i="3"/>
  <c r="C57" i="3" l="1"/>
  <c r="C61" i="3"/>
  <c r="C60" i="3"/>
  <c r="C74" i="5"/>
  <c r="C71" i="4"/>
  <c r="C117" i="4"/>
  <c r="C145" i="4"/>
  <c r="C147" i="4" s="1"/>
  <c r="C98" i="3"/>
  <c r="C119" i="3"/>
  <c r="C77" i="3"/>
  <c r="C26" i="3"/>
  <c r="C58" i="3" l="1"/>
  <c r="C63" i="3" s="1"/>
  <c r="C62" i="3"/>
  <c r="C75" i="5"/>
  <c r="C119" i="4"/>
  <c r="C72" i="4"/>
  <c r="C74" i="4" s="1"/>
  <c r="C76" i="4" s="1"/>
  <c r="C28" i="3"/>
  <c r="C120" i="3"/>
  <c r="C99" i="3"/>
  <c r="C78" i="3"/>
  <c r="C76" i="5" l="1"/>
  <c r="C120" i="4"/>
  <c r="C122" i="4" s="1"/>
  <c r="C123" i="4" s="1"/>
  <c r="C125" i="4" s="1"/>
  <c r="C122" i="3"/>
  <c r="C124" i="3" s="1"/>
  <c r="C101" i="3"/>
  <c r="C80" i="3"/>
  <c r="C126" i="4" l="1"/>
  <c r="C77" i="5"/>
  <c r="C50" i="4"/>
  <c r="C102" i="3"/>
  <c r="C104" i="3" s="1"/>
  <c r="C81" i="3"/>
  <c r="C83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<sst xmlns="http://schemas.openxmlformats.org/spreadsheetml/2006/main" count="1028" uniqueCount="184">
  <si>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</si>
  <si>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</si>
  <si>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</si>
  <si>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</si>
  <si>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</si>
  <si>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</si>
  <si>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</si>
  <si>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</si>
  <si>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</si>
  <si>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</si>
  <si>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</si>
  <si>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</si>
  <si>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</si>
  <si>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</si>
  <si>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</si>
  <si>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</si>
  <si>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 xml:space="preserve">وحدة سفلية دلفة /دلفتين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</si>
  <si>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</si>
  <si>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</si>
  <si>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</si>
  <si>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</si>
  <si>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</si>
  <si>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</si>
  <si>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</si>
  <si>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</si>
  <si>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</si>
  <si>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</si>
  <si>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</si>
  <si>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</si>
  <si>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</si>
  <si>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</si>
  <si>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</si>
  <si>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</si>
  <si>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</si>
  <si>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</si>
  <si>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</si>
  <si>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</si>
  <si>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</si>
  <si>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</si>
  <si>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</si>
  <si>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</si>
  <si>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</si>
  <si>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</si>
  <si>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</si>
  <si>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</si>
  <si>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</si>
  <si>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</si>
  <si>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</si>
  <si>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</si>
  <si>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</si>
  <si>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</si>
  <si>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</si>
  <si>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</si>
  <si>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</si>
  <si>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</si>
  <si>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</si>
  <si>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</si>
  <si>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</si>
  <si>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</si>
  <si>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</si>
  <si>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</si>
  <si>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</si>
  <si>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</si>
  <si>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</si>
  <si>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</si>
  <si>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</si>
  <si>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</si>
  <si>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</si>
  <si>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</si>
  <si>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</si>
  <si>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</si>
  <si>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</si>
  <si>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</si>
  <si>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</si>
  <si>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</si>
  <si>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</si>
  <si>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</si>
  <si>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</si>
  <si>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</si>
  <si>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</si>
  <si>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</si>
  <si>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</si>
  <si>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</si>
  <si>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</si>
  <si>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</si>
  <si>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</si>
  <si>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</si>
  <si>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</si>
  <si>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</si>
  <si>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</si>
  <si>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</si>
  <si>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</si>
  <si>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</si>
  <si>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</si>
  <si>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</si>
  <si>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</si>
  <si>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</si>
  <si>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</si>
  <si>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</si>
  <si>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</si>
  <si>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</si>
  <si>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</si>
  <si>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</si>
  <si>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</si>
  <si>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</si>
  <si>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</si>
  <si>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</si>
  <si>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</si>
  <si>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</si>
  <si>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</si>
  <si>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</si>
  <si>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</si>
  <si>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</si>
  <si>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</si>
  <si>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</si>
  <si>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</si>
  <si>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</si>
  <si>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</si>
  <si>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</si>
  <si>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</si>
  <si>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</si>
  <si>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</si>
  <si>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</si>
  <si>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</si>
  <si>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</si>
  <si>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</si>
  <si>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</si>
  <si>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</si>
  <si>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</si>
  <si>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</si>
  <si>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</si>
  <si>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</si>
  <si>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</si>
  <si>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</si>
  <si>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</si>
  <si>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</si>
  <si>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</si>
  <si>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</si>
  <si>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</si>
  <si>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</si>
  <si>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</si>
  <si>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</si>
  <si>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</si>
  <si>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</si>
  <si>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</si>
  <si>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</si>
  <si>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</si>
  <si>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</si>
  <si>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</si>
  <si>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</si>
  <si>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</si>
  <si>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</si>
  <si>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</si>
  <si>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</si>
  <si>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</si>
  <si>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</si>
  <si>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</si>
  <si>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</si>
  <si>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</si>
  <si>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</si>
  <si>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</si>
  <si>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</si>
  <si>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</si>
  <si>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</si>
  <si>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</si>
  <si>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</si>
  <si>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</si>
  <si>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</si>
  <si>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</si>
  <si>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</si>
  <si>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</si>
  <si>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</si>
  <si>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</si>
  <si>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</si>
  <si>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</si>
  <si>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</si>
  <si>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</si>
  <si>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</si>
  <si>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</si>
  <si>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</si>
  <si>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</si>
  <si>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وحدة</t>
  </si>
  <si>
    <t>الاسم</t>
  </si>
  <si>
    <t>القيمة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</si>
</sst>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indexed="1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6</xdr:col>
          <xdr:colOff>7620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5</xdr:row>
          <xdr:rowOff>38100</xdr:rowOff>
        </xdr:from>
        <xdr:to>
          <xdr:col>8</xdr:col>
          <xdr:colOff>411480</xdr:colOff>
          <xdr:row>7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769620</xdr:colOff>
          <xdr:row>5</xdr:row>
          <xdr:rowOff>15240</xdr:rowOff>
        </xdr:from>
        <xdr:to>
          <xdr:col>11</xdr:col>
          <xdr:colOff>487680</xdr:colOff>
          <xdr:row>7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696557</xdr:colOff>
          <xdr:row>5</xdr:row>
          <xdr:rowOff>45720</xdr:rowOff>
        </xdr:from>
        <xdr:to>
          <xdr:col>5</xdr:col>
          <xdr:colOff>271631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409687</xdr:colOff>
          <xdr:row>5</xdr:row>
          <xdr:rowOff>45720</xdr:rowOff>
        </xdr:from>
        <xdr:to>
          <xdr:col>8</xdr:col>
          <xdr:colOff>361278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C12:N14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19:D31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I19:J31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defaultValue(J19,3)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19:G31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defaultValue(G19,1)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O19:P31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defaultValue(P19,1)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L19:M31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INDEX(global[[#All],[Column1]],MATCH(M19,global[[#All],[Column2]],0))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R19:S31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1"/>
  <sheetViews>
    <sheetView zoomScale="55" zoomScaleNormal="55" workbookViewId="0">
      <selection activeCell="F9" sqref="F9"/>
    </sheetView>
  </sheetViews>
  <sheetFormatPr defaultRowHeight="21" customHeight="1" x14ac:dyDescent="0.3"/>
  <cols>
    <col min="1" max="1" width="8.88671875" style="90" customWidth="1"/>
    <col min="2" max="2" width="31.88671875" style="63" customWidth="1"/>
    <col min="3" max="3" width="8.88671875" style="63"/>
    <col min="4" max="4" width="13.7773437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23" s="90" customFormat="1" ht="21" customHeight="1" x14ac:dyDescent="0.3">
      <c r="H1" s="92"/>
      <c r="K1" s="92"/>
      <c r="N1" s="92"/>
      <c r="Q1" s="92"/>
      <c r="T1" s="92"/>
      <c r="W1" s="92"/>
    </row>
    <row r="2" spans="1:23" s="90" customFormat="1" ht="21" customHeight="1" x14ac:dyDescent="0.3">
      <c r="H2" s="92"/>
      <c r="K2" s="92"/>
      <c r="N2" s="92"/>
      <c r="Q2" s="92"/>
      <c r="T2" s="92"/>
      <c r="W2" s="92"/>
    </row>
    <row r="3" spans="1:23" s="89" customFormat="1" ht="31.2" x14ac:dyDescent="0.3">
      <c r="B3" s="90" t="s">
        <v>180</v>
      </c>
    </row>
    <row r="4" spans="1:23" s="90" customFormat="1" ht="21" customHeight="1" x14ac:dyDescent="0.3">
      <c r="H4" s="92"/>
      <c r="K4" s="92"/>
      <c r="N4" s="92"/>
      <c r="Q4" s="92"/>
      <c r="T4" s="92"/>
      <c r="W4" s="92"/>
    </row>
    <row r="5" spans="1:23" s="90" customFormat="1" ht="21" customHeight="1" x14ac:dyDescent="0.3">
      <c r="H5" s="92"/>
      <c r="K5" s="92"/>
      <c r="N5" s="92"/>
      <c r="Q5" s="92"/>
      <c r="T5" s="92"/>
      <c r="W5" s="92"/>
    </row>
    <row r="6" spans="1:23" s="90" customFormat="1" ht="21" customHeight="1" x14ac:dyDescent="0.3">
      <c r="H6" s="92"/>
      <c r="K6" s="92"/>
      <c r="N6" s="92"/>
      <c r="Q6" s="92"/>
      <c r="T6" s="92"/>
      <c r="W6" s="92"/>
    </row>
    <row r="7" spans="1:23" s="90" customFormat="1" ht="21" customHeight="1" x14ac:dyDescent="0.3">
      <c r="H7" s="92"/>
      <c r="K7" s="92"/>
      <c r="N7" s="92"/>
      <c r="Q7" s="92"/>
      <c r="T7" s="92"/>
      <c r="W7" s="92"/>
    </row>
    <row r="8" spans="1:23" s="90" customFormat="1" ht="21" customHeight="1" x14ac:dyDescent="0.3">
      <c r="H8" s="92"/>
      <c r="K8" s="92"/>
      <c r="N8" s="92"/>
      <c r="Q8" s="92"/>
      <c r="T8" s="92"/>
      <c r="W8" s="92"/>
    </row>
    <row r="9" spans="1:23" s="84" customFormat="1" ht="31.2" x14ac:dyDescent="0.3">
      <c r="A9" s="91"/>
    </row>
    <row r="11" spans="1:23" ht="21" customHeight="1" x14ac:dyDescent="0.3">
      <c r="B11" s="70"/>
      <c r="C11" s="95" t="s">
        <v>112</v>
      </c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7"/>
      <c r="O11" s="84"/>
      <c r="P11" s="83"/>
      <c r="Q11" s="84"/>
      <c r="R11" s="84"/>
      <c r="S11" s="83"/>
    </row>
    <row r="12" spans="1:23" ht="21" customHeight="1" x14ac:dyDescent="0.3">
      <c r="B12"/>
      <c r="C12" s="64"/>
      <c r="D12" s="65" t="s">
        <v>41</v>
      </c>
      <c r="E12" s="65" t="s">
        <v>39</v>
      </c>
      <c r="F12" s="65" t="s">
        <v>38</v>
      </c>
      <c r="G12" s="65" t="s">
        <v>37</v>
      </c>
      <c r="H12" s="65" t="s">
        <v>35</v>
      </c>
      <c r="I12" s="65" t="s">
        <v>105</v>
      </c>
      <c r="J12" s="65" t="s">
        <v>36</v>
      </c>
      <c r="K12" s="65" t="s">
        <v>21</v>
      </c>
      <c r="L12" s="65" t="s">
        <v>40</v>
      </c>
      <c r="M12" s="65" t="s">
        <v>59</v>
      </c>
      <c r="N12" s="66"/>
      <c r="P12" s="83"/>
      <c r="Q12" s="63"/>
      <c r="S12" s="83"/>
    </row>
    <row r="13" spans="1:23" x14ac:dyDescent="0.3">
      <c r="A13" s="54"/>
      <c r="B13"/>
      <c r="C13" s="64"/>
      <c r="D13" s="65">
        <v>4</v>
      </c>
      <c r="E13" s="65">
        <v>4</v>
      </c>
      <c r="F13" s="65">
        <v>4</v>
      </c>
      <c r="G13" s="65">
        <v>4</v>
      </c>
      <c r="H13" s="65">
        <v>6</v>
      </c>
      <c r="I13" s="65">
        <v>2</v>
      </c>
      <c r="J13" s="65">
        <v>2</v>
      </c>
      <c r="K13" s="65">
        <v>2</v>
      </c>
      <c r="L13" s="65">
        <v>2</v>
      </c>
      <c r="M13" s="65">
        <v>2</v>
      </c>
      <c r="N13" s="66" t="s">
        <v>61</v>
      </c>
      <c r="P13" s="83"/>
      <c r="Q13" s="63"/>
      <c r="S13" s="83"/>
    </row>
    <row r="14" spans="1:23" ht="21" customHeight="1" x14ac:dyDescent="0.3">
      <c r="A14" s="51"/>
      <c r="B14"/>
      <c r="C14" s="67"/>
      <c r="D14" s="68">
        <v>3</v>
      </c>
      <c r="E14" s="68">
        <v>3</v>
      </c>
      <c r="F14" s="68">
        <v>3</v>
      </c>
      <c r="G14" s="68">
        <v>3</v>
      </c>
      <c r="H14" s="68">
        <v>5</v>
      </c>
      <c r="I14" s="68">
        <v>1</v>
      </c>
      <c r="J14" s="68">
        <v>1</v>
      </c>
      <c r="K14" s="68">
        <v>1</v>
      </c>
      <c r="L14" s="68">
        <v>1</v>
      </c>
      <c r="M14" s="68">
        <v>1</v>
      </c>
      <c r="N14" s="69" t="s">
        <v>62</v>
      </c>
      <c r="P14" s="83"/>
      <c r="Q14" s="63"/>
      <c r="S14" s="83"/>
    </row>
    <row r="15" spans="1:23" ht="21" customHeight="1" x14ac:dyDescent="0.3">
      <c r="A15" s="51"/>
      <c r="B15"/>
      <c r="D15" s="83"/>
      <c r="G15" s="83"/>
      <c r="H15" s="63"/>
      <c r="J15" s="83"/>
      <c r="K15" s="63"/>
      <c r="M15" s="83"/>
      <c r="N15" s="63"/>
      <c r="P15" s="83"/>
      <c r="Q15" s="63"/>
      <c r="S15" s="83"/>
    </row>
    <row r="16" spans="1:23" ht="21" customHeight="1" x14ac:dyDescent="0.3">
      <c r="A16" s="51"/>
      <c r="B16"/>
      <c r="D16" s="83"/>
      <c r="G16" s="83"/>
      <c r="H16" s="63"/>
      <c r="J16" s="83"/>
      <c r="K16" s="63"/>
      <c r="M16" s="83"/>
      <c r="N16" s="63"/>
      <c r="P16" s="83"/>
      <c r="Q16" s="63"/>
      <c r="S16" s="83"/>
    </row>
    <row r="17" spans="1:19" ht="21" customHeight="1" x14ac:dyDescent="0.3">
      <c r="A17" s="51"/>
      <c r="B17"/>
      <c r="C17" s="103" t="s">
        <v>174</v>
      </c>
      <c r="D17" s="104"/>
      <c r="E17" s="84"/>
      <c r="F17" s="103" t="s">
        <v>0</v>
      </c>
      <c r="G17" s="104"/>
      <c r="H17" s="84"/>
      <c r="I17" s="103" t="s">
        <v>105</v>
      </c>
      <c r="J17" s="104"/>
      <c r="K17" s="84"/>
      <c r="L17" s="103" t="s">
        <v>44</v>
      </c>
      <c r="M17" s="104"/>
      <c r="N17" s="84"/>
      <c r="O17" s="103" t="s">
        <v>65</v>
      </c>
      <c r="P17" s="104"/>
      <c r="Q17" s="84"/>
      <c r="R17" s="103" t="s">
        <v>104</v>
      </c>
      <c r="S17" s="104"/>
    </row>
    <row r="18" spans="1:19" ht="21" customHeight="1" x14ac:dyDescent="0.3">
      <c r="A18" s="51"/>
      <c r="B18"/>
      <c r="C18" s="101">
        <v>1</v>
      </c>
      <c r="D18" s="102"/>
      <c r="F18" s="101">
        <v>3</v>
      </c>
      <c r="G18" s="102"/>
      <c r="H18" s="63"/>
      <c r="I18" s="101">
        <v>4</v>
      </c>
      <c r="J18" s="102"/>
      <c r="K18" s="63"/>
      <c r="L18" s="101">
        <v>5</v>
      </c>
      <c r="M18" s="102"/>
      <c r="N18" s="63"/>
      <c r="O18" s="101">
        <v>6</v>
      </c>
      <c r="P18" s="102"/>
      <c r="Q18" s="63"/>
      <c r="R18" s="101">
        <v>7</v>
      </c>
      <c r="S18" s="102"/>
    </row>
    <row r="19" spans="1:19" ht="21" customHeight="1" x14ac:dyDescent="0.3">
      <c r="A19" s="51"/>
      <c r="B19"/>
      <c r="C19" s="71" t="str">
        <f>K12</f>
        <v>HPL</v>
      </c>
      <c r="D19" s="72" t="s">
        <v>32</v>
      </c>
      <c r="F19" s="71" t="str" cm="1">
        <f t="array" ref="F19">defaultValue(G19,1)</f>
        <v>HPL</v>
      </c>
      <c r="G19" s="72" t="s">
        <v>32</v>
      </c>
      <c r="H19" s="63"/>
      <c r="I19" s="71" t="e" cm="1">
        <f t="array" ref="I19">defaultValue(J19,3)</f>
        <v>#VALUE!</v>
      </c>
      <c r="J19" s="72" t="s">
        <v>32</v>
      </c>
      <c r="K19" s="63"/>
      <c r="L19" s="71" t="str" cm="1">
        <f t="array" ref="L19">defaultValue(M19,1)</f>
        <v>HPL</v>
      </c>
      <c r="M19" s="72" t="s">
        <v>32</v>
      </c>
      <c r="N19" s="63"/>
      <c r="O19" s="71" t="str" cm="1">
        <f t="array" ref="O19">defaultValue(P19,1)</f>
        <v>HPL</v>
      </c>
      <c r="P19" s="72" t="s">
        <v>32</v>
      </c>
      <c r="Q19" s="63"/>
      <c r="R19" s="75" t="str" cm="1">
        <f t="array" ref="R19">defaultValue("دلف المطبخ",1)</f>
        <v>يوفيلاك</v>
      </c>
      <c r="S19" s="75" t="s">
        <v>9</v>
      </c>
    </row>
    <row r="20" spans="1:19" ht="21" customHeight="1" x14ac:dyDescent="0.3">
      <c r="A20" s="51"/>
      <c r="B20"/>
      <c r="C20" s="73" t="str">
        <f>H12</f>
        <v>يوفيلاك</v>
      </c>
      <c r="D20" s="74" t="s">
        <v>33</v>
      </c>
      <c r="F20" s="73" t="str" cm="1">
        <f t="array" ref="F20">defaultValue(G20,1)</f>
        <v>يوفيلاك</v>
      </c>
      <c r="G20" s="74" t="s">
        <v>33</v>
      </c>
      <c r="H20" s="63"/>
      <c r="I20" s="73" t="e" cm="1">
        <f t="array" ref="I20">defaultValue(J20,3)</f>
        <v>#VALUE!</v>
      </c>
      <c r="J20" s="74" t="s">
        <v>33</v>
      </c>
      <c r="K20" s="63"/>
      <c r="L20" s="73" t="str" cm="1">
        <f t="array" ref="L20">defaultValue(M20,1)</f>
        <v>يوفيلاك</v>
      </c>
      <c r="M20" s="74" t="s">
        <v>33</v>
      </c>
      <c r="N20" s="63"/>
      <c r="O20" s="73" t="str" cm="1">
        <f t="array" ref="O20">defaultValue(P20,1)</f>
        <v>يوفيلاك</v>
      </c>
      <c r="P20" s="74" t="s">
        <v>33</v>
      </c>
      <c r="Q20" s="63"/>
      <c r="R20" s="79" t="e" cm="1">
        <f t="array" ref="R20">defaultValue(S20,1)</f>
        <v>#N/A</v>
      </c>
      <c r="S20" s="81"/>
    </row>
    <row r="21" spans="1:19" ht="21" customHeight="1" x14ac:dyDescent="0.3">
      <c r="A21" s="51"/>
      <c r="B21"/>
      <c r="C21" s="76" t="str">
        <f>M12</f>
        <v>ظهر</v>
      </c>
      <c r="D21" s="77" t="s">
        <v>59</v>
      </c>
      <c r="F21" s="76" t="str" cm="1">
        <f t="array" ref="F21">defaultValue(G21,1)</f>
        <v>ظهر</v>
      </c>
      <c r="G21" s="77" t="s">
        <v>59</v>
      </c>
      <c r="H21" s="63"/>
      <c r="I21" s="76" t="e" cm="1">
        <f t="array" ref="I21">defaultValue(J21,3)</f>
        <v>#VALUE!</v>
      </c>
      <c r="J21" s="77" t="s">
        <v>59</v>
      </c>
      <c r="K21" s="63"/>
      <c r="L21" s="87" t="str" cm="1">
        <f t="array" ref="L21">defaultValue(M21,1)</f>
        <v>ظهر</v>
      </c>
      <c r="M21" s="88" t="s">
        <v>59</v>
      </c>
      <c r="N21" s="63"/>
      <c r="O21" s="87" t="str" cm="1">
        <f t="array" ref="O21">defaultValue(P21,1)</f>
        <v>ظهر</v>
      </c>
      <c r="P21" s="88" t="s">
        <v>59</v>
      </c>
      <c r="Q21" s="63"/>
      <c r="R21" s="79" t="e" cm="1">
        <f t="array" ref="R21">defaultValue(S21,1)</f>
        <v>#N/A</v>
      </c>
      <c r="S21" s="81"/>
    </row>
    <row r="22" spans="1:19" ht="21" customHeight="1" x14ac:dyDescent="0.3">
      <c r="A22" s="51"/>
      <c r="B22"/>
      <c r="C22" s="79">
        <v>45</v>
      </c>
      <c r="D22" s="81" t="s">
        <v>20</v>
      </c>
      <c r="F22" s="79">
        <v>56</v>
      </c>
      <c r="G22" s="81" t="s">
        <v>114</v>
      </c>
      <c r="H22" s="78"/>
      <c r="I22" s="79" t="e" cm="1">
        <f t="array" ref="I22">defaultValue(J22,3)</f>
        <v>#VALUE!</v>
      </c>
      <c r="J22" s="81" t="s">
        <v>114</v>
      </c>
      <c r="K22" s="63"/>
      <c r="L22" s="79">
        <v>30</v>
      </c>
      <c r="M22" s="81" t="s">
        <v>114</v>
      </c>
      <c r="N22" s="63"/>
      <c r="O22" s="79" t="e" cm="1">
        <f t="array" ref="O22">defaultValue(P22,1)</f>
        <v>#N/A</v>
      </c>
      <c r="P22" s="81"/>
      <c r="Q22" s="63"/>
      <c r="R22" s="79" t="e" cm="1">
        <f t="array" ref="R22">defaultValue(S22,1)</f>
        <v>#N/A</v>
      </c>
      <c r="S22" s="81"/>
    </row>
    <row r="23" spans="1:19" ht="21" customHeight="1" x14ac:dyDescent="0.3">
      <c r="A23" s="51"/>
      <c r="B23"/>
      <c r="C23" s="80">
        <v>3.5</v>
      </c>
      <c r="D23" s="82" t="s">
        <v>17</v>
      </c>
      <c r="F23" s="79">
        <v>78</v>
      </c>
      <c r="G23" s="81" t="s">
        <v>3</v>
      </c>
      <c r="H23" s="63"/>
      <c r="I23" s="79" t="e" cm="1">
        <f t="array" ref="I23">defaultValue(J23,3)</f>
        <v>#VALUE!</v>
      </c>
      <c r="J23" s="81" t="s">
        <v>3</v>
      </c>
      <c r="K23" s="63"/>
      <c r="L23" s="79">
        <v>70</v>
      </c>
      <c r="M23" s="81" t="s">
        <v>3</v>
      </c>
      <c r="N23" s="63"/>
      <c r="O23" s="79" t="e" cm="1">
        <f t="array" ref="O23">defaultValue(P23,1)</f>
        <v>#N/A</v>
      </c>
      <c r="P23" s="81"/>
      <c r="Q23" s="63"/>
      <c r="R23" s="79" t="e" cm="1">
        <f t="array" ref="R23">defaultValue(S23,1)</f>
        <v>#N/A</v>
      </c>
      <c r="S23" s="81"/>
    </row>
    <row r="24" spans="1:19" ht="21" customHeight="1" x14ac:dyDescent="0.3">
      <c r="A24" s="51"/>
      <c r="B24"/>
      <c r="C24" s="85">
        <v>1</v>
      </c>
      <c r="D24" s="81" t="s">
        <v>115</v>
      </c>
      <c r="F24" s="79" cm="1">
        <f t="array" ref="F24">defaultValue(G24,1)</f>
        <v>45</v>
      </c>
      <c r="G24" s="81" t="s">
        <v>20</v>
      </c>
      <c r="H24" s="63"/>
      <c r="I24" s="79" t="e" cm="1">
        <f t="array" ref="I24">defaultValue(J24,3)</f>
        <v>#VALUE!</v>
      </c>
      <c r="J24" s="81" t="s">
        <v>20</v>
      </c>
      <c r="K24" s="63"/>
      <c r="L24" s="79" cm="1">
        <f t="array" ref="L24">defaultValue(M24,1)</f>
        <v>45</v>
      </c>
      <c r="M24" s="81" t="s">
        <v>20</v>
      </c>
      <c r="N24" s="63"/>
      <c r="O24" s="79" t="e" cm="1">
        <f t="array" ref="O24">defaultValue(P24,1)</f>
        <v>#N/A</v>
      </c>
      <c r="P24" s="81"/>
      <c r="Q24" s="63"/>
      <c r="R24" s="79" t="e" cm="1">
        <f t="array" ref="R24">defaultValue(S24,1)</f>
        <v>#N/A</v>
      </c>
      <c r="S24" s="81"/>
    </row>
    <row r="25" spans="1:19" ht="21" customHeight="1" x14ac:dyDescent="0.3">
      <c r="A25" s="51"/>
      <c r="B25"/>
      <c r="C25" s="85"/>
      <c r="D25" s="81"/>
      <c r="F25" s="79" cm="1">
        <f t="array" ref="F25">defaultValue(G25,1)</f>
        <v>3.5</v>
      </c>
      <c r="G25" s="81" t="s">
        <v>17</v>
      </c>
      <c r="H25" s="63"/>
      <c r="I25" s="79" t="e" cm="1">
        <f t="array" ref="I25">defaultValue(J25,3)</f>
        <v>#VALUE!</v>
      </c>
      <c r="J25" s="81" t="s">
        <v>17</v>
      </c>
      <c r="K25" s="63"/>
      <c r="L25" s="79" cm="1">
        <f t="array" ref="L25">defaultValue(M25,1)</f>
        <v>3.5</v>
      </c>
      <c r="M25" s="81" t="s">
        <v>17</v>
      </c>
      <c r="N25" s="63"/>
      <c r="O25" s="79" t="e" cm="1">
        <f t="array" ref="O25">defaultValue(P25,1)</f>
        <v>#N/A</v>
      </c>
      <c r="P25" s="81"/>
      <c r="Q25" s="63"/>
      <c r="R25" s="79" t="e" cm="1">
        <f t="array" ref="R25">defaultValue(S25,1)</f>
        <v>#N/A</v>
      </c>
      <c r="S25" s="81"/>
    </row>
    <row r="26" spans="1:19" ht="21" customHeight="1" x14ac:dyDescent="0.3">
      <c r="A26" s="51"/>
      <c r="B26"/>
      <c r="C26" s="85"/>
      <c r="D26" s="81"/>
      <c r="F26" s="79" cm="1">
        <f t="array" ref="F26">defaultValue(G26,1)</f>
        <v>1</v>
      </c>
      <c r="G26" s="81" t="s">
        <v>115</v>
      </c>
      <c r="H26" s="63"/>
      <c r="I26" s="79" t="e" cm="1">
        <f t="array" ref="I26">defaultValue(J26,3)</f>
        <v>#VALUE!</v>
      </c>
      <c r="J26" s="81" t="s">
        <v>115</v>
      </c>
      <c r="K26" s="63"/>
      <c r="L26" s="79">
        <v>0</v>
      </c>
      <c r="M26" s="81" t="s">
        <v>116</v>
      </c>
      <c r="N26" s="63"/>
      <c r="O26" s="79" t="e" cm="1">
        <f t="array" ref="O26">defaultValue(P26,1)</f>
        <v>#N/A</v>
      </c>
      <c r="P26" s="81"/>
      <c r="Q26" s="63"/>
      <c r="R26" s="79" t="e" cm="1">
        <f t="array" ref="R26">defaultValue(S26,1)</f>
        <v>#N/A</v>
      </c>
      <c r="S26" s="82"/>
    </row>
    <row r="27" spans="1:19" ht="21" customHeight="1" x14ac:dyDescent="0.3">
      <c r="A27" s="51"/>
      <c r="B27"/>
      <c r="C27" s="86"/>
      <c r="D27" s="82"/>
      <c r="F27" s="80" t="e" cm="1">
        <f t="array" ref="F27">defaultValue(G27,1)</f>
        <v>#N/A</v>
      </c>
      <c r="G27" s="82"/>
      <c r="H27" s="63"/>
      <c r="I27" s="80" t="e" cm="1">
        <f t="array" ref="I27">defaultValue(J27,3)</f>
        <v>#VALUE!</v>
      </c>
      <c r="J27" s="82"/>
      <c r="K27" s="63"/>
      <c r="L27" s="80" t="e" cm="1">
        <f t="array" ref="L27">defaultValue(M27,1)</f>
        <v>#N/A</v>
      </c>
      <c r="M27" s="82"/>
      <c r="N27" s="63"/>
      <c r="O27" s="80" t="e" cm="1">
        <f t="array" ref="O27">defaultValue(P27,1)</f>
        <v>#N/A</v>
      </c>
      <c r="P27" s="82"/>
      <c r="Q27" s="63"/>
      <c r="R27" s="79" t="e" cm="1">
        <f t="array" ref="R27">defaultValue(S27,1)</f>
        <v>#N/A</v>
      </c>
      <c r="S27" s="81"/>
    </row>
    <row r="28" spans="1:19" ht="21" customHeight="1" x14ac:dyDescent="0.3">
      <c r="A28" s="51"/>
      <c r="B28"/>
      <c r="C28" s="85"/>
      <c r="D28" s="81"/>
      <c r="F28" s="79" t="e" cm="1">
        <f t="array" ref="F28">defaultValue(G28,1)</f>
        <v>#N/A</v>
      </c>
      <c r="G28" s="81"/>
      <c r="H28" s="63"/>
      <c r="I28" s="79" t="e" cm="1">
        <f t="array" ref="I28">defaultValue(J28,3)</f>
        <v>#VALUE!</v>
      </c>
      <c r="J28" s="81"/>
      <c r="K28" s="63"/>
      <c r="L28" s="79" t="e" cm="1">
        <f t="array" ref="L28">defaultValue(M28,1)</f>
        <v>#N/A</v>
      </c>
      <c r="M28" s="81"/>
      <c r="N28" s="63"/>
      <c r="O28" s="79" t="e" cm="1">
        <f t="array" ref="O28">defaultValue(P28,1)</f>
        <v>#N/A</v>
      </c>
      <c r="P28" s="81"/>
      <c r="Q28" s="63"/>
      <c r="R28" s="79" t="e" cm="1">
        <f t="array" ref="R28">defaultValue(S28,1)</f>
        <v>#N/A</v>
      </c>
      <c r="S28" s="81"/>
    </row>
    <row r="29" spans="1:19" ht="21" customHeight="1" x14ac:dyDescent="0.3">
      <c r="A29" s="51"/>
      <c r="B29"/>
      <c r="C29" s="85"/>
      <c r="D29" s="81"/>
      <c r="F29" s="79" t="e" cm="1">
        <f t="array" ref="F29">defaultValue(G29,1)</f>
        <v>#N/A</v>
      </c>
      <c r="G29" s="81"/>
      <c r="H29" s="63"/>
      <c r="I29" s="79" t="e" cm="1">
        <f t="array" ref="I29">defaultValue(J29,3)</f>
        <v>#VALUE!</v>
      </c>
      <c r="J29" s="81"/>
      <c r="K29" s="63"/>
      <c r="L29" s="79" t="e" cm="1">
        <f t="array" ref="L29">defaultValue(M29,1)</f>
        <v>#N/A</v>
      </c>
      <c r="M29" s="81"/>
      <c r="N29" s="63"/>
      <c r="O29" s="79" t="e" cm="1">
        <f t="array" ref="O29">defaultValue(P29,1)</f>
        <v>#N/A</v>
      </c>
      <c r="P29" s="81"/>
      <c r="Q29" s="63"/>
      <c r="R29" s="79" t="e" cm="1">
        <f t="array" ref="R29">defaultValue(S29,1)</f>
        <v>#N/A</v>
      </c>
      <c r="S29" s="81"/>
    </row>
    <row r="30" spans="1:19" ht="21" customHeight="1" x14ac:dyDescent="0.3">
      <c r="A30" s="51"/>
      <c r="B30"/>
      <c r="C30" s="85"/>
      <c r="D30" s="81"/>
      <c r="F30" s="79" t="e" cm="1">
        <f t="array" ref="F30">defaultValue(G30,1)</f>
        <v>#N/A</v>
      </c>
      <c r="G30" s="81"/>
      <c r="H30" s="63"/>
      <c r="I30" s="79" t="e" cm="1">
        <f t="array" ref="I30">defaultValue(J30,3)</f>
        <v>#VALUE!</v>
      </c>
      <c r="J30" s="81"/>
      <c r="K30" s="63"/>
      <c r="L30" s="79" t="e" cm="1">
        <f t="array" ref="L30">defaultValue(M30,1)</f>
        <v>#N/A</v>
      </c>
      <c r="M30" s="81"/>
      <c r="N30" s="63"/>
      <c r="O30" s="79" t="e" cm="1">
        <f t="array" ref="O30">defaultValue(P30,1)</f>
        <v>#N/A</v>
      </c>
      <c r="P30" s="81"/>
      <c r="Q30" s="63"/>
      <c r="R30" s="79" t="e" cm="1">
        <f t="array" ref="R30">defaultValue(S30,1)</f>
        <v>#N/A</v>
      </c>
      <c r="S30" s="82"/>
    </row>
    <row r="31" spans="1:19" ht="21" customHeight="1" x14ac:dyDescent="0.3">
      <c r="C31" s="86"/>
      <c r="D31" s="82"/>
      <c r="F31" s="80" t="e" cm="1">
        <f t="array" ref="F31">defaultValue(G31,1)</f>
        <v>#N/A</v>
      </c>
      <c r="G31" s="82"/>
      <c r="H31" s="63"/>
      <c r="I31" s="79" t="e" cm="1">
        <f t="array" ref="I31">defaultValue(J31,3)</f>
        <v>#VALUE!</v>
      </c>
      <c r="J31" s="82"/>
      <c r="K31" s="63"/>
      <c r="L31" s="79" t="e" cm="1">
        <f t="array" ref="L31">defaultValue(M31,1)</f>
        <v>#N/A</v>
      </c>
      <c r="M31" s="82"/>
      <c r="N31" s="63"/>
      <c r="O31" s="79" t="e" cm="1">
        <f t="array" ref="O31">defaultValue(P31,1)</f>
        <v>#N/A</v>
      </c>
      <c r="P31" s="82"/>
      <c r="Q31" s="63"/>
      <c r="R31" s="79" t="e" cm="1">
        <f t="array" ref="R31">defaultValue(S31,1)</f>
        <v>#N/A</v>
      </c>
      <c r="S31" s="82"/>
    </row>
  </sheetData>
  <mergeCells count="13">
    <mergeCell ref="C11:N11"/>
    <mergeCell ref="O18:P18"/>
    <mergeCell ref="R18:S18"/>
    <mergeCell ref="C17:D17"/>
    <mergeCell ref="C18:D18"/>
    <mergeCell ref="F18:G18"/>
    <mergeCell ref="I18:J18"/>
    <mergeCell ref="L18:M18"/>
    <mergeCell ref="F17:G17"/>
    <mergeCell ref="I17:J17"/>
    <mergeCell ref="L17:M17"/>
    <mergeCell ref="O17:P17"/>
    <mergeCell ref="R17:S17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K30"/>
  <sheetViews>
    <sheetView tabSelected="1" zoomScale="85" zoomScaleNormal="85" workbookViewId="0">
      <selection activeCell="E14" sqref="E14"/>
    </sheetView>
  </sheetViews>
  <sheetFormatPr defaultRowHeight="14.4" x14ac:dyDescent="0.3"/>
  <cols>
    <col min="1" max="1" width="8.88671875" style="34"/>
    <col min="2" max="2" width="21.21875" style="1" customWidth="1"/>
    <col min="3" max="3" width="8.88671875" style="1"/>
    <col min="4" max="4" width="14" style="1" customWidth="1"/>
    <col min="5" max="5" width="12.6640625" style="1" customWidth="1"/>
    <col min="6" max="6" width="10.664062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8.88671875" style="1"/>
    <col min="11" max="11" width="13.44140625" style="1" customWidth="1"/>
    <col min="12" max="16384" width="8.88671875" style="1"/>
  </cols>
  <sheetData>
    <row r="1" spans="1:11" s="34" customFormat="1" x14ac:dyDescent="0.3"/>
    <row r="2" spans="1:11" s="34" customFormat="1" x14ac:dyDescent="0.3"/>
    <row r="3" spans="1:11" s="34" customFormat="1" x14ac:dyDescent="0.3"/>
    <row r="4" spans="1:11" s="34" customFormat="1" x14ac:dyDescent="0.3"/>
    <row r="5" spans="1:11" s="34" customFormat="1" x14ac:dyDescent="0.3"/>
    <row r="6" spans="1:11" s="34" customFormat="1" x14ac:dyDescent="0.3"/>
    <row r="7" spans="1:11" s="34" customFormat="1" x14ac:dyDescent="0.3"/>
    <row r="8" spans="1:11" s="34" customFormat="1" x14ac:dyDescent="0.3"/>
    <row r="9" spans="1:11" x14ac:dyDescent="0.3">
      <c r="A9" s="40"/>
    </row>
    <row r="13" spans="1:11" ht="34.200000000000003" customHeight="1" x14ac:dyDescent="0.3">
      <c r="A13" s="54" t="s">
        <v>156</v>
      </c>
      <c r="B13" s="15"/>
      <c r="C13" s="14">
        <v>1</v>
      </c>
      <c r="D13" s="22" t="s">
        <v>60</v>
      </c>
      <c r="E13" s="98" t="s">
        <v>181</v>
      </c>
      <c r="F13" s="99"/>
      <c r="G13" s="99"/>
      <c r="H13" s="100"/>
      <c r="I13" s="2" t="s">
        <v>31</v>
      </c>
      <c r="J13" s="2">
        <f>letterToNumber(A13)</f>
        <v>1</v>
      </c>
      <c r="K13" s="27">
        <f ca="1">_xlfn.SHEET("إعدادات")</f>
        <v>1</v>
      </c>
    </row>
    <row r="14" spans="1:11" ht="31.2" x14ac:dyDescent="0.3">
      <c r="A14" s="51">
        <v>1</v>
      </c>
      <c r="B14" s="15"/>
      <c r="C14" s="93"/>
      <c r="D14" s="7"/>
      <c r="E14" s="94" t="str" cm="1">
        <f t="array" aca="1" ref="E14" ca="1">defaultValue(F14,K13)</f>
        <v>ظهر</v>
      </c>
      <c r="F14" s="7" t="s">
        <v>59</v>
      </c>
      <c r="G14" s="94" t="str" cm="1">
        <f t="array" aca="1" ref="G14" ca="1">defaultValue(H14,K13)</f>
        <v>يوفيلاك</v>
      </c>
      <c r="H14" s="7" t="s">
        <v>33</v>
      </c>
      <c r="I14" s="94" t="str" cm="1">
        <f t="array" aca="1" ref="I14" ca="1">defaultValue(J14,K13)</f>
        <v>HPL</v>
      </c>
      <c r="J14" s="7" t="s">
        <v>32</v>
      </c>
      <c r="K14" s="25" t="s">
        <v>112</v>
      </c>
    </row>
    <row r="15" spans="1:11" ht="15.6" x14ac:dyDescent="0.3">
      <c r="A15" s="51">
        <v>1</v>
      </c>
      <c r="B15" s="15"/>
      <c r="C15" s="7"/>
      <c r="D15" s="18"/>
      <c r="E15" s="7"/>
      <c r="F15" s="7"/>
      <c r="G15" s="7" t="s">
        <v>17</v>
      </c>
      <c r="H15" s="7" t="s">
        <v>23</v>
      </c>
      <c r="I15" s="7" t="s">
        <v>3</v>
      </c>
      <c r="J15" s="7" t="s">
        <v>114</v>
      </c>
      <c r="K15" s="7" t="s">
        <v>182</v>
      </c>
    </row>
    <row r="16" spans="1:11" ht="15.6" x14ac:dyDescent="0.3">
      <c r="A16" s="51">
        <v>1</v>
      </c>
      <c r="B16" s="15"/>
      <c r="C16" s="93"/>
      <c r="D16" s="93"/>
      <c r="E16" s="94"/>
      <c r="F16" s="123"/>
      <c r="G16" s="94" cm="1">
        <f t="array" aca="1" ref="G16" ca="1">defaultValue(G15,K13)</f>
        <v>3.5</v>
      </c>
      <c r="H16" s="93"/>
      <c r="I16" s="94"/>
      <c r="J16" s="94"/>
      <c r="K16" s="7" t="s">
        <v>183</v>
      </c>
    </row>
    <row r="17" spans="1:11" ht="15.6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</row>
    <row r="18" spans="1:11" ht="15.6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</row>
    <row r="19" spans="1:11" ht="15.6" x14ac:dyDescent="0.3">
      <c r="A19" s="51">
        <v>0</v>
      </c>
      <c r="B19" s="15"/>
      <c r="K19" s="3"/>
    </row>
    <row r="20" spans="1:11" ht="15.6" x14ac:dyDescent="0.3">
      <c r="A20" s="51">
        <v>3</v>
      </c>
      <c r="B20" s="15" t="str" cm="1">
        <f t="array" ref="B20">visible(E13, K20)</f>
        <v>وحدة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visible((""),M20)</f>
        <v/>
      </c>
      <c r="K20" s="6" t="b">
        <v>1</v>
      </c>
    </row>
    <row r="21" spans="1:11" ht="15.6" x14ac:dyDescent="0.3">
      <c r="A21" s="51">
        <v>3</v>
      </c>
      <c r="B21" s="15" t="str" cm="1">
        <f t="array" ref="B21">visible(E13, K21)</f>
        <v>وحدة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visible((""),M21)</f>
        <v/>
      </c>
      <c r="K21" s="6" t="b">
        <v>1</v>
      </c>
    </row>
    <row r="22" spans="1:11" ht="15.6" x14ac:dyDescent="0.3">
      <c r="A22" s="51">
        <v>3</v>
      </c>
      <c r="B22" s="15" t="str" cm="1">
        <f t="array" ref="B22">visible(E13, K22)</f>
        <v>وحدة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visible((""),M22)</f>
        <v/>
      </c>
      <c r="K22" s="6" t="b">
        <v>1</v>
      </c>
    </row>
    <row r="23" spans="1:11" ht="15.6" x14ac:dyDescent="0.3">
      <c r="A23" s="51">
        <v>3</v>
      </c>
      <c r="B23" s="15" t="str" cm="1">
        <f t="array" ref="B23">visible(E13, K23)</f>
        <v>وحدة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visible((""),M23)</f>
        <v/>
      </c>
      <c r="K23" s="6" t="b">
        <v>1</v>
      </c>
    </row>
    <row r="24" spans="1:11" ht="15.6" x14ac:dyDescent="0.3">
      <c r="A24" s="51">
        <v>0</v>
      </c>
      <c r="B24" s="15"/>
      <c r="K24" s="3"/>
    </row>
    <row r="25" spans="1:11" ht="15.6" x14ac:dyDescent="0.3">
      <c r="A25" s="51">
        <v>4</v>
      </c>
      <c r="B25" s="15" t="str" cm="1">
        <f t="array" ref="B25">visible(E13, K25)</f>
        <v>وحدة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visible((""),M25)</f>
        <v/>
      </c>
      <c r="K25" s="9" t="b">
        <v>1</v>
      </c>
    </row>
    <row r="26" spans="1:11" ht="15.6" x14ac:dyDescent="0.3">
      <c r="A26" s="51">
        <v>4</v>
      </c>
      <c r="B26" s="15" t="str" cm="1">
        <f t="array" ref="B26">visible(E13, K26)</f>
        <v>وحدة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visible((""),M26)</f>
        <v/>
      </c>
      <c r="K26" s="9" t="b">
        <v>1</v>
      </c>
    </row>
    <row r="27" spans="1:11" ht="15.6" x14ac:dyDescent="0.3">
      <c r="A27" s="51">
        <v>0</v>
      </c>
      <c r="B27" s="15"/>
      <c r="K27" s="3"/>
    </row>
    <row r="28" spans="1:11" ht="15.6" x14ac:dyDescent="0.3">
      <c r="A28" s="51">
        <v>5</v>
      </c>
      <c r="B28" s="15" t="str" cm="1">
        <f t="array" ref="B28">visible(E13, K28)</f>
        <v>وحدة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visible((""),M28)</f>
        <v/>
      </c>
      <c r="K28" s="19" t="b">
        <v>1</v>
      </c>
    </row>
    <row r="29" spans="1:11" x14ac:dyDescent="0.3">
      <c r="A29" s="34">
        <v>255</v>
      </c>
    </row>
    <row r="30" spans="1:11" x14ac:dyDescent="0.3">
      <c r="A30" s="34">
        <v>255</v>
      </c>
    </row>
  </sheetData>
  <mergeCells count="1">
    <mergeCell ref="E13:H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9"/>
  <sheetViews>
    <sheetView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127</v>
      </c>
      <c r="E2" s="105" t="s">
        <v>113</v>
      </c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105</v>
      </c>
      <c r="T3" s="41" t="s">
        <v>44</v>
      </c>
      <c r="U3" s="41" t="s">
        <v>65</v>
      </c>
      <c r="V3" s="44" t="s">
        <v>104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6</xdr:col>
                    <xdr:colOff>7620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6</xdr:col>
                    <xdr:colOff>182880</xdr:colOff>
                    <xdr:row>5</xdr:row>
                    <xdr:rowOff>38100</xdr:rowOff>
                  </from>
                  <to>
                    <xdr:col>8</xdr:col>
                    <xdr:colOff>411480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769620</xdr:colOff>
                    <xdr:row>5</xdr:row>
                    <xdr:rowOff>15240</xdr:rowOff>
                  </from>
                  <to>
                    <xdr:col>11</xdr:col>
                    <xdr:colOff>487680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zoomScale="85" zoomScaleNormal="85" workbookViewId="0"/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8.88671875" style="3" customWidth="1"/>
    <col min="9" max="9" width="9.77734375" style="3" customWidth="1"/>
    <col min="10" max="10" width="14" style="3" customWidth="1"/>
    <col min="11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122</v>
      </c>
      <c r="C2" s="107" t="s">
        <v>0</v>
      </c>
      <c r="D2" s="107"/>
      <c r="E2" s="107"/>
      <c r="F2" s="107"/>
      <c r="G2" s="107"/>
      <c r="H2" s="107"/>
      <c r="I2" s="107"/>
      <c r="J2" s="107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s="4" customFormat="1" ht="36" x14ac:dyDescent="0.3">
      <c r="A13" s="54" t="s">
        <v>156</v>
      </c>
      <c r="B13" s="15"/>
      <c r="C13" s="14">
        <v>1</v>
      </c>
      <c r="D13" s="22" t="s">
        <v>60</v>
      </c>
      <c r="E13" s="98" t="s">
        <v>16</v>
      </c>
      <c r="F13" s="99"/>
      <c r="G13" s="99"/>
      <c r="H13" s="100"/>
      <c r="I13" s="2" t="s">
        <v>31</v>
      </c>
      <c r="J13" s="2">
        <f>letterToNumber(A13)</f>
        <v>1</v>
      </c>
      <c r="K13" s="7">
        <f ca="1">_xlfn.SHEET("وحدات سفلية")</f>
        <v>4</v>
      </c>
      <c r="L13"/>
      <c r="M1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51">
        <v>1</v>
      </c>
      <c r="C14" s="7" t="s">
        <v>12</v>
      </c>
      <c r="D14" s="18" t="s">
        <v>19</v>
      </c>
      <c r="E14" s="7" t="s">
        <v>17</v>
      </c>
      <c r="F14" s="7"/>
      <c r="G14" s="106"/>
      <c r="H14" s="7" t="s">
        <v>23</v>
      </c>
      <c r="I14" s="7" t="s">
        <v>3</v>
      </c>
      <c r="J14" s="7" t="s">
        <v>114</v>
      </c>
      <c r="K14" s="7"/>
      <c r="L14"/>
      <c r="M14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51">
        <v>1</v>
      </c>
      <c r="C15" s="8">
        <v>2</v>
      </c>
      <c r="D15" s="8">
        <v>1</v>
      </c>
      <c r="E15" s="27" cm="1">
        <f t="array" aca="1" ref="E15" ca="1">defaultValue(E14,K13)</f>
        <v>3.5</v>
      </c>
      <c r="F15" s="7"/>
      <c r="G15" s="106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  <c r="L15"/>
      <c r="M15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51">
        <v>1</v>
      </c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  <c r="K16" s="7"/>
      <c r="L16"/>
      <c r="M16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14.4" x14ac:dyDescent="0.3">
      <c r="A17" s="51">
        <v>0</v>
      </c>
      <c r="B17"/>
      <c r="C17"/>
      <c r="D17"/>
      <c r="E17"/>
      <c r="F17"/>
      <c r="G17"/>
      <c r="H17"/>
      <c r="I17"/>
      <c r="J17"/>
      <c r="K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51">
        <v>2</v>
      </c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51">
        <v>3</v>
      </c>
      <c r="B20" s="15" t="str">
        <f>E13</f>
        <v xml:space="preserve">وحدة سفلية دلفة /دلفتين 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B20</f>
        <v xml:space="preserve">وحدة سفلية دلفة /دلفتين 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B20</f>
        <v xml:space="preserve">وحدة سفلية دلفة /دلفتين 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f>10</f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B20</f>
        <v xml:space="preserve">وحدة سفلية دلفة /دلفتين 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f>7</f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B20</f>
        <v xml:space="preserve">وحدة سفلية دلفة /دلفتين 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4</v>
      </c>
      <c r="B26" s="15" t="str">
        <f>B20</f>
        <v xml:space="preserve">وحدة سفلية دلفة /دلفتين 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2</v>
      </c>
      <c r="I26" s="9">
        <f ca="1">HLOOKUP(D26, materials[], 2,FALSE)</f>
        <v>6</v>
      </c>
      <c r="J26" s="9"/>
      <c r="K26" s="9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5</v>
      </c>
      <c r="B28" s="15" t="str">
        <f>B20</f>
        <v xml:space="preserve">وحدة سفلية دلفة /دلفتين </v>
      </c>
      <c r="C28" s="19">
        <f>C26+1</f>
        <v>7</v>
      </c>
      <c r="D28" s="19" t="str">
        <f ca="1">D16</f>
        <v>ظهر</v>
      </c>
      <c r="E28" s="19" t="s">
        <v>59</v>
      </c>
      <c r="F28" s="19">
        <f ca="1">I15-2</f>
        <v>76</v>
      </c>
      <c r="G28" s="19">
        <f>H15-2</f>
        <v>-2</v>
      </c>
      <c r="H28" s="19">
        <f>1*C13</f>
        <v>1</v>
      </c>
      <c r="I28" s="19">
        <f ca="1">HLOOKUP(D28, materials[], 2,FALSE)</f>
        <v>2</v>
      </c>
      <c r="J28" s="19"/>
      <c r="K28" s="1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255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255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36" x14ac:dyDescent="0.3">
      <c r="A31" s="51" t="s">
        <v>161</v>
      </c>
      <c r="C31" s="14">
        <v>1</v>
      </c>
      <c r="D31" s="22" t="s">
        <v>60</v>
      </c>
      <c r="E31" s="98" t="s">
        <v>143</v>
      </c>
      <c r="F31" s="99"/>
      <c r="G31" s="99"/>
      <c r="H31" s="100"/>
      <c r="I31" s="2" t="s">
        <v>31</v>
      </c>
      <c r="J31" s="2">
        <f>letterToNumber(A31)</f>
        <v>2</v>
      </c>
      <c r="K31" s="7">
        <f ca="1">_xlfn.SHEET("وحدات سفلية")</f>
        <v>4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INDEX(global[[#All],[Column1]],MATCH(H32,global[[#All],[Column2]],0))</f>
        <v>ظهر</v>
      </c>
      <c r="H32" s="7" t="s">
        <v>59</v>
      </c>
      <c r="I32" s="9" cm="1">
        <f t="array" aca="1" ref="I32" ca="1">defaultValue(J32,K31)</f>
        <v>45</v>
      </c>
      <c r="J32" s="16" t="s">
        <v>20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K37" s="6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51" t="s">
        <v>157</v>
      </c>
      <c r="C66" s="14">
        <v>1</v>
      </c>
      <c r="D66" s="22" t="s">
        <v>60</v>
      </c>
      <c r="E66" s="98" t="s">
        <v>24</v>
      </c>
      <c r="F66" s="99"/>
      <c r="G66" s="99"/>
      <c r="H66" s="100"/>
      <c r="I66" s="2" t="s">
        <v>31</v>
      </c>
      <c r="J66" s="2">
        <f>letterToNumber(A66)</f>
        <v>3</v>
      </c>
      <c r="K66" s="7">
        <f ca="1">_xlfn.SHEET("وحدات سفلية")</f>
        <v>4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ht="31.2" x14ac:dyDescent="0.3">
      <c r="A67" s="51">
        <v>1</v>
      </c>
      <c r="C67" s="7" t="s">
        <v>12</v>
      </c>
      <c r="D67" s="7" t="s">
        <v>19</v>
      </c>
      <c r="E67" s="7" t="s">
        <v>17</v>
      </c>
      <c r="F67" s="106"/>
      <c r="G67" s="7" t="s">
        <v>25</v>
      </c>
      <c r="H67" s="7" t="s">
        <v>23</v>
      </c>
      <c r="I67" s="7" t="s">
        <v>3</v>
      </c>
      <c r="J67" s="7" t="s">
        <v>114</v>
      </c>
      <c r="K67" s="7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51">
        <v>1</v>
      </c>
      <c r="C68" s="8">
        <v>1</v>
      </c>
      <c r="D68" s="8">
        <v>1</v>
      </c>
      <c r="E68" s="27" cm="1">
        <f t="array" aca="1" ref="E68" ca="1">defaultValue(E67,K66)</f>
        <v>3.5</v>
      </c>
      <c r="F68" s="106"/>
      <c r="G68" s="27">
        <v>56</v>
      </c>
      <c r="H68" s="8">
        <v>105</v>
      </c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ht="31.2" x14ac:dyDescent="0.3">
      <c r="A69" s="51">
        <v>1</v>
      </c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  <c r="K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14.4" x14ac:dyDescent="0.3">
      <c r="A70" s="51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2</v>
      </c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K71" s="6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14.4" x14ac:dyDescent="0.3">
      <c r="A72" s="51">
        <v>0</v>
      </c>
      <c r="B72"/>
      <c r="C72"/>
      <c r="D72"/>
      <c r="E72"/>
      <c r="F72"/>
      <c r="G72"/>
      <c r="H72"/>
      <c r="I72"/>
      <c r="J72"/>
      <c r="K72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51">
        <v>3</v>
      </c>
      <c r="B73" s="15" t="str">
        <f>E66</f>
        <v xml:space="preserve">وحدة سفلية  تلبيسة دلفة /دلفتين </v>
      </c>
      <c r="C73" s="6">
        <v>1</v>
      </c>
      <c r="D73" s="6" t="str">
        <f ca="1">H69</f>
        <v>HPL</v>
      </c>
      <c r="E73" s="6" t="s">
        <v>10</v>
      </c>
      <c r="F73" s="6">
        <f>H68-3.6</f>
        <v>101.4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3</v>
      </c>
      <c r="B74" s="15" t="str">
        <f>B73</f>
        <v xml:space="preserve">وحدة سفلية  تلبيسة دلفة /دلفتين 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51">
        <v>3</v>
      </c>
      <c r="B75" s="15" t="str">
        <f>B73</f>
        <v xml:space="preserve">وحدة سفلية  تلبيسة دلفة /دلفتين 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101.4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 t="str">
        <f>B73</f>
        <v xml:space="preserve">وحدة سفلية  تلبيسة دلفة /دلفتين 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101.4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 t="str">
        <f>B73</f>
        <v xml:space="preserve">وحدة سفلية  تلبيسة دلفة /دلفتين 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101.2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 t="str">
        <f>B73</f>
        <v xml:space="preserve">وحدة سفلية  تلبيسة دلفة /دلفتين 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>G68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ht="14.4" x14ac:dyDescent="0.3">
      <c r="A79" s="51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4</v>
      </c>
      <c r="B80" s="15" t="str">
        <f>B73</f>
        <v xml:space="preserve">وحدة سفلية  تلبيسة دلفة /دلفتين 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>(H68-G68-G81)/C68-0.5</f>
        <v>44.5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4</v>
      </c>
      <c r="B81" s="15" t="str">
        <f>B73</f>
        <v xml:space="preserve">وحدة سفلية  تلبيسة دلفة /دلفتين 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5</v>
      </c>
      <c r="B83" s="15" t="str">
        <f>B73</f>
        <v xml:space="preserve">وحدة سفلية  تلبيسة دلفة /دلفتين </v>
      </c>
      <c r="C83" s="19">
        <f>C81+1</f>
        <v>9</v>
      </c>
      <c r="D83" s="19" t="str">
        <f ca="1">D69</f>
        <v>ظهر</v>
      </c>
      <c r="E83" s="19" t="s">
        <v>59</v>
      </c>
      <c r="F83" s="19">
        <f ca="1">I68-2</f>
        <v>76</v>
      </c>
      <c r="G83" s="19">
        <f>H68-2</f>
        <v>103</v>
      </c>
      <c r="H83" s="19">
        <f>1*C66</f>
        <v>1</v>
      </c>
      <c r="I83" s="19">
        <f ca="1">HLOOKUP(D83, materials[], 2,FALSE)</f>
        <v>2</v>
      </c>
      <c r="J83" s="19"/>
      <c r="K83" s="19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255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51">
        <v>255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ht="36" x14ac:dyDescent="0.3">
      <c r="A86" s="51" t="s">
        <v>162</v>
      </c>
      <c r="C86" s="14">
        <v>1</v>
      </c>
      <c r="D86" s="22" t="s">
        <v>60</v>
      </c>
      <c r="E86" s="98" t="s">
        <v>27</v>
      </c>
      <c r="F86" s="99"/>
      <c r="G86" s="99"/>
      <c r="H86" s="100"/>
      <c r="I86" s="2" t="s">
        <v>31</v>
      </c>
      <c r="J86" s="2">
        <f>letterToNumber(A86)</f>
        <v>4</v>
      </c>
      <c r="K86" s="7">
        <f ca="1">_xlfn.SHEET("وحدات سفلية")</f>
        <v>4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1</v>
      </c>
      <c r="C87" s="7"/>
      <c r="D87" s="7" t="s">
        <v>19</v>
      </c>
      <c r="E87" s="7" t="s">
        <v>17</v>
      </c>
      <c r="F87" s="106"/>
      <c r="G87" s="7"/>
      <c r="H87" s="7" t="s">
        <v>23</v>
      </c>
      <c r="I87" s="7" t="s">
        <v>3</v>
      </c>
      <c r="J87" s="7" t="s">
        <v>114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1</v>
      </c>
      <c r="C88" s="8"/>
      <c r="D88" s="8">
        <v>1</v>
      </c>
      <c r="E88" s="27" cm="1">
        <f t="array" aca="1" ref="E88" ca="1">defaultValue(E87,K86)</f>
        <v>3.5</v>
      </c>
      <c r="F88" s="106"/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51">
        <v>1</v>
      </c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51">
        <v>1</v>
      </c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  <c r="K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14.4" x14ac:dyDescent="0.3">
      <c r="A91" s="51">
        <v>0</v>
      </c>
      <c r="B91"/>
      <c r="C91"/>
      <c r="D91"/>
      <c r="E91"/>
      <c r="F91"/>
      <c r="G91"/>
      <c r="H91"/>
      <c r="I91"/>
      <c r="J91"/>
      <c r="K9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2</v>
      </c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K92" s="6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51">
        <v>3</v>
      </c>
      <c r="B94" s="15">
        <f>B93</f>
        <v>0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3</v>
      </c>
      <c r="B95" s="15">
        <f>B93</f>
        <v>0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51">
        <v>3</v>
      </c>
      <c r="B96" s="15">
        <f>B93</f>
        <v>0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x14ac:dyDescent="0.3">
      <c r="A97" s="51">
        <v>3</v>
      </c>
      <c r="B97" s="15">
        <f>B93</f>
        <v>0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51">
        <v>3</v>
      </c>
      <c r="B98" s="15">
        <f>B93</f>
        <v>0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51">
        <v>3</v>
      </c>
      <c r="B99" s="15">
        <f>B93</f>
        <v>0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51">
        <v>4</v>
      </c>
      <c r="B101" s="15">
        <f>B93</f>
        <v>0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51">
        <v>4</v>
      </c>
      <c r="B102" s="15">
        <f>B93</f>
        <v>0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x14ac:dyDescent="0.3">
      <c r="A104" s="51">
        <v>5</v>
      </c>
      <c r="B104" s="15">
        <f>B93</f>
        <v>0</v>
      </c>
      <c r="C104" s="19">
        <f>C102+1</f>
        <v>9</v>
      </c>
      <c r="D104" s="19" t="str">
        <f ca="1">D90</f>
        <v>ظهر</v>
      </c>
      <c r="E104" s="19" t="s">
        <v>59</v>
      </c>
      <c r="F104" s="19">
        <f ca="1">I89-1</f>
        <v>77</v>
      </c>
      <c r="G104" s="19">
        <f>H89-1</f>
        <v>-1</v>
      </c>
      <c r="H104" s="19">
        <f>2*C86</f>
        <v>2</v>
      </c>
      <c r="I104" s="19">
        <f ca="1">HLOOKUP(D104, materials[], 2,FALSE)</f>
        <v>2</v>
      </c>
      <c r="J104" s="19"/>
      <c r="K104" s="19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51">
        <v>255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51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36" x14ac:dyDescent="0.3">
      <c r="A107" s="51" t="s">
        <v>158</v>
      </c>
      <c r="C107" s="14">
        <v>1</v>
      </c>
      <c r="D107" s="22" t="s">
        <v>60</v>
      </c>
      <c r="E107" s="98" t="s">
        <v>30</v>
      </c>
      <c r="F107" s="99"/>
      <c r="G107" s="99"/>
      <c r="H107" s="100"/>
      <c r="I107" s="2" t="s">
        <v>31</v>
      </c>
      <c r="J107" s="2">
        <f>letterToNumber(A107)</f>
        <v>5</v>
      </c>
      <c r="K107" s="7">
        <f ca="1">_xlfn.SHEET("وحدات سفلية")</f>
        <v>4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51">
        <v>1</v>
      </c>
      <c r="C108" s="7"/>
      <c r="D108" s="7" t="s">
        <v>19</v>
      </c>
      <c r="E108" s="7" t="s">
        <v>17</v>
      </c>
      <c r="F108" s="106"/>
      <c r="G108" s="7"/>
      <c r="H108" s="7" t="s">
        <v>23</v>
      </c>
      <c r="I108" s="7" t="s">
        <v>3</v>
      </c>
      <c r="J108" s="7" t="s">
        <v>114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51">
        <v>1</v>
      </c>
      <c r="C109" s="8"/>
      <c r="D109" s="8">
        <v>1</v>
      </c>
      <c r="E109" s="27" cm="1">
        <f t="array" aca="1" ref="E109" ca="1">defaultValue(E108,K107)</f>
        <v>3.5</v>
      </c>
      <c r="F109" s="106"/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51">
        <v>1</v>
      </c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51">
        <v>1</v>
      </c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14.4" x14ac:dyDescent="0.3">
      <c r="A112" s="51">
        <v>0</v>
      </c>
      <c r="B112"/>
      <c r="C112"/>
      <c r="D112"/>
      <c r="E112"/>
      <c r="F112"/>
      <c r="G112"/>
      <c r="H112"/>
      <c r="I112"/>
      <c r="J112"/>
      <c r="K112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51">
        <v>2</v>
      </c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K113" s="6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51">
        <v>3</v>
      </c>
      <c r="B115" s="15" t="str">
        <f>E107</f>
        <v>وحدة سفلية  ركنة 45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x14ac:dyDescent="0.3">
      <c r="A116" s="51">
        <v>3</v>
      </c>
      <c r="B116" s="15" t="str">
        <f>B115</f>
        <v>وحدة سفلية  ركنة 45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51">
        <v>3</v>
      </c>
      <c r="B117" s="15" t="str">
        <f>B115</f>
        <v>وحدة سفلية  ركنة 45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B115</f>
        <v>وحدة سفلية  ركنة 45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B115</f>
        <v>وحدة سفلية  ركنة 45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B115</f>
        <v>وحدة سفلية  ركنة 45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4</v>
      </c>
      <c r="B122" s="15" t="str">
        <f>B115</f>
        <v>وحدة سفلية  ركنة 45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51">
        <v>5</v>
      </c>
      <c r="B124" s="15" t="str">
        <f>B115</f>
        <v>وحدة سفلية  ركنة 45</v>
      </c>
      <c r="C124" s="19">
        <f>C122+1</f>
        <v>8</v>
      </c>
      <c r="D124" s="19" t="str">
        <f ca="1">D111</f>
        <v>ظهر</v>
      </c>
      <c r="E124" s="19" t="s">
        <v>59</v>
      </c>
      <c r="F124" s="19">
        <f ca="1">I109-1</f>
        <v>77</v>
      </c>
      <c r="G124" s="19">
        <f>H109-1</f>
        <v>-1</v>
      </c>
      <c r="H124" s="19">
        <f>1*C107</f>
        <v>1</v>
      </c>
      <c r="I124" s="19">
        <f ca="1">HLOOKUP(D124, materials[], 2,FALSE)</f>
        <v>2</v>
      </c>
      <c r="J124" s="19"/>
      <c r="K124" s="1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255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255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36" x14ac:dyDescent="0.3">
      <c r="A127" s="51" t="s">
        <v>159</v>
      </c>
      <c r="B127" s="3"/>
      <c r="C127" s="14">
        <v>1</v>
      </c>
      <c r="D127" s="22" t="s">
        <v>60</v>
      </c>
      <c r="E127" s="98" t="s">
        <v>106</v>
      </c>
      <c r="F127" s="99"/>
      <c r="G127" s="99"/>
      <c r="H127" s="100"/>
      <c r="I127" s="2" t="s">
        <v>31</v>
      </c>
      <c r="J127" s="2">
        <f>letterToNumber(A127)</f>
        <v>6</v>
      </c>
      <c r="K127" s="7">
        <f ca="1">_xlfn.SHEET("وحدات سفلية")</f>
        <v>4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ht="31.2" x14ac:dyDescent="0.3">
      <c r="A128" s="51">
        <v>1</v>
      </c>
      <c r="B128" s="21"/>
      <c r="C128" s="7" t="s">
        <v>12</v>
      </c>
      <c r="D128" s="7" t="s">
        <v>19</v>
      </c>
      <c r="E128" s="7" t="s">
        <v>17</v>
      </c>
      <c r="F128" s="106"/>
      <c r="G128" s="16" t="s">
        <v>20</v>
      </c>
      <c r="H128" s="7" t="s">
        <v>23</v>
      </c>
      <c r="I128" s="7" t="s">
        <v>3</v>
      </c>
      <c r="J128" s="7" t="s">
        <v>114</v>
      </c>
      <c r="K128" s="7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1</v>
      </c>
      <c r="B129" s="21"/>
      <c r="C129" s="8"/>
      <c r="D129" s="8">
        <v>0</v>
      </c>
      <c r="E129" s="27" cm="1">
        <f t="array" aca="1" ref="E129" ca="1">defaultValue(E128,K127)</f>
        <v>3.5</v>
      </c>
      <c r="F129" s="106"/>
      <c r="G129" s="27" cm="1">
        <f t="array" aca="1" ref="G129" ca="1">defaultValue(G128,K127)</f>
        <v>45</v>
      </c>
      <c r="H129" s="8">
        <v>60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ht="31.2" x14ac:dyDescent="0.3">
      <c r="A130" s="51">
        <v>1</v>
      </c>
      <c r="B130" s="21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14.4" x14ac:dyDescent="0.3">
      <c r="A132" s="51">
        <v>2</v>
      </c>
      <c r="B132" s="21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K132" s="6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3</v>
      </c>
      <c r="B134" s="15" t="str">
        <f>E127</f>
        <v xml:space="preserve">وحدة سفلية  فرن </v>
      </c>
      <c r="C134" s="6">
        <v>1</v>
      </c>
      <c r="D134" s="6" t="str">
        <f ca="1">H130</f>
        <v>HPL</v>
      </c>
      <c r="E134" s="6" t="s">
        <v>10</v>
      </c>
      <c r="F134" s="6">
        <f>H129-3.6</f>
        <v>56.4</v>
      </c>
      <c r="G134" s="6">
        <f ca="1">J129</f>
        <v>56</v>
      </c>
      <c r="H134" s="6">
        <f>2*C127</f>
        <v>2</v>
      </c>
      <c r="I134" s="6">
        <f ca="1">HLOOKUP(D134, materials[], 2,FALSE)</f>
        <v>2</v>
      </c>
      <c r="J134" s="6"/>
      <c r="K134" s="6" t="b">
        <v>1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x14ac:dyDescent="0.3">
      <c r="A135" s="51">
        <v>3</v>
      </c>
      <c r="B135" s="15" t="str">
        <f>B134</f>
        <v xml:space="preserve">وحدة سفلية  فرن 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x14ac:dyDescent="0.3">
      <c r="A136" s="51">
        <v>3</v>
      </c>
      <c r="B136" s="15" t="str">
        <f>B134</f>
        <v xml:space="preserve">وحدة سفلية  فرن 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56.4</v>
      </c>
      <c r="G136" s="6">
        <v>10</v>
      </c>
      <c r="H136" s="6">
        <f>2*C127</f>
        <v>2</v>
      </c>
      <c r="I136" s="6">
        <f ca="1">HLOOKUP(D136, materials[], 2,FALSE)</f>
        <v>2</v>
      </c>
      <c r="J136" s="6"/>
      <c r="K136" s="6" t="b">
        <v>1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x14ac:dyDescent="0.3">
      <c r="A137" s="51">
        <v>3</v>
      </c>
      <c r="B137" s="15" t="str">
        <f>B134</f>
        <v xml:space="preserve">وحدة سفلية  فرن 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56.4</v>
      </c>
      <c r="G137" s="6">
        <v>7</v>
      </c>
      <c r="H137" s="6">
        <f>2*C127</f>
        <v>2</v>
      </c>
      <c r="I137" s="6">
        <f ca="1">HLOOKUP(D137, materials[], 2,FALSE)</f>
        <v>2</v>
      </c>
      <c r="J137" s="6"/>
      <c r="K137" s="6" t="b">
        <v>1</v>
      </c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51">
        <v>3</v>
      </c>
      <c r="B138" s="15" t="str">
        <f>B134</f>
        <v xml:space="preserve">وحدة سفلية  فرن 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56.2</v>
      </c>
      <c r="G138" s="6">
        <f ca="1">J129-6</f>
        <v>50</v>
      </c>
      <c r="H138" s="6">
        <f>D129*C127</f>
        <v>0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51">
        <v>3</v>
      </c>
      <c r="B139" s="15" t="str">
        <f>B135</f>
        <v xml:space="preserve">وحدة سفلية  فرن </v>
      </c>
      <c r="C139" s="10">
        <f t="shared" si="7"/>
        <v>6</v>
      </c>
      <c r="D139" s="10" t="str">
        <f ca="1">H130</f>
        <v>HPL</v>
      </c>
      <c r="E139" s="10" t="s">
        <v>22</v>
      </c>
      <c r="F139" s="10">
        <f>H129-3.6-3.6-2.5</f>
        <v>50.3</v>
      </c>
      <c r="G139" s="10">
        <v>10</v>
      </c>
      <c r="H139" s="10">
        <f>1*C127</f>
        <v>1</v>
      </c>
      <c r="I139" s="10">
        <f ca="1">HLOOKUP(D139, materials[], 2,FALSE)</f>
        <v>2</v>
      </c>
      <c r="J139" s="10"/>
      <c r="K139" s="10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51">
        <v>3</v>
      </c>
      <c r="B140" s="15" t="str">
        <f>B136</f>
        <v xml:space="preserve">وحدة سفلية  فرن </v>
      </c>
      <c r="C140" s="10">
        <f t="shared" si="7"/>
        <v>7</v>
      </c>
      <c r="D140" s="10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>2*C127</f>
        <v>2</v>
      </c>
      <c r="I140" s="10">
        <f ca="1">HLOOKUP(D140, materials[], 2,FALSE)</f>
        <v>2</v>
      </c>
      <c r="J140" s="10"/>
      <c r="K140" s="10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51">
        <v>3</v>
      </c>
      <c r="B141" s="15" t="str">
        <f>B137</f>
        <v xml:space="preserve">وحدة سفلية  فرن </v>
      </c>
      <c r="C141" s="10">
        <f t="shared" si="7"/>
        <v>8</v>
      </c>
      <c r="D141" s="10" t="str">
        <f ca="1">H130</f>
        <v>HPL</v>
      </c>
      <c r="E141" s="10" t="s">
        <v>155</v>
      </c>
      <c r="F141" s="10">
        <f>H129-3.6-3.6-2.5</f>
        <v>50.3</v>
      </c>
      <c r="G141" s="10">
        <f>10-3</f>
        <v>7</v>
      </c>
      <c r="H141" s="10">
        <f>1*C127</f>
        <v>1</v>
      </c>
      <c r="I141" s="10">
        <f ca="1">HLOOKUP(D141, materials[], 2,FALSE)</f>
        <v>2</v>
      </c>
      <c r="J141" s="10"/>
      <c r="K141" s="10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51">
        <v>4</v>
      </c>
      <c r="B143" s="15" t="str">
        <f>B134</f>
        <v xml:space="preserve">وحدة سفلية  فرن </v>
      </c>
      <c r="C143" s="9">
        <f>C141+1</f>
        <v>9</v>
      </c>
      <c r="D143" s="9" t="str">
        <f ca="1">F130</f>
        <v>يوفيلاك</v>
      </c>
      <c r="E143" s="9" t="s">
        <v>15</v>
      </c>
      <c r="F143" s="9" t="str">
        <f>IF(H143=0,"",(I129-0.5-E129))</f>
        <v/>
      </c>
      <c r="G143" s="9" t="str">
        <f>IF(H143=0, "",(H129/C129)-0.5)</f>
        <v/>
      </c>
      <c r="H143" s="9">
        <f>C129*C127</f>
        <v>0</v>
      </c>
      <c r="I143" s="9">
        <f ca="1">HLOOKUP(D143, materials[], 2,FALSE)</f>
        <v>6</v>
      </c>
      <c r="J143" s="9"/>
      <c r="K143" s="9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51">
        <v>4</v>
      </c>
      <c r="B144" s="15" t="str">
        <f>B134</f>
        <v xml:space="preserve">وحدة سفلية  فرن </v>
      </c>
      <c r="C144" s="9">
        <f>C143+1</f>
        <v>10</v>
      </c>
      <c r="D144" s="9" t="str">
        <f ca="1">F130</f>
        <v>يوفيلاك</v>
      </c>
      <c r="E144" s="9" t="s">
        <v>153</v>
      </c>
      <c r="F144" s="9">
        <f>H129-0.5</f>
        <v>59.5</v>
      </c>
      <c r="G144" s="9">
        <f ca="1">I129-E129-60.5</f>
        <v>14</v>
      </c>
      <c r="H144" s="9">
        <f>1*C127</f>
        <v>1</v>
      </c>
      <c r="I144" s="9">
        <f ca="1">HLOOKUP(D144, materials[], 2,FALSE)</f>
        <v>6</v>
      </c>
      <c r="J144" s="9"/>
      <c r="K144" s="9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x14ac:dyDescent="0.3">
      <c r="A146" s="51">
        <v>5</v>
      </c>
      <c r="B146" s="15" t="str">
        <f>B134</f>
        <v xml:space="preserve">وحدة سفلية  فرن </v>
      </c>
      <c r="C146" s="19">
        <f>C144+1</f>
        <v>11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58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51">
        <v>5</v>
      </c>
      <c r="B147" s="15" t="str">
        <f>B134</f>
        <v xml:space="preserve">وحدة سفلية  فرن </v>
      </c>
      <c r="C147" s="19">
        <f>C146+1</f>
        <v>12</v>
      </c>
      <c r="D147" s="19" t="str">
        <f ca="1">D130</f>
        <v>ظهر</v>
      </c>
      <c r="E147" s="19" t="s">
        <v>150</v>
      </c>
      <c r="F147" s="19">
        <f>H129-3.6-3.6-2.5+2</f>
        <v>52.3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51">
        <v>255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x14ac:dyDescent="0.3">
      <c r="A149" s="51">
        <v>255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ht="36" x14ac:dyDescent="0.3">
      <c r="A150" s="54" t="s">
        <v>160</v>
      </c>
      <c r="C150" s="14">
        <v>1</v>
      </c>
      <c r="D150" s="22" t="s">
        <v>60</v>
      </c>
      <c r="E150" s="98" t="s">
        <v>163</v>
      </c>
      <c r="F150" s="99"/>
      <c r="G150" s="99"/>
      <c r="H150" s="100"/>
      <c r="I150" s="2" t="s">
        <v>31</v>
      </c>
      <c r="J150" s="2">
        <f>letterToNumber(A150)</f>
        <v>7</v>
      </c>
      <c r="K150" s="7">
        <f ca="1">_xlfn.SHEET("وحدات سفلية")</f>
        <v>4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ht="31.2" x14ac:dyDescent="0.3">
      <c r="A151" s="51">
        <v>1</v>
      </c>
      <c r="C151" s="7" t="s">
        <v>12</v>
      </c>
      <c r="D151" s="18" t="s">
        <v>19</v>
      </c>
      <c r="E151" s="7" t="s">
        <v>17</v>
      </c>
      <c r="F151" s="18" t="s">
        <v>164</v>
      </c>
      <c r="G151" s="16" t="s">
        <v>20</v>
      </c>
      <c r="H151" s="7" t="s">
        <v>23</v>
      </c>
      <c r="I151" s="7" t="s">
        <v>3</v>
      </c>
      <c r="J151" s="7" t="s">
        <v>114</v>
      </c>
      <c r="K151" s="7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51">
        <v>1</v>
      </c>
      <c r="C152" s="8">
        <v>2</v>
      </c>
      <c r="D152" s="8">
        <v>1</v>
      </c>
      <c r="E152" s="27" cm="1">
        <f t="array" aca="1" ref="E152" ca="1">defaultValue(E151,K150)</f>
        <v>3.5</v>
      </c>
      <c r="F152" s="8">
        <v>1</v>
      </c>
      <c r="G152" s="27" cm="1">
        <f t="array" aca="1" ref="G152" ca="1">defaultValue(G151,K150)</f>
        <v>45</v>
      </c>
      <c r="H152" s="8">
        <v>60</v>
      </c>
      <c r="I152" s="27" cm="1">
        <f t="array" aca="1" ref="I152" ca="1">defaultValue(I151,K150)</f>
        <v>78</v>
      </c>
      <c r="J152" s="27" cm="1">
        <f t="array" aca="1" ref="J152" ca="1">defaultValue(J151,K150)</f>
        <v>56</v>
      </c>
      <c r="K152" s="7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ht="31.2" x14ac:dyDescent="0.3">
      <c r="A153" s="51">
        <v>1</v>
      </c>
      <c r="C153" s="8"/>
      <c r="D153" s="27" t="str" cm="1">
        <f t="array" aca="1" ref="D153" ca="1">defaultValue(E153,K150)</f>
        <v>ظهر</v>
      </c>
      <c r="E153" s="7" t="s">
        <v>59</v>
      </c>
      <c r="F153" s="27" t="str" cm="1">
        <f t="array" aca="1" ref="F153" ca="1">defaultValue(G153,K150)</f>
        <v>يوفيلاك</v>
      </c>
      <c r="G153" s="7" t="s">
        <v>33</v>
      </c>
      <c r="H153" s="27" t="str" cm="1">
        <f t="array" aca="1" ref="H153" ca="1">defaultValue(I153,K150)</f>
        <v>HPL</v>
      </c>
      <c r="I153" s="7" t="s">
        <v>32</v>
      </c>
      <c r="J153" s="25" t="s">
        <v>112</v>
      </c>
      <c r="K153" s="7"/>
      <c r="BB153"/>
      <c r="BC153"/>
      <c r="BD153"/>
      <c r="BE153"/>
      <c r="BF153"/>
      <c r="BG153"/>
      <c r="BH153"/>
      <c r="BI153"/>
      <c r="BJ153"/>
    </row>
    <row r="154" spans="1:79" ht="14.4" x14ac:dyDescent="0.3">
      <c r="A154" s="51">
        <v>0</v>
      </c>
      <c r="B154"/>
      <c r="C154"/>
      <c r="D154"/>
      <c r="E154"/>
      <c r="F154"/>
      <c r="G154"/>
      <c r="H154"/>
      <c r="I154"/>
      <c r="J154"/>
      <c r="K154"/>
      <c r="BB154"/>
      <c r="BC154"/>
      <c r="BD154"/>
      <c r="BE154"/>
      <c r="BF154"/>
      <c r="BG154"/>
      <c r="BH154"/>
      <c r="BI154"/>
      <c r="BJ154"/>
    </row>
    <row r="155" spans="1:79" x14ac:dyDescent="0.3">
      <c r="A155" s="51">
        <v>2</v>
      </c>
      <c r="C155" s="6" t="s">
        <v>4</v>
      </c>
      <c r="D155" s="6" t="s">
        <v>9</v>
      </c>
      <c r="E155" s="6" t="s">
        <v>5</v>
      </c>
      <c r="F155" s="6" t="s">
        <v>7</v>
      </c>
      <c r="G155" s="6" t="s">
        <v>1</v>
      </c>
      <c r="H155" s="6" t="s">
        <v>6</v>
      </c>
      <c r="I155" s="6" t="s">
        <v>34</v>
      </c>
      <c r="J155" s="6" t="s">
        <v>8</v>
      </c>
      <c r="K155" s="6"/>
      <c r="BB155"/>
      <c r="BC155"/>
      <c r="BD155"/>
      <c r="BE155"/>
      <c r="BF155"/>
      <c r="BG155"/>
      <c r="BH155"/>
      <c r="BI155"/>
      <c r="BJ155"/>
    </row>
    <row r="156" spans="1:79" ht="14.4" x14ac:dyDescent="0.3">
      <c r="A156" s="51">
        <v>0</v>
      </c>
      <c r="B156"/>
      <c r="C156"/>
      <c r="D156"/>
      <c r="E156"/>
      <c r="F156"/>
      <c r="G156"/>
      <c r="H156"/>
      <c r="I156"/>
      <c r="J156"/>
      <c r="K156"/>
      <c r="BB156"/>
      <c r="BC156"/>
      <c r="BD156"/>
      <c r="BE156"/>
      <c r="BF156"/>
      <c r="BG156"/>
      <c r="BH156"/>
      <c r="BI156"/>
      <c r="BJ156"/>
    </row>
    <row r="157" spans="1:79" x14ac:dyDescent="0.3">
      <c r="A157" s="51">
        <v>3</v>
      </c>
      <c r="B157" s="15" t="str">
        <f>E150</f>
        <v>وحدة سفلية دلفة /دلفتين + درج</v>
      </c>
      <c r="C157" s="6">
        <v>1</v>
      </c>
      <c r="D157" s="6" t="str">
        <f ca="1">H153</f>
        <v>HPL</v>
      </c>
      <c r="E157" s="6" t="s">
        <v>10</v>
      </c>
      <c r="F157" s="6">
        <f>H152-3.6</f>
        <v>56.4</v>
      </c>
      <c r="G157" s="6">
        <f ca="1">J152</f>
        <v>56</v>
      </c>
      <c r="H157" s="6">
        <f>1*C150</f>
        <v>1</v>
      </c>
      <c r="I157" s="6">
        <f ca="1">HLOOKUP(D157, materials[], 2,FALSE)</f>
        <v>2</v>
      </c>
      <c r="J157" s="6"/>
      <c r="K157" s="6" t="b">
        <v>1</v>
      </c>
      <c r="BB157"/>
      <c r="BC157"/>
      <c r="BD157"/>
      <c r="BE157"/>
      <c r="BF157"/>
      <c r="BG157"/>
      <c r="BH157"/>
      <c r="BI157"/>
      <c r="BJ157"/>
    </row>
    <row r="158" spans="1:79" x14ac:dyDescent="0.3">
      <c r="A158" s="51">
        <v>3</v>
      </c>
      <c r="B158" s="15" t="str">
        <f>B157</f>
        <v>وحدة سفلية دلفة /دلفتين + درج</v>
      </c>
      <c r="C158" s="6">
        <f>C157+1</f>
        <v>2</v>
      </c>
      <c r="D158" s="6" t="str">
        <f ca="1">H153</f>
        <v>HPL</v>
      </c>
      <c r="E158" s="6" t="s">
        <v>11</v>
      </c>
      <c r="F158" s="6">
        <f ca="1">I152</f>
        <v>78</v>
      </c>
      <c r="G158" s="6">
        <f ca="1">J152</f>
        <v>56</v>
      </c>
      <c r="H158" s="6">
        <f>2*C150</f>
        <v>2</v>
      </c>
      <c r="I158" s="6">
        <f ca="1">HLOOKUP(D158, materials[], 2,FALSE)</f>
        <v>2</v>
      </c>
      <c r="J158" s="6"/>
      <c r="K158" s="6" t="b">
        <v>1</v>
      </c>
      <c r="BB158"/>
      <c r="BC158"/>
      <c r="BD158"/>
      <c r="BE158"/>
      <c r="BF158"/>
      <c r="BG158"/>
      <c r="BH158"/>
      <c r="BI158"/>
      <c r="BJ158"/>
    </row>
    <row r="159" spans="1:79" x14ac:dyDescent="0.3">
      <c r="A159" s="51">
        <v>3</v>
      </c>
      <c r="B159" s="15" t="str">
        <f>B157</f>
        <v>وحدة سفلية دلفة /دلفتين + درج</v>
      </c>
      <c r="C159" s="6">
        <f t="shared" ref="C159:C164" si="8">C158+1</f>
        <v>3</v>
      </c>
      <c r="D159" s="6" t="str">
        <f ca="1">H153</f>
        <v>HPL</v>
      </c>
      <c r="E159" s="6" t="s">
        <v>13</v>
      </c>
      <c r="F159" s="6">
        <f>H152-3.6</f>
        <v>56.4</v>
      </c>
      <c r="G159" s="6">
        <f>10</f>
        <v>10</v>
      </c>
      <c r="H159" s="6">
        <f>1*C150</f>
        <v>1</v>
      </c>
      <c r="I159" s="6">
        <f ca="1">HLOOKUP(D159, materials[], 2,FALSE)</f>
        <v>2</v>
      </c>
      <c r="J159" s="6"/>
      <c r="K159" s="6" t="b">
        <v>1</v>
      </c>
      <c r="BB159"/>
      <c r="BC159"/>
      <c r="BD159"/>
      <c r="BE159"/>
      <c r="BF159"/>
      <c r="BG159"/>
      <c r="BH159"/>
      <c r="BI159"/>
      <c r="BJ159"/>
    </row>
    <row r="160" spans="1:79" x14ac:dyDescent="0.3">
      <c r="A160" s="51">
        <v>3</v>
      </c>
      <c r="B160" s="15" t="str">
        <f>B157</f>
        <v>وحدة سفلية دلفة /دلفتين + درج</v>
      </c>
      <c r="C160" s="6">
        <f t="shared" si="8"/>
        <v>4</v>
      </c>
      <c r="D160" s="6" t="str">
        <f ca="1">H153</f>
        <v>HPL</v>
      </c>
      <c r="E160" s="6" t="s">
        <v>14</v>
      </c>
      <c r="F160" s="6">
        <f>H152-3.6</f>
        <v>56.4</v>
      </c>
      <c r="G160" s="6">
        <f>7</f>
        <v>7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BB160"/>
      <c r="BC160"/>
      <c r="BD160"/>
      <c r="BE160"/>
      <c r="BF160"/>
      <c r="BG160"/>
      <c r="BH160"/>
      <c r="BI160"/>
      <c r="BJ160"/>
    </row>
    <row r="161" spans="1:62" x14ac:dyDescent="0.3">
      <c r="A161" s="51">
        <v>3</v>
      </c>
      <c r="B161" s="15" t="str">
        <f>B157</f>
        <v>وحدة سفلية دلفة /دلفتين + درج</v>
      </c>
      <c r="C161" s="6">
        <f t="shared" si="8"/>
        <v>5</v>
      </c>
      <c r="D161" s="6" t="str">
        <f ca="1">H153</f>
        <v>HPL</v>
      </c>
      <c r="E161" s="6" t="s">
        <v>18</v>
      </c>
      <c r="F161" s="6">
        <f>H152-3.8</f>
        <v>56.2</v>
      </c>
      <c r="G161" s="6">
        <f ca="1">J152-6</f>
        <v>50</v>
      </c>
      <c r="H161" s="6">
        <f>D152*C150</f>
        <v>1</v>
      </c>
      <c r="I161" s="6">
        <f ca="1">HLOOKUP(D161, materials[], 2,FALSE)</f>
        <v>2</v>
      </c>
      <c r="J161" s="6"/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51">
        <v>3</v>
      </c>
      <c r="B162" s="15" t="str">
        <f>B158</f>
        <v>وحدة سفلية دلفة /دلفتين + درج</v>
      </c>
      <c r="C162" s="10">
        <f t="shared" si="8"/>
        <v>6</v>
      </c>
      <c r="D162" s="10" t="str">
        <f ca="1">H153</f>
        <v>HPL</v>
      </c>
      <c r="E162" s="10" t="s">
        <v>22</v>
      </c>
      <c r="F162" s="10">
        <f>H152-3.6-3.6-2.5</f>
        <v>50.3</v>
      </c>
      <c r="G162" s="10">
        <v>10</v>
      </c>
      <c r="H162" s="10">
        <f>F152*C150</f>
        <v>1</v>
      </c>
      <c r="I162" s="10">
        <f ca="1">HLOOKUP(D162, materials[], 2,FALSE)</f>
        <v>2</v>
      </c>
      <c r="J162" s="10"/>
      <c r="K162" s="10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51">
        <v>3</v>
      </c>
      <c r="B163" s="15" t="str">
        <f>B159</f>
        <v>وحدة سفلية دلفة /دلفتين + درج</v>
      </c>
      <c r="C163" s="10">
        <f t="shared" si="8"/>
        <v>7</v>
      </c>
      <c r="D163" s="10" t="str">
        <f ca="1">H153</f>
        <v>HPL</v>
      </c>
      <c r="E163" s="10" t="s">
        <v>154</v>
      </c>
      <c r="F163" s="10">
        <f ca="1">G152</f>
        <v>45</v>
      </c>
      <c r="G163" s="10">
        <v>10</v>
      </c>
      <c r="H163" s="10">
        <f>2*C150*F152</f>
        <v>2</v>
      </c>
      <c r="I163" s="10">
        <f ca="1">HLOOKUP(D163, materials[], 2,FALSE)</f>
        <v>2</v>
      </c>
      <c r="J163" s="10"/>
      <c r="K163" s="10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51">
        <v>3</v>
      </c>
      <c r="B164" s="15" t="str">
        <f>B160</f>
        <v>وحدة سفلية دلفة /دلفتين + درج</v>
      </c>
      <c r="C164" s="10">
        <f t="shared" si="8"/>
        <v>8</v>
      </c>
      <c r="D164" s="10" t="str">
        <f ca="1">H153</f>
        <v>HPL</v>
      </c>
      <c r="E164" s="10" t="s">
        <v>155</v>
      </c>
      <c r="F164" s="10">
        <f>H152-3.6-3.6-2.5</f>
        <v>50.3</v>
      </c>
      <c r="G164" s="10">
        <f>10-3</f>
        <v>7</v>
      </c>
      <c r="H164" s="10">
        <f>F152*C150</f>
        <v>1</v>
      </c>
      <c r="I164" s="10">
        <f ca="1">HLOOKUP(D164, materials[], 2,FALSE)</f>
        <v>2</v>
      </c>
      <c r="J164" s="10"/>
      <c r="K164" s="10" t="b">
        <v>1</v>
      </c>
      <c r="BB164"/>
      <c r="BC164"/>
      <c r="BD164"/>
      <c r="BE164"/>
      <c r="BF164"/>
      <c r="BG164"/>
      <c r="BH164"/>
      <c r="BI164"/>
      <c r="BJ164"/>
    </row>
    <row r="165" spans="1:62" ht="14.4" x14ac:dyDescent="0.3">
      <c r="A165" s="51">
        <v>0</v>
      </c>
      <c r="B165"/>
      <c r="C165"/>
      <c r="D165"/>
      <c r="E165"/>
      <c r="F165"/>
      <c r="G165"/>
      <c r="H165"/>
      <c r="I165"/>
      <c r="J165"/>
      <c r="K165"/>
      <c r="BB165"/>
      <c r="BC165"/>
      <c r="BD165"/>
      <c r="BE165"/>
      <c r="BF165"/>
      <c r="BG165"/>
      <c r="BH165"/>
      <c r="BI165"/>
      <c r="BJ165"/>
    </row>
    <row r="166" spans="1:62" x14ac:dyDescent="0.3">
      <c r="A166" s="51">
        <v>4</v>
      </c>
      <c r="B166" s="15" t="str">
        <f>B157</f>
        <v>وحدة سفلية دلفة /دلفتين + درج</v>
      </c>
      <c r="C166" s="9">
        <f>C164+1</f>
        <v>9</v>
      </c>
      <c r="D166" s="9" t="str">
        <f ca="1">F153</f>
        <v>يوفيلاك</v>
      </c>
      <c r="E166" s="9" t="s">
        <v>15</v>
      </c>
      <c r="F166" s="9">
        <f ca="1">I152-0.5-E152-G167</f>
        <v>59</v>
      </c>
      <c r="G166" s="9">
        <f>(H152/C152)-0.5</f>
        <v>29.5</v>
      </c>
      <c r="H166" s="9">
        <f>C152*C150</f>
        <v>2</v>
      </c>
      <c r="I166" s="9">
        <f ca="1">HLOOKUP(D166, materials[], 2,FALSE)</f>
        <v>6</v>
      </c>
      <c r="J166" s="9"/>
      <c r="K166" s="9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51">
        <v>4</v>
      </c>
      <c r="B167" s="15" t="str">
        <f>B157</f>
        <v>وحدة سفلية دلفة /دلفتين + درج</v>
      </c>
      <c r="C167" s="9">
        <f>C166+1</f>
        <v>10</v>
      </c>
      <c r="D167" s="9" t="str">
        <f ca="1">F153</f>
        <v>يوفيلاك</v>
      </c>
      <c r="E167" s="9" t="s">
        <v>166</v>
      </c>
      <c r="F167" s="9">
        <f>H152-0.5</f>
        <v>59.5</v>
      </c>
      <c r="G167" s="9">
        <f ca="1">I152-E152-59.5</f>
        <v>15</v>
      </c>
      <c r="H167" s="9">
        <f>F152*C150</f>
        <v>1</v>
      </c>
      <c r="I167" s="9">
        <f ca="1">HLOOKUP(D167, materials[], 2,FALSE)</f>
        <v>6</v>
      </c>
      <c r="J167" s="9"/>
      <c r="K167" s="9" t="b">
        <v>1</v>
      </c>
      <c r="BB167"/>
      <c r="BC167"/>
      <c r="BD167"/>
      <c r="BE167"/>
      <c r="BF167"/>
      <c r="BG167"/>
      <c r="BH167"/>
      <c r="BI167"/>
      <c r="BJ167"/>
    </row>
    <row r="168" spans="1:62" ht="14.4" x14ac:dyDescent="0.3">
      <c r="A168" s="51">
        <v>0</v>
      </c>
      <c r="B168"/>
      <c r="C168"/>
      <c r="D168"/>
      <c r="E168"/>
      <c r="F168"/>
      <c r="G168"/>
      <c r="H168"/>
      <c r="I168"/>
      <c r="J168"/>
      <c r="K168"/>
      <c r="BB168"/>
      <c r="BC168"/>
      <c r="BD168"/>
      <c r="BE168"/>
      <c r="BF168"/>
      <c r="BG168"/>
      <c r="BH168"/>
      <c r="BI168"/>
      <c r="BJ168"/>
    </row>
    <row r="169" spans="1:62" x14ac:dyDescent="0.3">
      <c r="A169" s="51">
        <v>5</v>
      </c>
      <c r="B169" s="15" t="str">
        <f>B157</f>
        <v>وحدة سفلية دلفة /دلفتين + درج</v>
      </c>
      <c r="C169" s="19">
        <f>C166+1</f>
        <v>10</v>
      </c>
      <c r="D169" s="19" t="str">
        <f ca="1">D153</f>
        <v>ظهر</v>
      </c>
      <c r="E169" s="19" t="s">
        <v>59</v>
      </c>
      <c r="F169" s="19">
        <f ca="1">I152-2</f>
        <v>76</v>
      </c>
      <c r="G169" s="19">
        <f>H152-2</f>
        <v>58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BB169"/>
      <c r="BC169"/>
      <c r="BD169"/>
      <c r="BE169"/>
      <c r="BF169"/>
      <c r="BG169"/>
      <c r="BH169"/>
      <c r="BI169"/>
      <c r="BJ169"/>
    </row>
    <row r="170" spans="1:62" x14ac:dyDescent="0.3">
      <c r="A170" s="51">
        <v>5</v>
      </c>
      <c r="B170" s="15" t="str">
        <f>B157</f>
        <v>وحدة سفلية دلفة /دلفتين + درج</v>
      </c>
      <c r="C170" s="19">
        <f>C169+1</f>
        <v>11</v>
      </c>
      <c r="D170" s="19" t="str">
        <f ca="1">D153</f>
        <v>ظهر</v>
      </c>
      <c r="E170" s="19" t="s">
        <v>165</v>
      </c>
      <c r="F170" s="19">
        <f>H152-3.6-3.6-2.5+2</f>
        <v>52.3</v>
      </c>
      <c r="G170" s="19">
        <f ca="1">G152-1</f>
        <v>44</v>
      </c>
      <c r="H170" s="19">
        <f>1*C150</f>
        <v>1</v>
      </c>
      <c r="I170" s="19">
        <f ca="1">HLOOKUP(D170, materials[], 2,FALSE)</f>
        <v>2</v>
      </c>
      <c r="J170" s="19"/>
      <c r="K170" s="1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51">
        <v>255</v>
      </c>
      <c r="BB171"/>
      <c r="BC171"/>
      <c r="BD171"/>
      <c r="BE171"/>
      <c r="BF171"/>
      <c r="BG171"/>
      <c r="BH171"/>
      <c r="BI171"/>
      <c r="BJ171"/>
    </row>
    <row r="172" spans="1:62" x14ac:dyDescent="0.3">
      <c r="A172" s="51">
        <v>255</v>
      </c>
      <c r="BB172"/>
      <c r="BC172"/>
      <c r="BD172"/>
      <c r="BE172"/>
      <c r="BF172"/>
      <c r="BG172"/>
      <c r="BH172"/>
      <c r="BI172"/>
      <c r="BJ172"/>
    </row>
  </sheetData>
  <mergeCells count="13">
    <mergeCell ref="C2:J2"/>
    <mergeCell ref="G14:G15"/>
    <mergeCell ref="F67:F68"/>
    <mergeCell ref="E13:H13"/>
    <mergeCell ref="E31:H31"/>
    <mergeCell ref="E150:H150"/>
    <mergeCell ref="E127:H127"/>
    <mergeCell ref="F128:F129"/>
    <mergeCell ref="E107:H107"/>
    <mergeCell ref="E66:H66"/>
    <mergeCell ref="F108:F109"/>
    <mergeCell ref="F87:F88"/>
    <mergeCell ref="E86:H86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/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123</v>
      </c>
      <c r="C2" s="107" t="s">
        <v>105</v>
      </c>
      <c r="D2" s="107"/>
      <c r="E2" s="107"/>
      <c r="F2" s="107"/>
      <c r="G2" s="107"/>
      <c r="H2" s="107"/>
      <c r="I2" s="107"/>
      <c r="J2" s="107"/>
    </row>
    <row r="3" spans="1:25" s="35" customFormat="1" ht="14.4" x14ac:dyDescent="0.3">
      <c r="A3" s="45"/>
      <c r="B3" s="53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156</v>
      </c>
      <c r="B13" s="15"/>
      <c r="C13" s="14">
        <v>1</v>
      </c>
      <c r="D13" s="22" t="s">
        <v>60</v>
      </c>
      <c r="E13" s="98" t="s">
        <v>117</v>
      </c>
      <c r="F13" s="99"/>
      <c r="G13" s="99"/>
      <c r="H13" s="100"/>
      <c r="I13" s="2" t="s">
        <v>31</v>
      </c>
      <c r="J13" s="2">
        <f>letterToNumber(A13)</f>
        <v>1</v>
      </c>
      <c r="K13" s="7">
        <f ca="1">_xlfn.SHEET("بورديوم")</f>
        <v>5</v>
      </c>
    </row>
    <row r="14" spans="1:25" ht="31.2" x14ac:dyDescent="0.3">
      <c r="A14" s="35">
        <v>1</v>
      </c>
      <c r="B14" s="15"/>
      <c r="C14" s="7" t="s">
        <v>12</v>
      </c>
      <c r="D14" s="18" t="s">
        <v>19</v>
      </c>
      <c r="E14" s="7" t="s">
        <v>17</v>
      </c>
      <c r="F14" s="29" t="s">
        <v>115</v>
      </c>
      <c r="G14" s="106"/>
      <c r="H14" s="7" t="s">
        <v>23</v>
      </c>
      <c r="I14" s="7" t="s">
        <v>3</v>
      </c>
      <c r="J14" s="7" t="s">
        <v>114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t="e" cm="1">
        <f t="array" aca="1" ref="E15" ca="1">defaultValue(E14,K13)</f>
        <v>#VALUE!</v>
      </c>
      <c r="F15" s="27" t="e" cm="1">
        <f t="array" aca="1" ref="F15" ca="1">defaultValue(F14,K13)</f>
        <v>#VALUE!</v>
      </c>
      <c r="G15" s="106"/>
      <c r="H15" s="8"/>
      <c r="I15" s="27" t="e" cm="1">
        <f t="array" aca="1" ref="I15" ca="1">defaultValue(I14,K13)</f>
        <v>#VALUE!</v>
      </c>
      <c r="J15" s="27" t="e" cm="1">
        <f t="array" aca="1" ref="J15" ca="1">defaultValue(J14,K13)</f>
        <v>#VALUE!</v>
      </c>
      <c r="K15" s="7"/>
    </row>
    <row r="16" spans="1:25" ht="31.2" x14ac:dyDescent="0.3">
      <c r="A16" s="35">
        <v>1</v>
      </c>
      <c r="B16" s="15"/>
      <c r="C16" s="8"/>
      <c r="D16" s="27" t="e" cm="1">
        <f t="array" aca="1" ref="D16" ca="1">defaultValue(E16,K13)</f>
        <v>#VALUE!</v>
      </c>
      <c r="E16" s="7" t="s">
        <v>59</v>
      </c>
      <c r="F16" s="27" t="e" cm="1">
        <f t="array" aca="1" ref="F16" ca="1">defaultValue(G16,K13)</f>
        <v>#VALUE!</v>
      </c>
      <c r="G16" s="7" t="s">
        <v>33</v>
      </c>
      <c r="H16" s="27" t="e" cm="1">
        <f t="array" aca="1" ref="H16" ca="1">defaultValue(I16,K13)</f>
        <v>#VALUE!</v>
      </c>
      <c r="I16" s="7" t="s">
        <v>32</v>
      </c>
      <c r="J16" s="25" t="s">
        <v>112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e">
        <f ca="1">H16</f>
        <v>#VALUE!</v>
      </c>
      <c r="E20" s="6" t="s">
        <v>10</v>
      </c>
      <c r="F20" s="6">
        <f>H15-3.6</f>
        <v>-3.6</v>
      </c>
      <c r="G20" s="6" t="e">
        <f ca="1">J15</f>
        <v>#VALUE!</v>
      </c>
      <c r="H20" s="6">
        <f>1*C13</f>
        <v>1</v>
      </c>
      <c r="I20" s="6" t="e">
        <f ca="1">HLOOKUP(D20, materials[], 2,FALSE)</f>
        <v>#VALUE!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e">
        <f ca="1">H16</f>
        <v>#VALUE!</v>
      </c>
      <c r="E21" s="6" t="s">
        <v>11</v>
      </c>
      <c r="F21" s="6" t="e">
        <f ca="1">I15</f>
        <v>#VALUE!</v>
      </c>
      <c r="G21" s="6" t="e">
        <f ca="1">J15</f>
        <v>#VALUE!</v>
      </c>
      <c r="H21" s="6">
        <f>2*C13</f>
        <v>2</v>
      </c>
      <c r="I21" s="6" t="e">
        <f ca="1">HLOOKUP(D21, materials[], 2,FALSE)</f>
        <v>#VALUE!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e">
        <f ca="1">H16</f>
        <v>#VALUE!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 t="e">
        <f ca="1">HLOOKUP(D22, materials[], 2,FALSE)</f>
        <v>#VALUE!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e">
        <f ca="1">H16</f>
        <v>#VALUE!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 t="e">
        <f ca="1">HLOOKUP(D23, materials[], 2,FALSE)</f>
        <v>#VALUE!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e">
        <f ca="1">H16</f>
        <v>#VALUE!</v>
      </c>
      <c r="E24" s="6" t="s">
        <v>18</v>
      </c>
      <c r="F24" s="6">
        <f>H15-3.8</f>
        <v>-3.8</v>
      </c>
      <c r="G24" s="6" t="e">
        <f ca="1">J15-6</f>
        <v>#VALUE!</v>
      </c>
      <c r="H24" s="6">
        <f>D15*C13</f>
        <v>1</v>
      </c>
      <c r="I24" s="6" t="e">
        <f ca="1">HLOOKUP(D24, materials[], 2,FALSE)</f>
        <v>#VALUE!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e">
        <f ca="1">F16</f>
        <v>#VALUE!</v>
      </c>
      <c r="E26" s="9" t="s">
        <v>15</v>
      </c>
      <c r="F26" s="9" t="e">
        <f ca="1">I15-0.5-E15</f>
        <v>#VALUE!</v>
      </c>
      <c r="G26" s="9">
        <f>(H15/C15)-0.5</f>
        <v>-0.5</v>
      </c>
      <c r="H26" s="9">
        <f>C15*C13</f>
        <v>1</v>
      </c>
      <c r="I26" s="9" t="e">
        <f ca="1">HLOOKUP(D26, materials[], 2,FALSE)</f>
        <v>#VALUE!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e">
        <f ca="1">IF(F15,B20, "")</f>
        <v>#VALUE!</v>
      </c>
      <c r="C28" s="19" t="e">
        <f ca="1">IF(F15,C26+1, "")</f>
        <v>#VALUE!</v>
      </c>
      <c r="D28" s="19" t="e">
        <f ca="1">IF(F15,D16, "")</f>
        <v>#VALUE!</v>
      </c>
      <c r="E28" s="19" t="e">
        <f ca="1">IF(F15,"ظهر", "")</f>
        <v>#VALUE!</v>
      </c>
      <c r="F28" s="19" t="e">
        <f ca="1">IF(F15,I15-2, "")</f>
        <v>#VALUE!</v>
      </c>
      <c r="G28" s="19" t="e">
        <f ca="1">IF(F15,H15-2, "")</f>
        <v>#VALUE!</v>
      </c>
      <c r="H28" s="19" t="e">
        <f ca="1">IF(F15,0, "")</f>
        <v>#VALUE!</v>
      </c>
      <c r="I28" s="19" t="e">
        <f ca="1">IF(F15,HLOOKUP(D28, materials[], 2,FALSE), "")</f>
        <v>#VALUE!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161</v>
      </c>
      <c r="B31" s="15"/>
      <c r="C31" s="14">
        <v>1</v>
      </c>
      <c r="D31" s="22" t="s">
        <v>60</v>
      </c>
      <c r="E31" s="98" t="s">
        <v>143</v>
      </c>
      <c r="F31" s="99"/>
      <c r="G31" s="99"/>
      <c r="H31" s="100"/>
      <c r="I31" s="2" t="s">
        <v>31</v>
      </c>
      <c r="J31" s="2">
        <f>letterToNumber(A31)</f>
        <v>2</v>
      </c>
      <c r="K31" s="7">
        <f ca="1">_xlfn.SHEET("بورديوم")</f>
        <v>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130</v>
      </c>
      <c r="D32" s="7" t="s">
        <v>129</v>
      </c>
      <c r="E32" s="7" t="s">
        <v>131</v>
      </c>
      <c r="F32" s="7" t="s">
        <v>128</v>
      </c>
      <c r="G32" s="27" t="e">
        <f>INDEX(boardiumGlobal[[#All],[Column1]],MATCH(H32,boardiumGlobal[[#All],[Column2]],0))</f>
        <v>#VALUE!</v>
      </c>
      <c r="H32" s="7" t="s">
        <v>59</v>
      </c>
      <c r="I32" s="27" t="e" cm="1">
        <f t="array" aca="1" ref="I32" ca="1">defaultValue(J32,K31)</f>
        <v>#VALUE!</v>
      </c>
      <c r="J32" s="16" t="s">
        <v>20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115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t="e" cm="1">
        <f t="array" aca="1" ref="B34" ca="1">defaultValue(B33,K31)</f>
        <v>#VALUE!</v>
      </c>
      <c r="C34" s="8">
        <v>30</v>
      </c>
      <c r="D34" s="8">
        <v>20</v>
      </c>
      <c r="E34" s="7">
        <v>10</v>
      </c>
      <c r="F34" s="7">
        <v>7</v>
      </c>
      <c r="G34" s="27" t="e" cm="1">
        <f t="array" aca="1" ref="G34" ca="1">defaultValue(G33,K31)</f>
        <v>#VALUE!</v>
      </c>
      <c r="H34" s="8">
        <v>60</v>
      </c>
      <c r="I34" s="27" t="e" cm="1">
        <f t="array" aca="1" ref="I34" ca="1">defaultValue(I33,K31)</f>
        <v>#VALUE!</v>
      </c>
      <c r="J34" s="27" t="e" cm="1">
        <f t="array" aca="1" ref="J34" ca="1">defaultValue(J33,K31)</f>
        <v>#VALUE!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e" cm="1">
        <f t="array" aca="1" ref="F35" ca="1">defaultValue(G35,K31)</f>
        <v>#VALUE!</v>
      </c>
      <c r="G35" s="7" t="s">
        <v>33</v>
      </c>
      <c r="H35" s="27" t="e" cm="1">
        <f t="array" aca="1" ref="H35" ca="1">defaultValue(I35,K31)</f>
        <v>#VALUE!</v>
      </c>
      <c r="I35" s="7" t="s">
        <v>32</v>
      </c>
      <c r="J35" s="25" t="s">
        <v>112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K37" s="6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e">
        <f ca="1">H35</f>
        <v>#VALUE!</v>
      </c>
      <c r="E39" s="6" t="s">
        <v>10</v>
      </c>
      <c r="F39" s="6">
        <f>H34-3.6</f>
        <v>56.4</v>
      </c>
      <c r="G39" s="6" t="e">
        <f ca="1">J34</f>
        <v>#VALUE!</v>
      </c>
      <c r="H39" s="6">
        <f>1*C31</f>
        <v>1</v>
      </c>
      <c r="I39" s="6" t="e">
        <f ca="1">HLOOKUP(D39, materials[], 2,FALSE)</f>
        <v>#VALUE!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e">
        <f ca="1">H35</f>
        <v>#VALUE!</v>
      </c>
      <c r="E40" s="6" t="s">
        <v>11</v>
      </c>
      <c r="F40" s="6" t="e">
        <f ca="1">I34</f>
        <v>#VALUE!</v>
      </c>
      <c r="G40" s="6" t="e">
        <f ca="1">J34</f>
        <v>#VALUE!</v>
      </c>
      <c r="H40" s="6">
        <f>2*C31</f>
        <v>2</v>
      </c>
      <c r="I40" s="6" t="e">
        <f ca="1">HLOOKUP(D40, materials[], 2,FALSE)</f>
        <v>#VALUE!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e">
        <f ca="1">H35</f>
        <v>#VALUE!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 t="e">
        <f ca="1">HLOOKUP(D41, materials[], 2,FALSE)</f>
        <v>#VALUE!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e">
        <f ca="1">H35</f>
        <v>#VALUE!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 t="e">
        <f ca="1">HLOOKUP(D42, materials[], 2,FALSE)</f>
        <v>#VALUE!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e">
        <f ca="1">H35</f>
        <v>#VALUE!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 t="e">
        <f ca="1">HLOOKUP(D43, materials[], 2,FALSE)</f>
        <v>#VALUE!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e">
        <f ca="1">H35</f>
        <v>#VALUE!</v>
      </c>
      <c r="E44" s="10" t="s">
        <v>133</v>
      </c>
      <c r="F44" s="10" t="e">
        <f ca="1">I32</f>
        <v>#VALUE!</v>
      </c>
      <c r="G44" s="10">
        <f>E34</f>
        <v>10</v>
      </c>
      <c r="H44" s="10">
        <f>E33*2*C31</f>
        <v>0</v>
      </c>
      <c r="I44" s="10" t="e">
        <f ca="1">HLOOKUP(D44, materials[], 2,FALSE)</f>
        <v>#VALUE!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e">
        <f ca="1">H35</f>
        <v>#VALUE!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 t="e">
        <f ca="1">HLOOKUP(D45, materials[], 2,FALSE)</f>
        <v>#VALUE!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e">
        <f ca="1">H35</f>
        <v>#VALUE!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 t="e">
        <f ca="1">HLOOKUP(D46, materials[], 2,FALSE)</f>
        <v>#VALUE!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e">
        <f ca="1">H35</f>
        <v>#VALUE!</v>
      </c>
      <c r="E47" s="11" t="s">
        <v>136</v>
      </c>
      <c r="F47" s="11" t="e">
        <f ca="1">I32</f>
        <v>#VALUE!</v>
      </c>
      <c r="G47" s="11">
        <f>D34</f>
        <v>20</v>
      </c>
      <c r="H47" s="11">
        <f>(D33)*2*C31</f>
        <v>0</v>
      </c>
      <c r="I47" s="11" t="e">
        <f ca="1">HLOOKUP(D47, materials[], 2,FALSE)</f>
        <v>#VALUE!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e">
        <f ca="1">H35</f>
        <v>#VALUE!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 t="e">
        <f ca="1">HLOOKUP(D48, materials[], 2,FALSE)</f>
        <v>#VALUE!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e">
        <f ca="1">H35</f>
        <v>#VALUE!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 t="e">
        <f ca="1">HLOOKUP(D49, materials[], 2,FALSE)</f>
        <v>#VALUE!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e">
        <f ca="1">H35</f>
        <v>#VALUE!</v>
      </c>
      <c r="E50" s="10" t="s">
        <v>141</v>
      </c>
      <c r="F50" s="10" t="e">
        <f ca="1">I32</f>
        <v>#VALUE!</v>
      </c>
      <c r="G50" s="10">
        <f>C34</f>
        <v>30</v>
      </c>
      <c r="H50" s="10">
        <f>C33*2*C31</f>
        <v>0</v>
      </c>
      <c r="I50" s="10" t="e">
        <f ca="1">HLOOKUP(D50, materials[], 2,FALSE)</f>
        <v>#VALUE!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e">
        <f ca="1">H35</f>
        <v>#VALUE!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 t="e">
        <f ca="1">HLOOKUP(D51, materials[], 2,FALSE)</f>
        <v>#VALUE!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e">
        <f ca="1">H35</f>
        <v>#VALUE!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 t="e">
        <f ca="1">HLOOKUP(D52, materials[], 2,FALSE)</f>
        <v>#VALUE!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e">
        <f ca="1">H35</f>
        <v>#VALUE!</v>
      </c>
      <c r="E53" s="11" t="s">
        <v>138</v>
      </c>
      <c r="F53" s="11" t="e">
        <f ca="1">I32</f>
        <v>#VALUE!</v>
      </c>
      <c r="G53" s="11">
        <f>F34</f>
        <v>7</v>
      </c>
      <c r="H53" s="11">
        <f>C31*F33*2</f>
        <v>0</v>
      </c>
      <c r="I53" s="11" t="e">
        <f ca="1">HLOOKUP(D53, materials[], 2,FALSE)</f>
        <v>#VALUE!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e">
        <f ca="1">F35</f>
        <v>#VALUE!</v>
      </c>
      <c r="E55" s="9" t="s">
        <v>145</v>
      </c>
      <c r="F55" s="9" t="e">
        <f ca="1">((I34/D35)-0.5-G34)</f>
        <v>#VALUE!</v>
      </c>
      <c r="G55" s="9">
        <f>H34-0.5</f>
        <v>59.5</v>
      </c>
      <c r="H55" s="9" t="str">
        <f>IF(D35&gt;3,"",(D35*C31))</f>
        <v/>
      </c>
      <c r="I55" s="9" t="e">
        <f ca="1">HLOOKUP(D55, materials[], 2,FALSE)</f>
        <v>#VALUE!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e">
        <f ca="1">F35</f>
        <v>#VALUE!</v>
      </c>
      <c r="E56" s="9" t="s">
        <v>146</v>
      </c>
      <c r="F56" s="9" t="e">
        <f ca="1">((I34/D35)-0.5-G34)</f>
        <v>#VALUE!</v>
      </c>
      <c r="G56" s="9">
        <f>H34-0.5</f>
        <v>59.5</v>
      </c>
      <c r="H56" s="9" t="str">
        <f>IF(AND(D35=4,C35),(D35*C31),"")</f>
        <v/>
      </c>
      <c r="I56" s="9" t="e">
        <f ca="1">HLOOKUP(D56, materials[], 2,FALSE)</f>
        <v>#VALUE!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e">
        <f ca="1">F35</f>
        <v>#VALUE!</v>
      </c>
      <c r="E57" s="9" t="s">
        <v>147</v>
      </c>
      <c r="F57" s="9" t="e">
        <f ca="1">((I34/D35)-0.5-G34)</f>
        <v>#VALUE!</v>
      </c>
      <c r="G57" s="9">
        <f>H34-0.5</f>
        <v>59.5</v>
      </c>
      <c r="H57" s="9">
        <f>IF(AND(D35=4,NOT(C35)),(D35*C31),"")</f>
        <v>4</v>
      </c>
      <c r="I57" s="9" t="e">
        <f ca="1">HLOOKUP(D57, materials[], 2,FALSE)</f>
        <v>#VALUE!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e">
        <f ca="1">F35</f>
        <v>#VALUE!</v>
      </c>
      <c r="E58" s="9" t="s">
        <v>148</v>
      </c>
      <c r="F58" s="9" t="e">
        <f ca="1">((I34/D35)*2)-G34-0.5</f>
        <v>#VALUE!</v>
      </c>
      <c r="G58" s="9">
        <f>H34-0.5</f>
        <v>59.5</v>
      </c>
      <c r="H58" s="9">
        <f>IF(AND(D35=4,NOT(C35)),(D35*C31),"")</f>
        <v>4</v>
      </c>
      <c r="I58" s="9" t="e">
        <f ca="1">HLOOKUP(D58, materials[], 2,FALSE)</f>
        <v>#VALUE!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e">
        <f>G32</f>
        <v>#VALUE!</v>
      </c>
      <c r="E60" s="19" t="s">
        <v>59</v>
      </c>
      <c r="F60" s="19" t="e">
        <f ca="1">I34-2</f>
        <v>#VALUE!</v>
      </c>
      <c r="G60" s="19">
        <f>H34-2</f>
        <v>58</v>
      </c>
      <c r="H60" s="19">
        <f>1*C31</f>
        <v>1</v>
      </c>
      <c r="I60" s="19" t="e">
        <f>HLOOKUP(D60, materials[], 2,FALSE)</f>
        <v>#VALUE!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e">
        <f>G32</f>
        <v>#VALUE!</v>
      </c>
      <c r="E61" s="19" t="s">
        <v>150</v>
      </c>
      <c r="F61" s="19">
        <f>H34-3.6-3.6-2.5+2</f>
        <v>52.3</v>
      </c>
      <c r="G61" s="19" t="e">
        <f ca="1">I32-1</f>
        <v>#VALUE!</v>
      </c>
      <c r="H61" s="19">
        <f>E33*C31</f>
        <v>0</v>
      </c>
      <c r="I61" s="19" t="e">
        <f>HLOOKUP(D61, materials[], 2,FALSE)</f>
        <v>#VALUE!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e">
        <f>G32</f>
        <v>#VALUE!</v>
      </c>
      <c r="E62" s="19" t="s">
        <v>151</v>
      </c>
      <c r="F62" s="19">
        <f>H34-3.6-3.6-2.5+2</f>
        <v>52.3</v>
      </c>
      <c r="G62" s="19" t="e">
        <f ca="1">I32-1</f>
        <v>#VALUE!</v>
      </c>
      <c r="H62" s="19">
        <f>(D33*C31)</f>
        <v>0</v>
      </c>
      <c r="I62" s="19" t="e">
        <f>HLOOKUP(D62, materials[], 2,FALSE)</f>
        <v>#VALUE!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e">
        <f>G32</f>
        <v>#VALUE!</v>
      </c>
      <c r="E63" s="19" t="s">
        <v>152</v>
      </c>
      <c r="F63" s="19">
        <f>H34-3.6-3.6-2.5+2</f>
        <v>52.3</v>
      </c>
      <c r="G63" s="19" t="e">
        <f ca="1">I32-1</f>
        <v>#VALUE!</v>
      </c>
      <c r="H63" s="19">
        <f>C33*C31</f>
        <v>0</v>
      </c>
      <c r="I63" s="19" t="e">
        <f>HLOOKUP(D63, materials[], 2,FALSE)</f>
        <v>#VALUE!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157</v>
      </c>
      <c r="B66" s="15"/>
      <c r="C66" s="14">
        <v>1</v>
      </c>
      <c r="D66" s="22" t="s">
        <v>60</v>
      </c>
      <c r="E66" s="98" t="s">
        <v>120</v>
      </c>
      <c r="F66" s="99"/>
      <c r="G66" s="99"/>
      <c r="H66" s="100"/>
      <c r="I66" s="2" t="s">
        <v>31</v>
      </c>
      <c r="J66" s="2">
        <f>letterToNumber(A66)</f>
        <v>3</v>
      </c>
      <c r="K66" s="7">
        <f ca="1">_xlfn.SHEET("بورديوم")</f>
        <v>5</v>
      </c>
    </row>
    <row r="67" spans="1:75" ht="31.2" x14ac:dyDescent="0.3">
      <c r="A67" s="35">
        <v>1</v>
      </c>
      <c r="B67" s="15"/>
      <c r="C67" s="7" t="s">
        <v>12</v>
      </c>
      <c r="D67" s="7" t="s">
        <v>19</v>
      </c>
      <c r="E67" s="7" t="s">
        <v>17</v>
      </c>
      <c r="F67" s="29" t="s">
        <v>115</v>
      </c>
      <c r="G67" s="106"/>
      <c r="H67" s="7" t="s">
        <v>23</v>
      </c>
      <c r="I67" s="7" t="s">
        <v>3</v>
      </c>
      <c r="J67" s="7" t="s">
        <v>114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t="e" cm="1">
        <f t="array" aca="1" ref="E68" ca="1">defaultValue(E67,K66)</f>
        <v>#VALUE!</v>
      </c>
      <c r="F68" s="27" t="e" cm="1">
        <f t="array" aca="1" ref="F68" ca="1">defaultValue(F67,K66)</f>
        <v>#VALUE!</v>
      </c>
      <c r="G68" s="106"/>
      <c r="H68" s="8"/>
      <c r="I68" s="27" t="e" cm="1">
        <f t="array" aca="1" ref="I68" ca="1">defaultValue(I67,K66)</f>
        <v>#VALUE!</v>
      </c>
      <c r="J68" s="27" t="e" cm="1">
        <f t="array" aca="1" ref="J68" ca="1">defaultValue(J67,K66)</f>
        <v>#VALUE!</v>
      </c>
      <c r="K68" s="7"/>
    </row>
    <row r="69" spans="1:75" ht="31.2" x14ac:dyDescent="0.3">
      <c r="A69" s="35">
        <v>1</v>
      </c>
      <c r="B69" s="15"/>
      <c r="C69" s="8"/>
      <c r="D69" s="27" t="e" cm="1">
        <f t="array" aca="1" ref="D69" ca="1">defaultValue(E69,K66)</f>
        <v>#VALUE!</v>
      </c>
      <c r="E69" s="7" t="s">
        <v>59</v>
      </c>
      <c r="F69" s="27" t="e" cm="1">
        <f t="array" aca="1" ref="F69" ca="1">defaultValue(G69,K66)</f>
        <v>#VALUE!</v>
      </c>
      <c r="G69" s="7" t="s">
        <v>33</v>
      </c>
      <c r="H69" s="27" t="e" cm="1">
        <f t="array" aca="1" ref="H69" ca="1">defaultValue(I69,K66)</f>
        <v>#VALUE!</v>
      </c>
      <c r="I69" s="7" t="s">
        <v>32</v>
      </c>
      <c r="J69" s="25" t="s">
        <v>112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K71" s="6"/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e">
        <f ca="1">H69</f>
        <v>#VALUE!</v>
      </c>
      <c r="E73" s="6" t="s">
        <v>10</v>
      </c>
      <c r="F73" s="6">
        <f>H68-3.6</f>
        <v>-3.6</v>
      </c>
      <c r="G73" s="6" t="e">
        <f ca="1">J68</f>
        <v>#VALUE!</v>
      </c>
      <c r="H73" s="6">
        <f>1*C66</f>
        <v>1</v>
      </c>
      <c r="I73" s="6" t="e">
        <f ca="1">HLOOKUP(D73, materials[], 2,FALSE)</f>
        <v>#VALUE!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e">
        <f ca="1">H69</f>
        <v>#VALUE!</v>
      </c>
      <c r="E74" s="6" t="s">
        <v>11</v>
      </c>
      <c r="F74" s="6" t="e">
        <f ca="1">I68</f>
        <v>#VALUE!</v>
      </c>
      <c r="G74" s="6" t="e">
        <f ca="1">J68</f>
        <v>#VALUE!</v>
      </c>
      <c r="H74" s="6">
        <v>2</v>
      </c>
      <c r="I74" s="6" t="e">
        <f ca="1">HLOOKUP(D74, materials[], 2,FALSE)</f>
        <v>#VALUE!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e">
        <f ca="1">H69</f>
        <v>#VALUE!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 t="e">
        <f ca="1">HLOOKUP(D75, materials[], 2,FALSE)</f>
        <v>#VALUE!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e">
        <f ca="1">H69</f>
        <v>#VALUE!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 t="e">
        <f ca="1">HLOOKUP(D76, materials[], 2,FALSE)</f>
        <v>#VALUE!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e">
        <f ca="1">H69</f>
        <v>#VALUE!</v>
      </c>
      <c r="E77" s="6" t="s">
        <v>18</v>
      </c>
      <c r="F77" s="6">
        <f>H68-3.8</f>
        <v>-3.8</v>
      </c>
      <c r="G77" s="6" t="e">
        <f ca="1">J68-6</f>
        <v>#VALUE!</v>
      </c>
      <c r="H77" s="6">
        <f>D68*C66</f>
        <v>1</v>
      </c>
      <c r="I77" s="6" t="e">
        <f ca="1">HLOOKUP(D77, materials[], 2,FALSE)</f>
        <v>#VALUE!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e">
        <f ca="1">H69</f>
        <v>#VALUE!</v>
      </c>
      <c r="E78" s="6" t="s">
        <v>25</v>
      </c>
      <c r="F78" s="6" t="e">
        <f ca="1">I68</f>
        <v>#VALUE!</v>
      </c>
      <c r="G78" s="6" t="e">
        <f ca="1">J68</f>
        <v>#VALUE!</v>
      </c>
      <c r="H78" s="6">
        <f>1*C66</f>
        <v>1</v>
      </c>
      <c r="I78" s="6" t="e">
        <f ca="1">HLOOKUP(D78, materials[], 2,FALSE)</f>
        <v>#VALUE!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e">
        <f ca="1">F69</f>
        <v>#VALUE!</v>
      </c>
      <c r="E80" s="9" t="s">
        <v>15</v>
      </c>
      <c r="F80" s="9" t="e">
        <f ca="1">I68-0.5-E68</f>
        <v>#VALUE!</v>
      </c>
      <c r="G80" s="9" t="e">
        <f ca="1">(H68-J68-G81)/C68-0.5</f>
        <v>#VALUE!</v>
      </c>
      <c r="H80" s="9">
        <f>C68*C66</f>
        <v>1</v>
      </c>
      <c r="I80" s="9" t="e">
        <f ca="1">HLOOKUP(D80, materials[], 2,FALSE)</f>
        <v>#VALUE!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e">
        <f ca="1">F69</f>
        <v>#VALUE!</v>
      </c>
      <c r="E81" s="9" t="s">
        <v>26</v>
      </c>
      <c r="F81" s="9" t="e">
        <f ca="1">I68</f>
        <v>#VALUE!</v>
      </c>
      <c r="G81" s="9">
        <v>4</v>
      </c>
      <c r="H81" s="9">
        <f>1*C66</f>
        <v>1</v>
      </c>
      <c r="I81" s="9" t="e">
        <f ca="1">HLOOKUP(D81, materials[], 2,FALSE)</f>
        <v>#VALUE!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e">
        <f ca="1">IF(F68,B73, "")</f>
        <v>#VALUE!</v>
      </c>
      <c r="C83" s="19" t="e">
        <f ca="1">IF(F68,C81+1, "")</f>
        <v>#VALUE!</v>
      </c>
      <c r="D83" s="19" t="e">
        <f ca="1">IF(F68,D69, "")</f>
        <v>#VALUE!</v>
      </c>
      <c r="E83" s="19" t="e">
        <f ca="1">IF(F68,"ظهر", "")</f>
        <v>#VALUE!</v>
      </c>
      <c r="F83" s="19" t="e">
        <f ca="1">IF(F68,I68-2, "")</f>
        <v>#VALUE!</v>
      </c>
      <c r="G83" s="19" t="e">
        <f ca="1">IF(F68,H68-2, "")</f>
        <v>#VALUE!</v>
      </c>
      <c r="H83" s="19" t="e">
        <f ca="1">IF(F68,1*C66, "")</f>
        <v>#VALUE!</v>
      </c>
      <c r="I83" s="19" t="e">
        <f ca="1">IF(F68,HLOOKUP(D83,materials[], 2,FALSE), "")</f>
        <v>#VALUE!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162</v>
      </c>
      <c r="B86" s="15"/>
      <c r="C86" s="14">
        <v>1</v>
      </c>
      <c r="D86" s="22" t="s">
        <v>60</v>
      </c>
      <c r="E86" s="98" t="s">
        <v>118</v>
      </c>
      <c r="F86" s="99"/>
      <c r="G86" s="99"/>
      <c r="H86" s="100"/>
      <c r="I86" s="2" t="s">
        <v>31</v>
      </c>
      <c r="J86" s="2">
        <f>letterToNumber(A86)</f>
        <v>4</v>
      </c>
      <c r="K86" s="7">
        <f ca="1">_xlfn.SHEET("بورديوم")</f>
        <v>5</v>
      </c>
    </row>
    <row r="87" spans="1:11" ht="31.2" x14ac:dyDescent="0.3">
      <c r="A87" s="35">
        <v>1</v>
      </c>
      <c r="B87" s="15"/>
      <c r="C87" s="7"/>
      <c r="D87" s="7" t="s">
        <v>19</v>
      </c>
      <c r="E87" s="7" t="s">
        <v>17</v>
      </c>
      <c r="F87" s="29" t="s">
        <v>115</v>
      </c>
      <c r="G87" s="7"/>
      <c r="H87" s="7" t="s">
        <v>23</v>
      </c>
      <c r="I87" s="7" t="s">
        <v>3</v>
      </c>
      <c r="J87" s="7" t="s">
        <v>114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t="e" cm="1">
        <f t="array" aca="1" ref="E88" ca="1">defaultValue(E87,K86)</f>
        <v>#VALUE!</v>
      </c>
      <c r="F88" s="27" t="e" cm="1">
        <f t="array" aca="1" ref="F88" ca="1">defaultValue(F87,K86)</f>
        <v>#VALUE!</v>
      </c>
      <c r="G88" s="7"/>
      <c r="H88" s="8"/>
      <c r="I88" s="27" t="e" cm="1">
        <f t="array" aca="1" ref="I88" ca="1">defaultValue(I87,K86)</f>
        <v>#VALUE!</v>
      </c>
      <c r="J88" s="27" t="e" cm="1">
        <f t="array" aca="1" ref="J88" ca="1">defaultValue(J87,K86)</f>
        <v>#VALUE!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t="e" cm="1">
        <f t="array" aca="1" ref="I89" ca="1">defaultValue(I87,K86)</f>
        <v>#VALUE!</v>
      </c>
      <c r="J89" s="27" t="e" cm="1">
        <f t="array" aca="1" ref="J89" ca="1">defaultValue(J87,K86)</f>
        <v>#VALUE!</v>
      </c>
      <c r="K89" s="7"/>
    </row>
    <row r="90" spans="1:11" ht="31.2" x14ac:dyDescent="0.3">
      <c r="A90" s="35">
        <v>1</v>
      </c>
      <c r="B90" s="15"/>
      <c r="C90" s="8"/>
      <c r="D90" s="27" t="e" cm="1">
        <f t="array" aca="1" ref="D90" ca="1">defaultValue(E90,K86)</f>
        <v>#VALUE!</v>
      </c>
      <c r="E90" s="7" t="s">
        <v>59</v>
      </c>
      <c r="F90" s="27" t="e" cm="1">
        <f t="array" aca="1" ref="F90" ca="1">defaultValue(G90,K86)</f>
        <v>#VALUE!</v>
      </c>
      <c r="G90" s="7" t="s">
        <v>33</v>
      </c>
      <c r="H90" s="27" t="e" cm="1">
        <f t="array" aca="1" ref="H90" ca="1">defaultValue(I90,K86)</f>
        <v>#VALUE!</v>
      </c>
      <c r="I90" s="7" t="s">
        <v>32</v>
      </c>
      <c r="J90" s="25" t="s">
        <v>112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K92" s="6"/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e">
        <f ca="1">H90</f>
        <v>#VALUE!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 t="e">
        <f ca="1">HLOOKUP(D94, materials[], 2,FALSE)</f>
        <v>#VALUE!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e">
        <f ca="1">H90</f>
        <v>#VALUE!</v>
      </c>
      <c r="E95" s="6" t="s">
        <v>11</v>
      </c>
      <c r="F95" s="6" t="e">
        <f ca="1">I88</f>
        <v>#VALUE!</v>
      </c>
      <c r="G95" s="6" t="e">
        <f ca="1">J88</f>
        <v>#VALUE!</v>
      </c>
      <c r="H95" s="6">
        <f>2*C86</f>
        <v>2</v>
      </c>
      <c r="I95" s="6" t="e">
        <f ca="1">HLOOKUP(D95, materials[], 2,FALSE)</f>
        <v>#VALUE!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e">
        <f ca="1">H90</f>
        <v>#VALUE!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 t="e">
        <f ca="1">HLOOKUP(D96, materials[], 2,FALSE)</f>
        <v>#VALUE!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e">
        <f ca="1">H90</f>
        <v>#VALUE!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 t="e">
        <f ca="1">HLOOKUP(D97, materials[], 2,FALSE)</f>
        <v>#VALUE!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e">
        <f ca="1">H90</f>
        <v>#VALUE!</v>
      </c>
      <c r="E98" s="6" t="s">
        <v>28</v>
      </c>
      <c r="F98" s="6" t="e">
        <f ca="1">I88</f>
        <v>#VALUE!</v>
      </c>
      <c r="G98" s="6">
        <v>10</v>
      </c>
      <c r="H98" s="6">
        <f>1*C86</f>
        <v>1</v>
      </c>
      <c r="I98" s="6" t="e">
        <f ca="1">HLOOKUP(D98, materials[], 2,FALSE)</f>
        <v>#VALUE!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e">
        <f ca="1">H90</f>
        <v>#VALUE!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 t="e">
        <f ca="1">HLOOKUP(D99, materials[], 2,FALSE)</f>
        <v>#VALUE!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e">
        <f ca="1">F90</f>
        <v>#VALUE!</v>
      </c>
      <c r="E101" s="9" t="s">
        <v>29</v>
      </c>
      <c r="F101" s="9" t="e">
        <f ca="1">I88-0.5-E88</f>
        <v>#VALUE!</v>
      </c>
      <c r="G101" s="9">
        <f>H88-56-3</f>
        <v>-59</v>
      </c>
      <c r="H101" s="9">
        <f>1*C86</f>
        <v>1</v>
      </c>
      <c r="I101" s="9" t="e">
        <f ca="1">HLOOKUP(D101, materials[], 2,FALSE)</f>
        <v>#VALUE!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e">
        <f ca="1">F90</f>
        <v>#VALUE!</v>
      </c>
      <c r="E102" s="9" t="s">
        <v>42</v>
      </c>
      <c r="F102" s="9" t="e">
        <f ca="1">I89-0.5-E88</f>
        <v>#VALUE!</v>
      </c>
      <c r="G102" s="9">
        <f>H89-56-3</f>
        <v>-59</v>
      </c>
      <c r="H102" s="9">
        <f>1*C86</f>
        <v>1</v>
      </c>
      <c r="I102" s="9" t="e">
        <f ca="1">HLOOKUP(D102, materials[], 2,FALSE)</f>
        <v>#VALUE!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e">
        <f ca="1">IF(F88,B94, "")</f>
        <v>#VALUE!</v>
      </c>
      <c r="C104" s="19" t="e">
        <f ca="1">IF(F88,C102+1, "")</f>
        <v>#VALUE!</v>
      </c>
      <c r="D104" s="19" t="e">
        <f ca="1">IF(F88,D90, "")</f>
        <v>#VALUE!</v>
      </c>
      <c r="E104" s="19" t="e">
        <f ca="1">IF(F88,"ظهر", "")</f>
        <v>#VALUE!</v>
      </c>
      <c r="F104" s="19" t="e">
        <f ca="1">IF(F88,I89-1, "")</f>
        <v>#VALUE!</v>
      </c>
      <c r="G104" s="19" t="e">
        <f ca="1">IF(F88,H89-1, "")</f>
        <v>#VALUE!</v>
      </c>
      <c r="H104" s="19" t="e">
        <f ca="1">IF(F88,2*C86, "")</f>
        <v>#VALUE!</v>
      </c>
      <c r="I104" s="19" t="e">
        <f ca="1">IF(F88,HLOOKUP(D104, materials[], 2,FALSE), "")</f>
        <v>#VALUE!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158</v>
      </c>
      <c r="B107" s="15"/>
      <c r="C107" s="14">
        <v>1</v>
      </c>
      <c r="D107" s="22" t="s">
        <v>60</v>
      </c>
      <c r="E107" s="98" t="s">
        <v>119</v>
      </c>
      <c r="F107" s="99"/>
      <c r="G107" s="99"/>
      <c r="H107" s="100"/>
      <c r="I107" s="2" t="s">
        <v>31</v>
      </c>
      <c r="J107" s="2">
        <f>letterToNumber(A107)</f>
        <v>5</v>
      </c>
      <c r="K107" s="7">
        <f ca="1">_xlfn.SHEET("بورديوم")</f>
        <v>5</v>
      </c>
    </row>
    <row r="108" spans="1:11" ht="31.2" x14ac:dyDescent="0.3">
      <c r="A108" s="35">
        <v>1</v>
      </c>
      <c r="B108" s="15"/>
      <c r="C108" s="7"/>
      <c r="D108" s="7" t="s">
        <v>19</v>
      </c>
      <c r="E108" s="7" t="s">
        <v>17</v>
      </c>
      <c r="F108" s="29" t="s">
        <v>115</v>
      </c>
      <c r="G108" s="7"/>
      <c r="H108" s="7" t="s">
        <v>23</v>
      </c>
      <c r="I108" s="7" t="s">
        <v>3</v>
      </c>
      <c r="J108" s="7" t="s">
        <v>114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t="e" cm="1">
        <f t="array" aca="1" ref="E109" ca="1">defaultValue(E108,K107)</f>
        <v>#VALUE!</v>
      </c>
      <c r="F109" s="27" t="e" cm="1">
        <f t="array" aca="1" ref="F109" ca="1">defaultValue(F108,K107)</f>
        <v>#VALUE!</v>
      </c>
      <c r="G109" s="7"/>
      <c r="H109" s="8"/>
      <c r="I109" s="27" t="e" cm="1">
        <f t="array" aca="1" ref="I109" ca="1">defaultValue(I108,K107)</f>
        <v>#VALUE!</v>
      </c>
      <c r="J109" s="27" t="e" cm="1">
        <f t="array" aca="1" ref="J109" ca="1">defaultValue(J108,K107)</f>
        <v>#VALUE!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t="e" cm="1">
        <f t="array" aca="1" ref="I110" ca="1">defaultValue(I108,K107)</f>
        <v>#VALUE!</v>
      </c>
      <c r="J110" s="27" t="e" cm="1">
        <f t="array" aca="1" ref="J110" ca="1">defaultValue(J108,K107)</f>
        <v>#VALUE!</v>
      </c>
      <c r="K110" s="7"/>
    </row>
    <row r="111" spans="1:11" ht="31.2" x14ac:dyDescent="0.3">
      <c r="A111" s="35">
        <v>1</v>
      </c>
      <c r="B111" s="15"/>
      <c r="C111" s="8"/>
      <c r="D111" s="27" t="e" cm="1">
        <f t="array" aca="1" ref="D111" ca="1">defaultValue(E111,K107)</f>
        <v>#VALUE!</v>
      </c>
      <c r="E111" s="7" t="s">
        <v>59</v>
      </c>
      <c r="F111" s="27" t="e" cm="1">
        <f t="array" aca="1" ref="F111" ca="1">defaultValue(G111,K107)</f>
        <v>#VALUE!</v>
      </c>
      <c r="G111" s="7" t="s">
        <v>33</v>
      </c>
      <c r="H111" s="27" t="e" cm="1">
        <f t="array" aca="1" ref="H111" ca="1">defaultValue(I111,K107)</f>
        <v>#VALUE!</v>
      </c>
      <c r="I111" s="7" t="s">
        <v>32</v>
      </c>
      <c r="J111" s="25" t="s">
        <v>112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K113" s="6"/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e">
        <f ca="1">H111</f>
        <v>#VALUE!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 t="e">
        <f ca="1">HLOOKUP(D115, materials[], 2,FALSE)</f>
        <v>#VALUE!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e">
        <f ca="1">H111</f>
        <v>#VALUE!</v>
      </c>
      <c r="E116" s="6" t="s">
        <v>11</v>
      </c>
      <c r="F116" s="6" t="e">
        <f ca="1">I109</f>
        <v>#VALUE!</v>
      </c>
      <c r="G116" s="6" t="e">
        <f ca="1">J109</f>
        <v>#VALUE!</v>
      </c>
      <c r="H116" s="6">
        <f>2*C107</f>
        <v>2</v>
      </c>
      <c r="I116" s="6" t="e">
        <f ca="1">HLOOKUP(D116, materials[], 2,FALSE)</f>
        <v>#VALUE!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e">
        <f ca="1">H111</f>
        <v>#VALUE!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 t="e">
        <f ca="1">HLOOKUP(D117, materials[], 2,FALSE)</f>
        <v>#VALUE!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e">
        <f ca="1">H111</f>
        <v>#VALUE!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 t="e">
        <f ca="1">HLOOKUP(D118, materials[], 2,FALSE)</f>
        <v>#VALUE!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e">
        <f ca="1">H111</f>
        <v>#VALUE!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 t="e">
        <f ca="1">HLOOKUP(D119, materials[], 2,FALSE)</f>
        <v>#VALUE!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e">
        <f ca="1">H111</f>
        <v>#VALUE!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 t="e">
        <f ca="1">HLOOKUP(D120, materials[], 2,FALSE)</f>
        <v>#VALUE!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e">
        <f ca="1">F111</f>
        <v>#VALUE!</v>
      </c>
      <c r="E122" s="9" t="s">
        <v>29</v>
      </c>
      <c r="F122" s="9" t="e">
        <f ca="1">I109-0.5-E109</f>
        <v>#VALUE!</v>
      </c>
      <c r="G122" s="17" t="e">
        <f ca="1">(SQRT((H109-J109)^2+(H110-J110)^2))-2</f>
        <v>#VALUE!</v>
      </c>
      <c r="H122" s="9">
        <f>1*C107</f>
        <v>1</v>
      </c>
      <c r="I122" s="9" t="e">
        <f ca="1">HLOOKUP(D122, materials[], 2,FALSE)</f>
        <v>#VALUE!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e">
        <f ca="1">IF(F109,B115, "")</f>
        <v>#VALUE!</v>
      </c>
      <c r="C124" s="19" t="e">
        <f ca="1">IF(F109,C122+1, "")</f>
        <v>#VALUE!</v>
      </c>
      <c r="D124" s="19" t="e">
        <f ca="1">IF(F109,D111, "")</f>
        <v>#VALUE!</v>
      </c>
      <c r="E124" s="19" t="e">
        <f ca="1">IF(F109,"ظهر", "")</f>
        <v>#VALUE!</v>
      </c>
      <c r="F124" s="19" t="e">
        <f ca="1">IF(F109,I109-1, "")</f>
        <v>#VALUE!</v>
      </c>
      <c r="G124" s="19" t="e">
        <f ca="1">IF(F109,H109-1, "")</f>
        <v>#VALUE!</v>
      </c>
      <c r="H124" s="19" t="e">
        <f ca="1">IF(F109,1*C107, "")</f>
        <v>#VALUE!</v>
      </c>
      <c r="I124" s="19" t="e">
        <f ca="1">IF(F109,HLOOKUP(D124, materials[], 2,FALSE), "")</f>
        <v>#VALUE!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159</v>
      </c>
      <c r="B127" s="15"/>
      <c r="C127" s="14">
        <v>1</v>
      </c>
      <c r="D127" s="22" t="s">
        <v>60</v>
      </c>
      <c r="E127" s="98" t="s">
        <v>163</v>
      </c>
      <c r="F127" s="99"/>
      <c r="G127" s="99"/>
      <c r="H127" s="100"/>
      <c r="I127" s="2" t="s">
        <v>31</v>
      </c>
      <c r="J127" s="2">
        <f>letterToNumber(A127)</f>
        <v>6</v>
      </c>
      <c r="K127" s="7">
        <f ca="1">_xlfn.SHEET("بورديوم")</f>
        <v>5</v>
      </c>
    </row>
    <row r="128" spans="1:11" ht="31.2" x14ac:dyDescent="0.3">
      <c r="A128" s="51">
        <v>1</v>
      </c>
      <c r="B128" s="15"/>
      <c r="C128" s="7" t="s">
        <v>12</v>
      </c>
      <c r="D128" s="18" t="s">
        <v>19</v>
      </c>
      <c r="E128" s="7" t="s">
        <v>17</v>
      </c>
      <c r="F128" s="29" t="s">
        <v>115</v>
      </c>
      <c r="G128" s="16" t="s">
        <v>20</v>
      </c>
      <c r="H128" s="7" t="s">
        <v>23</v>
      </c>
      <c r="I128" s="7" t="s">
        <v>3</v>
      </c>
      <c r="J128" s="7" t="s">
        <v>114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t="e" cm="1">
        <f t="array" aca="1" ref="E129" ca="1">defaultValue(E128,K127)</f>
        <v>#VALUE!</v>
      </c>
      <c r="F129" s="27" t="e" cm="1">
        <f t="array" aca="1" ref="F129" ca="1">defaultValue(F128,K127)</f>
        <v>#VALUE!</v>
      </c>
      <c r="G129" s="27" t="e" cm="1">
        <f t="array" aca="1" ref="G129" ca="1">defaultValue(G128,K127)</f>
        <v>#VALUE!</v>
      </c>
      <c r="H129" s="8">
        <v>80</v>
      </c>
      <c r="I129" s="27" t="e" cm="1">
        <f t="array" aca="1" ref="I129" ca="1">defaultValue(I128,K127)</f>
        <v>#VALUE!</v>
      </c>
      <c r="J129" s="27" t="e" cm="1">
        <f t="array" aca="1" ref="J129" ca="1">defaultValue(J128,K127)</f>
        <v>#VALUE!</v>
      </c>
      <c r="K129" s="7"/>
    </row>
    <row r="130" spans="1:11" ht="31.2" x14ac:dyDescent="0.3">
      <c r="A130" s="51">
        <v>1</v>
      </c>
      <c r="B130" s="15"/>
      <c r="C130" s="8"/>
      <c r="D130" s="27" t="e" cm="1">
        <f t="array" aca="1" ref="D130" ca="1">defaultValue(E130,K127)</f>
        <v>#VALUE!</v>
      </c>
      <c r="E130" s="7" t="s">
        <v>59</v>
      </c>
      <c r="F130" s="27" t="e" cm="1">
        <f t="array" aca="1" ref="F130" ca="1">defaultValue(G130,K127)</f>
        <v>#VALUE!</v>
      </c>
      <c r="G130" s="7" t="s">
        <v>33</v>
      </c>
      <c r="H130" s="27" t="e" cm="1">
        <f t="array" aca="1" ref="H130" ca="1">defaultValue(I130,K127)</f>
        <v>#VALUE!</v>
      </c>
      <c r="I130" s="7" t="s">
        <v>32</v>
      </c>
      <c r="J130" s="25" t="s">
        <v>112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K132" s="6"/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e">
        <f ca="1">H130</f>
        <v>#VALUE!</v>
      </c>
      <c r="E134" s="6" t="s">
        <v>10</v>
      </c>
      <c r="F134" s="6">
        <f>H129-3.6</f>
        <v>76.400000000000006</v>
      </c>
      <c r="G134" s="6" t="e">
        <f ca="1">J129</f>
        <v>#VALUE!</v>
      </c>
      <c r="H134" s="6">
        <f>1*C127</f>
        <v>1</v>
      </c>
      <c r="I134" s="6" t="e">
        <f ca="1">HLOOKUP(D134, materials[], 2,FALSE)</f>
        <v>#VALUE!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e">
        <f ca="1">H130</f>
        <v>#VALUE!</v>
      </c>
      <c r="E135" s="6" t="s">
        <v>11</v>
      </c>
      <c r="F135" s="6" t="e">
        <f ca="1">I129</f>
        <v>#VALUE!</v>
      </c>
      <c r="G135" s="6" t="e">
        <f ca="1">J129</f>
        <v>#VALUE!</v>
      </c>
      <c r="H135" s="6">
        <f>2*C127</f>
        <v>2</v>
      </c>
      <c r="I135" s="6" t="e">
        <f ca="1">HLOOKUP(D135, materials[], 2,FALSE)</f>
        <v>#VALUE!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e">
        <f ca="1">H130</f>
        <v>#VALUE!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 t="e">
        <f ca="1">HLOOKUP(D136, materials[], 2,FALSE)</f>
        <v>#VALUE!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e">
        <f ca="1">H130</f>
        <v>#VALUE!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 t="e">
        <f ca="1">HLOOKUP(D137, materials[], 2,FALSE)</f>
        <v>#VALUE!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e">
        <f ca="1">H130</f>
        <v>#VALUE!</v>
      </c>
      <c r="E138" s="6" t="s">
        <v>18</v>
      </c>
      <c r="F138" s="6">
        <f>H129-3.8</f>
        <v>76.2</v>
      </c>
      <c r="G138" s="6" t="e">
        <f ca="1">J129-6</f>
        <v>#VALUE!</v>
      </c>
      <c r="H138" s="6">
        <f>D129*C127</f>
        <v>1</v>
      </c>
      <c r="I138" s="6" t="e">
        <f ca="1">HLOOKUP(D138, materials[], 2,FALSE)</f>
        <v>#VALUE!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10">
        <f t="shared" si="7"/>
        <v>6</v>
      </c>
      <c r="D139" s="10" t="e">
        <f ca="1">H130</f>
        <v>#VALUE!</v>
      </c>
      <c r="E139" s="10" t="s">
        <v>22</v>
      </c>
      <c r="F139" s="10">
        <f>H129-3.6-3.6-2.5</f>
        <v>70.300000000000011</v>
      </c>
      <c r="G139" s="10">
        <v>10</v>
      </c>
      <c r="H139" s="10" t="e">
        <f ca="1">F129*C127</f>
        <v>#VALUE!</v>
      </c>
      <c r="I139" s="10" t="e">
        <f ca="1">HLOOKUP(D139, materials[], 2,FALSE)</f>
        <v>#VALUE!</v>
      </c>
      <c r="J139" s="10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10">
        <f t="shared" si="7"/>
        <v>7</v>
      </c>
      <c r="D140" s="10" t="e">
        <f ca="1">H130</f>
        <v>#VALUE!</v>
      </c>
      <c r="E140" s="10" t="s">
        <v>154</v>
      </c>
      <c r="F140" s="10" t="e">
        <f ca="1">G129</f>
        <v>#VALUE!</v>
      </c>
      <c r="G140" s="10">
        <v>10</v>
      </c>
      <c r="H140" s="10" t="e">
        <f ca="1">2*C127*F129</f>
        <v>#VALUE!</v>
      </c>
      <c r="I140" s="10" t="e">
        <f ca="1">HLOOKUP(D140, materials[], 2,FALSE)</f>
        <v>#VALUE!</v>
      </c>
      <c r="J140" s="10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10">
        <f t="shared" si="7"/>
        <v>8</v>
      </c>
      <c r="D141" s="10" t="e">
        <f ca="1">H130</f>
        <v>#VALUE!</v>
      </c>
      <c r="E141" s="10" t="s">
        <v>155</v>
      </c>
      <c r="F141" s="10">
        <f>H129-3.6-3.6-2.5</f>
        <v>70.300000000000011</v>
      </c>
      <c r="G141" s="10">
        <f>10-3</f>
        <v>7</v>
      </c>
      <c r="H141" s="10" t="e">
        <f ca="1">F129*C127</f>
        <v>#VALUE!</v>
      </c>
      <c r="I141" s="10" t="e">
        <f ca="1">HLOOKUP(D141, materials[], 2,FALSE)</f>
        <v>#VALUE!</v>
      </c>
      <c r="J141" s="10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e">
        <f ca="1">F130</f>
        <v>#VALUE!</v>
      </c>
      <c r="E143" s="9" t="s">
        <v>15</v>
      </c>
      <c r="F143" s="9" t="e">
        <f ca="1">I129-0.5-E129-G144</f>
        <v>#VALUE!</v>
      </c>
      <c r="G143" s="9">
        <f>(H129/C129)-0.5</f>
        <v>39.5</v>
      </c>
      <c r="H143" s="9">
        <f>C129*C127</f>
        <v>2</v>
      </c>
      <c r="I143" s="9" t="e">
        <f ca="1">HLOOKUP(D143, materials[], 2,FALSE)</f>
        <v>#VALUE!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e">
        <f ca="1">F130</f>
        <v>#VALUE!</v>
      </c>
      <c r="E144" s="9" t="s">
        <v>166</v>
      </c>
      <c r="F144" s="9">
        <f>H129-0.5</f>
        <v>79.5</v>
      </c>
      <c r="G144" s="9" t="e">
        <f ca="1">I129-E129-59.5</f>
        <v>#VALUE!</v>
      </c>
      <c r="H144" s="9" t="e">
        <f ca="1">F129*C127</f>
        <v>#VALUE!</v>
      </c>
      <c r="I144" s="9" t="e">
        <f ca="1">HLOOKUP(D144, materials[], 2,FALSE)</f>
        <v>#VALUE!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e">
        <f ca="1">D130</f>
        <v>#VALUE!</v>
      </c>
      <c r="E146" s="19" t="s">
        <v>59</v>
      </c>
      <c r="F146" s="19" t="e">
        <f ca="1">I129-2</f>
        <v>#VALUE!</v>
      </c>
      <c r="G146" s="19">
        <f>H129-2</f>
        <v>78</v>
      </c>
      <c r="H146" s="19">
        <f>1*C127</f>
        <v>1</v>
      </c>
      <c r="I146" s="19" t="e">
        <f ca="1">HLOOKUP(D146, materials[], 2,FALSE)</f>
        <v>#VALUE!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e">
        <f ca="1">D130</f>
        <v>#VALUE!</v>
      </c>
      <c r="E147" s="19" t="s">
        <v>165</v>
      </c>
      <c r="F147" s="19">
        <f>H129-3.6-3.6-2.5+2</f>
        <v>72.300000000000011</v>
      </c>
      <c r="G147" s="19" t="e">
        <f ca="1">G129-1</f>
        <v>#VALUE!</v>
      </c>
      <c r="H147" s="19">
        <f>1*C127</f>
        <v>1</v>
      </c>
      <c r="I147" s="19" t="e">
        <f ca="1">HLOOKUP(D147, materials[], 2,FALSE)</f>
        <v>#VALUE!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56" zoomScale="86" zoomScaleNormal="70" workbookViewId="0">
      <selection activeCell="K169" sqref="K169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124</v>
      </c>
      <c r="C2" s="107" t="s">
        <v>44</v>
      </c>
      <c r="D2" s="107"/>
      <c r="E2" s="107"/>
      <c r="F2" s="107"/>
      <c r="G2" s="107"/>
      <c r="H2" s="107"/>
      <c r="I2" s="107"/>
      <c r="J2" s="107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156</v>
      </c>
      <c r="B13" s="3"/>
      <c r="C13" s="14">
        <v>1</v>
      </c>
      <c r="D13" s="22" t="s">
        <v>60</v>
      </c>
      <c r="E13" s="98" t="s">
        <v>45</v>
      </c>
      <c r="F13" s="99"/>
      <c r="G13" s="99"/>
      <c r="H13" s="100"/>
      <c r="I13" s="2" t="s">
        <v>31</v>
      </c>
      <c r="J13" s="2">
        <f>letterToNumber(A13)</f>
        <v>1</v>
      </c>
      <c r="K13" s="7">
        <f ca="1">_xlfn.SHEET("وحدات علوية")</f>
        <v>6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55</v>
      </c>
      <c r="D14" s="7" t="s">
        <v>56</v>
      </c>
      <c r="E14" s="18" t="s">
        <v>19</v>
      </c>
      <c r="F14" s="7" t="s">
        <v>17</v>
      </c>
      <c r="G14" s="7" t="s">
        <v>116</v>
      </c>
      <c r="H14" s="7" t="s">
        <v>23</v>
      </c>
      <c r="I14" s="7" t="s">
        <v>3</v>
      </c>
      <c r="J14" s="7" t="s">
        <v>114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107</v>
      </c>
      <c r="F16" s="113" t="b">
        <f ca="1">NOT(AND(F15&gt;0,G15&gt;0))</f>
        <v>1</v>
      </c>
      <c r="G16" s="113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2">
        <f>C15+D15</f>
        <v>1</v>
      </c>
      <c r="D17" s="112"/>
      <c r="E17" s="26">
        <v>10</v>
      </c>
      <c r="F17" s="114" t="str">
        <f ca="1">IF(F16,"المقابض مظبوطة","مينفعش مقبض مخفي مع بيلت ان")</f>
        <v>المقابض مظبوطة</v>
      </c>
      <c r="G17" s="114"/>
      <c r="H17" s="113" t="str">
        <f>IF(H16,"عدد الدلف صحيح","عدد الدلف غير صحيح")</f>
        <v>عدد الدلف صحيح</v>
      </c>
      <c r="I17" s="113"/>
      <c r="J17" s="113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13" t="b">
        <f>C17&lt;=2</f>
        <v>1</v>
      </c>
      <c r="D18" s="113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59</v>
      </c>
      <c r="F19" s="27" t="str" cm="1">
        <f t="array" aca="1" ref="F19" ca="1">defaultValue(G19,K13)</f>
        <v>يوفيلاك</v>
      </c>
      <c r="G19" s="7" t="s">
        <v>33</v>
      </c>
      <c r="H19" s="27" t="str" cm="1">
        <f t="array" aca="1" ref="H19" ca="1">defaultValue(I19,K13)</f>
        <v>HPL</v>
      </c>
      <c r="I19" s="7" t="s">
        <v>32</v>
      </c>
      <c r="J19" s="25" t="s">
        <v>112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34</v>
      </c>
      <c r="J21" s="6" t="s">
        <v>8</v>
      </c>
      <c r="K21" s="6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50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18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53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54</v>
      </c>
      <c r="E29" s="9" t="s">
        <v>72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59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161</v>
      </c>
      <c r="C34" s="14">
        <v>1</v>
      </c>
      <c r="D34" s="22" t="s">
        <v>60</v>
      </c>
      <c r="E34" s="98" t="s">
        <v>51</v>
      </c>
      <c r="F34" s="99"/>
      <c r="G34" s="99"/>
      <c r="H34" s="100"/>
      <c r="I34" s="2" t="s">
        <v>31</v>
      </c>
      <c r="J34" s="2">
        <f>letterToNumber(A34)</f>
        <v>2</v>
      </c>
      <c r="K34" s="7">
        <f ca="1">_xlfn.SHEET("وحدات علوية")</f>
        <v>6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55</v>
      </c>
      <c r="D35" s="7" t="s">
        <v>56</v>
      </c>
      <c r="E35" s="7" t="s">
        <v>52</v>
      </c>
      <c r="F35" s="7" t="s">
        <v>17</v>
      </c>
      <c r="G35" s="7" t="s">
        <v>116</v>
      </c>
      <c r="H35" s="7" t="s">
        <v>23</v>
      </c>
      <c r="I35" s="7" t="s">
        <v>3</v>
      </c>
      <c r="J35" s="7" t="s">
        <v>114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107</v>
      </c>
      <c r="F37" s="115" t="b">
        <f ca="1">NOT(AND(F36&gt;0,G36&gt;0))</f>
        <v>1</v>
      </c>
      <c r="G37" s="115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2">
        <f>C36+D36</f>
        <v>2</v>
      </c>
      <c r="D38" s="112"/>
      <c r="E38" s="7">
        <v>0</v>
      </c>
      <c r="F38" s="116" t="str">
        <f ca="1">IF(F37,"المقابض مظبوطة","مينفعش مقبض مخفي مع بيلت ان")</f>
        <v>المقابض مظبوطة</v>
      </c>
      <c r="G38" s="116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13" t="b">
        <f>C38&lt;=2</f>
        <v>1</v>
      </c>
      <c r="D39" s="113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59</v>
      </c>
      <c r="F40" s="27" t="str" cm="1">
        <f t="array" aca="1" ref="F40" ca="1">defaultValue(G40,K34)</f>
        <v>يوفيلاك</v>
      </c>
      <c r="G40" s="7" t="s">
        <v>33</v>
      </c>
      <c r="H40" s="27" t="str" cm="1">
        <f t="array" aca="1" ref="H40" ca="1">defaultValue(I40,K34)</f>
        <v>HPL</v>
      </c>
      <c r="I40" s="7" t="s">
        <v>32</v>
      </c>
      <c r="J40" s="25" t="s">
        <v>112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34</v>
      </c>
      <c r="J42" s="6" t="s">
        <v>8</v>
      </c>
      <c r="K42" s="6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50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52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57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54</v>
      </c>
      <c r="E50" s="9" t="s">
        <v>58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59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157</v>
      </c>
      <c r="C55" s="14">
        <v>1</v>
      </c>
      <c r="D55" s="22" t="s">
        <v>60</v>
      </c>
      <c r="E55" s="98" t="s">
        <v>46</v>
      </c>
      <c r="F55" s="99"/>
      <c r="G55" s="99"/>
      <c r="H55" s="100"/>
      <c r="I55" s="2" t="s">
        <v>31</v>
      </c>
      <c r="J55" s="2">
        <f>letterToNumber(A55)</f>
        <v>3</v>
      </c>
      <c r="K55" s="7">
        <f ca="1">_xlfn.SHEET("وحدات علوية")</f>
        <v>6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56</v>
      </c>
      <c r="E56" s="7" t="s">
        <v>19</v>
      </c>
      <c r="F56" s="7" t="s">
        <v>17</v>
      </c>
      <c r="G56" s="7" t="s">
        <v>116</v>
      </c>
      <c r="H56" s="7" t="s">
        <v>23</v>
      </c>
      <c r="I56" s="7" t="s">
        <v>3</v>
      </c>
      <c r="J56" s="7" t="s">
        <v>114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3" t="b">
        <f ca="1">NOT(AND(F57&gt;0,G57&gt;0))</f>
        <v>1</v>
      </c>
      <c r="G58" s="110"/>
      <c r="H58" s="3" t="b">
        <f>_xlfn.XOR(H57&lt;=50,C59=2)</f>
        <v>0</v>
      </c>
      <c r="I58" s="61" t="s">
        <v>167</v>
      </c>
      <c r="J58" s="62" t="s">
        <v>168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2">
        <f>C57+D57</f>
        <v>2</v>
      </c>
      <c r="D59" s="112"/>
      <c r="E59" s="7" t="s">
        <v>107</v>
      </c>
      <c r="F59" s="117" t="str">
        <f ca="1">IF(F58,"المقابض مظبوطة","مينفعش مقبض مخفي مع بيلت ان")</f>
        <v>المقابض مظبوطة</v>
      </c>
      <c r="G59" s="117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3" t="b">
        <f>C59&lt;=2</f>
        <v>1</v>
      </c>
      <c r="D60" s="113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59</v>
      </c>
      <c r="F61" s="27" t="str" cm="1">
        <f t="array" aca="1" ref="F61" ca="1">defaultValue(G61,K55)</f>
        <v>يوفيلاك</v>
      </c>
      <c r="G61" s="7" t="s">
        <v>33</v>
      </c>
      <c r="H61" s="27" t="str" cm="1">
        <f t="array" aca="1" ref="H61" ca="1">defaultValue(I61,K55)</f>
        <v>HPL</v>
      </c>
      <c r="I61" s="7" t="s">
        <v>32</v>
      </c>
      <c r="J61" s="25" t="s">
        <v>112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34</v>
      </c>
      <c r="J63" s="6" t="s">
        <v>8</v>
      </c>
      <c r="K63" s="6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50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18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25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26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54</v>
      </c>
      <c r="E74" s="9" t="s">
        <v>72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59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162</v>
      </c>
      <c r="C79" s="14">
        <v>1</v>
      </c>
      <c r="D79" s="22" t="s">
        <v>60</v>
      </c>
      <c r="E79" s="98" t="s">
        <v>169</v>
      </c>
      <c r="F79" s="99"/>
      <c r="G79" s="99"/>
      <c r="H79" s="100"/>
      <c r="I79" s="2" t="s">
        <v>31</v>
      </c>
      <c r="J79" s="2">
        <f>letterToNumber(A79)</f>
        <v>4</v>
      </c>
      <c r="K79" s="7">
        <f ca="1">_xlfn.SHEET("وحدات علوية")</f>
        <v>6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56</v>
      </c>
      <c r="E80" s="7" t="s">
        <v>52</v>
      </c>
      <c r="F80" s="7" t="s">
        <v>17</v>
      </c>
      <c r="G80" s="7" t="s">
        <v>116</v>
      </c>
      <c r="H80" s="7" t="s">
        <v>23</v>
      </c>
      <c r="I80" s="7" t="s">
        <v>3</v>
      </c>
      <c r="J80" s="7" t="s">
        <v>114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3" t="b">
        <f ca="1">NOT(AND(F81&gt;0,G81&gt;0))</f>
        <v>1</v>
      </c>
      <c r="G82" s="110"/>
      <c r="H82" s="3" t="b">
        <f ca="1">_xlfn.XOR(I81&lt;=50,C83=2)</f>
        <v>0</v>
      </c>
      <c r="I82" s="61" t="s">
        <v>167</v>
      </c>
      <c r="J82" s="62" t="s">
        <v>168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2">
        <f>C81+D81</f>
        <v>1</v>
      </c>
      <c r="D83" s="112"/>
      <c r="E83" s="7" t="s">
        <v>107</v>
      </c>
      <c r="F83" s="117" t="str">
        <f ca="1">IF(F82,"المقابض مظبوطة","مينفعش مقبض مخفي مع بيلت ان")</f>
        <v>المقابض مظبوطة</v>
      </c>
      <c r="G83" s="117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3" t="b">
        <f>C83&lt;=2</f>
        <v>1</v>
      </c>
      <c r="D84" s="113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59</v>
      </c>
      <c r="F85" s="27" t="str" cm="1">
        <f t="array" aca="1" ref="F85" ca="1">defaultValue(G85,K79)</f>
        <v>يوفيلاك</v>
      </c>
      <c r="G85" s="7" t="s">
        <v>33</v>
      </c>
      <c r="H85" s="27" t="str" cm="1">
        <f t="array" aca="1" ref="H85" ca="1">defaultValue(I85,K79)</f>
        <v>HPL</v>
      </c>
      <c r="I85" s="7" t="s">
        <v>32</v>
      </c>
      <c r="J85" s="25" t="s">
        <v>112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34</v>
      </c>
      <c r="J87" s="6" t="s">
        <v>8</v>
      </c>
      <c r="K87" s="6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50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52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25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170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26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54</v>
      </c>
      <c r="E98" s="9" t="s">
        <v>72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59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158</v>
      </c>
      <c r="C103" s="14">
        <v>1</v>
      </c>
      <c r="D103" s="22" t="s">
        <v>60</v>
      </c>
      <c r="E103" s="98" t="s">
        <v>47</v>
      </c>
      <c r="F103" s="99"/>
      <c r="G103" s="99"/>
      <c r="H103" s="100"/>
      <c r="I103" s="2" t="s">
        <v>31</v>
      </c>
      <c r="J103" s="2">
        <f>letterToNumber(A103)</f>
        <v>5</v>
      </c>
      <c r="K103" s="7">
        <f ca="1">_xlfn.SHEET("وحدات علوية")</f>
        <v>6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19</v>
      </c>
      <c r="E104" s="7"/>
      <c r="F104" s="7" t="s">
        <v>17</v>
      </c>
      <c r="G104" s="7" t="s">
        <v>116</v>
      </c>
      <c r="H104" s="7" t="s">
        <v>23</v>
      </c>
      <c r="I104" s="7" t="s">
        <v>3</v>
      </c>
      <c r="J104" s="7" t="s">
        <v>114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3" t="b">
        <f ca="1">NOT(AND(F105&gt;0,G105&gt;0))</f>
        <v>1</v>
      </c>
      <c r="G106" s="113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16" t="str">
        <f ca="1">IF(F106,"المقابض مظبوطة","مينفعش مقبض مخفي مع بيلت ان")</f>
        <v>المقابض مظبوطة</v>
      </c>
      <c r="G107" s="116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59</v>
      </c>
      <c r="F108" s="27" t="str" cm="1">
        <f t="array" aca="1" ref="F108" ca="1">defaultValue(G108,K103)</f>
        <v>يوفيلاك</v>
      </c>
      <c r="G108" s="7" t="s">
        <v>33</v>
      </c>
      <c r="H108" s="27" t="str" cm="1">
        <f t="array" aca="1" ref="H108" ca="1">defaultValue(I108,K103)</f>
        <v>HPL</v>
      </c>
      <c r="I108" s="7" t="s">
        <v>32</v>
      </c>
      <c r="J108" s="25" t="s">
        <v>112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34</v>
      </c>
      <c r="J110" s="6" t="s">
        <v>8</v>
      </c>
      <c r="K110" s="6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50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63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64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28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18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29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42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54</v>
      </c>
      <c r="E122" s="9" t="s">
        <v>72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54</v>
      </c>
      <c r="E123" s="9" t="s">
        <v>72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108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109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159</v>
      </c>
      <c r="C129" s="14">
        <v>1</v>
      </c>
      <c r="D129" s="22" t="s">
        <v>60</v>
      </c>
      <c r="E129" s="98" t="s">
        <v>48</v>
      </c>
      <c r="F129" s="99"/>
      <c r="G129" s="99"/>
      <c r="H129" s="100"/>
      <c r="I129" s="2" t="s">
        <v>31</v>
      </c>
      <c r="J129" s="2">
        <f>letterToNumber(A129)</f>
        <v>6</v>
      </c>
      <c r="K129" s="7">
        <f ca="1">_xlfn.SHEET("وحدات علوية")</f>
        <v>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19</v>
      </c>
      <c r="E130" s="7"/>
      <c r="F130" s="7" t="s">
        <v>17</v>
      </c>
      <c r="G130" s="7" t="s">
        <v>116</v>
      </c>
      <c r="H130" s="7" t="s">
        <v>23</v>
      </c>
      <c r="I130" s="7" t="s">
        <v>3</v>
      </c>
      <c r="J130" s="7" t="s">
        <v>114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3" t="b">
        <f ca="1">NOT(AND(F131&gt;0,G131&gt;0))</f>
        <v>1</v>
      </c>
      <c r="G132" s="113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16" t="str">
        <f ca="1">IF(F132,"المقابض مظبوطة","مينفعش مقبض مخفي مع بيلت ان")</f>
        <v>المقابض مظبوطة</v>
      </c>
      <c r="G133" s="116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59</v>
      </c>
      <c r="F134" s="27" t="str" cm="1">
        <f t="array" aca="1" ref="F134" ca="1">defaultValue(G134,K129)</f>
        <v>يوفيلاك</v>
      </c>
      <c r="G134" s="7" t="s">
        <v>33</v>
      </c>
      <c r="H134" s="27" t="str" cm="1">
        <f t="array" aca="1" ref="H134" ca="1">defaultValue(I134,K129)</f>
        <v>HPL</v>
      </c>
      <c r="I134" s="7" t="s">
        <v>32</v>
      </c>
      <c r="J134" s="25" t="s">
        <v>112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34</v>
      </c>
      <c r="J136" s="6" t="s">
        <v>8</v>
      </c>
      <c r="K136" s="6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50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63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64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28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18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29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59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160</v>
      </c>
      <c r="C150" s="14">
        <v>1</v>
      </c>
      <c r="D150" s="22" t="s">
        <v>60</v>
      </c>
      <c r="E150" s="98" t="s">
        <v>110</v>
      </c>
      <c r="F150" s="99"/>
      <c r="G150" s="99"/>
      <c r="H150" s="100"/>
      <c r="I150" s="2" t="s">
        <v>31</v>
      </c>
      <c r="J150" s="2">
        <f>letterToNumber(A150)</f>
        <v>7</v>
      </c>
      <c r="K150" s="7">
        <f ca="1">_xlfn.SHEET("وحدات علوية")</f>
        <v>6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55</v>
      </c>
      <c r="D151" s="7" t="s">
        <v>56</v>
      </c>
      <c r="E151" s="18" t="s">
        <v>19</v>
      </c>
      <c r="F151" s="7" t="s">
        <v>17</v>
      </c>
      <c r="G151" s="7" t="s">
        <v>116</v>
      </c>
      <c r="H151" s="7" t="s">
        <v>23</v>
      </c>
      <c r="I151" s="7" t="s">
        <v>3</v>
      </c>
      <c r="J151" s="7" t="s">
        <v>114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107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111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08">
        <f>C152+D152</f>
        <v>1</v>
      </c>
      <c r="D154" s="109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10" t="b">
        <f>C154&lt;=2</f>
        <v>1</v>
      </c>
      <c r="D155" s="111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59</v>
      </c>
      <c r="F156" s="27" t="str" cm="1">
        <f t="array" aca="1" ref="F156" ca="1">defaultValue(G156,K150)</f>
        <v>يوفيلاك</v>
      </c>
      <c r="G156" s="7" t="s">
        <v>33</v>
      </c>
      <c r="H156" s="27" t="str" cm="1">
        <f t="array" aca="1" ref="H156" ca="1">defaultValue(I156,K150)</f>
        <v>HPL</v>
      </c>
      <c r="I156" s="7" t="s">
        <v>32</v>
      </c>
      <c r="J156" s="25" t="s">
        <v>112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34</v>
      </c>
      <c r="J158" s="6" t="s">
        <v>8</v>
      </c>
      <c r="K158" s="6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50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18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52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53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54</v>
      </c>
      <c r="E167" s="9" t="s">
        <v>72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59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67" zoomScale="70" zoomScaleNormal="70" workbookViewId="0">
      <selection activeCell="J74" sqref="J74:J82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125</v>
      </c>
      <c r="C2" s="107" t="s">
        <v>65</v>
      </c>
      <c r="D2" s="107"/>
      <c r="E2" s="107"/>
      <c r="F2" s="107"/>
      <c r="G2" s="107"/>
      <c r="H2" s="107"/>
      <c r="I2" s="107"/>
      <c r="J2" s="107"/>
    </row>
    <row r="3" spans="1:23" s="35" customFormat="1" x14ac:dyDescent="0.3">
      <c r="B3" s="55" t="s">
        <v>178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156</v>
      </c>
      <c r="B13" s="3"/>
      <c r="C13" s="14">
        <v>1</v>
      </c>
      <c r="D13" s="22" t="s">
        <v>60</v>
      </c>
      <c r="E13" s="118" t="s">
        <v>66</v>
      </c>
      <c r="F13" s="118"/>
      <c r="G13" s="118"/>
      <c r="H13" s="118"/>
      <c r="I13" s="2" t="s">
        <v>31</v>
      </c>
      <c r="J13" s="2">
        <f>letterToNumber(A13)</f>
        <v>1</v>
      </c>
      <c r="K13" s="7">
        <f ca="1">_xlfn.SHEET("دواليب")</f>
        <v>7</v>
      </c>
    </row>
    <row r="14" spans="1:23" ht="31.2" x14ac:dyDescent="0.3">
      <c r="A14" s="35">
        <v>1</v>
      </c>
      <c r="C14" s="18"/>
      <c r="D14" s="18"/>
      <c r="E14" s="18" t="s">
        <v>19</v>
      </c>
      <c r="F14" s="7" t="s">
        <v>52</v>
      </c>
      <c r="G14" s="7" t="s">
        <v>17</v>
      </c>
      <c r="H14" s="7" t="s">
        <v>23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55</v>
      </c>
      <c r="H16" s="7" t="s">
        <v>56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70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71</v>
      </c>
      <c r="K18" s="7"/>
    </row>
    <row r="19" spans="1:13" ht="15.6" x14ac:dyDescent="0.3">
      <c r="A19" s="35">
        <v>1</v>
      </c>
      <c r="C19" s="112">
        <f>G17+H17</f>
        <v>2</v>
      </c>
      <c r="D19" s="112"/>
      <c r="E19" s="8"/>
      <c r="F19" s="46"/>
      <c r="G19" s="46"/>
      <c r="H19" s="46"/>
      <c r="I19" s="8">
        <f>SUM(I17:I18)</f>
        <v>210</v>
      </c>
      <c r="J19" s="116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13" t="b">
        <f>C19&lt;=2</f>
        <v>1</v>
      </c>
      <c r="D20" s="113"/>
      <c r="E20" s="8"/>
      <c r="F20" s="8"/>
      <c r="G20" s="8"/>
      <c r="H20" s="8"/>
      <c r="I20" s="6" t="b">
        <f>I19=I15</f>
        <v>1</v>
      </c>
      <c r="J20" s="116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59</v>
      </c>
      <c r="F21" s="27" t="str" cm="1">
        <f t="array" aca="1" ref="F21" ca="1">defaultValue(G21,K13)</f>
        <v>يوفيلاك</v>
      </c>
      <c r="G21" s="7" t="s">
        <v>33</v>
      </c>
      <c r="H21" s="27" t="str" cm="1">
        <f t="array" aca="1" ref="H21" ca="1">defaultValue(I21,K13)</f>
        <v>HPL</v>
      </c>
      <c r="I21" s="7" t="s">
        <v>32</v>
      </c>
      <c r="J21" s="25" t="s">
        <v>112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34</v>
      </c>
      <c r="J23" s="6" t="s">
        <v>8</v>
      </c>
      <c r="K23" s="6"/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50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52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18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73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74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54</v>
      </c>
      <c r="E34" s="9" t="s">
        <v>75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54</v>
      </c>
      <c r="E35" s="9" t="s">
        <v>76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59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161</v>
      </c>
      <c r="C40" s="14">
        <v>1</v>
      </c>
      <c r="D40" s="22" t="s">
        <v>60</v>
      </c>
      <c r="E40" s="118" t="s">
        <v>77</v>
      </c>
      <c r="F40" s="118"/>
      <c r="G40" s="118"/>
      <c r="H40" s="118"/>
      <c r="I40" s="2" t="s">
        <v>31</v>
      </c>
      <c r="J40" s="2">
        <f>letterToNumber(A40)</f>
        <v>2</v>
      </c>
      <c r="K40" s="7">
        <f ca="1">_xlfn.SHEET("دواليب")</f>
        <v>7</v>
      </c>
      <c r="L40" s="1"/>
      <c r="M40" s="1"/>
    </row>
    <row r="41" spans="1:13" ht="31.2" x14ac:dyDescent="0.3">
      <c r="A41" s="35">
        <v>1</v>
      </c>
      <c r="C41" s="18"/>
      <c r="D41" s="16" t="s">
        <v>20</v>
      </c>
      <c r="E41" s="18" t="s">
        <v>19</v>
      </c>
      <c r="F41" s="7" t="s">
        <v>52</v>
      </c>
      <c r="G41" s="7" t="s">
        <v>17</v>
      </c>
      <c r="H41" s="7" t="s">
        <v>23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55</v>
      </c>
      <c r="H43" s="7" t="s">
        <v>56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78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79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80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70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81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82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83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84</v>
      </c>
      <c r="K51" s="7"/>
      <c r="L51" s="1"/>
      <c r="M51" s="1"/>
    </row>
    <row r="52" spans="1:13" ht="15.6" x14ac:dyDescent="0.3">
      <c r="A52" s="35">
        <v>1</v>
      </c>
      <c r="C52" s="112">
        <f>G47+H47</f>
        <v>0</v>
      </c>
      <c r="D52" s="112"/>
      <c r="E52" s="8"/>
      <c r="F52" s="46"/>
      <c r="G52" s="46"/>
      <c r="H52" s="46"/>
      <c r="I52" s="8">
        <f>SUM(I44:I51)</f>
        <v>220</v>
      </c>
      <c r="J52" s="116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13" t="b">
        <f>C52&lt;=2</f>
        <v>1</v>
      </c>
      <c r="D53" s="113"/>
      <c r="E53" s="8"/>
      <c r="F53" s="8"/>
      <c r="G53" s="8"/>
      <c r="H53" s="8"/>
      <c r="I53" s="6" t="b">
        <f>I52=I42</f>
        <v>1</v>
      </c>
      <c r="J53" s="116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59</v>
      </c>
      <c r="F54" s="27" t="str" cm="1">
        <f t="array" aca="1" ref="F54" ca="1">defaultValue(G54,K40)</f>
        <v>يوفيلاك</v>
      </c>
      <c r="G54" s="7" t="s">
        <v>33</v>
      </c>
      <c r="H54" s="27" t="str" cm="1">
        <f t="array" aca="1" ref="H54" ca="1">defaultValue(I54,K40)</f>
        <v>HPL</v>
      </c>
      <c r="I54" s="7" t="s">
        <v>32</v>
      </c>
      <c r="J54" s="25" t="s">
        <v>112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34</v>
      </c>
      <c r="J56" s="6" t="s">
        <v>8</v>
      </c>
      <c r="K56" s="6"/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50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52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18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85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20"/>
      <c r="K64" s="20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86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20"/>
      <c r="K65" s="20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87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20"/>
      <c r="K66" s="20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88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89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90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91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20"/>
      <c r="K70" s="20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92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20"/>
      <c r="K71" s="20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93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20"/>
      <c r="K72" s="20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96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97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98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73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99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100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101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94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95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54</v>
      </c>
      <c r="E85" s="9" t="s">
        <v>75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54</v>
      </c>
      <c r="E86" s="9" t="s">
        <v>102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54</v>
      </c>
      <c r="E87" s="9" t="s">
        <v>103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59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60</v>
      </c>
      <c r="E98" s="98" t="s">
        <v>67</v>
      </c>
      <c r="F98" s="99"/>
      <c r="G98" s="99"/>
      <c r="H98" s="100"/>
      <c r="I98" s="2" t="s">
        <v>31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19</v>
      </c>
      <c r="F99" s="7" t="s">
        <v>17</v>
      </c>
      <c r="G99" s="7" t="s">
        <v>49</v>
      </c>
      <c r="H99" s="7" t="s">
        <v>23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3" t="b">
        <f>NOT(AND(F100&gt;0,G100&gt;0))</f>
        <v>1</v>
      </c>
      <c r="G101" s="113"/>
      <c r="I101" s="3" t="b">
        <f>_xlfn.XOR(I100&lt;=50,C102=2)</f>
        <v>0</v>
      </c>
    </row>
    <row r="102" spans="2:10" ht="24" hidden="1" customHeight="1" x14ac:dyDescent="0.3">
      <c r="C102" s="113">
        <f>C100+E100</f>
        <v>3</v>
      </c>
      <c r="D102" s="113"/>
      <c r="E102" s="33"/>
      <c r="F102" s="117" t="str">
        <f>IF(F101,"المقابض مظبوطة","مينفعش مقبض مخفي مع بيلت ان")</f>
        <v>المقابض مظبوطة</v>
      </c>
      <c r="G102" s="117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3" t="b">
        <f>C102&lt;=2</f>
        <v>0</v>
      </c>
      <c r="D103" s="113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34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50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18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25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26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59</v>
      </c>
      <c r="E116" s="19" t="s">
        <v>59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60</v>
      </c>
      <c r="E118" s="98" t="s">
        <v>68</v>
      </c>
      <c r="F118" s="99"/>
      <c r="G118" s="99"/>
      <c r="H118" s="100"/>
      <c r="I118" s="2" t="s">
        <v>31</v>
      </c>
      <c r="J118" s="2">
        <f>J98+1</f>
        <v>4</v>
      </c>
    </row>
    <row r="119" spans="2:10" ht="31.2" hidden="1" customHeight="1" x14ac:dyDescent="0.3">
      <c r="C119" s="7"/>
      <c r="D119" s="7" t="s">
        <v>19</v>
      </c>
      <c r="E119" s="7"/>
      <c r="F119" s="7" t="s">
        <v>17</v>
      </c>
      <c r="G119" s="7" t="s">
        <v>49</v>
      </c>
      <c r="H119" s="7" t="s">
        <v>23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3" t="b">
        <f>NOT(AND(F120&gt;0,G120&gt;0))</f>
        <v>1</v>
      </c>
      <c r="G121" s="113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7" t="str">
        <f>IF(F121,"المقابض مظبوطة","مينفعش مقبض مخفي مع بيلت ان")</f>
        <v>المقابض مظبوطة</v>
      </c>
      <c r="G122" s="117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34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50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63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64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28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18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29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42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59</v>
      </c>
      <c r="E136" s="19" t="s">
        <v>59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60</v>
      </c>
      <c r="E138" s="98" t="s">
        <v>69</v>
      </c>
      <c r="F138" s="99"/>
      <c r="G138" s="99"/>
      <c r="H138" s="100"/>
      <c r="I138" s="2" t="s">
        <v>31</v>
      </c>
      <c r="J138" s="2">
        <f>J118+1</f>
        <v>5</v>
      </c>
    </row>
    <row r="139" spans="2:10" ht="31.2" hidden="1" customHeight="1" x14ac:dyDescent="0.3">
      <c r="C139" s="7"/>
      <c r="D139" s="7" t="s">
        <v>19</v>
      </c>
      <c r="E139" s="7"/>
      <c r="F139" s="7" t="s">
        <v>17</v>
      </c>
      <c r="G139" s="7" t="s">
        <v>49</v>
      </c>
      <c r="H139" s="7" t="s">
        <v>23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3" t="b">
        <f>NOT(AND(F140&gt;0,G140&gt;0))</f>
        <v>1</v>
      </c>
      <c r="G141" s="113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7" t="str">
        <f>IF(F141,"المقابض مظبوطة","مينفعش مقبض مخفي مع بيلت ان")</f>
        <v>المقابض مظبوطة</v>
      </c>
      <c r="G142" s="117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34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50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63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64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28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18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29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59</v>
      </c>
      <c r="E156" s="19" t="s">
        <v>59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19" t="s">
        <v>43</v>
      </c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</row>
  </sheetData>
  <mergeCells count="21"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  <mergeCell ref="C2:J2"/>
    <mergeCell ref="E118:H118"/>
    <mergeCell ref="F121:G121"/>
    <mergeCell ref="F122:G122"/>
    <mergeCell ref="E138:H138"/>
    <mergeCell ref="E13:H13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64"/>
  <sheetViews>
    <sheetView topLeftCell="B1" zoomScale="70" zoomScaleNormal="70" workbookViewId="0"/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35" customFormat="1" x14ac:dyDescent="0.3">
      <c r="A1" s="36">
        <v>13</v>
      </c>
      <c r="B1" s="55">
        <v>3</v>
      </c>
    </row>
    <row r="2" spans="1:23" s="35" customFormat="1" ht="31.2" x14ac:dyDescent="0.3">
      <c r="A2" s="36">
        <v>20</v>
      </c>
      <c r="B2" s="50" t="s">
        <v>126</v>
      </c>
      <c r="C2" s="120" t="s">
        <v>104</v>
      </c>
      <c r="D2" s="121"/>
      <c r="E2" s="121"/>
      <c r="F2" s="121"/>
      <c r="G2" s="121"/>
      <c r="H2" s="121"/>
      <c r="I2" s="121"/>
      <c r="J2" s="122"/>
    </row>
    <row r="3" spans="1:23" s="35" customFormat="1" x14ac:dyDescent="0.3">
      <c r="A3" s="36"/>
      <c r="B3" s="55" t="s">
        <v>179</v>
      </c>
      <c r="R3" s="34"/>
      <c r="S3" s="34"/>
      <c r="T3" s="34"/>
      <c r="U3" s="34"/>
      <c r="V3" s="40"/>
      <c r="W3" s="40"/>
    </row>
    <row r="4" spans="1:23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23" s="35" customFormat="1" x14ac:dyDescent="0.3">
      <c r="A5" s="36"/>
      <c r="B5" s="55"/>
    </row>
    <row r="6" spans="1:23" s="35" customFormat="1" x14ac:dyDescent="0.3">
      <c r="A6" s="36"/>
      <c r="B6" s="55"/>
    </row>
    <row r="7" spans="1:23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23" s="38" customFormat="1" ht="18" x14ac:dyDescent="0.3">
      <c r="A8" s="39"/>
      <c r="B8" s="57"/>
    </row>
    <row r="9" spans="1:23" customFormat="1" x14ac:dyDescent="0.3">
      <c r="A9" s="39"/>
    </row>
    <row r="10" spans="1:23" customFormat="1" x14ac:dyDescent="0.3">
      <c r="A10" s="39"/>
    </row>
    <row r="13" spans="1:23" ht="18" x14ac:dyDescent="0.3">
      <c r="A13" s="36" t="s">
        <v>156</v>
      </c>
      <c r="B13" s="15"/>
      <c r="C13" s="14">
        <v>1</v>
      </c>
      <c r="D13" s="22" t="s">
        <v>60</v>
      </c>
      <c r="E13" s="98" t="s">
        <v>171</v>
      </c>
      <c r="F13" s="99"/>
      <c r="G13" s="99"/>
      <c r="H13" s="100"/>
      <c r="I13" s="2" t="s">
        <v>31</v>
      </c>
      <c r="J13" s="2">
        <f>letterToNumber(A13)</f>
        <v>1</v>
      </c>
      <c r="K13" s="7">
        <f ca="1">_xlfn.SHEET("تجاليد")</f>
        <v>8</v>
      </c>
    </row>
    <row r="14" spans="1:23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23</v>
      </c>
      <c r="K14" s="7"/>
    </row>
    <row r="15" spans="1:23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</row>
    <row r="16" spans="1:23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34</v>
      </c>
      <c r="J16" s="6" t="s">
        <v>8</v>
      </c>
      <c r="K16" s="6"/>
    </row>
    <row r="17" spans="1:11" x14ac:dyDescent="0.3">
      <c r="A17" s="36">
        <v>0</v>
      </c>
      <c r="B17"/>
      <c r="C17"/>
      <c r="D17"/>
      <c r="E17"/>
      <c r="F17"/>
      <c r="G17"/>
      <c r="H17"/>
      <c r="I17"/>
      <c r="J17"/>
      <c r="K17"/>
    </row>
    <row r="18" spans="1:11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121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</row>
    <row r="19" spans="1:11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121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</row>
    <row r="20" spans="1:11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121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</row>
    <row r="21" spans="1:11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121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</row>
    <row r="22" spans="1:11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121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</row>
    <row r="23" spans="1:11" customFormat="1" ht="14.4" x14ac:dyDescent="0.3">
      <c r="A23" s="45">
        <v>255</v>
      </c>
    </row>
    <row r="24" spans="1:11" customFormat="1" ht="14.4" x14ac:dyDescent="0.3">
      <c r="A24" s="45">
        <v>255</v>
      </c>
    </row>
    <row r="25" spans="1:11" ht="18" x14ac:dyDescent="0.3">
      <c r="A25" s="36" t="s">
        <v>161</v>
      </c>
      <c r="B25" s="15"/>
      <c r="C25" s="14">
        <v>1</v>
      </c>
      <c r="D25" s="22" t="s">
        <v>60</v>
      </c>
      <c r="E25" s="98" t="s">
        <v>172</v>
      </c>
      <c r="F25" s="99"/>
      <c r="G25" s="99"/>
      <c r="H25" s="100"/>
      <c r="I25" s="2" t="s">
        <v>31</v>
      </c>
      <c r="J25" s="2">
        <f>letterToNumber(A25)</f>
        <v>2</v>
      </c>
      <c r="K25" s="7">
        <f ca="1">_xlfn.SHEET("تجاليد")</f>
        <v>8</v>
      </c>
    </row>
    <row r="26" spans="1:11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23</v>
      </c>
      <c r="K26" s="7"/>
    </row>
    <row r="27" spans="1:11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</row>
    <row r="28" spans="1:11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34</v>
      </c>
      <c r="J28" s="6" t="s">
        <v>8</v>
      </c>
      <c r="K28" s="6"/>
    </row>
    <row r="29" spans="1:11" x14ac:dyDescent="0.3">
      <c r="A29" s="36">
        <v>0</v>
      </c>
      <c r="B29"/>
      <c r="C29"/>
      <c r="D29"/>
      <c r="E29"/>
      <c r="F29"/>
      <c r="G29"/>
      <c r="H29"/>
      <c r="I29"/>
      <c r="J29"/>
      <c r="K29"/>
    </row>
    <row r="30" spans="1:11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121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</row>
    <row r="31" spans="1:11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121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</row>
    <row r="32" spans="1:11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121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</row>
    <row r="33" spans="1:11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121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</row>
    <row r="34" spans="1:11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121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</row>
    <row r="35" spans="1:11" customFormat="1" ht="14.4" x14ac:dyDescent="0.3">
      <c r="A35" s="45">
        <v>255</v>
      </c>
    </row>
    <row r="36" spans="1:11" customFormat="1" ht="14.4" x14ac:dyDescent="0.3">
      <c r="A36" s="45">
        <v>255</v>
      </c>
    </row>
    <row r="37" spans="1:11" ht="18" x14ac:dyDescent="0.3">
      <c r="A37" s="36" t="s">
        <v>157</v>
      </c>
      <c r="B37" s="15"/>
      <c r="C37" s="14">
        <v>1</v>
      </c>
      <c r="D37" s="22" t="s">
        <v>60</v>
      </c>
      <c r="E37" s="98" t="s">
        <v>173</v>
      </c>
      <c r="F37" s="99"/>
      <c r="G37" s="99"/>
      <c r="H37" s="100"/>
      <c r="I37" s="2" t="s">
        <v>31</v>
      </c>
      <c r="J37" s="2">
        <f>letterToNumber(A37)</f>
        <v>3</v>
      </c>
      <c r="K37" s="7">
        <f ca="1">_xlfn.SHEET("تجاليد")</f>
        <v>8</v>
      </c>
    </row>
    <row r="38" spans="1:11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23</v>
      </c>
      <c r="K38" s="7"/>
    </row>
    <row r="39" spans="1:11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</row>
    <row r="40" spans="1:11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34</v>
      </c>
      <c r="J40" s="6" t="s">
        <v>8</v>
      </c>
      <c r="K40" s="6"/>
    </row>
    <row r="41" spans="1:11" x14ac:dyDescent="0.3">
      <c r="A41" s="36">
        <v>0</v>
      </c>
      <c r="B41"/>
      <c r="C41"/>
      <c r="D41"/>
      <c r="E41"/>
      <c r="F41"/>
      <c r="G41"/>
      <c r="H41"/>
      <c r="I41"/>
      <c r="J41"/>
      <c r="K41"/>
    </row>
    <row r="42" spans="1:11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121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</row>
    <row r="43" spans="1:11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121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</row>
    <row r="44" spans="1:11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121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</row>
    <row r="45" spans="1:11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121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</row>
    <row r="46" spans="1:11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121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</row>
    <row r="47" spans="1:11" customFormat="1" ht="14.4" x14ac:dyDescent="0.3">
      <c r="A47" s="45">
        <v>255</v>
      </c>
    </row>
    <row r="48" spans="1:11" customFormat="1" ht="14.4" x14ac:dyDescent="0.3">
      <c r="A48" s="45">
        <v>255</v>
      </c>
    </row>
    <row r="49" spans="1:11" ht="14.4" x14ac:dyDescent="0.3">
      <c r="A49" s="45"/>
      <c r="B49"/>
      <c r="C49"/>
      <c r="D49"/>
      <c r="E49"/>
      <c r="F49"/>
      <c r="G49"/>
      <c r="H49"/>
      <c r="I49"/>
      <c r="J49"/>
      <c r="K49"/>
    </row>
    <row r="50" spans="1:11" ht="14.4" x14ac:dyDescent="0.3">
      <c r="A50" s="45"/>
      <c r="B50"/>
      <c r="C50"/>
      <c r="D50"/>
      <c r="E50"/>
      <c r="F50"/>
      <c r="G50"/>
      <c r="H50"/>
      <c r="I50"/>
      <c r="J50"/>
      <c r="K50"/>
    </row>
    <row r="51" spans="1:11" ht="14.4" x14ac:dyDescent="0.3">
      <c r="A51" s="45"/>
      <c r="B51"/>
      <c r="C51"/>
      <c r="D51"/>
      <c r="E51"/>
      <c r="F51"/>
      <c r="G51"/>
      <c r="H51"/>
      <c r="I51"/>
      <c r="J51"/>
      <c r="K51"/>
    </row>
    <row r="52" spans="1:11" ht="14.4" x14ac:dyDescent="0.3">
      <c r="A52" s="45"/>
      <c r="B52"/>
      <c r="C52"/>
      <c r="D52"/>
      <c r="E52"/>
      <c r="F52"/>
      <c r="G52"/>
      <c r="H52"/>
      <c r="I52"/>
      <c r="J52"/>
      <c r="K52"/>
    </row>
    <row r="53" spans="1:11" ht="14.4" x14ac:dyDescent="0.3">
      <c r="A53" s="45"/>
      <c r="B53"/>
      <c r="C53"/>
      <c r="D53"/>
      <c r="E53"/>
      <c r="F53"/>
      <c r="G53"/>
      <c r="H53"/>
      <c r="I53"/>
      <c r="J53"/>
      <c r="K53"/>
    </row>
    <row r="54" spans="1:11" ht="14.4" x14ac:dyDescent="0.3">
      <c r="A54" s="45"/>
      <c r="B54"/>
      <c r="C54"/>
      <c r="D54"/>
      <c r="E54"/>
      <c r="F54"/>
      <c r="G54"/>
      <c r="H54"/>
      <c r="I54"/>
      <c r="J54"/>
      <c r="K54"/>
    </row>
    <row r="55" spans="1:11" ht="14.4" x14ac:dyDescent="0.3">
      <c r="A55" s="45"/>
      <c r="B55"/>
      <c r="C55"/>
      <c r="D55"/>
      <c r="E55"/>
      <c r="F55"/>
      <c r="G55"/>
      <c r="H55"/>
      <c r="I55"/>
      <c r="J55"/>
      <c r="K55"/>
    </row>
    <row r="56" spans="1:11" ht="14.4" x14ac:dyDescent="0.3">
      <c r="A56" s="45"/>
      <c r="B56"/>
      <c r="C56"/>
      <c r="D56"/>
      <c r="E56"/>
      <c r="F56"/>
      <c r="G56"/>
      <c r="H56"/>
      <c r="I56"/>
      <c r="J56"/>
      <c r="K56"/>
    </row>
    <row r="57" spans="1:11" ht="14.4" x14ac:dyDescent="0.3">
      <c r="A57" s="45"/>
      <c r="B57"/>
      <c r="C57"/>
      <c r="D57"/>
      <c r="E57"/>
      <c r="F57"/>
      <c r="G57"/>
      <c r="H57"/>
      <c r="I57"/>
      <c r="J57"/>
      <c r="K57"/>
    </row>
    <row r="58" spans="1:11" ht="14.4" x14ac:dyDescent="0.3">
      <c r="A58" s="45"/>
      <c r="B58"/>
      <c r="C58"/>
      <c r="D58"/>
      <c r="E58"/>
      <c r="F58"/>
      <c r="G58"/>
      <c r="H58"/>
      <c r="I58"/>
      <c r="J58"/>
      <c r="K58"/>
    </row>
    <row r="59" spans="1:11" ht="14.4" x14ac:dyDescent="0.3">
      <c r="A59" s="45"/>
      <c r="B59"/>
      <c r="C59"/>
      <c r="D59"/>
      <c r="E59"/>
      <c r="F59"/>
      <c r="G59"/>
      <c r="H59"/>
      <c r="I59"/>
      <c r="J59"/>
      <c r="K59"/>
    </row>
    <row r="60" spans="1:11" ht="14.4" x14ac:dyDescent="0.3">
      <c r="A60" s="45"/>
      <c r="B60"/>
      <c r="C60"/>
      <c r="D60"/>
      <c r="E60"/>
      <c r="F60"/>
      <c r="G60"/>
      <c r="H60"/>
      <c r="I60"/>
      <c r="J60"/>
      <c r="K60"/>
    </row>
    <row r="61" spans="1:11" ht="14.4" x14ac:dyDescent="0.3">
      <c r="A61" s="45"/>
      <c r="B61"/>
      <c r="C61"/>
      <c r="D61"/>
      <c r="E61"/>
      <c r="F61"/>
      <c r="G61"/>
      <c r="H61"/>
      <c r="I61"/>
      <c r="J61"/>
      <c r="K61"/>
    </row>
    <row r="62" spans="1:11" ht="14.4" x14ac:dyDescent="0.3">
      <c r="A62" s="45"/>
      <c r="B62"/>
      <c r="C62"/>
      <c r="D62"/>
      <c r="E62"/>
      <c r="F62"/>
      <c r="G62"/>
      <c r="H62"/>
      <c r="I62"/>
      <c r="J62"/>
      <c r="K62"/>
    </row>
    <row r="63" spans="1:11" ht="14.4" x14ac:dyDescent="0.3">
      <c r="A63" s="45"/>
      <c r="B63"/>
      <c r="C63"/>
      <c r="D63"/>
      <c r="E63"/>
      <c r="F63"/>
      <c r="G63"/>
      <c r="H63"/>
      <c r="I63"/>
      <c r="J63"/>
      <c r="K63"/>
    </row>
    <row r="64" spans="1:11" ht="14.4" x14ac:dyDescent="0.3">
      <c r="A64" s="45"/>
      <c r="B64"/>
      <c r="C64"/>
      <c r="D64"/>
      <c r="E64"/>
      <c r="F64"/>
      <c r="G64"/>
      <c r="H64"/>
      <c r="I64"/>
      <c r="J64"/>
      <c r="K64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إعدادات</vt:lpstr>
      <vt:lpstr>نماذج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2024-09-19T12:43:55Z</dcterms:modified>
</cp:coreProperties>
</file>