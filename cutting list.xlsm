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6CFCA3B4-DEF4-4D18-AE2A-F3F0A81AFE8A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0" i="3" l="1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47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70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7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91" i="5"/>
  <c r="G90" i="5"/>
  <c r="G89" i="5"/>
  <c r="G86" i="5"/>
  <c r="G85" i="5"/>
  <c r="G84" i="5"/>
  <c r="G83" i="5"/>
  <c r="G82" i="5"/>
  <c r="G81" i="5"/>
  <c r="G80" i="5"/>
  <c r="G79" i="5"/>
  <c r="G78" i="5"/>
  <c r="G76" i="5"/>
  <c r="G75" i="5"/>
  <c r="G74" i="5"/>
  <c r="G73" i="5"/>
  <c r="G72" i="5"/>
  <c r="G71" i="5"/>
  <c r="G70" i="5"/>
  <c r="G69" i="5"/>
  <c r="G68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71" i="4"/>
  <c r="G170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33" i="4"/>
  <c r="G32" i="4"/>
  <c r="G173" i="3"/>
  <c r="G170" i="3"/>
  <c r="G168" i="3"/>
  <c r="G167" i="3"/>
  <c r="G166" i="3"/>
  <c r="G164" i="3"/>
  <c r="G163" i="3"/>
  <c r="G150" i="3"/>
  <c r="G147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91" i="5"/>
  <c r="F90" i="5"/>
  <c r="F89" i="5"/>
  <c r="F86" i="5"/>
  <c r="F85" i="5"/>
  <c r="F84" i="5"/>
  <c r="F83" i="5"/>
  <c r="F82" i="5"/>
  <c r="F81" i="5"/>
  <c r="F80" i="5"/>
  <c r="F79" i="5"/>
  <c r="F78" i="5"/>
  <c r="F76" i="5"/>
  <c r="F75" i="5"/>
  <c r="F74" i="5"/>
  <c r="F73" i="5"/>
  <c r="F72" i="5"/>
  <c r="F71" i="5"/>
  <c r="F70" i="5"/>
  <c r="F69" i="5"/>
  <c r="F68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7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70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7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7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G81" i="3" a="1"/>
  <c r="G28" i="3" a="1"/>
  <c r="G82" i="3" a="1"/>
  <c r="G82" i="3" l="1"/>
  <c r="G28" i="3"/>
  <c r="G81" i="3"/>
  <c r="F85" i="11"/>
  <c r="F84" i="11"/>
  <c r="F83" i="11"/>
  <c r="E85" i="11"/>
  <c r="E84" i="11"/>
  <c r="E83" i="11"/>
  <c r="G84" i="3" a="1"/>
  <c r="G84" i="3" l="1"/>
  <c r="K80" i="1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53" i="11" l="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H61" i="11" l="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2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2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I56" i="11" a="1"/>
  <c r="G135" i="4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36" i="4" a="1"/>
  <c r="G61" i="4" a="1"/>
  <c r="J156" i="4" a="1"/>
  <c r="I85" i="4" a="1"/>
  <c r="J61" i="4" a="1"/>
  <c r="I19" i="4" a="1"/>
  <c r="I91" i="11" a="1"/>
  <c r="I156" i="4" a="1"/>
  <c r="G85" i="4" a="1"/>
  <c r="C54" i="11" a="1"/>
  <c r="I110" i="4" a="1"/>
  <c r="J91" i="11" a="1"/>
  <c r="I36" i="11" a="1"/>
  <c r="J38" i="11" a="1"/>
  <c r="J56" i="11" a="1"/>
  <c r="J109" i="4" a="1"/>
  <c r="K56" i="11" a="1"/>
  <c r="J135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91" i="11"/>
  <c r="J56" i="11"/>
  <c r="J38" i="11"/>
  <c r="I91" i="11"/>
  <c r="I56" i="11"/>
  <c r="I38" i="11"/>
  <c r="G91" i="11"/>
  <c r="I89" i="11"/>
  <c r="C89" i="11"/>
  <c r="K105" i="11" s="1"/>
  <c r="C54" i="11"/>
  <c r="K82" i="11" s="1"/>
  <c r="K56" i="1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G62" i="11" a="1"/>
  <c r="D43" i="11" a="1"/>
  <c r="D64" i="11" a="1"/>
  <c r="D75" i="11"/>
  <c r="D61" i="11" a="1"/>
  <c r="E156" i="3" a="1"/>
  <c r="I113" i="3" a="1"/>
  <c r="D62" i="11" a="1"/>
  <c r="I133" i="3" a="1"/>
  <c r="E92" i="3" a="1"/>
  <c r="F75" i="11" a="1"/>
  <c r="J93" i="3" a="1"/>
  <c r="D63" i="11" a="1"/>
  <c r="C50" i="11" a="1"/>
  <c r="G85" i="11" a="1"/>
  <c r="B105" i="11" a="1"/>
  <c r="G61" i="11" a="1"/>
  <c r="D69" i="11"/>
  <c r="D66" i="11"/>
  <c r="J113" i="3" a="1"/>
  <c r="G133" i="3" a="1"/>
  <c r="J92" i="3" a="1"/>
  <c r="D100" i="11"/>
  <c r="D68" i="11"/>
  <c r="G156" i="3" a="1"/>
  <c r="F85" i="4" a="1"/>
  <c r="F62" i="11" a="1"/>
  <c r="D46" i="11" a="1"/>
  <c r="I93" i="3" a="1"/>
  <c r="D72" i="11"/>
  <c r="F156" i="4" a="1"/>
  <c r="D98" i="11" a="1"/>
  <c r="F102" i="11" a="1"/>
  <c r="D45" i="11" a="1"/>
  <c r="J156" i="3" a="1"/>
  <c r="D65" i="11" a="1"/>
  <c r="G43" i="11" a="1"/>
  <c r="F103" i="11" a="1"/>
  <c r="D42" i="11" a="1"/>
  <c r="E105" i="11" a="1"/>
  <c r="B50" i="11" a="1"/>
  <c r="F19" i="4" a="1"/>
  <c r="D96" i="11" a="1"/>
  <c r="H105" i="11" a="1"/>
  <c r="I114" i="3" a="1"/>
  <c r="F135" i="4" a="1"/>
  <c r="D95" i="11" a="1"/>
  <c r="G42" i="11" a="1"/>
  <c r="F96" i="11" a="1"/>
  <c r="D97" i="11" a="1"/>
  <c r="F100" i="11" a="1"/>
  <c r="D70" i="11"/>
  <c r="D74" i="11"/>
  <c r="F61" i="4" a="1"/>
  <c r="E133" i="3" a="1"/>
  <c r="D44" i="11" a="1"/>
  <c r="J114" i="3" a="1"/>
  <c r="H50" i="11" a="1"/>
  <c r="D73" i="11"/>
  <c r="F48" i="11" a="1"/>
  <c r="G99" i="11" a="1"/>
  <c r="D99" i="11" a="1"/>
  <c r="F72" i="11" a="1"/>
  <c r="G95" i="11" a="1"/>
  <c r="I156" i="3" a="1"/>
  <c r="D67" i="11"/>
  <c r="G50" i="11" a="1"/>
  <c r="F40" i="4" a="1"/>
  <c r="F105" i="11" a="1"/>
  <c r="G96" i="11" a="1"/>
  <c r="F43" i="11" a="1"/>
  <c r="J133" i="3" a="1"/>
  <c r="F77" i="11" a="1"/>
  <c r="E113" i="3" a="1"/>
  <c r="F66" i="11" a="1"/>
  <c r="E50" i="11" a="1"/>
  <c r="G105" i="11" a="1"/>
  <c r="F69" i="11" a="1"/>
  <c r="C82" i="11"/>
  <c r="F109" i="4" a="1"/>
  <c r="C105" i="11"/>
  <c r="D71" i="1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F100" i="11"/>
  <c r="F96" i="11"/>
  <c r="F103" i="11"/>
  <c r="F62" i="11"/>
  <c r="G61" i="11"/>
  <c r="G62" i="11"/>
  <c r="G95" i="11"/>
  <c r="G96" i="11"/>
  <c r="G99" i="11"/>
  <c r="G42" i="11"/>
  <c r="G43" i="11"/>
  <c r="G46" i="11"/>
  <c r="E91" i="11"/>
  <c r="E105" i="11"/>
  <c r="H105" i="11"/>
  <c r="B105" i="11"/>
  <c r="G105" i="11"/>
  <c r="F105" i="11"/>
  <c r="D99" i="11"/>
  <c r="D97" i="11"/>
  <c r="D95" i="11"/>
  <c r="D96" i="11"/>
  <c r="D98" i="11"/>
  <c r="F102" i="11"/>
  <c r="G85" i="11"/>
  <c r="F77" i="11"/>
  <c r="F75" i="11"/>
  <c r="F72" i="11"/>
  <c r="F69" i="11"/>
  <c r="F66" i="11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156" i="3"/>
  <c r="E133" i="3"/>
  <c r="E113" i="3"/>
  <c r="E92" i="3"/>
  <c r="G156" i="3"/>
  <c r="G133" i="3"/>
  <c r="I156" i="3"/>
  <c r="I133" i="3"/>
  <c r="I114" i="3"/>
  <c r="I113" i="3"/>
  <c r="I93" i="3"/>
  <c r="J156" i="3"/>
  <c r="J133" i="3"/>
  <c r="J113" i="3"/>
  <c r="J114" i="3"/>
  <c r="J93" i="3"/>
  <c r="J92" i="3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70" i="4"/>
  <c r="F149" i="4"/>
  <c r="F124" i="4"/>
  <c r="F123" i="4"/>
  <c r="F99" i="4"/>
  <c r="F75" i="4"/>
  <c r="F53" i="4"/>
  <c r="F32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61" i="11"/>
  <c r="F80" i="11" a="1"/>
  <c r="I74" i="11"/>
  <c r="I69" i="11"/>
  <c r="G84" i="11" a="1"/>
  <c r="I44" i="11"/>
  <c r="I95" i="11"/>
  <c r="I42" i="11"/>
  <c r="I72" i="11"/>
  <c r="F78" i="11" a="1"/>
  <c r="I97" i="11"/>
  <c r="I45" i="11"/>
  <c r="F79" i="11" a="1"/>
  <c r="I68" i="11"/>
  <c r="H82" i="11" a="1"/>
  <c r="I75" i="11"/>
  <c r="I65" i="11"/>
  <c r="I99" i="11"/>
  <c r="I62" i="11"/>
  <c r="I71" i="11"/>
  <c r="E82" i="11" a="1"/>
  <c r="I96" i="11"/>
  <c r="G83" i="11" a="1"/>
  <c r="I43" i="11"/>
  <c r="I98" i="11"/>
  <c r="I63" i="11"/>
  <c r="I67" i="11"/>
  <c r="G82" i="11" a="1"/>
  <c r="I100" i="11"/>
  <c r="B82" i="11" a="1"/>
  <c r="G102" i="11" a="1"/>
  <c r="I46" i="11"/>
  <c r="I64" i="11"/>
  <c r="I66" i="11"/>
  <c r="G100" i="11" a="1"/>
  <c r="F82" i="11" a="1"/>
  <c r="I73" i="11"/>
  <c r="I70" i="11"/>
  <c r="F78" i="11" l="1"/>
  <c r="F50" i="11"/>
  <c r="G100" i="11"/>
  <c r="G102" i="11"/>
  <c r="G84" i="11"/>
  <c r="G83" i="11"/>
  <c r="F79" i="11"/>
  <c r="F80" i="11"/>
  <c r="F82" i="11"/>
  <c r="E82" i="11"/>
  <c r="H82" i="11"/>
  <c r="B82" i="11"/>
  <c r="G82" i="11"/>
  <c r="F86" i="4"/>
  <c r="F87" i="4" s="1"/>
  <c r="C158" i="4"/>
  <c r="F157" i="4"/>
  <c r="F158" i="4" s="1"/>
  <c r="D157" i="4"/>
  <c r="C157" i="4"/>
  <c r="G171" i="3"/>
  <c r="G126" i="3"/>
  <c r="F170" i="3"/>
  <c r="F106" i="3"/>
  <c r="J99" i="11"/>
  <c r="J42" i="11"/>
  <c r="J63" i="11"/>
  <c r="E18" i="6" a="1"/>
  <c r="F25" i="5" a="1"/>
  <c r="J66" i="11"/>
  <c r="J97" i="11"/>
  <c r="J74" i="11"/>
  <c r="J96" i="11"/>
  <c r="J45" i="11"/>
  <c r="F112" i="4" a="1"/>
  <c r="F65" i="4" a="1"/>
  <c r="F138" i="4" a="1"/>
  <c r="G89" i="11" a="1"/>
  <c r="J67" i="11"/>
  <c r="J68" i="11"/>
  <c r="J64" i="11"/>
  <c r="J71" i="11"/>
  <c r="J75" i="11"/>
  <c r="J43" i="11"/>
  <c r="J73" i="11"/>
  <c r="J70" i="11"/>
  <c r="J95" i="11"/>
  <c r="E18" i="11" a="1"/>
  <c r="J44" i="11"/>
  <c r="F23" i="4" a="1"/>
  <c r="J46" i="11"/>
  <c r="D29" i="11" a="1"/>
  <c r="F94" i="3" a="1"/>
  <c r="E42" i="6" a="1"/>
  <c r="J62" i="11"/>
  <c r="F160" i="4" a="1"/>
  <c r="F58" i="5" a="1"/>
  <c r="J72" i="11"/>
  <c r="E30" i="6" a="1"/>
  <c r="F44" i="4" a="1"/>
  <c r="J100" i="11"/>
  <c r="J61" i="11"/>
  <c r="J69" i="11"/>
  <c r="F89" i="4" a="1"/>
  <c r="F157" i="3" a="1"/>
  <c r="G36" i="11" a="1"/>
  <c r="J98" i="11"/>
  <c r="F115" i="3" a="1"/>
  <c r="D30" i="11" a="1"/>
  <c r="J65" i="11"/>
  <c r="F134" i="3" a="1"/>
  <c r="G54" i="11" a="1"/>
  <c r="G54" i="11" l="1"/>
  <c r="G89" i="11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157" i="3"/>
  <c r="F134" i="3"/>
  <c r="F115" i="3"/>
  <c r="F94" i="3"/>
  <c r="C159" i="4"/>
  <c r="H157" i="4"/>
  <c r="H158" i="4" s="1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47" i="3"/>
  <c r="D126" i="3"/>
  <c r="D106" i="3"/>
  <c r="D105" i="3"/>
  <c r="D157" i="3" a="1"/>
  <c r="D65" i="4" a="1"/>
  <c r="E54" i="11" a="1"/>
  <c r="H94" i="3" a="1"/>
  <c r="D32" i="11" a="1"/>
  <c r="I35" i="5"/>
  <c r="D25" i="5" a="1"/>
  <c r="D78" i="11"/>
  <c r="H89" i="4" a="1"/>
  <c r="I32" i="4"/>
  <c r="D77" i="11" a="1"/>
  <c r="H134" i="3" a="1"/>
  <c r="H44" i="4" a="1"/>
  <c r="D89" i="4" a="1"/>
  <c r="I126" i="3"/>
  <c r="D80" i="11"/>
  <c r="H115" i="3" a="1"/>
  <c r="D103" i="11"/>
  <c r="I147" i="3"/>
  <c r="H157" i="3" a="1"/>
  <c r="D138" i="4" a="1"/>
  <c r="I170" i="4"/>
  <c r="I29" i="11"/>
  <c r="H58" i="5" a="1"/>
  <c r="D44" i="4" a="1"/>
  <c r="D134" i="3" a="1"/>
  <c r="D102" i="11" a="1"/>
  <c r="H160" i="4" a="1"/>
  <c r="D58" i="5" a="1"/>
  <c r="E89" i="11" a="1"/>
  <c r="H23" i="4" a="1"/>
  <c r="D115" i="3" a="1"/>
  <c r="H25" i="5" a="1"/>
  <c r="H65" i="4" a="1"/>
  <c r="H138" i="4" a="1"/>
  <c r="D160" i="4" a="1"/>
  <c r="E36" i="11" a="1"/>
  <c r="D94" i="3" a="1"/>
  <c r="I149" i="4"/>
  <c r="D23" i="4" a="1"/>
  <c r="D48" i="11" a="1"/>
  <c r="I53" i="4"/>
  <c r="D112" i="4" a="1"/>
  <c r="D79" i="11"/>
  <c r="I30" i="11"/>
  <c r="H112" i="4" a="1"/>
  <c r="D32" i="11" l="1"/>
  <c r="D48" i="11"/>
  <c r="E54" i="11"/>
  <c r="E89" i="11"/>
  <c r="E36" i="11"/>
  <c r="D102" i="11"/>
  <c r="D77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157" i="3"/>
  <c r="H134" i="3"/>
  <c r="H115" i="3"/>
  <c r="H94" i="3"/>
  <c r="D157" i="3"/>
  <c r="D134" i="3"/>
  <c r="D115" i="3"/>
  <c r="D94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I78" i="11"/>
  <c r="J100" i="4"/>
  <c r="I93" i="5"/>
  <c r="J147" i="3"/>
  <c r="I173" i="4"/>
  <c r="J35" i="5"/>
  <c r="I56" i="4"/>
  <c r="I48" i="6"/>
  <c r="I27" i="4"/>
  <c r="I24" i="6"/>
  <c r="I106" i="3"/>
  <c r="I32" i="11"/>
  <c r="J32" i="4"/>
  <c r="I103" i="11"/>
  <c r="I150" i="3"/>
  <c r="I46" i="6"/>
  <c r="I84" i="5"/>
  <c r="D83" i="11"/>
  <c r="I80" i="5"/>
  <c r="I37" i="6"/>
  <c r="I48" i="11"/>
  <c r="D82" i="11" a="1"/>
  <c r="I75" i="4"/>
  <c r="I81" i="5"/>
  <c r="I79" i="11"/>
  <c r="J79" i="5"/>
  <c r="I99" i="4"/>
  <c r="I36" i="5"/>
  <c r="D105" i="11" a="1"/>
  <c r="J171" i="3"/>
  <c r="J170" i="4"/>
  <c r="I35" i="6"/>
  <c r="I35" i="4"/>
  <c r="J76" i="4"/>
  <c r="J30" i="11"/>
  <c r="I80" i="11"/>
  <c r="I151" i="4"/>
  <c r="I22" i="6"/>
  <c r="I34" i="6"/>
  <c r="J126" i="3"/>
  <c r="I41" i="5"/>
  <c r="I128" i="3"/>
  <c r="I36" i="6"/>
  <c r="D50" i="11" a="1"/>
  <c r="I50" i="6"/>
  <c r="I77" i="11"/>
  <c r="I102" i="11"/>
  <c r="J124" i="4"/>
  <c r="I80" i="4"/>
  <c r="I85" i="5"/>
  <c r="I38" i="6"/>
  <c r="I25" i="6"/>
  <c r="I78" i="5"/>
  <c r="I173" i="3"/>
  <c r="I86" i="5"/>
  <c r="J29" i="11"/>
  <c r="D85" i="11"/>
  <c r="I23" i="6"/>
  <c r="I49" i="6"/>
  <c r="I123" i="4"/>
  <c r="J53" i="4"/>
  <c r="J149" i="4"/>
  <c r="I170" i="3"/>
  <c r="D84" i="11"/>
  <c r="I26" i="6"/>
  <c r="I83" i="5"/>
  <c r="I104" i="4"/>
  <c r="D105" i="11" l="1"/>
  <c r="D82" i="11"/>
  <c r="D50" i="1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78" i="11"/>
  <c r="J25" i="6"/>
  <c r="I33" i="5"/>
  <c r="I151" i="3"/>
  <c r="I50" i="11"/>
  <c r="I68" i="5"/>
  <c r="I66" i="5"/>
  <c r="I32" i="5"/>
  <c r="I82" i="11"/>
  <c r="J119" i="4"/>
  <c r="I129" i="4"/>
  <c r="I29" i="4"/>
  <c r="I119" i="3"/>
  <c r="I69" i="4"/>
  <c r="I102" i="3"/>
  <c r="I121" i="3"/>
  <c r="I50" i="4"/>
  <c r="I140" i="3"/>
  <c r="I93" i="4"/>
  <c r="J36" i="6"/>
  <c r="J173" i="4"/>
  <c r="J80" i="11"/>
  <c r="J102" i="11"/>
  <c r="J30" i="5"/>
  <c r="I144" i="3"/>
  <c r="J35" i="6"/>
  <c r="I145" i="3"/>
  <c r="J77" i="11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I83" i="11"/>
  <c r="J71" i="4"/>
  <c r="J63" i="5"/>
  <c r="J85" i="5"/>
  <c r="J80" i="4"/>
  <c r="I139" i="3"/>
  <c r="J173" i="3"/>
  <c r="I123" i="3"/>
  <c r="J86" i="5"/>
  <c r="I69" i="5"/>
  <c r="I166" i="3"/>
  <c r="I147" i="4"/>
  <c r="I105" i="11"/>
  <c r="I116" i="4"/>
  <c r="J148" i="3"/>
  <c r="J103" i="11"/>
  <c r="J49" i="4"/>
  <c r="I143" i="3"/>
  <c r="I174" i="3"/>
  <c r="J79" i="11"/>
  <c r="I73" i="5"/>
  <c r="J41" i="5"/>
  <c r="I29" i="5"/>
  <c r="J150" i="3"/>
  <c r="I167" i="3"/>
  <c r="J128" i="3"/>
  <c r="J50" i="6"/>
  <c r="I142" i="4"/>
  <c r="I120" i="4"/>
  <c r="J24" i="6"/>
  <c r="I70" i="5"/>
  <c r="I62" i="5"/>
  <c r="I84" i="11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85" i="11"/>
  <c r="I142" i="3"/>
  <c r="J83" i="5"/>
  <c r="I65" i="5"/>
  <c r="J78" i="5"/>
  <c r="J36" i="5"/>
  <c r="J35" i="4"/>
  <c r="I31" i="5"/>
  <c r="I103" i="3"/>
  <c r="I146" i="4"/>
  <c r="L82" i="5" l="1"/>
  <c r="L83" i="5"/>
  <c r="L79" i="5"/>
  <c r="L78" i="5"/>
  <c r="I56" i="5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141" i="3"/>
  <c r="J101" i="3"/>
  <c r="J164" i="3"/>
  <c r="J97" i="4"/>
  <c r="J82" i="11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05" i="11"/>
  <c r="J83" i="11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85" i="11"/>
  <c r="J142" i="4"/>
  <c r="J144" i="4"/>
  <c r="J84" i="11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L81" i="5" l="1"/>
  <c r="D150" i="5"/>
  <c r="D155" i="5" s="1"/>
  <c r="C152" i="5"/>
  <c r="C153" i="5" s="1"/>
  <c r="D157" i="5"/>
  <c r="D158" i="5" s="1"/>
  <c r="I130" i="5"/>
  <c r="I157" i="5"/>
  <c r="C133" i="5"/>
  <c r="L77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D20" i="4"/>
  <c r="C21" i="4"/>
  <c r="H20" i="4" l="1"/>
  <c r="H21" i="4" s="1"/>
  <c r="C43" i="4"/>
  <c r="C22" i="4"/>
  <c r="I41" i="4"/>
  <c r="I4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<sst xmlns="http://schemas.openxmlformats.org/spreadsheetml/2006/main" count="732" uniqueCount="137">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</sst>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135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117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129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118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123</v>
      </c>
      <c r="E21" s="47" t="s">
        <v>119</v>
      </c>
      <c r="F21" s="47" t="s">
        <v>120</v>
      </c>
      <c r="G21" s="47" t="s">
        <v>121</v>
      </c>
      <c r="H21" s="47" t="s">
        <v>122</v>
      </c>
      <c r="I21" s="47" t="s">
        <v>124</v>
      </c>
      <c r="J21" s="47" t="s">
        <v>125</v>
      </c>
      <c r="K21" s="47" t="s">
        <v>126</v>
      </c>
      <c r="L21" s="47" t="s">
        <v>127</v>
      </c>
      <c r="M21" s="47" t="s">
        <v>128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129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61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109</v>
      </c>
      <c r="D2" s="100" t="s">
        <v>133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132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118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130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130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89</v>
      </c>
      <c r="B53" s="14"/>
      <c r="C53" s="13">
        <v>1</v>
      </c>
      <c r="D53" s="21" t="s">
        <v>51</v>
      </c>
      <c r="E53" s="101" t="s">
        <v>112</v>
      </c>
      <c r="F53" s="102"/>
      <c r="G53" s="102"/>
      <c r="H53" s="103"/>
      <c r="I53" s="2" t="s">
        <v>26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77</v>
      </c>
      <c r="E54" s="26" t="str" cm="1">
        <f t="array" aca="1" ref="E54" ca="1">defaultValue(F54,K53)</f>
        <v>ظهر</v>
      </c>
      <c r="F54" s="7" t="s">
        <v>50</v>
      </c>
      <c r="G54" s="26" t="str" cm="1">
        <f t="array" aca="1" ref="G54" ca="1">defaultValue(H54,K53)</f>
        <v>يوفيلاك</v>
      </c>
      <c r="H54" s="7" t="s">
        <v>28</v>
      </c>
      <c r="I54" s="26" t="str" cm="1">
        <f t="array" aca="1" ref="I54" ca="1">defaultValue(J54,K53)</f>
        <v>HPL</v>
      </c>
      <c r="J54" s="7" t="s">
        <v>27</v>
      </c>
      <c r="K54" s="24" t="s">
        <v>75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86</v>
      </c>
      <c r="D55" s="7" t="s">
        <v>85</v>
      </c>
      <c r="E55" s="70" t="s">
        <v>84</v>
      </c>
      <c r="F55" s="70" t="s">
        <v>114</v>
      </c>
      <c r="G55" s="7" t="s">
        <v>14</v>
      </c>
      <c r="H55" s="7" t="s">
        <v>19</v>
      </c>
      <c r="I55" s="7" t="s">
        <v>3</v>
      </c>
      <c r="J55" s="7" t="s">
        <v>76</v>
      </c>
      <c r="K55" s="7" t="s">
        <v>17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87</v>
      </c>
      <c r="I57" s="26">
        <v>0</v>
      </c>
      <c r="J57" s="104" t="s">
        <v>115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29</v>
      </c>
      <c r="J59" s="6" t="s">
        <v>130</v>
      </c>
      <c r="K59" s="6" t="s">
        <v>113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94</v>
      </c>
      <c r="B88" s="14"/>
      <c r="C88" s="13">
        <v>1</v>
      </c>
      <c r="D88" s="21" t="s">
        <v>51</v>
      </c>
      <c r="E88" s="101" t="s">
        <v>116</v>
      </c>
      <c r="F88" s="102"/>
      <c r="G88" s="102"/>
      <c r="H88" s="103"/>
      <c r="I88" s="2" t="s">
        <v>26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77</v>
      </c>
      <c r="E89" s="26" t="str" cm="1">
        <f t="array" aca="1" ref="E89" ca="1">defaultValue(F89,K88)</f>
        <v>ظهر</v>
      </c>
      <c r="F89" s="7" t="s">
        <v>50</v>
      </c>
      <c r="G89" s="26" t="str" cm="1">
        <f t="array" aca="1" ref="G89" ca="1">defaultValue(H89,K88)</f>
        <v>يوفيلاك</v>
      </c>
      <c r="H89" s="7" t="s">
        <v>28</v>
      </c>
      <c r="I89" s="26" t="str" cm="1">
        <f t="array" aca="1" ref="I89" ca="1">defaultValue(J89,K88)</f>
        <v>HPL</v>
      </c>
      <c r="J89" s="7" t="s">
        <v>27</v>
      </c>
      <c r="K89" s="24" t="s">
        <v>75</v>
      </c>
    </row>
    <row r="90" spans="1:62" ht="15.6" x14ac:dyDescent="0.3">
      <c r="A90" s="42">
        <v>1</v>
      </c>
      <c r="B90" s="14"/>
      <c r="C90" s="7" t="s">
        <v>12</v>
      </c>
      <c r="D90" s="7" t="s">
        <v>16</v>
      </c>
      <c r="E90" s="70" t="s">
        <v>20</v>
      </c>
      <c r="F90" s="7"/>
      <c r="G90" s="7" t="s">
        <v>14</v>
      </c>
      <c r="H90" s="7" t="s">
        <v>19</v>
      </c>
      <c r="I90" s="7" t="s">
        <v>3</v>
      </c>
      <c r="J90" s="7" t="s">
        <v>76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29</v>
      </c>
      <c r="J93" s="6" t="s">
        <v>130</v>
      </c>
      <c r="K93" s="6" t="s">
        <v>113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134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132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118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zoomScale="68" zoomScaleNormal="85" workbookViewId="0">
      <pane ySplit="12" topLeftCell="A13" activePane="bottomLeft" state="frozen"/>
      <selection activeCell="B1" sqref="B1"/>
      <selection pane="bottomLeft" activeCell="B176" sqref="B176"/>
    </sheetView>
  </sheetViews>
  <sheetFormatPr defaultRowHeight="15.6" x14ac:dyDescent="0.3"/>
  <cols>
    <col min="1" max="1" width="8.21875" style="42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3" t="s">
        <v>88</v>
      </c>
      <c r="C17" s="13">
        <v>1</v>
      </c>
      <c r="D17" s="21" t="s">
        <v>51</v>
      </c>
      <c r="E17" s="101" t="s">
        <v>136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2">
        <v>1</v>
      </c>
      <c r="C18" s="26" t="b" cm="1">
        <f t="array" aca="1" ref="C18" ca="1">defaultValue(D18,K17)</f>
        <v>1</v>
      </c>
      <c r="D18" s="70" t="s">
        <v>77</v>
      </c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2">
        <v>1</v>
      </c>
      <c r="C19" s="7" t="s">
        <v>12</v>
      </c>
      <c r="D19" s="7" t="s">
        <v>16</v>
      </c>
      <c r="E19" s="70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6">
        <v>1</v>
      </c>
      <c r="D20" s="26">
        <v>5</v>
      </c>
      <c r="E20" s="40"/>
      <c r="F20" s="7"/>
      <c r="G20" s="26" cm="1">
        <f t="array" aca="1" ref="G20" ca="1">defaultValue(G19,K17)</f>
        <v>3.5</v>
      </c>
      <c r="H20" s="8"/>
      <c r="I20" s="26" cm="1">
        <f t="array" aca="1" ref="I20" ca="1">defaultValue(I19,K17)</f>
        <v>78</v>
      </c>
      <c r="J20" s="26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2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2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130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2">
        <v>3</v>
      </c>
      <c r="B24" s="14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4</v>
      </c>
      <c r="B30" s="14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2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5</v>
      </c>
      <c r="B32" s="14" t="str" cm="1">
        <f t="array" aca="1" ref="B32" ca="1">visible(E17, K32)</f>
        <v>وحدة سفلية دلفة / دلفتين</v>
      </c>
      <c r="C32" s="18" cm="1">
        <f t="array" aca="1" ref="C32" ca="1">visible(7,K32)</f>
        <v>7</v>
      </c>
      <c r="D32" s="18" t="str" cm="1">
        <f t="array" aca="1" ref="D32" ca="1">visible((E18),K32)</f>
        <v>ظهر</v>
      </c>
      <c r="E32" s="18" t="str" cm="1">
        <f t="array" aca="1" ref="E32" ca="1">visible(("ظهر"),K32)</f>
        <v>ظهر</v>
      </c>
      <c r="F32" s="18" cm="1">
        <f t="array" aca="1" ref="F32" ca="1">visible((I20-2),K32)</f>
        <v>76</v>
      </c>
      <c r="G32" s="18" cm="1">
        <f t="array" aca="1" ref="G32" ca="1">visible((H20-2),K32)</f>
        <v>-2</v>
      </c>
      <c r="H32" s="18" cm="1">
        <f t="array" aca="1" ref="H32" ca="1">visible((C17),K32)</f>
        <v>1</v>
      </c>
      <c r="I32" s="18">
        <f ca="1">visible(materialNum(D32), K32)</f>
        <v>2</v>
      </c>
      <c r="J32" s="18">
        <f ca="1">visible(engraving(I32), K32)</f>
        <v>2</v>
      </c>
      <c r="K32" s="18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2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2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3" t="s">
        <v>93</v>
      </c>
      <c r="C35" s="13">
        <v>1</v>
      </c>
      <c r="D35" s="21" t="s">
        <v>51</v>
      </c>
      <c r="E35" s="101" t="s">
        <v>112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2">
        <v>1</v>
      </c>
      <c r="C36" s="26" t="b" cm="1">
        <f t="array" aca="1" ref="C36" ca="1">defaultValue(D36,K35)</f>
        <v>1</v>
      </c>
      <c r="D36" s="7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2">
        <v>1</v>
      </c>
      <c r="C37" s="7" t="s">
        <v>86</v>
      </c>
      <c r="D37" s="7" t="s">
        <v>85</v>
      </c>
      <c r="E37" s="70" t="s">
        <v>84</v>
      </c>
      <c r="F37" s="70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2">
        <v>1</v>
      </c>
      <c r="C38" s="26">
        <v>1</v>
      </c>
      <c r="D38" s="26">
        <v>1</v>
      </c>
      <c r="E38" s="8">
        <v>1</v>
      </c>
      <c r="F38" s="26">
        <v>1</v>
      </c>
      <c r="G38" s="26" cm="1">
        <f t="array" aca="1" ref="G38" ca="1">defaultValue(G37,K35)</f>
        <v>3.5</v>
      </c>
      <c r="H38" s="8">
        <v>80</v>
      </c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2">
        <v>1</v>
      </c>
      <c r="C39" s="26">
        <v>30</v>
      </c>
      <c r="D39" s="26">
        <v>20</v>
      </c>
      <c r="E39" s="40">
        <v>7</v>
      </c>
      <c r="F39" s="26">
        <v>10</v>
      </c>
      <c r="G39" s="26">
        <v>3</v>
      </c>
      <c r="H39" s="28" t="s">
        <v>87</v>
      </c>
      <c r="I39" s="26">
        <v>0</v>
      </c>
      <c r="J39" s="104" t="s">
        <v>115</v>
      </c>
      <c r="K39" s="10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2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2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130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2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2">
        <v>3</v>
      </c>
      <c r="B43" s="14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2">
        <v>3</v>
      </c>
      <c r="B44" s="14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2">
        <v>3</v>
      </c>
      <c r="B45" s="14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2">
        <v>3</v>
      </c>
      <c r="B46" s="14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2">
        <v>3</v>
      </c>
      <c r="B47" s="14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2">
        <v>3</v>
      </c>
      <c r="B48" s="14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2">
        <v>3</v>
      </c>
      <c r="B49" s="14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2">
        <v>3</v>
      </c>
      <c r="B50" s="14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2">
        <v>3</v>
      </c>
      <c r="B51" s="14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2">
        <v>3</v>
      </c>
      <c r="B52" s="14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2">
        <v>3</v>
      </c>
      <c r="B53" s="14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2">
        <v>3</v>
      </c>
      <c r="B54" s="14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2">
        <v>3</v>
      </c>
      <c r="B55" s="14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2">
        <v>3</v>
      </c>
      <c r="B56" s="14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2">
        <v>3</v>
      </c>
      <c r="B57" s="14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2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2">
        <v>4</v>
      </c>
      <c r="B59" s="14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2">
        <v>4</v>
      </c>
      <c r="B60" s="14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2">
        <v>4</v>
      </c>
      <c r="B61" s="14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2">
        <v>4</v>
      </c>
      <c r="B62" s="14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2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2">
        <v>5</v>
      </c>
      <c r="B64" s="14" t="str" cm="1">
        <f t="array" aca="1" ref="B64" ca="1">visible(E35, K64)</f>
        <v>وحدة سفلية ادراج</v>
      </c>
      <c r="C64" s="18">
        <f ca="1">visible(20,K64)</f>
        <v>20</v>
      </c>
      <c r="D64" s="18" t="str" cm="1">
        <f t="array" aca="1" ref="D64" ca="1">visible((E36),K64)</f>
        <v>ظهر</v>
      </c>
      <c r="E64" s="18" t="str" cm="1">
        <f t="array" aca="1" ref="E64" ca="1">visible(("ظهر"),K64)</f>
        <v>ظهر</v>
      </c>
      <c r="F64" s="18" cm="1">
        <f t="array" aca="1" ref="F64" ca="1">visible((I38-2),K64)</f>
        <v>76</v>
      </c>
      <c r="G64" s="18" cm="1">
        <f t="array" aca="1" ref="G64" ca="1">visible((H38-2),K64)</f>
        <v>78</v>
      </c>
      <c r="H64" s="18" cm="1">
        <f t="array" aca="1" ref="H64" ca="1">visible((C35),K64)</f>
        <v>1</v>
      </c>
      <c r="I64" s="18">
        <f ca="1">visible(materialNum(D64), K64)</f>
        <v>2</v>
      </c>
      <c r="J64" s="18">
        <f ca="1">visible(engraving(I64), K64)</f>
        <v>2</v>
      </c>
      <c r="K64" s="18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2">
        <v>5</v>
      </c>
      <c r="B65" s="14" t="str">
        <f>visible(E35, K65)</f>
        <v>وحدة سفلية ادراج</v>
      </c>
      <c r="C65" s="18">
        <f>visible(21,K65)</f>
        <v>21</v>
      </c>
      <c r="D65" s="18" t="str">
        <f ca="1">visible((E36),K65)</f>
        <v>ظهر</v>
      </c>
      <c r="E65" s="18" t="str" cm="1">
        <f t="array" ref="E65">visible(("قعر درج داخلي"),K65)</f>
        <v>قعر درج داخلي</v>
      </c>
      <c r="F65" s="18" cm="1">
        <f t="array" ref="F65">visible((H38-3.6-3.6-2.5+2),K65)</f>
        <v>72.3</v>
      </c>
      <c r="G65" s="18" cm="1">
        <f t="array" aca="1" ref="G65" ca="1">visible((K38-1),K65)</f>
        <v>44</v>
      </c>
      <c r="H65" s="18">
        <f>visible(C35*F38,K65)</f>
        <v>1</v>
      </c>
      <c r="I65" s="18">
        <f ca="1">visible(materialNum(D65), K65)</f>
        <v>2</v>
      </c>
      <c r="J65" s="18">
        <f ca="1">visible(engraving(I65), K65)</f>
        <v>2</v>
      </c>
      <c r="K65" s="18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2">
        <v>5</v>
      </c>
      <c r="B66" s="14" t="str">
        <f>visible(E35, K66)</f>
        <v>وحدة سفلية ادراج</v>
      </c>
      <c r="C66" s="18">
        <f>visible(22,K66)</f>
        <v>22</v>
      </c>
      <c r="D66" s="18" t="str">
        <f ca="1">visible((E36),K66)</f>
        <v>ظهر</v>
      </c>
      <c r="E66" s="18" t="str" cm="1">
        <f t="array" ref="E66">visible(("قعر درج 30"),K66)</f>
        <v>قعر درج 30</v>
      </c>
      <c r="F66" s="18" cm="1">
        <f t="array" ref="F66">visible((H38-3.6-3.6-2.5+2),K66)</f>
        <v>72.3</v>
      </c>
      <c r="G66" s="18" cm="1">
        <f t="array" aca="1" ref="G66" ca="1">visible((K38-1),K66)</f>
        <v>44</v>
      </c>
      <c r="H66" s="18">
        <f>visible(C35*C38,K66)</f>
        <v>1</v>
      </c>
      <c r="I66" s="18">
        <f ca="1">visible(materialNum(D66), K66)</f>
        <v>2</v>
      </c>
      <c r="J66" s="18">
        <f ca="1">visible(engraving(I66), K66)</f>
        <v>2</v>
      </c>
      <c r="K66" s="18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2">
        <v>5</v>
      </c>
      <c r="B67" s="14" t="str">
        <f>visible(E35, K67)</f>
        <v>وحدة سفلية ادراج</v>
      </c>
      <c r="C67" s="18">
        <f>visible(23,K67)</f>
        <v>23</v>
      </c>
      <c r="D67" s="18" t="str">
        <f ca="1">visible((E36),K67)</f>
        <v>ظهر</v>
      </c>
      <c r="E67" s="18" t="str" cm="1">
        <f t="array" ref="E67">visible(("قعر درج 20"),K67)</f>
        <v>قعر درج 20</v>
      </c>
      <c r="F67" s="18" cm="1">
        <f t="array" ref="F67">visible((H38-3.6-3.6-2.5+2),K67)</f>
        <v>72.3</v>
      </c>
      <c r="G67" s="18" cm="1">
        <f t="array" aca="1" ref="G67" ca="1">visible((K38-1),K67)</f>
        <v>44</v>
      </c>
      <c r="H67" s="18">
        <f>visible(C35*D38,K67)</f>
        <v>1</v>
      </c>
      <c r="I67" s="18">
        <f ca="1">visible(materialNum(D67), K67)</f>
        <v>2</v>
      </c>
      <c r="J67" s="18">
        <f ca="1">visible(engraving(I67), K67)</f>
        <v>2</v>
      </c>
      <c r="K67" s="18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2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2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3" t="s">
        <v>89</v>
      </c>
      <c r="C70" s="13">
        <v>1</v>
      </c>
      <c r="D70" s="21" t="s">
        <v>51</v>
      </c>
      <c r="E70" s="101" t="s">
        <v>131</v>
      </c>
      <c r="F70" s="102"/>
      <c r="G70" s="102"/>
      <c r="H70" s="103"/>
      <c r="I70" s="2" t="s">
        <v>26</v>
      </c>
      <c r="J70" s="2">
        <f>letterToNumber(A70)</f>
        <v>3</v>
      </c>
      <c r="K70" s="26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2">
        <v>1</v>
      </c>
      <c r="C71" s="26" t="b" cm="1">
        <f t="array" aca="1" ref="C71" ca="1">defaultValue(D71,K70)</f>
        <v>1</v>
      </c>
      <c r="D71" s="70" t="s">
        <v>77</v>
      </c>
      <c r="E71" s="26" t="str" cm="1">
        <f t="array" aca="1" ref="E71" ca="1">defaultValue(F71,K70)</f>
        <v>ظهر</v>
      </c>
      <c r="F71" s="7" t="s">
        <v>50</v>
      </c>
      <c r="G71" s="26" t="str" cm="1">
        <f t="array" aca="1" ref="G71" ca="1">defaultValue(H71,K70)</f>
        <v>يوفيلاك</v>
      </c>
      <c r="H71" s="7" t="s">
        <v>28</v>
      </c>
      <c r="I71" s="26" t="str" cm="1">
        <f t="array" aca="1" ref="I71" ca="1">defaultValue(J71,K70)</f>
        <v>HPL</v>
      </c>
      <c r="J71" s="7" t="s">
        <v>27</v>
      </c>
      <c r="K71" s="24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2">
        <v>1</v>
      </c>
      <c r="C72" s="7" t="s">
        <v>12</v>
      </c>
      <c r="D72" s="7" t="s">
        <v>16</v>
      </c>
      <c r="E72" s="70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2">
        <v>1</v>
      </c>
      <c r="C73" s="26">
        <v>1</v>
      </c>
      <c r="D73" s="26">
        <v>1</v>
      </c>
      <c r="E73" s="40">
        <f ca="1">J73</f>
        <v>56</v>
      </c>
      <c r="F73" s="7"/>
      <c r="G73" s="26" cm="1">
        <f t="array" aca="1" ref="G73" ca="1">defaultValue(G72,K70)</f>
        <v>3.5</v>
      </c>
      <c r="H73" s="8">
        <v>100</v>
      </c>
      <c r="I73" s="26" cm="1">
        <f t="array" aca="1" ref="I73" ca="1">defaultValue(I72,K70)</f>
        <v>78</v>
      </c>
      <c r="J73" s="26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2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2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130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2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2">
        <v>3</v>
      </c>
      <c r="B77" s="14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2">
        <v>3</v>
      </c>
      <c r="B78" s="14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2">
        <v>3</v>
      </c>
      <c r="B79" s="14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2">
        <v>3</v>
      </c>
      <c r="B80" s="14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2">
        <v>3</v>
      </c>
      <c r="B81" s="14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2">
        <v>3</v>
      </c>
      <c r="B82" s="14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2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2">
        <v>4</v>
      </c>
      <c r="B84" s="14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2">
        <v>4</v>
      </c>
      <c r="B85" s="14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2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2">
        <v>5</v>
      </c>
      <c r="B87" s="14" t="str" cm="1">
        <f t="array" aca="1" ref="B87" ca="1">visible(E70, K87)</f>
        <v>وحدة سفلية تلبيسة دلفة / دلفتين</v>
      </c>
      <c r="C87" s="18">
        <f ca="1">visible(9,K87)</f>
        <v>9</v>
      </c>
      <c r="D87" s="18" t="str" cm="1">
        <f t="array" aca="1" ref="D87" ca="1">visible((E71),K87)</f>
        <v>ظهر</v>
      </c>
      <c r="E87" s="18" t="str" cm="1">
        <f t="array" aca="1" ref="E87" ca="1">visible(("ظهر"),K87)</f>
        <v>ظهر</v>
      </c>
      <c r="F87" s="18" cm="1">
        <f t="array" aca="1" ref="F87" ca="1">visible((I73-2),K87)</f>
        <v>76</v>
      </c>
      <c r="G87" s="18" cm="1">
        <f t="array" aca="1" ref="G87" ca="1">visible((H73-2),K87)</f>
        <v>98</v>
      </c>
      <c r="H87" s="18" cm="1">
        <f t="array" aca="1" ref="H87" ca="1">visible((C70),K87)</f>
        <v>1</v>
      </c>
      <c r="I87" s="18">
        <f ca="1">visible(materialNum(D87), K87)</f>
        <v>2</v>
      </c>
      <c r="J87" s="18">
        <f ca="1">visible(engraving(I87), K87)</f>
        <v>2</v>
      </c>
      <c r="K87" s="18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2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2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2" t="s">
        <v>94</v>
      </c>
      <c r="C90" s="13">
        <v>1</v>
      </c>
      <c r="D90" s="21" t="s">
        <v>51</v>
      </c>
      <c r="E90" s="101" t="s">
        <v>22</v>
      </c>
      <c r="F90" s="102"/>
      <c r="G90" s="102"/>
      <c r="H90" s="103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42">
        <v>1</v>
      </c>
      <c r="C91" s="7"/>
      <c r="D91" s="7" t="s">
        <v>16</v>
      </c>
      <c r="E91" s="7" t="s">
        <v>14</v>
      </c>
      <c r="F91" s="109"/>
      <c r="G91" s="7"/>
      <c r="H91" s="7" t="s">
        <v>19</v>
      </c>
      <c r="I91" s="7" t="s">
        <v>3</v>
      </c>
      <c r="J91" s="7" t="s">
        <v>76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42">
        <v>1</v>
      </c>
      <c r="C92" s="8"/>
      <c r="D92" s="8">
        <v>1</v>
      </c>
      <c r="E92" s="26" cm="1">
        <f t="array" aca="1" ref="E92" ca="1">defaultValue(E91,K90)</f>
        <v>3.5</v>
      </c>
      <c r="F92" s="109"/>
      <c r="G92" s="7"/>
      <c r="H92" s="8"/>
      <c r="I92" s="26" cm="1">
        <f t="array" aca="1" ref="I92" ca="1">defaultValue(I91,K90)</f>
        <v>78</v>
      </c>
      <c r="J92" s="26" cm="1">
        <f t="array" aca="1" ref="J92" ca="1">defaultValue(J91,K90)</f>
        <v>56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2">
        <v>1</v>
      </c>
      <c r="C93" s="27"/>
      <c r="D93" s="11"/>
      <c r="E93" s="11"/>
      <c r="F93" s="12"/>
      <c r="G93" s="7"/>
      <c r="H93" s="8"/>
      <c r="I93" s="26" cm="1">
        <f t="array" aca="1" ref="I93" ca="1">defaultValue(I91,K90)</f>
        <v>78</v>
      </c>
      <c r="J93" s="26" cm="1">
        <f t="array" aca="1" ref="J93" ca="1">defaultValue(J91,K90)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31.2" x14ac:dyDescent="0.3">
      <c r="A94" s="42">
        <v>1</v>
      </c>
      <c r="C94" s="8"/>
      <c r="D94" s="26" t="str" cm="1">
        <f t="array" aca="1" ref="D94" ca="1">defaultValue(E94,K90)</f>
        <v>ظهر</v>
      </c>
      <c r="E94" s="7" t="s">
        <v>50</v>
      </c>
      <c r="F94" s="26" t="str" cm="1">
        <f t="array" aca="1" ref="F94" ca="1">defaultValue(G94,K90)</f>
        <v>يوفيلاك</v>
      </c>
      <c r="G94" s="7" t="s">
        <v>28</v>
      </c>
      <c r="H94" s="26" t="str" cm="1">
        <f t="array" aca="1" ref="H94" ca="1">defaultValue(I94,K90)</f>
        <v>HPL</v>
      </c>
      <c r="I94" s="7" t="s">
        <v>27</v>
      </c>
      <c r="J94" s="24" t="s">
        <v>75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2">
        <v>0</v>
      </c>
      <c r="B95"/>
      <c r="C95"/>
      <c r="D95"/>
      <c r="E95"/>
      <c r="F95"/>
      <c r="G95"/>
      <c r="H95"/>
      <c r="I95"/>
      <c r="J95"/>
      <c r="K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2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130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2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2">
        <v>3</v>
      </c>
      <c r="B98" s="14" t="str">
        <f>visible(E90, K98)</f>
        <v>وحدة سفلية  زاوية 90</v>
      </c>
      <c r="C98" s="6">
        <f>visible(1,K98)</f>
        <v>1</v>
      </c>
      <c r="D98" s="6" t="str">
        <f ca="1">visible(H94, K98)</f>
        <v>HPL</v>
      </c>
      <c r="E98" s="6" t="str">
        <f>visible("قاعدة", K98)</f>
        <v>قاعدة</v>
      </c>
      <c r="F98" s="6">
        <f>visible(H92-1.8, K98)</f>
        <v>-1.8</v>
      </c>
      <c r="G98" s="6">
        <f>visible(H93-1.8,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2">
        <v>3</v>
      </c>
      <c r="B99" s="14" t="str">
        <f>visible(E90, K99)</f>
        <v>وحدة سفلية  زاوية 90</v>
      </c>
      <c r="C99" s="6">
        <f>visible(2,K99)</f>
        <v>2</v>
      </c>
      <c r="D99" s="6" t="str">
        <f ca="1">visible(H94, K99)</f>
        <v>HPL</v>
      </c>
      <c r="E99" s="6" t="str">
        <f>visible("أجناب", K99)</f>
        <v>أجناب</v>
      </c>
      <c r="F99" s="6">
        <f ca="1">visible(I92, K99)</f>
        <v>78</v>
      </c>
      <c r="G99" s="6">
        <f ca="1">visible(J92,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2">
        <v>3</v>
      </c>
      <c r="B100" s="14" t="str">
        <f>visible(E90, K100)</f>
        <v>وحدة سفلية  زاوية 90</v>
      </c>
      <c r="C100" s="6">
        <f>visible(3,K100)</f>
        <v>3</v>
      </c>
      <c r="D100" s="6" t="str">
        <f ca="1">visible(H94, K100)</f>
        <v>HPL</v>
      </c>
      <c r="E100" s="6" t="str">
        <f>visible("مرايا علوية 1", K100)</f>
        <v>مرايا علوية 1</v>
      </c>
      <c r="F100" s="6">
        <f>visible(H92-1.8,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2">
        <v>3</v>
      </c>
      <c r="B101" s="14" t="str">
        <f>visible(E90, K101)</f>
        <v>وحدة سفلية  زاوية 90</v>
      </c>
      <c r="C101" s="6">
        <f>visible(4,K101)</f>
        <v>4</v>
      </c>
      <c r="D101" s="6" t="str">
        <f ca="1">visible(H94, K101)</f>
        <v>HPL</v>
      </c>
      <c r="E101" s="6" t="str">
        <f>visible("مرايا علوية 2", K101)</f>
        <v>مرايا علوية 2</v>
      </c>
      <c r="F101" s="6">
        <f>visible(H92-1.8,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2">
        <v>3</v>
      </c>
      <c r="B102" s="14" t="str">
        <f>visible(E90, K102)</f>
        <v>وحدة سفلية  زاوية 90</v>
      </c>
      <c r="C102" s="6">
        <f>visible(5,K102)</f>
        <v>5</v>
      </c>
      <c r="D102" s="6" t="str">
        <f ca="1">visible(H94, K102)</f>
        <v>HPL</v>
      </c>
      <c r="E102" s="6" t="str">
        <f>visible("قائم خلفى", K102)</f>
        <v>قائم خلفى</v>
      </c>
      <c r="F102" s="6">
        <f ca="1">visible(I92,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2">
        <v>3</v>
      </c>
      <c r="B103" s="14" t="str">
        <f>visible(E90, K103)</f>
        <v>وحدة سفلية  زاوية 90</v>
      </c>
      <c r="C103" s="6">
        <f>visible(6,K103)</f>
        <v>6</v>
      </c>
      <c r="D103" s="6" t="str">
        <f ca="1">visible(H94, K103)</f>
        <v>HPL</v>
      </c>
      <c r="E103" s="6" t="str">
        <f>visible("رف", K103)</f>
        <v>رف</v>
      </c>
      <c r="F103" s="6">
        <f>visible(H92-3.8, K103)</f>
        <v>-3.8</v>
      </c>
      <c r="G103" s="6">
        <f>visible(H93-3.8, K103)</f>
        <v>-3.8</v>
      </c>
      <c r="H103" s="6">
        <f>visible(D92*C90,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2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2">
        <v>4</v>
      </c>
      <c r="B105" s="14" t="str">
        <f>visible(E90, K105)</f>
        <v>وحدة سفلية  زاوية 90</v>
      </c>
      <c r="C105" s="9">
        <f>visible(7,K105)</f>
        <v>7</v>
      </c>
      <c r="D105" s="9" t="str">
        <f ca="1">visible(F94, K105)</f>
        <v>يوفيلاك</v>
      </c>
      <c r="E105" s="9" t="str">
        <f>visible("دلف 1", K105)</f>
        <v>دلف 1</v>
      </c>
      <c r="F105" s="9">
        <f ca="1">visible(I92-0.5-E92, K105)</f>
        <v>74</v>
      </c>
      <c r="G105" s="9">
        <f>visible(H92-56-3,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2">
        <v>4</v>
      </c>
      <c r="B106" s="14" t="str">
        <f>visible(E90, K106)</f>
        <v>وحدة سفلية  زاوية 90</v>
      </c>
      <c r="C106" s="9">
        <f>visible(8,K106)</f>
        <v>8</v>
      </c>
      <c r="D106" s="9" t="str">
        <f ca="1">visible(F94, K106)</f>
        <v>يوفيلاك</v>
      </c>
      <c r="E106" s="9" t="str">
        <f>visible("دلف 2", K106)</f>
        <v>دلف 2</v>
      </c>
      <c r="F106" s="9">
        <f ca="1">visible(I93-0.5-E92, K106)</f>
        <v>74</v>
      </c>
      <c r="G106" s="9">
        <f>visible(H93-56-3,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2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2">
        <v>5</v>
      </c>
      <c r="B108" s="14" t="str">
        <f>visible(E90, K108)</f>
        <v>وحدة سفلية  زاوية 90</v>
      </c>
      <c r="C108" s="18">
        <f>visible(9,K108)</f>
        <v>9</v>
      </c>
      <c r="D108" s="18" t="str">
        <f ca="1">visible(D94, K108)</f>
        <v>ظهر</v>
      </c>
      <c r="E108" s="18" t="str">
        <f>visible("ظهر", K108)</f>
        <v>ظهر</v>
      </c>
      <c r="F108" s="18">
        <f ca="1">visible(I93-1, K108)</f>
        <v>77</v>
      </c>
      <c r="G108" s="18">
        <f>visible(H93-1, K108)</f>
        <v>-1</v>
      </c>
      <c r="H108" s="18">
        <f>visible(2*C90, K108)</f>
        <v>2</v>
      </c>
      <c r="I108" s="18">
        <f ca="1">visible(materialNum(D108), K108)</f>
        <v>2</v>
      </c>
      <c r="J108" s="18">
        <f ca="1">visible(engraving(I108), K108)</f>
        <v>2</v>
      </c>
      <c r="K108" s="18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2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2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2" t="s">
        <v>90</v>
      </c>
      <c r="C111" s="13">
        <v>1</v>
      </c>
      <c r="D111" s="21" t="s">
        <v>51</v>
      </c>
      <c r="E111" s="101" t="s">
        <v>25</v>
      </c>
      <c r="F111" s="102"/>
      <c r="G111" s="102"/>
      <c r="H111" s="103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42">
        <v>1</v>
      </c>
      <c r="C112" s="7"/>
      <c r="D112" s="7" t="s">
        <v>16</v>
      </c>
      <c r="E112" s="7" t="s">
        <v>14</v>
      </c>
      <c r="F112" s="109"/>
      <c r="G112" s="7"/>
      <c r="H112" s="7" t="s">
        <v>19</v>
      </c>
      <c r="I112" s="7" t="s">
        <v>3</v>
      </c>
      <c r="J112" s="7" t="s">
        <v>76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2">
        <v>1</v>
      </c>
      <c r="C113" s="8"/>
      <c r="D113" s="8">
        <v>1</v>
      </c>
      <c r="E113" s="26" cm="1">
        <f t="array" aca="1" ref="E113" ca="1">defaultValue(E112,K111)</f>
        <v>3.5</v>
      </c>
      <c r="F113" s="109"/>
      <c r="G113" s="7"/>
      <c r="H113" s="8"/>
      <c r="I113" s="26" cm="1">
        <f t="array" aca="1" ref="I113" ca="1">defaultValue(I112,K111)</f>
        <v>78</v>
      </c>
      <c r="J113" s="26" cm="1">
        <f t="array" aca="1" ref="J113" ca="1">defaultValue(J112,K111)</f>
        <v>56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2">
        <v>1</v>
      </c>
      <c r="C114" s="27"/>
      <c r="D114" s="11"/>
      <c r="E114" s="11"/>
      <c r="F114" s="12"/>
      <c r="G114" s="7"/>
      <c r="H114" s="8"/>
      <c r="I114" s="26" cm="1">
        <f t="array" aca="1" ref="I114" ca="1">defaultValue(I112,K111)</f>
        <v>78</v>
      </c>
      <c r="J114" s="26" cm="1">
        <f t="array" aca="1" ref="J114" ca="1">defaultValue(J112,K111)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ht="31.2" x14ac:dyDescent="0.3">
      <c r="A115" s="42">
        <v>1</v>
      </c>
      <c r="C115" s="8"/>
      <c r="D115" s="26" t="str" cm="1">
        <f t="array" aca="1" ref="D115" ca="1">defaultValue(E115,K111)</f>
        <v>ظهر</v>
      </c>
      <c r="E115" s="7" t="s">
        <v>50</v>
      </c>
      <c r="F115" s="26" t="str" cm="1">
        <f t="array" aca="1" ref="F115" ca="1">defaultValue(G115,K111)</f>
        <v>يوفيلاك</v>
      </c>
      <c r="G115" s="7" t="s">
        <v>28</v>
      </c>
      <c r="H115" s="26" t="str" cm="1">
        <f t="array" aca="1" ref="H115" ca="1">defaultValue(I115,K111)</f>
        <v>HPL</v>
      </c>
      <c r="I115" s="7" t="s">
        <v>27</v>
      </c>
      <c r="J115" s="24" t="s">
        <v>75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2">
        <v>0</v>
      </c>
      <c r="B116"/>
      <c r="C116"/>
      <c r="D116"/>
      <c r="E116"/>
      <c r="F116"/>
      <c r="G116"/>
      <c r="H116"/>
      <c r="I116"/>
      <c r="J116"/>
      <c r="K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2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130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2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2">
        <v>3</v>
      </c>
      <c r="B119" s="14" t="str">
        <f>visible(E111, K119)</f>
        <v>وحدة سفلية  ركنة 45</v>
      </c>
      <c r="C119" s="6">
        <f>visible(1,K119)</f>
        <v>1</v>
      </c>
      <c r="D119" s="6" t="str">
        <f ca="1">visible(H115, K119)</f>
        <v>HPL</v>
      </c>
      <c r="E119" s="6" t="str">
        <f>visible("قاعدة", K119)</f>
        <v>قاعدة</v>
      </c>
      <c r="F119" s="6">
        <f>visible(H113-1.8, K119)</f>
        <v>-1.8</v>
      </c>
      <c r="G119" s="6">
        <f>visible(H114-1.8,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2">
        <v>3</v>
      </c>
      <c r="B120" s="14" t="str">
        <f>visible(E111, K120)</f>
        <v>وحدة سفلية  ركنة 45</v>
      </c>
      <c r="C120" s="6">
        <f>visible(2,K120)</f>
        <v>2</v>
      </c>
      <c r="D120" s="6" t="str">
        <f ca="1">visible(H115, K120)</f>
        <v>HPL</v>
      </c>
      <c r="E120" s="6" t="str">
        <f>visible("أجناب", K120)</f>
        <v>أجناب</v>
      </c>
      <c r="F120" s="6">
        <f ca="1">visible(I113, K120)</f>
        <v>78</v>
      </c>
      <c r="G120" s="6">
        <f ca="1">visible(J113,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2">
        <v>3</v>
      </c>
      <c r="B121" s="14" t="str">
        <f>visible(E111, K121)</f>
        <v>وحدة سفلية  ركنة 45</v>
      </c>
      <c r="C121" s="6">
        <f>visible(3,K121)</f>
        <v>3</v>
      </c>
      <c r="D121" s="6" t="str">
        <f ca="1">visible(H115, K121)</f>
        <v>HPL</v>
      </c>
      <c r="E121" s="6" t="str">
        <f>visible("مرايا علوية 1", K121)</f>
        <v>مرايا علوية 1</v>
      </c>
      <c r="F121" s="6">
        <f>visible(H113-1.8,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2">
        <v>3</v>
      </c>
      <c r="B122" s="14" t="str">
        <f>visible(E111, K122)</f>
        <v>وحدة سفلية  ركنة 45</v>
      </c>
      <c r="C122" s="6">
        <f>visible(4,K122)</f>
        <v>4</v>
      </c>
      <c r="D122" s="6" t="str">
        <f ca="1">visible(H115, K122)</f>
        <v>HPL</v>
      </c>
      <c r="E122" s="6" t="str">
        <f>visible("مرايا علوية 2", K122)</f>
        <v>مرايا علوية 2</v>
      </c>
      <c r="F122" s="6">
        <f>visible(H113-1.8,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2">
        <v>3</v>
      </c>
      <c r="B123" s="14" t="str">
        <f>visible(E111, K123)</f>
        <v>وحدة سفلية  ركنة 45</v>
      </c>
      <c r="C123" s="6">
        <f>visible(5,K123)</f>
        <v>5</v>
      </c>
      <c r="D123" s="6" t="str">
        <f ca="1">visible(H115,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2">
        <v>3</v>
      </c>
      <c r="B124" s="14" t="str">
        <f>visible(E111, K124)</f>
        <v>وحدة سفلية  ركنة 45</v>
      </c>
      <c r="C124" s="6">
        <f>visible(6,K124)</f>
        <v>6</v>
      </c>
      <c r="D124" s="6" t="str">
        <f ca="1">visible(H115, K124)</f>
        <v>HPL</v>
      </c>
      <c r="E124" s="6" t="str">
        <f>visible("رف", K124)</f>
        <v>رف</v>
      </c>
      <c r="F124" s="6">
        <f>visible(H113-3.8, K124)</f>
        <v>-3.8</v>
      </c>
      <c r="G124" s="6">
        <f>visible(H114-3.8, K124)</f>
        <v>-3.8</v>
      </c>
      <c r="H124" s="6">
        <f>visible(D113*C111,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2">
        <v>4</v>
      </c>
      <c r="B126" s="14" t="str">
        <f>visible(E111, K126)</f>
        <v>وحدة سفلية  ركنة 45</v>
      </c>
      <c r="C126" s="9">
        <f>visible(7,K126)</f>
        <v>7</v>
      </c>
      <c r="D126" s="9" t="str">
        <f ca="1">visible(F115, K126)</f>
        <v>يوفيلاك</v>
      </c>
      <c r="E126" s="9" t="str">
        <f>visible("دلف 1", K126)</f>
        <v>دلف 1</v>
      </c>
      <c r="F126" s="9">
        <f ca="1">visible(I113-0.5-E113, K126)</f>
        <v>74</v>
      </c>
      <c r="G126" s="16">
        <f ca="1">visible((SQRT((H113-J113)^2+(H114-J114)^2))-2,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2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2">
        <v>5</v>
      </c>
      <c r="B128" s="14" t="str">
        <f>visible(E111, K128)</f>
        <v>وحدة سفلية  ركنة 45</v>
      </c>
      <c r="C128" s="18">
        <f>visible(8,K128)</f>
        <v>8</v>
      </c>
      <c r="D128" s="18" t="str">
        <f ca="1">visible(D115, K128)</f>
        <v>ظهر</v>
      </c>
      <c r="E128" s="18" t="str">
        <f>visible("ظهر", K128)</f>
        <v>ظهر</v>
      </c>
      <c r="F128" s="18">
        <f ca="1">visible(I113-1, K128)</f>
        <v>77</v>
      </c>
      <c r="G128" s="18">
        <f>visible(H113-1, K128)</f>
        <v>-1</v>
      </c>
      <c r="H128" s="18">
        <f>visible(1*C111, K128)</f>
        <v>1</v>
      </c>
      <c r="I128" s="18">
        <f ca="1">visible(materialNum(D128), K128)</f>
        <v>2</v>
      </c>
      <c r="J128" s="18">
        <f ca="1">visible(engraving(I128), K128)</f>
        <v>2</v>
      </c>
      <c r="K128" s="18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2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2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2" t="s">
        <v>91</v>
      </c>
      <c r="B131" s="3"/>
      <c r="C131" s="13">
        <v>1</v>
      </c>
      <c r="D131" s="21" t="s">
        <v>51</v>
      </c>
      <c r="E131" s="101" t="s">
        <v>71</v>
      </c>
      <c r="F131" s="102"/>
      <c r="G131" s="102"/>
      <c r="H131" s="103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1.2" x14ac:dyDescent="0.3">
      <c r="A132" s="42">
        <v>1</v>
      </c>
      <c r="B132" s="20"/>
      <c r="C132" s="7" t="s">
        <v>12</v>
      </c>
      <c r="D132" s="7" t="s">
        <v>16</v>
      </c>
      <c r="E132" s="7" t="s">
        <v>14</v>
      </c>
      <c r="F132" s="109"/>
      <c r="G132" s="15" t="s">
        <v>17</v>
      </c>
      <c r="H132" s="7" t="s">
        <v>19</v>
      </c>
      <c r="I132" s="7" t="s">
        <v>3</v>
      </c>
      <c r="J132" s="7" t="s">
        <v>76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x14ac:dyDescent="0.3">
      <c r="A133" s="42">
        <v>1</v>
      </c>
      <c r="B133" s="20"/>
      <c r="C133" s="8"/>
      <c r="D133" s="8">
        <v>0</v>
      </c>
      <c r="E133" s="26" cm="1">
        <f t="array" aca="1" ref="E133" ca="1">defaultValue(E132,K131)</f>
        <v>3.5</v>
      </c>
      <c r="F133" s="109"/>
      <c r="G133" s="26" cm="1">
        <f t="array" aca="1" ref="G133" ca="1">defaultValue(G132,K131)</f>
        <v>45</v>
      </c>
      <c r="H133" s="8">
        <v>60</v>
      </c>
      <c r="I133" s="26" cm="1">
        <f t="array" aca="1" ref="I133" ca="1">defaultValue(I132,K131)</f>
        <v>78</v>
      </c>
      <c r="J133" s="26" cm="1">
        <f t="array" aca="1" ref="J133" ca="1">defaultValue(J132,K131)</f>
        <v>56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ht="31.2" x14ac:dyDescent="0.3">
      <c r="A134" s="42">
        <v>1</v>
      </c>
      <c r="B134" s="20"/>
      <c r="C134" s="8"/>
      <c r="D134" s="26" t="str" cm="1">
        <f t="array" aca="1" ref="D134" ca="1">defaultValue(E134,K131)</f>
        <v>ظهر</v>
      </c>
      <c r="E134" s="7" t="s">
        <v>50</v>
      </c>
      <c r="F134" s="26" t="str" cm="1">
        <f t="array" aca="1" ref="F134" ca="1">defaultValue(G134,K131)</f>
        <v>يوفيلاك</v>
      </c>
      <c r="G134" s="7" t="s">
        <v>28</v>
      </c>
      <c r="H134" s="26" t="str" cm="1">
        <f t="array" aca="1" ref="H134" ca="1">defaultValue(I134,K131)</f>
        <v>HPL</v>
      </c>
      <c r="I134" s="7" t="s">
        <v>27</v>
      </c>
      <c r="J134" s="24" t="s">
        <v>75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2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2">
        <v>2</v>
      </c>
      <c r="B136" s="20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130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2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2">
        <v>3</v>
      </c>
      <c r="B138" s="14" t="str">
        <f>visible(E131, K138)</f>
        <v xml:space="preserve">وحدة سفلية  فرن </v>
      </c>
      <c r="C138" s="6">
        <f>visible(1,K138)</f>
        <v>1</v>
      </c>
      <c r="D138" s="6" t="str">
        <f ca="1">visible(H134, K138)</f>
        <v>HPL</v>
      </c>
      <c r="E138" s="6" t="str">
        <f>visible("قاعدة", K138)</f>
        <v>قاعدة</v>
      </c>
      <c r="F138" s="6">
        <f>visible(H133-3.6, K138)</f>
        <v>56.4</v>
      </c>
      <c r="G138" s="6">
        <f ca="1">visible(J133,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2">
        <v>3</v>
      </c>
      <c r="B139" s="14" t="str">
        <f>visible(E131, K139)</f>
        <v xml:space="preserve">وحدة سفلية  فرن </v>
      </c>
      <c r="C139" s="6">
        <f>visible(2,K139)</f>
        <v>2</v>
      </c>
      <c r="D139" s="6" t="str">
        <f ca="1">visible(H134, K139)</f>
        <v>HPL</v>
      </c>
      <c r="E139" s="6" t="str">
        <f>visible("أجناب", K139)</f>
        <v>أجناب</v>
      </c>
      <c r="F139" s="6">
        <f ca="1">visible(I133, K139)</f>
        <v>78</v>
      </c>
      <c r="G139" s="6">
        <f ca="1">visible(J133,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2">
        <v>3</v>
      </c>
      <c r="B140" s="14" t="str">
        <f>visible(E131, K140)</f>
        <v xml:space="preserve">وحدة سفلية  فرن </v>
      </c>
      <c r="C140" s="6">
        <f>visible(3,K140)</f>
        <v>3</v>
      </c>
      <c r="D140" s="6" t="str">
        <f ca="1">visible(H134, K140)</f>
        <v>HPL</v>
      </c>
      <c r="E140" s="6" t="str">
        <f>visible("مرايا علوية 1", K140)</f>
        <v>مرايا علوية 1</v>
      </c>
      <c r="F140" s="6">
        <f>visible(H133-3.6,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2">
        <v>3</v>
      </c>
      <c r="B141" s="14" t="str">
        <f>visible(E131, K141)</f>
        <v xml:space="preserve">وحدة سفلية  فرن </v>
      </c>
      <c r="C141" s="6">
        <f>visible(4,K141)</f>
        <v>4</v>
      </c>
      <c r="D141" s="6" t="str">
        <f ca="1">visible(H134, K141)</f>
        <v>HPL</v>
      </c>
      <c r="E141" s="6" t="str">
        <f>visible("مرايا علوية 2", K141)</f>
        <v>مرايا علوية 2</v>
      </c>
      <c r="F141" s="6">
        <f>visible(H133-3.6,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2">
        <v>3</v>
      </c>
      <c r="B142" s="14" t="str">
        <f>visible(E131, K142)</f>
        <v xml:space="preserve">وحدة سفلية  فرن </v>
      </c>
      <c r="C142" s="6">
        <f>visible(5,K142)</f>
        <v>5</v>
      </c>
      <c r="D142" s="6" t="str">
        <f ca="1">visible(H134, K142)</f>
        <v>HPL</v>
      </c>
      <c r="E142" s="6" t="str">
        <f>visible("رف", K142)</f>
        <v>رف</v>
      </c>
      <c r="F142" s="6">
        <f>visible(H133-3.8, K142)</f>
        <v>56.2</v>
      </c>
      <c r="G142" s="6">
        <f ca="1">visible(J133-6, K142)</f>
        <v>50</v>
      </c>
      <c r="H142" s="6">
        <f>visible(D133*C131,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2">
        <v>3</v>
      </c>
      <c r="B143" s="14" t="str">
        <f>visible(E131, K143)</f>
        <v xml:space="preserve">وحدة سفلية  فرن </v>
      </c>
      <c r="C143" s="10">
        <f>visible(6,K143)</f>
        <v>6</v>
      </c>
      <c r="D143" s="10" t="str">
        <f ca="1">visible(H134, K143)</f>
        <v>HPL</v>
      </c>
      <c r="E143" s="10" t="str">
        <f>visible("وش درج داخلى", K143)</f>
        <v>وش درج داخلى</v>
      </c>
      <c r="F143" s="10">
        <f>visible(H133-3.6-3.6-2.5,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2">
        <v>3</v>
      </c>
      <c r="B144" s="14" t="str">
        <f>visible(E131, K144)</f>
        <v xml:space="preserve">وحدة سفلية  فرن </v>
      </c>
      <c r="C144" s="10">
        <f>visible(7,K144)</f>
        <v>7</v>
      </c>
      <c r="D144" s="10" t="str">
        <f ca="1">visible(H134, K144)</f>
        <v>HPL</v>
      </c>
      <c r="E144" s="10" t="str">
        <f>visible("جنب درج داخلى ", K144)</f>
        <v xml:space="preserve">جنب درج داخلى </v>
      </c>
      <c r="F144" s="10">
        <f ca="1">visible(G133,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2">
        <v>3</v>
      </c>
      <c r="B145" s="14" t="str">
        <f>visible(E131, K145)</f>
        <v xml:space="preserve">وحدة سفلية  فرن </v>
      </c>
      <c r="C145" s="10">
        <f>visible(8,K145)</f>
        <v>8</v>
      </c>
      <c r="D145" s="10" t="str">
        <f ca="1">visible(H134, K145)</f>
        <v>HPL</v>
      </c>
      <c r="E145" s="10" t="str">
        <f>visible("ظهر درج داخلى ", K145)</f>
        <v xml:space="preserve">ظهر درج داخلى </v>
      </c>
      <c r="F145" s="10">
        <f>visible(H133-3.6-3.6-2.5,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2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2">
        <v>4</v>
      </c>
      <c r="B147" s="14" t="str">
        <f>visible(E131, K147)</f>
        <v xml:space="preserve">وحدة سفلية  فرن </v>
      </c>
      <c r="C147" s="9">
        <f>visible(9,K147)</f>
        <v>9</v>
      </c>
      <c r="D147" s="9" t="str">
        <f ca="1">visible(F134, K147)</f>
        <v>يوفيلاك</v>
      </c>
      <c r="E147" s="9" t="str">
        <f>visible("دلف ", K147)</f>
        <v xml:space="preserve">دلف </v>
      </c>
      <c r="F147" s="9" t="str">
        <f>visible(IF(H147=0,"",(I133-0.5-E133)), K147)</f>
        <v/>
      </c>
      <c r="G147" s="9" t="str">
        <f>visible(IF(H147=0, "",(H133/C133)-0.5), K147)</f>
        <v/>
      </c>
      <c r="H147" s="9">
        <f>visible(C133*C131, K147)</f>
        <v>0</v>
      </c>
      <c r="I147" s="9">
        <f ca="1">visible(materialNum(D147), K147)</f>
        <v>6</v>
      </c>
      <c r="J147" s="9">
        <f ca="1">visible(engraving(I147), K147)</f>
        <v>2</v>
      </c>
      <c r="K147" s="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2">
        <v>4</v>
      </c>
      <c r="B148" s="14" t="str">
        <f>visible(E131, K148)</f>
        <v xml:space="preserve">وحدة سفلية  فرن </v>
      </c>
      <c r="C148" s="9">
        <f>visible(10,K148)</f>
        <v>10</v>
      </c>
      <c r="D148" s="9" t="str">
        <f ca="1">visible(F134, K148)</f>
        <v>يوفيلاك</v>
      </c>
      <c r="E148" s="9" t="str">
        <f>visible("وش درج فرن", K148)</f>
        <v>وش درج فرن</v>
      </c>
      <c r="F148" s="9">
        <f>visible(H133-0.5, K148)</f>
        <v>59.5</v>
      </c>
      <c r="G148" s="9">
        <f ca="1">visible(I133-E133-60.5,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2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2">
        <v>5</v>
      </c>
      <c r="B150" s="14" t="str">
        <f>visible(E131, K150)</f>
        <v xml:space="preserve">وحدة سفلية  فرن </v>
      </c>
      <c r="C150" s="18">
        <f>visible(11,K150)</f>
        <v>11</v>
      </c>
      <c r="D150" s="18" t="str">
        <f ca="1">visible(D134, K150)</f>
        <v>ظهر</v>
      </c>
      <c r="E150" s="18" t="str">
        <f>visible("ظهر", K150)</f>
        <v>ظهر</v>
      </c>
      <c r="F150" s="18">
        <f ca="1">visible(I133-2, K150)</f>
        <v>76</v>
      </c>
      <c r="G150" s="18">
        <f>visible(H133-2, K150)</f>
        <v>58</v>
      </c>
      <c r="H150" s="18">
        <f>visible(1*C131, K150)</f>
        <v>1</v>
      </c>
      <c r="I150" s="18">
        <f ca="1">visible(materialNum(D150), K150)</f>
        <v>2</v>
      </c>
      <c r="J150" s="18">
        <f ca="1">visible(engraving(I150), K150)</f>
        <v>2</v>
      </c>
      <c r="K150" s="18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2">
        <v>5</v>
      </c>
      <c r="B151" s="14" t="str">
        <f>visible(E131, K151)</f>
        <v xml:space="preserve">وحدة سفلية  فرن </v>
      </c>
      <c r="C151" s="18">
        <f>visible(12,K151)</f>
        <v>12</v>
      </c>
      <c r="D151" s="18" t="str">
        <f ca="1">visible(D134, K151)</f>
        <v>ظهر</v>
      </c>
      <c r="E151" s="18" t="str">
        <f>visible("قعر درج  A", K151)</f>
        <v>قعر درج  A</v>
      </c>
      <c r="F151" s="18">
        <f>visible(H133-3.6-3.6-2.5+2, K151)</f>
        <v>52.3</v>
      </c>
      <c r="G151" s="18">
        <f ca="1">visible(G133-1, K151)</f>
        <v>44</v>
      </c>
      <c r="H151" s="18">
        <f>visible(1*C131,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2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2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3" t="s">
        <v>92</v>
      </c>
      <c r="C154" s="13">
        <v>1</v>
      </c>
      <c r="D154" s="21" t="s">
        <v>51</v>
      </c>
      <c r="E154" s="101" t="s">
        <v>95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31.2" x14ac:dyDescent="0.3">
      <c r="A155" s="42">
        <v>1</v>
      </c>
      <c r="C155" s="7" t="s">
        <v>12</v>
      </c>
      <c r="D155" s="17" t="s">
        <v>16</v>
      </c>
      <c r="E155" s="7" t="s">
        <v>14</v>
      </c>
      <c r="F155" s="17" t="s">
        <v>96</v>
      </c>
      <c r="G155" s="15" t="s">
        <v>17</v>
      </c>
      <c r="H155" s="7" t="s">
        <v>19</v>
      </c>
      <c r="I155" s="7" t="s">
        <v>3</v>
      </c>
      <c r="J155" s="7" t="s">
        <v>76</v>
      </c>
      <c r="K155" s="7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42">
        <v>1</v>
      </c>
      <c r="C156" s="8">
        <v>2</v>
      </c>
      <c r="D156" s="8">
        <v>1</v>
      </c>
      <c r="E156" s="26" cm="1">
        <f t="array" aca="1" ref="E156" ca="1">defaultValue(E155,K154)</f>
        <v>3.5</v>
      </c>
      <c r="F156" s="8">
        <v>1</v>
      </c>
      <c r="G156" s="26" cm="1">
        <f t="array" aca="1" ref="G156" ca="1">defaultValue(G155,K154)</f>
        <v>45</v>
      </c>
      <c r="H156" s="8">
        <v>60</v>
      </c>
      <c r="I156" s="26" cm="1">
        <f t="array" aca="1" ref="I156" ca="1">defaultValue(I155,K154)</f>
        <v>78</v>
      </c>
      <c r="J156" s="26" cm="1">
        <f t="array" aca="1" ref="J156" ca="1">defaultValue(J155,K154)</f>
        <v>56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ht="31.2" x14ac:dyDescent="0.3">
      <c r="A157" s="42">
        <v>1</v>
      </c>
      <c r="C157" s="8"/>
      <c r="D157" s="26" t="str" cm="1">
        <f t="array" aca="1" ref="D157" ca="1">defaultValue(E157,K154)</f>
        <v>ظهر</v>
      </c>
      <c r="E157" s="7" t="s">
        <v>50</v>
      </c>
      <c r="F157" s="26" t="str" cm="1">
        <f t="array" aca="1" ref="F157" ca="1">defaultValue(G157,K154)</f>
        <v>يوفيلاك</v>
      </c>
      <c r="G157" s="7" t="s">
        <v>28</v>
      </c>
      <c r="H157" s="26" t="str" cm="1">
        <f t="array" aca="1" ref="H157" ca="1">defaultValue(I157,K154)</f>
        <v>HPL</v>
      </c>
      <c r="I157" s="7" t="s">
        <v>27</v>
      </c>
      <c r="J157" s="24" t="s">
        <v>75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2">
        <v>0</v>
      </c>
      <c r="B158"/>
      <c r="C158"/>
      <c r="D158"/>
      <c r="E158"/>
      <c r="F158"/>
      <c r="G158"/>
      <c r="H158"/>
      <c r="I158"/>
      <c r="J158"/>
      <c r="K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2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130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2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2">
        <v>3</v>
      </c>
      <c r="B161" s="14" t="str">
        <f>visible(E154, K161)</f>
        <v>وحدة سفلية دلفة /دلفتين + درج</v>
      </c>
      <c r="C161" s="6">
        <f>visible(1,K161)</f>
        <v>1</v>
      </c>
      <c r="D161" s="6" t="str">
        <f ca="1">visible(H157, K161)</f>
        <v>HPL</v>
      </c>
      <c r="E161" s="6" t="str">
        <f>visible("قاعدة", K161)</f>
        <v>قاعدة</v>
      </c>
      <c r="F161" s="6">
        <f>visible(H156-3.6, K161)</f>
        <v>56.4</v>
      </c>
      <c r="G161" s="6">
        <f ca="1">visible(J156,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2">
        <v>3</v>
      </c>
      <c r="B162" s="14" t="str">
        <f>visible(E154, K162)</f>
        <v>وحدة سفلية دلفة /دلفتين + درج</v>
      </c>
      <c r="C162" s="6">
        <f>visible(2,K162)</f>
        <v>2</v>
      </c>
      <c r="D162" s="6" t="str">
        <f ca="1">visible(H157, K162)</f>
        <v>HPL</v>
      </c>
      <c r="E162" s="6" t="str">
        <f>visible("أجناب", K162)</f>
        <v>أجناب</v>
      </c>
      <c r="F162" s="6">
        <f ca="1">visible(I156, K162)</f>
        <v>78</v>
      </c>
      <c r="G162" s="6">
        <f ca="1">visible(J156,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2">
        <v>3</v>
      </c>
      <c r="B163" s="14" t="str">
        <f>visible(E154, K163)</f>
        <v>وحدة سفلية دلفة /دلفتين + درج</v>
      </c>
      <c r="C163" s="6">
        <f>visible(3,K163)</f>
        <v>3</v>
      </c>
      <c r="D163" s="6" t="str">
        <f ca="1">visible(H157, K163)</f>
        <v>HPL</v>
      </c>
      <c r="E163" s="6" t="str">
        <f>visible("مرايا علوية 1", K163)</f>
        <v>مرايا علوية 1</v>
      </c>
      <c r="F163" s="6">
        <f>visible(H156-3.6,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2">
        <v>3</v>
      </c>
      <c r="B164" s="14" t="str">
        <f>visible(E154, K164)</f>
        <v>وحدة سفلية دلفة /دلفتين + درج</v>
      </c>
      <c r="C164" s="6">
        <f>visible(4,K164)</f>
        <v>4</v>
      </c>
      <c r="D164" s="6" t="str">
        <f ca="1">visible(H157, K164)</f>
        <v>HPL</v>
      </c>
      <c r="E164" s="6" t="str">
        <f>visible("مرايا علوية 2", K164)</f>
        <v>مرايا علوية 2</v>
      </c>
      <c r="F164" s="6">
        <f>visible(H156-3.6,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2">
        <v>3</v>
      </c>
      <c r="B165" s="14" t="str">
        <f>visible(E154, K165)</f>
        <v>وحدة سفلية دلفة /دلفتين + درج</v>
      </c>
      <c r="C165" s="6">
        <f>visible(5,K165)</f>
        <v>5</v>
      </c>
      <c r="D165" s="6" t="str">
        <f ca="1">visible(H157, K165)</f>
        <v>HPL</v>
      </c>
      <c r="E165" s="6" t="str">
        <f>visible("رف", K165)</f>
        <v>رف</v>
      </c>
      <c r="F165" s="6">
        <f>visible(H156-3.8, K165)</f>
        <v>56.2</v>
      </c>
      <c r="G165" s="6">
        <f ca="1">visible(J156-6, K165)</f>
        <v>50</v>
      </c>
      <c r="H165" s="6">
        <f>visible(D156*C154,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2">
        <v>3</v>
      </c>
      <c r="B166" s="14" t="str">
        <f>visible(E154, K166)</f>
        <v>وحدة سفلية دلفة /دلفتين + درج</v>
      </c>
      <c r="C166" s="10">
        <f>visible(6,K166)</f>
        <v>6</v>
      </c>
      <c r="D166" s="10" t="str">
        <f ca="1">visible(H157, K166)</f>
        <v>HPL</v>
      </c>
      <c r="E166" s="10" t="str">
        <f>visible("وش درج داخلى", K166)</f>
        <v>وش درج داخلى</v>
      </c>
      <c r="F166" s="10">
        <f>visible(H156-3.6-3.6-2.5, K166)</f>
        <v>50.3</v>
      </c>
      <c r="G166" s="10">
        <f>visible("10", K166)</f>
        <v>10</v>
      </c>
      <c r="H166" s="10">
        <f>visible(F156*C154,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2">
        <v>3</v>
      </c>
      <c r="B167" s="14" t="str">
        <f>visible(E154, K167)</f>
        <v>وحدة سفلية دلفة /دلفتين + درج</v>
      </c>
      <c r="C167" s="10">
        <f>visible(7,K167)</f>
        <v>7</v>
      </c>
      <c r="D167" s="10" t="str">
        <f ca="1">visible(H157, K167)</f>
        <v>HPL</v>
      </c>
      <c r="E167" s="10" t="str">
        <f>visible("جنب درج داخلى ", K167)</f>
        <v xml:space="preserve">جنب درج داخلى </v>
      </c>
      <c r="F167" s="10">
        <f ca="1">visible(G156, K167)</f>
        <v>45</v>
      </c>
      <c r="G167" s="10">
        <f>visible("10", K167)</f>
        <v>10</v>
      </c>
      <c r="H167" s="10">
        <f>visible(2*C154*F156,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2">
        <v>3</v>
      </c>
      <c r="B168" s="14" t="str">
        <f>visible(E154, K168)</f>
        <v>وحدة سفلية دلفة /دلفتين + درج</v>
      </c>
      <c r="C168" s="10">
        <f>visible(8,K168)</f>
        <v>8</v>
      </c>
      <c r="D168" s="10" t="str">
        <f ca="1">visible(H157, K168)</f>
        <v>HPL</v>
      </c>
      <c r="E168" s="10" t="str">
        <f>visible("ظهر درج داخلى ", K168)</f>
        <v xml:space="preserve">ظهر درج داخلى </v>
      </c>
      <c r="F168" s="10">
        <f>visible(H156-3.6-3.6-2.5, K168)</f>
        <v>50.3</v>
      </c>
      <c r="G168" s="10">
        <f>visible(10-3, K168)</f>
        <v>7</v>
      </c>
      <c r="H168" s="10">
        <f>visible(F156*C154,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2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2">
        <v>4</v>
      </c>
      <c r="B170" s="14" t="str">
        <f>visible(E154, K170)</f>
        <v>وحدة سفلية دلفة /دلفتين + درج</v>
      </c>
      <c r="C170" s="9">
        <f>visible(9,K170)</f>
        <v>9</v>
      </c>
      <c r="D170" s="9" t="str">
        <f ca="1">visible(F157, K170)</f>
        <v>يوفيلاك</v>
      </c>
      <c r="E170" s="9" t="str">
        <f>visible("دلف ", K170)</f>
        <v xml:space="preserve">دلف </v>
      </c>
      <c r="F170" s="9">
        <f ca="1">visible(I156-0.5-E156-G171, K170)</f>
        <v>59</v>
      </c>
      <c r="G170" s="9">
        <f>visible((H156/C156)-0.5, K170)</f>
        <v>29.5</v>
      </c>
      <c r="H170" s="9">
        <f>visible(C156*C154,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2">
        <v>4</v>
      </c>
      <c r="B171" s="14" t="str">
        <f>visible(E154, K171)</f>
        <v>وحدة سفلية دلفة /دلفتين + درج</v>
      </c>
      <c r="C171" s="9">
        <f>visible(10,K171)</f>
        <v>10</v>
      </c>
      <c r="D171" s="9" t="str">
        <f ca="1">visible(F157, K171)</f>
        <v>يوفيلاك</v>
      </c>
      <c r="E171" s="9" t="str">
        <f>visible("وش درج ", K171)</f>
        <v xml:space="preserve">وش درج </v>
      </c>
      <c r="F171" s="9">
        <f>visible(H156-0.5, K171)</f>
        <v>59.5</v>
      </c>
      <c r="G171" s="9">
        <f ca="1">visible(I156-E156-59.5, K171)</f>
        <v>15</v>
      </c>
      <c r="H171" s="9">
        <f>visible(F156*C154,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2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2">
        <v>5</v>
      </c>
      <c r="B173" s="14" t="str">
        <f>visible(E154, K173)</f>
        <v>وحدة سفلية دلفة /دلفتين + درج</v>
      </c>
      <c r="C173" s="18">
        <f>visible(11,K173)</f>
        <v>11</v>
      </c>
      <c r="D173" s="18" t="str">
        <f ca="1">visible(D157, K173)</f>
        <v>ظهر</v>
      </c>
      <c r="E173" s="18" t="str">
        <f>visible("ظهر", K173)</f>
        <v>ظهر</v>
      </c>
      <c r="F173" s="18">
        <f ca="1">visible(I156-2, K173)</f>
        <v>76</v>
      </c>
      <c r="G173" s="18">
        <f>visible(H156-2, K173)</f>
        <v>58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2">
        <v>5</v>
      </c>
      <c r="B174" s="14" t="str">
        <f>visible(E154, K174)</f>
        <v>وحدة سفلية دلفة /دلفتين + درج</v>
      </c>
      <c r="C174" s="18">
        <f>visible(12,K174)</f>
        <v>12</v>
      </c>
      <c r="D174" s="18" t="str">
        <f ca="1">visible(D157, K174)</f>
        <v>ظهر</v>
      </c>
      <c r="E174" s="18" t="str">
        <f>visible("قعر درج  ", K174)</f>
        <v xml:space="preserve">قعر درج  </v>
      </c>
      <c r="F174" s="18">
        <f>visible(H156-3.6-3.6-2.5+2, K174)</f>
        <v>52.3</v>
      </c>
      <c r="G174" s="18">
        <f ca="1">visible(G156-1, K174)</f>
        <v>44</v>
      </c>
      <c r="H174" s="18">
        <f>visible(1*C154, 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2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2">
        <v>255</v>
      </c>
      <c r="BB176"/>
      <c r="BC176"/>
      <c r="BD176"/>
      <c r="BE176"/>
      <c r="BF176"/>
      <c r="BG176"/>
      <c r="BH176"/>
      <c r="BI176"/>
      <c r="BJ176"/>
    </row>
  </sheetData>
  <mergeCells count="14">
    <mergeCell ref="E17:H17"/>
    <mergeCell ref="E35:H35"/>
    <mergeCell ref="J39:K39"/>
    <mergeCell ref="E70:H70"/>
    <mergeCell ref="C4:N4"/>
    <mergeCell ref="C7:N7"/>
    <mergeCell ref="C2:K2"/>
    <mergeCell ref="F112:F113"/>
    <mergeCell ref="F91:F92"/>
    <mergeCell ref="E90:H90"/>
    <mergeCell ref="E154:H154"/>
    <mergeCell ref="E131:H131"/>
    <mergeCell ref="F132:F133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O16" sqref="O16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130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visible(IF(C20,"",I19-0.5-F19), K32)</f>
        <v>66</v>
      </c>
      <c r="G32" s="9">
        <f>visible(IF(C20,"",(H19/C21)-0.5),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130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130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130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130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130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130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visible(IF(C157,"",I156-0.5-F156-J158), K170)</f>
        <v>34</v>
      </c>
      <c r="G170" s="9">
        <f>visible(IF(C157,"",(H156/C158)-0.5),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3" activePane="bottomLeft" state="frozen"/>
      <selection activeCell="B1" sqref="B1"/>
      <selection pane="bottomLeft" activeCell="O56" sqref="O5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130</v>
      </c>
      <c r="K27" s="6" t="s">
        <v>113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130</v>
      </c>
      <c r="K60" s="6" t="s">
        <v>113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visible(IF(H68=0, "",(H46-3.6-3.6-2.5)), K68)</f>
        <v>50.3</v>
      </c>
      <c r="G68" s="19">
        <f>visible(IF(H68=0, "",(I48-6)),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visible(IF(H69=0, "",D46), K69)</f>
        <v>45</v>
      </c>
      <c r="G69" s="19">
        <f>visible(IF(H69=0, "",(I48-6)),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visible(IF(H70=0, "",(H46-3.6-3.6-2.5)), K70)</f>
        <v>50.3</v>
      </c>
      <c r="G70" s="19">
        <f>visible(IF(H70=0, "",(I48-6-3)),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visible(IF(H71=0, "",(H46-3.6-3.6-2.5)), K71)</f>
        <v>50.3</v>
      </c>
      <c r="G71" s="10">
        <f>visible(IF(H71=0, "",(I49-6)),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visible(IF(H72=0, "",D46), K72)</f>
        <v>45</v>
      </c>
      <c r="G72" s="10">
        <f>visible(IF(H72=0, "",(I49-6)),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visible(IF(H73=0, "",(H46-3.6-3.6-2.5)), K73)</f>
        <v>50.3</v>
      </c>
      <c r="G73" s="10">
        <f>visible(IF(H73=0, "",(I49-6-3)),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 t="str">
        <f>visible(IF(H74=0, "",(H46-3.6-3.6-2.5)), K74)</f>
        <v/>
      </c>
      <c r="G74" s="19" t="str">
        <f>visible(IF(H74=0, "",(I50-6)), K74)</f>
        <v/>
      </c>
      <c r="H74" s="19">
        <f>visible(G50*C44, K74)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 t="str">
        <f>visible(IF(H75=0, "",D46), K75)</f>
        <v/>
      </c>
      <c r="G75" s="19" t="str">
        <f>visible(IF(H75=0, "",(I50-6)), K75)</f>
        <v/>
      </c>
      <c r="H75" s="19">
        <f>visible(2*G50*C44, K75)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 t="str">
        <f>visible(IF(H76=0, "",(H46-3.6-3.6-2.5)), K76)</f>
        <v/>
      </c>
      <c r="G76" s="19" t="str">
        <f>visible(IF(H76=0, "",(I50-6-3)), K76)</f>
        <v/>
      </c>
      <c r="H76" s="19">
        <f>visible(G50*C44, K76)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visible(IF(H78=0, "",(I48-0.5-G46)), K78)</f>
        <v>16</v>
      </c>
      <c r="G78" s="9">
        <f>visible(IF(H78=0, "",(H46-0.5)),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visible(IF(H79=0, "",(I49-0.5-G46)), K79)</f>
        <v>16</v>
      </c>
      <c r="G79" s="9">
        <f>visible(IF(H79=0, "",(H46-0.5)),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 t="str">
        <f>visible(IF(H80=0, "",(I50-0.5-G46)), K80)</f>
        <v/>
      </c>
      <c r="G80" s="9" t="str">
        <f>visible(IF(H80=0, "",(H46-0.5)), K80)</f>
        <v/>
      </c>
      <c r="H80" s="9">
        <f>visible(G50*C44, K80)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visible(IF(H81=0, "",(I51-0.5-G46)), K81)</f>
        <v/>
      </c>
      <c r="G81" s="9" t="str">
        <f>visible(IF(H81=0, "",((H46/G51)-0.5)), K81)</f>
        <v/>
      </c>
      <c r="H81" s="9">
        <f>visible((G51+H51)*C44, K81)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visible(IF(H82=0, "",(H46-0.5)), K82)</f>
        <v>59.5</v>
      </c>
      <c r="G82" s="23">
        <f>visible(IF(H82=0, "",(I52-60.5)),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>
        <f>IF(H83=0, "",(I53-0.5-G51))</f>
        <v>34.5</v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  <c r="L83" s="3">
        <f>IF(H84=0, "",(I54-0.5-G52))</f>
        <v>76.5</v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visible(IF(H85=0, "",(I54-0.5-G46)), K85)</f>
        <v>74</v>
      </c>
      <c r="G85" s="9">
        <f>visible(IF(H85=0, "",((H46/G54)-0.5)),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visible(IF(H86=0, "",(I55-0.5-G46)), K86)</f>
        <v/>
      </c>
      <c r="G86" s="9" t="str">
        <f>visible(IF(H86=0, "",((H46/G55)-0.5)), K86)</f>
        <v/>
      </c>
      <c r="H86" s="9">
        <f>visible(G55*C44, K86)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visible(IF(H89=0, "",(I51-0.5-G46)), K89)</f>
        <v/>
      </c>
      <c r="G89" s="9" t="str">
        <f>visible(IF(H89=0, "",((H46/G51)-0.5)), K89)</f>
        <v/>
      </c>
      <c r="H89" s="9">
        <f>visible(H51*C44, K89)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visible(IF(H90=0, "",(I54-0.5)), K90)</f>
        <v/>
      </c>
      <c r="G90" s="9" t="str">
        <f>visible(IF(H90=0, "",((H46/H54)-0.5)), K90)</f>
        <v/>
      </c>
      <c r="H90" s="9">
        <f>visible(H54*C44, K90)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visible(IF(H91=0, "",(I55-0.5)), K91)</f>
        <v/>
      </c>
      <c r="G91" s="9" t="str">
        <f>visible(IF(H91=0, "",((H46/H55)-0.5)), K91)</f>
        <v/>
      </c>
      <c r="H91" s="9">
        <f>visible(H55*C44, K91)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130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130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130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2024-09-23T14:35:42Z</dcterms:modified>
</cp:coreProperties>
</file>