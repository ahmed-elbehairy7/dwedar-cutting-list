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3935F016-84C8-4672-BF18-004F54DCB15F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9" i="11" l="1"/>
  <c r="H62" i="11" a="1"/>
  <c r="B62" i="11" a="1"/>
  <c r="E60" i="11" a="1"/>
  <c r="H59" i="11" a="1"/>
  <c r="B59" i="11" a="1"/>
  <c r="E58" i="11" a="1"/>
  <c r="H57" i="11" a="1"/>
  <c r="B57" i="11" a="1"/>
  <c r="E56" i="11" a="1"/>
  <c r="J57" i="11" a="1"/>
  <c r="F56" i="11" a="1"/>
  <c r="J64" i="11" a="1"/>
  <c r="G62" i="11" a="1"/>
  <c r="J60" i="11" a="1"/>
  <c r="J58" i="11" a="1"/>
  <c r="J56" i="11" a="1"/>
  <c r="H58" i="11" a="1"/>
  <c r="C57" i="11" a="1"/>
  <c r="G59" i="11" a="1"/>
  <c r="F52" i="11" a="1"/>
  <c r="E57" i="11" a="1"/>
  <c r="J59" i="11" a="1"/>
  <c r="C60" i="11" a="1"/>
  <c r="C58" i="11" a="1"/>
  <c r="C56" i="11" a="1"/>
  <c r="E59" i="11" a="1"/>
  <c r="G58" i="11" a="1"/>
  <c r="C62" i="11" a="1"/>
  <c r="F59" i="11" a="1"/>
  <c r="B58" i="11" a="1"/>
  <c r="F60" i="11" a="1"/>
  <c r="I52" i="11" a="1"/>
  <c r="B56" i="11" a="1"/>
  <c r="F58" i="11" a="1"/>
  <c r="E62" i="11" a="1"/>
  <c r="H60" i="11" a="1"/>
  <c r="B60" i="11" a="1"/>
  <c r="H56" i="11" a="1"/>
  <c r="J52" i="11" a="1"/>
  <c r="C59" i="11" a="1"/>
  <c r="J49" i="11"/>
  <c r="J62" i="11" a="1"/>
  <c r="J62" i="11" l="1"/>
  <c r="C59" i="11"/>
  <c r="J52" i="11"/>
  <c r="H56" i="11"/>
  <c r="B60" i="11"/>
  <c r="H60" i="11"/>
  <c r="E62" i="11"/>
  <c r="F58" i="11"/>
  <c r="B56" i="11"/>
  <c r="I52" i="11"/>
  <c r="F60" i="11"/>
  <c r="B58" i="11"/>
  <c r="F59" i="11"/>
  <c r="C62" i="11"/>
  <c r="G58" i="11"/>
  <c r="E59" i="11"/>
  <c r="C56" i="11"/>
  <c r="C58" i="11"/>
  <c r="C60" i="11"/>
  <c r="J59" i="11"/>
  <c r="E57" i="11"/>
  <c r="F52" i="11"/>
  <c r="K64" i="11" s="1"/>
  <c r="G59" i="11"/>
  <c r="C57" i="11"/>
  <c r="H58" i="11"/>
  <c r="J56" i="11"/>
  <c r="J58" i="11"/>
  <c r="J60" i="11"/>
  <c r="G62" i="11"/>
  <c r="J64" i="11"/>
  <c r="F56" i="11"/>
  <c r="J57" i="11"/>
  <c r="E56" i="11"/>
  <c r="B57" i="11"/>
  <c r="H57" i="11"/>
  <c r="E58" i="11"/>
  <c r="B59" i="11"/>
  <c r="H59" i="11"/>
  <c r="E60" i="11"/>
  <c r="B62" i="11"/>
  <c r="H62" i="11"/>
  <c r="K31" i="11"/>
  <c r="K13" i="11"/>
  <c r="G56" i="11" a="1"/>
  <c r="G57" i="11" a="1"/>
  <c r="F57" i="11" a="1"/>
  <c r="G64" i="11" a="1"/>
  <c r="B64" i="11" a="1"/>
  <c r="H64" i="11" a="1"/>
  <c r="C64" i="11" a="1"/>
  <c r="E64" i="11" a="1"/>
  <c r="F34" i="11" a="1"/>
  <c r="G14" i="11" a="1"/>
  <c r="B170" i="3" a="1"/>
  <c r="C166" i="3" a="1"/>
  <c r="G165" i="3" a="1"/>
  <c r="E164" i="3" a="1"/>
  <c r="H165" i="3" a="1"/>
  <c r="F165" i="3" a="1"/>
  <c r="H170" i="3" a="1"/>
  <c r="B166" i="3" a="1"/>
  <c r="G164" i="3" a="1"/>
  <c r="J168" i="3" a="1"/>
  <c r="H164" i="3" a="1"/>
  <c r="E166" i="3" a="1"/>
  <c r="G170" i="3" a="1"/>
  <c r="J166" i="3" a="1"/>
  <c r="F162" i="3" a="1"/>
  <c r="B168" i="3" a="1"/>
  <c r="E162" i="3" a="1"/>
  <c r="F166" i="3" a="1"/>
  <c r="E170" i="3" a="1"/>
  <c r="C168" i="3" a="1"/>
  <c r="E165" i="3" a="1"/>
  <c r="E163" i="3" a="1"/>
  <c r="H163" i="3" a="1"/>
  <c r="C170" i="3" a="1"/>
  <c r="H166" i="3" a="1"/>
  <c r="J170" i="3" a="1"/>
  <c r="E168" i="3" a="1"/>
  <c r="F164" i="3" a="1"/>
  <c r="H168" i="3" a="1"/>
  <c r="G168" i="3" a="1"/>
  <c r="H162" i="3" a="1"/>
  <c r="H26" i="11" a="1"/>
  <c r="G20" i="11" a="1"/>
  <c r="E21" i="11" a="1"/>
  <c r="B25" i="11" a="1"/>
  <c r="J13" i="11"/>
  <c r="H25" i="11" a="1"/>
  <c r="F28" i="11" a="1"/>
  <c r="E22" i="11" a="1"/>
  <c r="B23" i="11" a="1"/>
  <c r="H23" i="11" a="1"/>
  <c r="E20" i="11" a="1"/>
  <c r="B22" i="11" a="1"/>
  <c r="C28" i="11" a="1"/>
  <c r="F26" i="11" a="1"/>
  <c r="B21" i="11" a="1"/>
  <c r="H22" i="11" a="1"/>
  <c r="H21" i="11" a="1"/>
  <c r="F25" i="11" a="1"/>
  <c r="H20" i="11" a="1"/>
  <c r="F23" i="11" a="1"/>
  <c r="C26" i="11" a="1"/>
  <c r="B20" i="11" a="1"/>
  <c r="H28" i="11" a="1"/>
  <c r="J26" i="11" a="1"/>
  <c r="C22" i="11" a="1"/>
  <c r="G26" i="11" a="1"/>
  <c r="G25" i="11" a="1"/>
  <c r="B28" i="11" a="1"/>
  <c r="E23" i="11" a="1"/>
  <c r="G22" i="11" a="1"/>
  <c r="F22" i="11" a="1"/>
  <c r="C25" i="11" a="1"/>
  <c r="J28" i="11" a="1"/>
  <c r="F21" i="11" a="1"/>
  <c r="G28" i="11" a="1"/>
  <c r="J25" i="11" a="1"/>
  <c r="J22" i="11" a="1"/>
  <c r="J23" i="11" a="1"/>
  <c r="G21" i="11" a="1"/>
  <c r="C23" i="11" a="1"/>
  <c r="E28" i="11" a="1"/>
  <c r="C20" i="11" a="1"/>
  <c r="G23" i="11" a="1"/>
  <c r="B26" i="11" a="1"/>
  <c r="F20" i="11" a="1"/>
  <c r="C21" i="11" a="1"/>
  <c r="J21" i="11" a="1"/>
  <c r="E25" i="11" a="1"/>
  <c r="J20" i="11" a="1"/>
  <c r="E26" i="11" a="1"/>
  <c r="J46" i="11" a="1"/>
  <c r="G44" i="11" a="1"/>
  <c r="J42" i="11" a="1"/>
  <c r="G41" i="11" a="1"/>
  <c r="J40" i="11" a="1"/>
  <c r="J38" i="11" a="1"/>
  <c r="C42" i="11" a="1"/>
  <c r="C40" i="11" a="1"/>
  <c r="C38" i="11" a="1"/>
  <c r="F41" i="11" a="1"/>
  <c r="E44" i="11" a="1"/>
  <c r="H42" i="11" a="1"/>
  <c r="B42" i="11" a="1"/>
  <c r="E41" i="11" a="1"/>
  <c r="H40" i="11" a="1"/>
  <c r="B40" i="11" a="1"/>
  <c r="E39" i="11" a="1"/>
  <c r="H38" i="11" a="1"/>
  <c r="B38" i="11" a="1"/>
  <c r="J44" i="11" a="1"/>
  <c r="J41" i="11" a="1"/>
  <c r="G40" i="11" a="1"/>
  <c r="J34" i="11" a="1"/>
  <c r="J31" i="11"/>
  <c r="C44" i="11" a="1"/>
  <c r="F42" i="11" a="1"/>
  <c r="C41" i="11" a="1"/>
  <c r="F40" i="11" a="1"/>
  <c r="C39" i="11" a="1"/>
  <c r="F38" i="11" a="1"/>
  <c r="I34" i="11" a="1"/>
  <c r="H44" i="11" a="1"/>
  <c r="B44" i="11" a="1"/>
  <c r="E42" i="11" a="1"/>
  <c r="H41" i="11" a="1"/>
  <c r="B41" i="11" a="1"/>
  <c r="E40" i="11" a="1"/>
  <c r="H39" i="11" a="1"/>
  <c r="B39" i="11" a="1"/>
  <c r="E38" i="11" a="1"/>
  <c r="E64" i="11" l="1"/>
  <c r="C64" i="11"/>
  <c r="H64" i="11"/>
  <c r="B64" i="11"/>
  <c r="G64" i="11"/>
  <c r="F57" i="11"/>
  <c r="G57" i="11"/>
  <c r="G56" i="11"/>
  <c r="F34" i="11"/>
  <c r="K46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J41" i="11"/>
  <c r="J44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J38" i="11"/>
  <c r="J40" i="11"/>
  <c r="G41" i="11"/>
  <c r="J42" i="11"/>
  <c r="G44" i="11"/>
  <c r="J46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B170" i="3"/>
  <c r="H170" i="3"/>
  <c r="G170" i="3"/>
  <c r="E170" i="3"/>
  <c r="C170" i="3"/>
  <c r="J170" i="3"/>
  <c r="H168" i="3"/>
  <c r="G168" i="3"/>
  <c r="E168" i="3"/>
  <c r="H166" i="3"/>
  <c r="F166" i="3"/>
  <c r="E166" i="3"/>
  <c r="C166" i="3"/>
  <c r="B166" i="3"/>
  <c r="J166" i="3"/>
  <c r="C168" i="3"/>
  <c r="B168" i="3"/>
  <c r="J168" i="3"/>
  <c r="H165" i="3"/>
  <c r="H164" i="3"/>
  <c r="H163" i="3"/>
  <c r="H162" i="3"/>
  <c r="F165" i="3"/>
  <c r="F164" i="3"/>
  <c r="G165" i="3"/>
  <c r="G164" i="3"/>
  <c r="F162" i="3"/>
  <c r="E165" i="3"/>
  <c r="E164" i="3"/>
  <c r="E163" i="3"/>
  <c r="E162" i="3"/>
  <c r="F64" i="11" a="1"/>
  <c r="G60" i="11" a="1"/>
  <c r="C46" i="11" a="1"/>
  <c r="E46" i="11" a="1"/>
  <c r="G46" i="11" a="1"/>
  <c r="B46" i="11" a="1"/>
  <c r="H46" i="11" a="1"/>
  <c r="J39" i="11" a="1"/>
  <c r="G38" i="11" a="1"/>
  <c r="G39" i="11" a="1"/>
  <c r="F39" i="11" a="1"/>
  <c r="G60" i="11" l="1"/>
  <c r="F64" i="11"/>
  <c r="H46" i="11"/>
  <c r="B46" i="11"/>
  <c r="G46" i="11"/>
  <c r="E46" i="11"/>
  <c r="C46" i="11"/>
  <c r="J39" i="11"/>
  <c r="F39" i="11"/>
  <c r="G39" i="11"/>
  <c r="G38" i="11"/>
  <c r="F46" i="11" a="1"/>
  <c r="G42" i="11" a="1"/>
  <c r="G42" i="11" l="1"/>
  <c r="F46" i="11"/>
  <c r="K155" i="3" l="1"/>
  <c r="O22" i="8" a="1"/>
  <c r="B163" i="3" a="1"/>
  <c r="B164" i="3" a="1"/>
  <c r="J163" i="3" a="1"/>
  <c r="C162" i="3" a="1"/>
  <c r="B165" i="3" a="1"/>
  <c r="J164" i="3" a="1"/>
  <c r="B162" i="3" a="1"/>
  <c r="J155" i="3"/>
  <c r="J165" i="3" a="1"/>
  <c r="J162" i="3" a="1"/>
  <c r="C164" i="3" a="1"/>
  <c r="C165" i="3" a="1"/>
  <c r="C163" i="3" a="1"/>
  <c r="I14" i="11" a="1"/>
  <c r="I158" i="3" a="1"/>
  <c r="E14" i="11" a="1"/>
  <c r="J158" i="3" a="1"/>
  <c r="G16" i="11" a="1"/>
  <c r="I158" i="3" l="1"/>
  <c r="J158" i="3"/>
  <c r="B165" i="3"/>
  <c r="B163" i="3"/>
  <c r="C165" i="3"/>
  <c r="J163" i="3"/>
  <c r="C164" i="3"/>
  <c r="B162" i="3"/>
  <c r="B164" i="3"/>
  <c r="J162" i="3"/>
  <c r="J164" i="3"/>
  <c r="C163" i="3"/>
  <c r="J165" i="3"/>
  <c r="C162" i="3"/>
  <c r="I14" i="11"/>
  <c r="G16" i="11"/>
  <c r="E14" i="11"/>
  <c r="O22" i="8"/>
  <c r="G163" i="3" a="1"/>
  <c r="F163" i="3" a="1"/>
  <c r="O23" i="8" a="1"/>
  <c r="G162" i="3" a="1"/>
  <c r="D21" i="11" a="1"/>
  <c r="D20" i="11" a="1"/>
  <c r="D28" i="11" a="1"/>
  <c r="D25" i="11" a="1"/>
  <c r="D23" i="11" a="1"/>
  <c r="G166" i="3" a="1"/>
  <c r="D22" i="11" a="1"/>
  <c r="D26" i="11" a="1"/>
  <c r="F170" i="3" a="1"/>
  <c r="D28" i="11" l="1"/>
  <c r="D26" i="11"/>
  <c r="D25" i="11"/>
  <c r="D23" i="11"/>
  <c r="D22" i="11"/>
  <c r="D21" i="11"/>
  <c r="D20" i="11"/>
  <c r="F170" i="3"/>
  <c r="G166" i="3"/>
  <c r="F163" i="3"/>
  <c r="G163" i="3"/>
  <c r="G162" i="3"/>
  <c r="O23" i="8"/>
  <c r="O24" i="8" a="1"/>
  <c r="I20" i="11" a="1"/>
  <c r="I26" i="11" a="1"/>
  <c r="I28" i="11" a="1"/>
  <c r="I25" i="11" a="1"/>
  <c r="I21" i="11" a="1"/>
  <c r="I22" i="11" a="1"/>
  <c r="I23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27" i="8" a="1"/>
  <c r="O28" i="8" a="1"/>
  <c r="O29" i="8" a="1"/>
  <c r="O30" i="8" a="1"/>
  <c r="F26" i="8" a="1"/>
  <c r="O25" i="8" a="1"/>
  <c r="O31" i="8" a="1"/>
  <c r="O26" i="8" a="1"/>
  <c r="R19" i="8" a="1"/>
  <c r="I23" i="8" a="1"/>
  <c r="O19" i="8" a="1"/>
  <c r="L20" i="8" a="1"/>
  <c r="F24" i="8" a="1"/>
  <c r="F20" i="8" a="1"/>
  <c r="O20" i="8" a="1"/>
  <c r="F25" i="8" a="1"/>
  <c r="L21" i="8" a="1"/>
  <c r="F21" i="8" a="1"/>
  <c r="F19" i="8" a="1"/>
  <c r="L19" i="8" a="1"/>
  <c r="I22" i="8" a="1"/>
  <c r="O21" i="8" a="1"/>
  <c r="O26" i="8" l="1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6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E50" i="11" a="1"/>
  <c r="G52" i="11" a="1"/>
  <c r="G50" i="11" a="1"/>
  <c r="I50" i="11" a="1"/>
  <c r="I27" i="8" a="1"/>
  <c r="L25" i="8" a="1"/>
  <c r="R23" i="8" a="1"/>
  <c r="J132" i="3"/>
  <c r="R25" i="8" a="1"/>
  <c r="I28" i="8" a="1"/>
  <c r="J25" i="6"/>
  <c r="I31" i="8" a="1"/>
  <c r="L30" i="8" a="1"/>
  <c r="J37" i="6"/>
  <c r="F29" i="8" a="1"/>
  <c r="R21" i="8" a="1"/>
  <c r="L29" i="8" a="1"/>
  <c r="J31" i="7"/>
  <c r="R31" i="8" a="1"/>
  <c r="R27" i="8" a="1"/>
  <c r="R20" i="8" a="1"/>
  <c r="I30" i="8" a="1"/>
  <c r="R24" i="8" a="1"/>
  <c r="L27" i="8" a="1"/>
  <c r="F30" i="8" a="1"/>
  <c r="R30" i="8" a="1"/>
  <c r="L28" i="8" a="1"/>
  <c r="I29" i="8" a="1"/>
  <c r="R26" i="8" a="1"/>
  <c r="F28" i="8" a="1"/>
  <c r="I26" i="8" a="1"/>
  <c r="F31" i="8" a="1"/>
  <c r="R29" i="8" a="1"/>
  <c r="R28" i="8" a="1"/>
  <c r="F27" i="8" a="1"/>
  <c r="R22" i="8" a="1"/>
  <c r="L24" i="8" a="1"/>
  <c r="J127" i="7"/>
  <c r="L31" i="8" a="1"/>
  <c r="J79" i="4"/>
  <c r="I32" i="11" a="1"/>
  <c r="E32" i="11" a="1"/>
  <c r="G34" i="11" a="1"/>
  <c r="G32" i="11" a="1"/>
  <c r="I156" i="3" a="1"/>
  <c r="J81" i="4" a="1"/>
  <c r="G152" i="4" a="1"/>
  <c r="I15" i="4" a="1"/>
  <c r="G156" i="3" a="1"/>
  <c r="G131" i="4" a="1"/>
  <c r="G57" i="4" a="1"/>
  <c r="I152" i="4" a="1"/>
  <c r="G36" i="4" a="1"/>
  <c r="J36" i="4" a="1"/>
  <c r="J132" i="4" a="1"/>
  <c r="I81" i="4" a="1"/>
  <c r="I20" i="8" a="1"/>
  <c r="J105" i="4" a="1"/>
  <c r="G15" i="4" a="1"/>
  <c r="G81" i="4" a="1"/>
  <c r="G158" i="3" a="1"/>
  <c r="I25" i="8" a="1"/>
  <c r="I36" i="4" a="1"/>
  <c r="G105" i="4" a="1"/>
  <c r="I105" i="4" a="1"/>
  <c r="I132" i="4" a="1"/>
  <c r="I21" i="8" a="1"/>
  <c r="I106" i="4" a="1"/>
  <c r="J131" i="4" a="1"/>
  <c r="I131" i="4" a="1"/>
  <c r="I24" i="8" a="1"/>
  <c r="E156" i="3" a="1"/>
  <c r="J106" i="4" a="1"/>
  <c r="I57" i="4" a="1"/>
  <c r="J152" i="4" a="1"/>
  <c r="J15" i="4" a="1"/>
  <c r="J57" i="4" a="1"/>
  <c r="I50" i="11" l="1"/>
  <c r="G50" i="11"/>
  <c r="G52" i="11"/>
  <c r="E50" i="11"/>
  <c r="I26" i="8"/>
  <c r="G32" i="11"/>
  <c r="G34" i="11"/>
  <c r="E32" i="11"/>
  <c r="I32" i="11"/>
  <c r="G158" i="3"/>
  <c r="G156" i="3"/>
  <c r="I156" i="3"/>
  <c r="E156" i="3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D59" i="11" a="1"/>
  <c r="D57" i="11" a="1"/>
  <c r="D56" i="11" a="1"/>
  <c r="D58" i="11" a="1"/>
  <c r="D60" i="11" a="1"/>
  <c r="D62" i="11" a="1"/>
  <c r="F62" i="11" a="1"/>
  <c r="D64" i="11" a="1"/>
  <c r="J66" i="7"/>
  <c r="J13" i="3"/>
  <c r="J86" i="7"/>
  <c r="D168" i="3" a="1"/>
  <c r="J103" i="4"/>
  <c r="J48" i="3"/>
  <c r="J13" i="4"/>
  <c r="J68" i="3"/>
  <c r="J34" i="4"/>
  <c r="J109" i="3"/>
  <c r="J40" i="5"/>
  <c r="J150" i="4"/>
  <c r="J13" i="6"/>
  <c r="D163" i="3" a="1"/>
  <c r="D162" i="3" a="1"/>
  <c r="J107" i="7"/>
  <c r="J13" i="5"/>
  <c r="D164" i="3" a="1"/>
  <c r="D165" i="3" a="1"/>
  <c r="J89" i="3"/>
  <c r="J55" i="4"/>
  <c r="J13" i="7"/>
  <c r="D170" i="3" a="1"/>
  <c r="D166" i="3" a="1"/>
  <c r="J129" i="4"/>
  <c r="D44" i="11" a="1"/>
  <c r="F44" i="11" a="1"/>
  <c r="D46" i="11" a="1"/>
  <c r="D39" i="11" a="1"/>
  <c r="D41" i="11" a="1"/>
  <c r="D38" i="11" a="1"/>
  <c r="D40" i="11" a="1"/>
  <c r="D42" i="11" a="1"/>
  <c r="I14" i="3" a="1"/>
  <c r="J129" i="7" a="1"/>
  <c r="I34" i="7" a="1"/>
  <c r="I134" i="3" a="1"/>
  <c r="J92" i="3" a="1"/>
  <c r="E111" i="3" a="1"/>
  <c r="I89" i="7" a="1"/>
  <c r="F152" i="4" a="1"/>
  <c r="J111" i="3" a="1"/>
  <c r="I71" i="3" a="1"/>
  <c r="J70" i="3" a="1"/>
  <c r="E70" i="3" a="1"/>
  <c r="I88" i="7" a="1"/>
  <c r="J88" i="7" a="1"/>
  <c r="J91" i="3" a="1"/>
  <c r="E50" i="3" a="1"/>
  <c r="I110" i="7" a="1"/>
  <c r="F36" i="4" a="1"/>
  <c r="G16" i="3" a="1"/>
  <c r="J110" i="7" a="1"/>
  <c r="F81" i="4" a="1"/>
  <c r="I92" i="3" a="1"/>
  <c r="J50" i="3" a="1"/>
  <c r="J16" i="3" a="1"/>
  <c r="I109" i="7" a="1"/>
  <c r="J68" i="7" a="1"/>
  <c r="F131" i="4" a="1"/>
  <c r="G134" i="3" a="1"/>
  <c r="J109" i="7" a="1"/>
  <c r="J71" i="3" a="1"/>
  <c r="I70" i="3" a="1"/>
  <c r="I68" i="7" a="1"/>
  <c r="F168" i="3" a="1"/>
  <c r="G111" i="3" a="1"/>
  <c r="I50" i="3" a="1"/>
  <c r="I129" i="7" a="1"/>
  <c r="E134" i="3" a="1"/>
  <c r="F105" i="4" a="1"/>
  <c r="J134" i="3" a="1"/>
  <c r="I111" i="3" a="1"/>
  <c r="F57" i="4" a="1"/>
  <c r="I16" i="3" a="1"/>
  <c r="F15" i="4" a="1"/>
  <c r="I91" i="3" a="1"/>
  <c r="J89" i="7" a="1"/>
  <c r="J34" i="7" a="1"/>
  <c r="E91" i="3" a="1"/>
  <c r="D64" i="11" l="1"/>
  <c r="F62" i="11"/>
  <c r="D62" i="11"/>
  <c r="D60" i="11"/>
  <c r="D58" i="11"/>
  <c r="D56" i="11"/>
  <c r="D57" i="11"/>
  <c r="D59" i="11"/>
  <c r="D42" i="11"/>
  <c r="D40" i="11"/>
  <c r="D38" i="11"/>
  <c r="D41" i="11"/>
  <c r="D39" i="11"/>
  <c r="D46" i="11"/>
  <c r="F44" i="11"/>
  <c r="D44" i="11"/>
  <c r="D162" i="3"/>
  <c r="D170" i="3"/>
  <c r="F168" i="3"/>
  <c r="D168" i="3"/>
  <c r="D166" i="3"/>
  <c r="D165" i="3"/>
  <c r="D164" i="3"/>
  <c r="D163" i="3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64" i="11" a="1"/>
  <c r="I62" i="11" a="1"/>
  <c r="I60" i="11" a="1"/>
  <c r="I58" i="11" a="1"/>
  <c r="I56" i="11" a="1"/>
  <c r="I57" i="11" a="1"/>
  <c r="I59" i="11" a="1"/>
  <c r="I168" i="3" a="1"/>
  <c r="I170" i="3" a="1"/>
  <c r="I162" i="3" a="1"/>
  <c r="I166" i="3" a="1"/>
  <c r="I165" i="3" a="1"/>
  <c r="I164" i="3" a="1"/>
  <c r="I163" i="3" a="1"/>
  <c r="I42" i="11" a="1"/>
  <c r="I40" i="11" a="1"/>
  <c r="I38" i="11" a="1"/>
  <c r="I41" i="11" a="1"/>
  <c r="I39" i="11" a="1"/>
  <c r="I46" i="11" a="1"/>
  <c r="I44" i="11" a="1"/>
  <c r="I15" i="7" a="1"/>
  <c r="B34" i="7" a="1"/>
  <c r="E88" i="7" a="1"/>
  <c r="F15" i="7" a="1"/>
  <c r="G129" i="7" a="1"/>
  <c r="F109" i="7" a="1"/>
  <c r="E15" i="7" a="1"/>
  <c r="I32" i="7" a="1"/>
  <c r="E109" i="7" a="1"/>
  <c r="F88" i="7" a="1"/>
  <c r="G34" i="7" a="1"/>
  <c r="F129" i="7" a="1"/>
  <c r="J15" i="7" a="1"/>
  <c r="E68" i="7" a="1"/>
  <c r="F68" i="7" a="1"/>
  <c r="E129" i="7" a="1"/>
  <c r="I59" i="11" l="1"/>
  <c r="I57" i="11"/>
  <c r="I56" i="11"/>
  <c r="I58" i="11"/>
  <c r="I60" i="11"/>
  <c r="I62" i="11"/>
  <c r="I64" i="11"/>
  <c r="I44" i="11"/>
  <c r="I46" i="11"/>
  <c r="I39" i="11"/>
  <c r="I41" i="11"/>
  <c r="I38" i="11"/>
  <c r="I40" i="11"/>
  <c r="I42" i="11"/>
  <c r="I170" i="3"/>
  <c r="I168" i="3"/>
  <c r="I166" i="3"/>
  <c r="I163" i="3"/>
  <c r="I164" i="3"/>
  <c r="I165" i="3"/>
  <c r="I162" i="3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F17" i="3" a="1"/>
  <c r="E14" i="6" a="1"/>
  <c r="F156" i="4" a="1"/>
  <c r="F134" i="4" a="1"/>
  <c r="E26" i="6" a="1"/>
  <c r="F72" i="3" a="1"/>
  <c r="E38" i="6" a="1"/>
  <c r="F40" i="4" a="1"/>
  <c r="F19" i="4" a="1"/>
  <c r="F21" i="5" a="1"/>
  <c r="F61" i="4" a="1"/>
  <c r="F108" i="4" a="1"/>
  <c r="F135" i="3" a="1"/>
  <c r="F85" i="4" a="1"/>
  <c r="F112" i="3" a="1"/>
  <c r="F54" i="5" a="1"/>
  <c r="F93" i="3" a="1"/>
  <c r="F51" i="3" a="1"/>
  <c r="C121" i="3" l="1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F16" i="7" a="1"/>
  <c r="F69" i="7" a="1"/>
  <c r="F90" i="7" a="1"/>
  <c r="F130" i="7" a="1"/>
  <c r="D72" i="3" a="1"/>
  <c r="D93" i="3" a="1"/>
  <c r="H108" i="4" a="1"/>
  <c r="H72" i="3" a="1"/>
  <c r="D54" i="5" a="1"/>
  <c r="D112" i="3" a="1"/>
  <c r="D19" i="4" a="1"/>
  <c r="H61" i="4" a="1"/>
  <c r="D135" i="3" a="1"/>
  <c r="H156" i="4" a="1"/>
  <c r="D108" i="4" a="1"/>
  <c r="H17" i="3" a="1"/>
  <c r="D134" i="4" a="1"/>
  <c r="D156" i="4" a="1"/>
  <c r="H93" i="3" a="1"/>
  <c r="H19" i="4" a="1"/>
  <c r="H21" i="5" a="1"/>
  <c r="H134" i="4" a="1"/>
  <c r="D21" i="5" a="1"/>
  <c r="H54" i="5" a="1"/>
  <c r="D51" i="3" a="1"/>
  <c r="H51" i="3" a="1"/>
  <c r="H40" i="4" a="1"/>
  <c r="F35" i="7" a="1"/>
  <c r="D61" i="4" a="1"/>
  <c r="H135" i="3" a="1"/>
  <c r="H85" i="4" a="1"/>
  <c r="F111" i="7" a="1"/>
  <c r="D85" i="4" a="1"/>
  <c r="H112" i="3" a="1"/>
  <c r="D40" i="4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16" i="7" a="1"/>
  <c r="H90" i="7" a="1"/>
  <c r="H69" i="7" a="1"/>
  <c r="D111" i="7" a="1"/>
  <c r="H130" i="7" a="1"/>
  <c r="D130" i="7" a="1"/>
  <c r="H16" i="7" a="1"/>
  <c r="D90" i="7" a="1"/>
  <c r="D69" i="7" a="1"/>
  <c r="H35" i="7" a="1"/>
  <c r="H111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<sst xmlns="http://schemas.openxmlformats.org/spreadsheetml/2006/main" count="1073" uniqueCount="187">
  <si>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</si>
  <si>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</si>
  <si>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</si>
  <si>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</si>
  <si>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</si>
  <si>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</si>
  <si>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</si>
  <si>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</si>
  <si>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</si>
  <si>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</si>
  <si>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</si>
  <si>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</si>
  <si>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</si>
  <si>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</si>
  <si>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</si>
  <si>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</si>
  <si>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</si>
  <si>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</si>
  <si>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</si>
  <si>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</si>
  <si>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</si>
  <si>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</si>
  <si>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</si>
  <si>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</si>
  <si>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</si>
  <si>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</si>
  <si>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</si>
  <si>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</si>
  <si>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</si>
  <si>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</si>
  <si>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</si>
  <si>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</si>
  <si>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</si>
  <si>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</si>
  <si>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</si>
  <si>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</si>
  <si>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</si>
  <si>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</si>
  <si>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</si>
  <si>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</si>
  <si>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</si>
  <si>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</si>
  <si>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</si>
  <si>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</si>
  <si>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</si>
  <si>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</si>
  <si>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</si>
  <si>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</si>
  <si>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</si>
  <si>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</si>
  <si>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</si>
  <si>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</si>
  <si>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</si>
  <si>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</si>
  <si>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</si>
  <si>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</si>
  <si>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</si>
  <si>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</si>
  <si>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</si>
  <si>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</si>
  <si>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</si>
  <si>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</si>
  <si>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</si>
  <si>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</si>
  <si>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</si>
  <si>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</si>
  <si>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</si>
  <si>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</si>
  <si>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</si>
  <si>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</si>
  <si>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</si>
  <si>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</si>
  <si>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</si>
  <si>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</si>
  <si>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</si>
  <si>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</si>
  <si>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</si>
  <si>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</si>
  <si>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</si>
  <si>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</si>
  <si>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</si>
  <si>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</si>
  <si>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</si>
  <si>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</si>
  <si>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</si>
  <si>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</si>
  <si>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</si>
  <si>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</si>
  <si>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</si>
  <si>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</si>
  <si>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</si>
  <si>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</si>
  <si>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</si>
  <si>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</si>
  <si>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</si>
  <si>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</si>
  <si>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</si>
  <si>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</si>
  <si>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</si>
  <si>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</si>
  <si>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</si>
  <si>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</si>
  <si>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</si>
  <si>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</si>
  <si>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</si>
  <si>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</si>
  <si>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</si>
  <si>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</si>
  <si>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</si>
  <si>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</si>
  <si>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</si>
  <si>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</si>
  <si>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</si>
  <si>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</si>
  <si>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</si>
  <si>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</si>
  <si>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</si>
  <si>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</si>
  <si>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</si>
  <si>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</si>
  <si>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</si>
  <si>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</si>
  <si>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</si>
  <si>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</si>
  <si>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</si>
  <si>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</si>
  <si>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</si>
  <si>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</si>
  <si>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</si>
  <si>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</si>
  <si>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</si>
  <si>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</si>
  <si>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</si>
  <si>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</si>
  <si>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</si>
  <si>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</si>
  <si>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</si>
  <si>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</si>
  <si>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</si>
  <si>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</si>
  <si>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</si>
  <si>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</si>
  <si>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</si>
  <si>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</si>
  <si>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</si>
  <si>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</si>
  <si>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</si>
  <si>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</si>
  <si>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</si>
  <si>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</si>
  <si>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</si>
  <si>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</si>
  <si>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</si>
  <si>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</si>
  <si>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</si>
  <si>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</si>
  <si>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</si>
  <si>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</si>
  <si>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</si>
  <si>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</si>
  <si>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</si>
  <si>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</si>
  <si>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</si>
  <si>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</si>
  <si>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</si>
  <si>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</si>
  <si>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</si>
  <si>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</si>
  <si>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</si>
  <si>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</si>
  <si>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</si>
  <si>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</si>
  <si>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</si>
  <si>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</si>
  <si>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</si>
  <si>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</si>
  <si>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</si>
  <si>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</si>
  <si>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</si>
  <si>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</si>
  <si>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الاسم</t>
  </si>
  <si>
    <t>القيمة</t>
  </si>
  <si>
    <t>نموذجا لتبدأ به</t>
  </si>
  <si>
    <t>وحدة عادية</t>
  </si>
  <si>
    <t>وحدة سفلية دلفة /دلفتين</t>
  </si>
  <si>
    <t>وحدة سفلية</t>
  </si>
  <si>
    <t>وحدة سفلية ادراج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</si>
</sst>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6275</xdr:colOff>
          <xdr:row>5</xdr:row>
          <xdr:rowOff>43031</xdr:rowOff>
        </xdr:from>
        <xdr:to>
          <xdr:col>14</xdr:col>
          <xdr:colOff>173915</xdr:colOff>
          <xdr:row>7</xdr:row>
          <xdr:rowOff>35411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وحدة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O11" sqref="O11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6" t="s">
        <v>111</v>
      </c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101" t="s">
        <v>173</v>
      </c>
      <c r="D17" s="102"/>
      <c r="E17" s="84"/>
      <c r="F17" s="101" t="s">
        <v>0</v>
      </c>
      <c r="G17" s="102"/>
      <c r="H17" s="84"/>
      <c r="I17" s="101" t="s">
        <v>104</v>
      </c>
      <c r="J17" s="102"/>
      <c r="K17" s="84"/>
      <c r="L17" s="101" t="s">
        <v>43</v>
      </c>
      <c r="M17" s="102"/>
      <c r="N17" s="84"/>
      <c r="O17" s="101" t="s">
        <v>64</v>
      </c>
      <c r="P17" s="102"/>
      <c r="Q17" s="84"/>
      <c r="R17" s="101" t="s">
        <v>103</v>
      </c>
      <c r="S17" s="102"/>
    </row>
    <row r="18" spans="1:19" ht="21" customHeight="1" x14ac:dyDescent="0.3">
      <c r="A18" s="51"/>
      <c r="B18"/>
      <c r="C18" s="99">
        <f ca="1">_xlfn.SHEET("إعدادات")</f>
        <v>1</v>
      </c>
      <c r="D18" s="100"/>
      <c r="F18" s="99">
        <f ca="1">_xlfn.SHEET("وحدات سفلية")</f>
        <v>4</v>
      </c>
      <c r="G18" s="100"/>
      <c r="H18" s="63"/>
      <c r="I18" s="99">
        <f ca="1">_xlfn.SHEET("بورديوم")</f>
        <v>5</v>
      </c>
      <c r="J18" s="100"/>
      <c r="K18" s="63"/>
      <c r="L18" s="99">
        <f ca="1">_xlfn.SHEET("وحدات علوية")</f>
        <v>6</v>
      </c>
      <c r="M18" s="100"/>
      <c r="N18" s="63"/>
      <c r="O18" s="99">
        <f ca="1">_xlfn.SHEET("دواليب")</f>
        <v>7</v>
      </c>
      <c r="P18" s="100"/>
      <c r="Q18" s="63"/>
      <c r="R18" s="99">
        <f ca="1">_xlfn.SHEET("تجاليد")</f>
        <v>8</v>
      </c>
      <c r="S18" s="100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#N/A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cm="1">
        <f t="array" ref="F26">defaultValue(G26,C24)</f>
        <v>1</v>
      </c>
      <c r="G26" s="81" t="s">
        <v>114</v>
      </c>
      <c r="H26" s="63"/>
      <c r="I26" s="79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K66"/>
  <sheetViews>
    <sheetView tabSelected="1" zoomScale="85" zoomScaleNormal="85" workbookViewId="0">
      <pane ySplit="8" topLeftCell="A49" activePane="bottomLeft" state="frozen"/>
      <selection pane="bottomLeft" activeCell="M53" sqref="M53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1" s="34" customFormat="1" x14ac:dyDescent="0.3">
      <c r="B1" s="34">
        <v>3</v>
      </c>
    </row>
    <row r="2" spans="1:11" s="34" customFormat="1" x14ac:dyDescent="0.3">
      <c r="B2" s="34" t="s">
        <v>182</v>
      </c>
    </row>
    <row r="3" spans="1:11" s="34" customFormat="1" x14ac:dyDescent="0.3">
      <c r="B3" s="34" t="s">
        <v>179</v>
      </c>
    </row>
    <row r="4" spans="1:11" s="34" customFormat="1" x14ac:dyDescent="0.3"/>
    <row r="5" spans="1:11" s="34" customFormat="1" x14ac:dyDescent="0.3"/>
    <row r="6" spans="1:11" s="34" customFormat="1" x14ac:dyDescent="0.3"/>
    <row r="7" spans="1:11" s="34" customFormat="1" x14ac:dyDescent="0.3"/>
    <row r="8" spans="1:11" s="34" customFormat="1" x14ac:dyDescent="0.3"/>
    <row r="9" spans="1:11" x14ac:dyDescent="0.3">
      <c r="A9" s="40"/>
    </row>
    <row r="13" spans="1:11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3" t="s">
        <v>183</v>
      </c>
      <c r="F13" s="104"/>
      <c r="G13" s="104"/>
      <c r="H13" s="105"/>
      <c r="I13" s="2" t="s">
        <v>30</v>
      </c>
      <c r="J13" s="2">
        <f>letterToNumber(A13)</f>
        <v>1</v>
      </c>
      <c r="K13" s="27">
        <f ca="1">_xlfn.SHEET("نماذج")</f>
        <v>2</v>
      </c>
    </row>
    <row r="14" spans="1:11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</row>
    <row r="15" spans="1:11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</row>
    <row r="16" spans="1:11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</row>
    <row r="17" spans="1:11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</row>
    <row r="18" spans="1:11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</row>
    <row r="19" spans="1:11" ht="15.6" x14ac:dyDescent="0.3">
      <c r="A19" s="51">
        <v>0</v>
      </c>
      <c r="B19" s="15"/>
      <c r="K19" s="3"/>
    </row>
    <row r="20" spans="1:11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</row>
    <row r="21" spans="1:11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</row>
    <row r="22" spans="1:11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</row>
    <row r="23" spans="1:11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</row>
    <row r="24" spans="1:11" ht="15.6" x14ac:dyDescent="0.3">
      <c r="A24" s="51">
        <v>0</v>
      </c>
      <c r="B24" s="15"/>
      <c r="K24" s="3"/>
    </row>
    <row r="25" spans="1:11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</row>
    <row r="26" spans="1:11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</row>
    <row r="27" spans="1:11" ht="15.6" x14ac:dyDescent="0.3">
      <c r="A27" s="51">
        <v>0</v>
      </c>
      <c r="B27" s="15"/>
      <c r="K27" s="3"/>
    </row>
    <row r="28" spans="1:11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</row>
    <row r="29" spans="1:11" x14ac:dyDescent="0.3">
      <c r="A29" s="34">
        <v>255</v>
      </c>
    </row>
    <row r="30" spans="1:11" x14ac:dyDescent="0.3">
      <c r="A30" s="34">
        <v>255</v>
      </c>
    </row>
    <row r="31" spans="1:11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3" t="s">
        <v>185</v>
      </c>
      <c r="F31" s="104"/>
      <c r="G31" s="104"/>
      <c r="H31" s="105"/>
      <c r="I31" s="2" t="s">
        <v>30</v>
      </c>
      <c r="J31" s="2">
        <f>letterToNumber(A31)</f>
        <v>2</v>
      </c>
      <c r="K31" s="27">
        <f ca="1">_xlfn.SHEET("وحدات سفلية")</f>
        <v>4</v>
      </c>
    </row>
    <row r="32" spans="1:11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</row>
    <row r="33" spans="1:11" ht="15.6" x14ac:dyDescent="0.3">
      <c r="A33" s="51">
        <v>1</v>
      </c>
      <c r="B33" s="15"/>
      <c r="C33" s="7" t="s">
        <v>12</v>
      </c>
      <c r="D33" s="7" t="s">
        <v>18</v>
      </c>
      <c r="E33" s="124"/>
      <c r="F33" s="124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 t="s">
        <v>180</v>
      </c>
    </row>
    <row r="34" spans="1:11" ht="15.6" x14ac:dyDescent="0.3">
      <c r="A34" s="51">
        <v>1</v>
      </c>
      <c r="B34" s="15"/>
      <c r="C34" s="27">
        <v>1</v>
      </c>
      <c r="D34" s="27">
        <v>5</v>
      </c>
      <c r="E34" s="46"/>
      <c r="F34" s="27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 t="s">
        <v>181</v>
      </c>
    </row>
    <row r="35" spans="1:11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</row>
    <row r="36" spans="1:11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/>
    </row>
    <row r="37" spans="1:11" ht="15.6" x14ac:dyDescent="0.3">
      <c r="A37" s="51">
        <v>0</v>
      </c>
      <c r="B37" s="15"/>
      <c r="K37" s="3"/>
    </row>
    <row r="38" spans="1:11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visible((""),M38)</f>
        <v/>
      </c>
      <c r="K38" s="6" t="b">
        <v>1</v>
      </c>
    </row>
    <row r="39" spans="1:11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visible((""),M39)</f>
        <v/>
      </c>
      <c r="K39" s="6" t="b">
        <v>1</v>
      </c>
    </row>
    <row r="40" spans="1:11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visible((""),M40)</f>
        <v/>
      </c>
      <c r="K40" s="6" t="b">
        <v>1</v>
      </c>
    </row>
    <row r="41" spans="1:11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visible((""),M41)</f>
        <v/>
      </c>
      <c r="K41" s="6" t="b">
        <v>1</v>
      </c>
    </row>
    <row r="42" spans="1:11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visible((""),M42)</f>
        <v/>
      </c>
      <c r="K42" s="6" t="b">
        <v>1</v>
      </c>
    </row>
    <row r="43" spans="1:11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</row>
    <row r="44" spans="1:11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visible((""),M44)</f>
        <v/>
      </c>
      <c r="K44" s="9" t="b">
        <v>1</v>
      </c>
    </row>
    <row r="45" spans="1:11" ht="15.6" x14ac:dyDescent="0.3">
      <c r="A45" s="51">
        <v>0</v>
      </c>
      <c r="B45" s="15"/>
      <c r="K45" s="3"/>
    </row>
    <row r="46" spans="1:11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ref="J46">visible((""),M46)</f>
        <v/>
      </c>
      <c r="K46" s="19">
        <f ca="1">F34</f>
        <v>1</v>
      </c>
    </row>
    <row r="47" spans="1:11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</row>
    <row r="48" spans="1:11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</row>
    <row r="49" spans="1:11" ht="35.4" customHeight="1" x14ac:dyDescent="0.3">
      <c r="A49" s="54" t="s">
        <v>156</v>
      </c>
      <c r="B49" s="15"/>
      <c r="C49" s="14">
        <v>1</v>
      </c>
      <c r="D49" s="22" t="s">
        <v>59</v>
      </c>
      <c r="E49" s="103" t="s">
        <v>186</v>
      </c>
      <c r="F49" s="104"/>
      <c r="G49" s="104"/>
      <c r="H49" s="105"/>
      <c r="I49" s="2" t="s">
        <v>30</v>
      </c>
      <c r="J49" s="2">
        <f>letterToNumber(A49)</f>
        <v>3</v>
      </c>
      <c r="K49" s="27">
        <f ca="1">_xlfn.SHEET("وحدات سفلية")</f>
        <v>4</v>
      </c>
    </row>
    <row r="50" spans="1:11" ht="21" x14ac:dyDescent="0.3">
      <c r="A50" s="51">
        <v>1</v>
      </c>
      <c r="B50" s="15"/>
      <c r="C50" s="8"/>
      <c r="D50" s="7"/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</row>
    <row r="51" spans="1:11" ht="15.6" x14ac:dyDescent="0.3">
      <c r="A51" s="51">
        <v>1</v>
      </c>
      <c r="B51" s="15"/>
      <c r="C51" s="7" t="s">
        <v>12</v>
      </c>
      <c r="D51" s="7" t="s">
        <v>18</v>
      </c>
      <c r="E51" s="124"/>
      <c r="F51" s="124" t="s">
        <v>114</v>
      </c>
      <c r="G51" s="7" t="s">
        <v>16</v>
      </c>
      <c r="H51" s="7" t="s">
        <v>22</v>
      </c>
      <c r="I51" s="7" t="s">
        <v>3</v>
      </c>
      <c r="J51" s="7" t="s">
        <v>113</v>
      </c>
      <c r="K51" s="7" t="s">
        <v>180</v>
      </c>
    </row>
    <row r="52" spans="1:11" ht="15.6" x14ac:dyDescent="0.3">
      <c r="A52" s="51">
        <v>1</v>
      </c>
      <c r="B52" s="15"/>
      <c r="C52" s="27">
        <v>1</v>
      </c>
      <c r="D52" s="27">
        <v>5</v>
      </c>
      <c r="E52" s="46"/>
      <c r="F52" s="27" cm="1">
        <f t="array" aca="1" ref="F52" ca="1">defaultValue(F51,K49)</f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7" t="s">
        <v>181</v>
      </c>
    </row>
    <row r="53" spans="1:11" ht="15.6" x14ac:dyDescent="0.3">
      <c r="A53" s="51">
        <v>0</v>
      </c>
      <c r="B53" s="15"/>
      <c r="C53" s="3"/>
      <c r="D53" s="3"/>
      <c r="E53" s="3"/>
      <c r="F53" s="3"/>
      <c r="G53" s="3"/>
      <c r="H53" s="3"/>
      <c r="I53" s="3"/>
      <c r="J53" s="3"/>
      <c r="K53" s="3"/>
    </row>
    <row r="54" spans="1:11" ht="15.6" x14ac:dyDescent="0.3">
      <c r="A54" s="51">
        <v>2</v>
      </c>
      <c r="B54" s="15"/>
      <c r="C54" s="6" t="s">
        <v>4</v>
      </c>
      <c r="D54" s="6" t="s">
        <v>9</v>
      </c>
      <c r="E54" s="6" t="s">
        <v>5</v>
      </c>
      <c r="F54" s="6" t="s">
        <v>7</v>
      </c>
      <c r="G54" s="6" t="s">
        <v>1</v>
      </c>
      <c r="H54" s="6" t="s">
        <v>6</v>
      </c>
      <c r="I54" s="6" t="s">
        <v>33</v>
      </c>
      <c r="J54" s="6" t="s">
        <v>8</v>
      </c>
      <c r="K54" s="6"/>
    </row>
    <row r="55" spans="1:11" ht="15.6" x14ac:dyDescent="0.3">
      <c r="A55" s="51">
        <v>0</v>
      </c>
      <c r="B55" s="15"/>
      <c r="K55" s="3"/>
    </row>
    <row r="56" spans="1:11" ht="15.6" x14ac:dyDescent="0.3">
      <c r="A56" s="51">
        <v>3</v>
      </c>
      <c r="B56" s="15" t="str" cm="1">
        <f t="array" ref="B56">visible(E49, K56)</f>
        <v>وحدة سفلية ادراج</v>
      </c>
      <c r="C56" s="6" cm="1">
        <f t="array" ref="C56">visible((1),K56)</f>
        <v>1</v>
      </c>
      <c r="D56" s="6" t="str" cm="1">
        <f t="array" aca="1" ref="D56" ca="1">visible((I50),K56)</f>
        <v>HPL</v>
      </c>
      <c r="E56" s="6" t="str" cm="1">
        <f t="array" ref="E56">visible(("قاعدة"),K56)</f>
        <v>قاعدة</v>
      </c>
      <c r="F56" s="6" cm="1">
        <f t="array" ref="F56">visible((H52 -3.6),K56)</f>
        <v>-3.6</v>
      </c>
      <c r="G56" s="6" cm="1">
        <f t="array" aca="1" ref="G56" ca="1">visible((J52),K56)</f>
        <v>56</v>
      </c>
      <c r="H56" s="6" cm="1">
        <f t="array" ref="H56">visible((C49),K56)</f>
        <v>1</v>
      </c>
      <c r="I56" s="6" cm="1">
        <f t="array" aca="1" ref="I56" ca="1">visible(materialNum(D56),K56)</f>
        <v>2</v>
      </c>
      <c r="J56" s="6" t="str" cm="1">
        <f t="array" ref="J56">visible((""),M56)</f>
        <v/>
      </c>
      <c r="K56" s="6" t="b">
        <v>1</v>
      </c>
    </row>
    <row r="57" spans="1:11" ht="15.6" x14ac:dyDescent="0.3">
      <c r="A57" s="51">
        <v>3</v>
      </c>
      <c r="B57" s="15" t="str" cm="1">
        <f t="array" ref="B57">visible(E49, K57)</f>
        <v>وحدة سفلية ادراج</v>
      </c>
      <c r="C57" s="6" cm="1">
        <f t="array" ref="C57">visible(2,K57)</f>
        <v>2</v>
      </c>
      <c r="D57" s="6" t="str" cm="1">
        <f t="array" aca="1" ref="D57" ca="1">visible((I50),K57)</f>
        <v>HPL</v>
      </c>
      <c r="E57" s="6" t="str" cm="1">
        <f t="array" ref="E57">visible(("أجناب"),K57)</f>
        <v>أجناب</v>
      </c>
      <c r="F57" s="6" cm="1">
        <f t="array" aca="1" ref="F57" ca="1">visible((I52),K57)</f>
        <v>78</v>
      </c>
      <c r="G57" s="6" cm="1">
        <f t="array" aca="1" ref="G57" ca="1">visible((J52),K57)</f>
        <v>56</v>
      </c>
      <c r="H57" s="6" cm="1">
        <f t="array" ref="H57">visible((2 *C49),K57)</f>
        <v>2</v>
      </c>
      <c r="I57" s="6" cm="1">
        <f t="array" aca="1" ref="I57" ca="1">visible(materialNum(D57),K57)</f>
        <v>2</v>
      </c>
      <c r="J57" s="6" t="str" cm="1">
        <f t="array" ref="J57">visible((""),M57)</f>
        <v/>
      </c>
      <c r="K57" s="6" t="b">
        <v>1</v>
      </c>
    </row>
    <row r="58" spans="1:11" ht="15.6" x14ac:dyDescent="0.3">
      <c r="A58" s="51">
        <v>3</v>
      </c>
      <c r="B58" s="15" t="str" cm="1">
        <f t="array" ref="B58">visible(E49, K58)</f>
        <v>وحدة سفلية ادراج</v>
      </c>
      <c r="C58" s="6" cm="1">
        <f t="array" ref="C58">visible(3,K58)</f>
        <v>3</v>
      </c>
      <c r="D58" s="6" t="str" cm="1">
        <f t="array" aca="1" ref="D58" ca="1">visible((I50),K58)</f>
        <v>HPL</v>
      </c>
      <c r="E58" s="6" t="str" cm="1">
        <f t="array" ref="E58">visible(("مرايا علوية 1"),K58)</f>
        <v>مرايا علوية 1</v>
      </c>
      <c r="F58" s="6" cm="1">
        <f t="array" ref="F58">visible((H52-3.6),K58)</f>
        <v>-3.6</v>
      </c>
      <c r="G58" s="6" cm="1">
        <f t="array" ref="G58">visible((10),K58)</f>
        <v>10</v>
      </c>
      <c r="H58" s="6" cm="1">
        <f t="array" ref="H58">visible((C49),K58)</f>
        <v>1</v>
      </c>
      <c r="I58" s="6" cm="1">
        <f t="array" aca="1" ref="I58" ca="1">visible(materialNum(D58),K58)</f>
        <v>2</v>
      </c>
      <c r="J58" s="6" t="str" cm="1">
        <f t="array" ref="J58">visible((""),M58)</f>
        <v/>
      </c>
      <c r="K58" s="6" t="b">
        <v>1</v>
      </c>
    </row>
    <row r="59" spans="1:11" ht="15.6" x14ac:dyDescent="0.3">
      <c r="A59" s="51">
        <v>3</v>
      </c>
      <c r="B59" s="15" t="str" cm="1">
        <f t="array" ref="B59">visible(E49, K59)</f>
        <v>وحدة سفلية ادراج</v>
      </c>
      <c r="C59" s="6" cm="1">
        <f t="array" ref="C59">visible(4,K59)</f>
        <v>4</v>
      </c>
      <c r="D59" s="6" t="str" cm="1">
        <f t="array" aca="1" ref="D59" ca="1">visible((I50),K59)</f>
        <v>HPL</v>
      </c>
      <c r="E59" s="6" t="str" cm="1">
        <f t="array" ref="E59">visible(("مرايا علوية 2"),K59)</f>
        <v>مرايا علوية 2</v>
      </c>
      <c r="F59" s="6" cm="1">
        <f t="array" ref="F59">visible((H52-3.6),K59)</f>
        <v>-3.6</v>
      </c>
      <c r="G59" s="6" cm="1">
        <f t="array" ref="G59">visible((7),K59)</f>
        <v>7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visible((""),M59)</f>
        <v/>
      </c>
      <c r="K59" s="6" t="b">
        <v>1</v>
      </c>
    </row>
    <row r="60" spans="1:11" ht="15.6" x14ac:dyDescent="0.3">
      <c r="A60" s="51">
        <v>3</v>
      </c>
      <c r="B60" s="15" t="str" cm="1">
        <f t="array" ref="B60">visible(E49, K60)</f>
        <v>وحدة سفلية ادراج</v>
      </c>
      <c r="C60" s="6" cm="1">
        <f t="array" ref="C60">visible(5,K60)</f>
        <v>5</v>
      </c>
      <c r="D60" s="6" t="str" cm="1">
        <f t="array" aca="1" ref="D60" ca="1">visible((I50),K60)</f>
        <v>HPL</v>
      </c>
      <c r="E60" s="6" t="str" cm="1">
        <f t="array" ref="E60">visible(("رف"),K60)</f>
        <v>رف</v>
      </c>
      <c r="F60" s="6" cm="1">
        <f t="array" ref="F60">visible((H53-3.8),K60)</f>
        <v>-3.8</v>
      </c>
      <c r="G60" s="6" cm="1">
        <f t="array" aca="1" ref="G60" ca="1">visible((J52-6),K60)</f>
        <v>50</v>
      </c>
      <c r="H60" s="6" cm="1">
        <f t="array" ref="H60">visible((D52*C49),K60)</f>
        <v>5</v>
      </c>
      <c r="I60" s="6" cm="1">
        <f t="array" aca="1" ref="I60" ca="1">visible(materialNum(D60),K60)</f>
        <v>2</v>
      </c>
      <c r="J60" s="6" t="str" cm="1">
        <f t="array" ref="J60">visible((""),M60)</f>
        <v/>
      </c>
      <c r="K60" s="6" t="b">
        <v>1</v>
      </c>
    </row>
    <row r="61" spans="1:11" ht="15.6" x14ac:dyDescent="0.3">
      <c r="A61" s="51">
        <v>0</v>
      </c>
      <c r="B61" s="15"/>
      <c r="C61" s="3"/>
      <c r="D61" s="3"/>
      <c r="E61" s="3"/>
      <c r="F61" s="3"/>
      <c r="G61" s="3"/>
      <c r="H61" s="3"/>
      <c r="I61" s="3"/>
      <c r="J61" s="3"/>
      <c r="K61" s="3"/>
    </row>
    <row r="62" spans="1:11" ht="15.6" x14ac:dyDescent="0.3">
      <c r="A62" s="51">
        <v>4</v>
      </c>
      <c r="B62" s="15" t="str" cm="1">
        <f t="array" ref="B62">visible(E49, K62)</f>
        <v>وحدة سفلية ادراج</v>
      </c>
      <c r="C62" s="9" cm="1">
        <f t="array" ref="C62">visible(6,K62)</f>
        <v>6</v>
      </c>
      <c r="D62" s="9" t="str" cm="1">
        <f t="array" aca="1" ref="D62" ca="1">visible((G50),K62)</f>
        <v>يوفيلاك</v>
      </c>
      <c r="E62" s="9" t="str" cm="1">
        <f t="array" ref="E62">visible(("دلف"),K62)</f>
        <v>دلف</v>
      </c>
      <c r="F62" s="9" cm="1">
        <f t="array" aca="1" ref="F62" ca="1">visible((I52-0.5-G52),K62)</f>
        <v>74</v>
      </c>
      <c r="G62" s="9" cm="1">
        <f t="array" ref="G62">visible(((H52/C52)-0.5),K62)</f>
        <v>-0.5</v>
      </c>
      <c r="H62" s="9" cm="1">
        <f t="array" ref="H62">visible((C52*C49),K62)</f>
        <v>1</v>
      </c>
      <c r="I62" s="9" cm="1">
        <f t="array" aca="1" ref="I62" ca="1">visible(materialNum(D62),K62)</f>
        <v>6</v>
      </c>
      <c r="J62" s="9" t="str" cm="1">
        <f t="array" ref="J62">visible((""),M62)</f>
        <v/>
      </c>
      <c r="K62" s="9" t="b">
        <v>1</v>
      </c>
    </row>
    <row r="63" spans="1:11" ht="15.6" x14ac:dyDescent="0.3">
      <c r="A63" s="51">
        <v>0</v>
      </c>
      <c r="B63" s="15"/>
      <c r="K63" s="3"/>
    </row>
    <row r="64" spans="1:11" ht="15.6" x14ac:dyDescent="0.3">
      <c r="A64" s="51">
        <v>5</v>
      </c>
      <c r="B64" s="15" t="str" cm="1">
        <f t="array" aca="1" ref="B64" ca="1">visible(E49, K64)</f>
        <v>وحدة سفلية ادراج</v>
      </c>
      <c r="C64" s="19" cm="1">
        <f t="array" aca="1" ref="C64" ca="1">visible(7,K64)</f>
        <v>7</v>
      </c>
      <c r="D64" s="19" t="str" cm="1">
        <f t="array" aca="1" ref="D64" ca="1">visible((E50),K64)</f>
        <v>ظهر</v>
      </c>
      <c r="E64" s="19" t="str" cm="1">
        <f t="array" aca="1" ref="E64" ca="1">visible(("ظهر"),K64)</f>
        <v>ظهر</v>
      </c>
      <c r="F64" s="19" cm="1">
        <f t="array" aca="1" ref="F64" ca="1">visible((I52-2),K64)</f>
        <v>76</v>
      </c>
      <c r="G64" s="19" cm="1">
        <f t="array" aca="1" ref="G64" ca="1">visible((H52-2),K64)</f>
        <v>-2</v>
      </c>
      <c r="H64" s="19" cm="1">
        <f t="array" aca="1" ref="H64" ca="1">visible((C49),K64)</f>
        <v>1</v>
      </c>
      <c r="I64" s="19" cm="1">
        <f t="array" aca="1" ref="I64" ca="1">visible(materialNum(D64),K64)</f>
        <v>2</v>
      </c>
      <c r="J64" s="19" t="str" cm="1">
        <f t="array" ref="J64">visible((""),M64)</f>
        <v/>
      </c>
      <c r="K64" s="19">
        <f ca="1">F52</f>
        <v>1</v>
      </c>
    </row>
    <row r="65" spans="1:11" ht="15.6" x14ac:dyDescent="0.3">
      <c r="A65" s="51">
        <v>255</v>
      </c>
      <c r="B65" s="15"/>
      <c r="C65"/>
      <c r="D65"/>
      <c r="E65"/>
      <c r="F65"/>
      <c r="G65"/>
      <c r="H65"/>
      <c r="I65"/>
      <c r="J65"/>
      <c r="K65"/>
    </row>
    <row r="66" spans="1:11" ht="15.6" x14ac:dyDescent="0.3">
      <c r="A66" s="51">
        <v>255</v>
      </c>
      <c r="B66" s="15"/>
      <c r="C66"/>
      <c r="D66"/>
      <c r="E66"/>
      <c r="F66"/>
      <c r="G66"/>
      <c r="H66"/>
      <c r="I66"/>
      <c r="J66"/>
      <c r="K66"/>
    </row>
  </sheetData>
  <mergeCells count="3">
    <mergeCell ref="E13:H13"/>
    <mergeCell ref="E31:H31"/>
    <mergeCell ref="E49:H4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7620</xdr:colOff>
                    <xdr:row>5</xdr:row>
                    <xdr:rowOff>45720</xdr:rowOff>
                  </from>
                  <to>
                    <xdr:col>14</xdr:col>
                    <xdr:colOff>175260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6" t="s">
        <v>112</v>
      </c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52" zoomScale="85" zoomScaleNormal="85" workbookViewId="0">
      <selection activeCell="L162" sqref="L162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8</v>
      </c>
    </row>
    <row r="2" spans="1:75" s="35" customFormat="1" ht="37.200000000000003" customHeight="1" x14ac:dyDescent="0.3">
      <c r="A2" s="51">
        <v>30</v>
      </c>
      <c r="B2" s="48" t="s">
        <v>121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3" t="s">
        <v>142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3" t="s">
        <v>23</v>
      </c>
      <c r="F48" s="104"/>
      <c r="G48" s="104"/>
      <c r="H48" s="105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7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7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3" t="s">
        <v>26</v>
      </c>
      <c r="F68" s="104"/>
      <c r="G68" s="104"/>
      <c r="H68" s="105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7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7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3" t="s">
        <v>29</v>
      </c>
      <c r="F89" s="104"/>
      <c r="G89" s="104"/>
      <c r="H89" s="105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7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7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3" t="s">
        <v>105</v>
      </c>
      <c r="F109" s="104"/>
      <c r="G109" s="104"/>
      <c r="H109" s="105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7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7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3" t="s">
        <v>162</v>
      </c>
      <c r="F132" s="104"/>
      <c r="G132" s="104"/>
      <c r="H132" s="105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/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3" t="s">
        <v>184</v>
      </c>
      <c r="F155" s="104"/>
      <c r="G155" s="104"/>
      <c r="H155" s="105"/>
      <c r="I155" s="2" t="s">
        <v>30</v>
      </c>
      <c r="J155" s="2">
        <f>letterToNumber(A155)</f>
        <v>7</v>
      </c>
      <c r="K155" s="27">
        <f ca="1">_xlfn.SHEET("وحدات سفلية")</f>
        <v>4</v>
      </c>
      <c r="BB155"/>
      <c r="BC155"/>
      <c r="BD155"/>
      <c r="BE155"/>
      <c r="BF155"/>
      <c r="BG155"/>
      <c r="BH155"/>
      <c r="BI155"/>
      <c r="BJ155"/>
    </row>
    <row r="156" spans="1:62" ht="21" x14ac:dyDescent="0.3">
      <c r="A156" s="51">
        <v>1</v>
      </c>
      <c r="C156" s="93"/>
      <c r="D156" s="7"/>
      <c r="E156" s="94" t="str" cm="1">
        <f t="array" aca="1" ref="E156" ca="1">defaultValue(F156,K155)</f>
        <v>ظهر</v>
      </c>
      <c r="F156" s="7" t="s">
        <v>58</v>
      </c>
      <c r="G156" s="94" t="str" cm="1">
        <f t="array" aca="1" ref="G156" ca="1">defaultValue(H156,K155)</f>
        <v>يوفيلاك</v>
      </c>
      <c r="H156" s="7" t="s">
        <v>32</v>
      </c>
      <c r="I156" s="94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/>
      <c r="D157" s="18"/>
      <c r="E157" s="7" t="s">
        <v>12</v>
      </c>
      <c r="F157" s="7" t="s">
        <v>18</v>
      </c>
      <c r="G157" s="7" t="s">
        <v>16</v>
      </c>
      <c r="H157" s="7" t="s">
        <v>22</v>
      </c>
      <c r="I157" s="7" t="s">
        <v>3</v>
      </c>
      <c r="J157" s="7" t="s">
        <v>113</v>
      </c>
      <c r="K157" s="7" t="s">
        <v>180</v>
      </c>
    </row>
    <row r="158" spans="1:62" x14ac:dyDescent="0.3">
      <c r="A158" s="51">
        <v>1</v>
      </c>
      <c r="C158" s="93"/>
      <c r="D158" s="93"/>
      <c r="E158" s="94">
        <v>1</v>
      </c>
      <c r="F158" s="95">
        <v>5</v>
      </c>
      <c r="G158" s="94" cm="1">
        <f t="array" aca="1" ref="G158" ca="1">defaultValue(G157,K155)</f>
        <v>3.5</v>
      </c>
      <c r="H158" s="93"/>
      <c r="I158" s="94" cm="1">
        <f t="array" aca="1" ref="I158" ca="1">defaultValue(I157,K155)</f>
        <v>78</v>
      </c>
      <c r="J158" s="94" cm="1">
        <f t="array" aca="1" ref="J158" ca="1">defaultValue(J157,K155)</f>
        <v>56</v>
      </c>
      <c r="K158" s="7" t="s">
        <v>181</v>
      </c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/>
    </row>
    <row r="161" spans="1:12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2" x14ac:dyDescent="0.3">
      <c r="A162" s="51">
        <v>3</v>
      </c>
      <c r="B162" s="15" t="str" cm="1">
        <f t="array" ref="B162">visible(E155, K162)</f>
        <v>وحدة سفلية دلفة /دلفتين</v>
      </c>
      <c r="C162" s="6" cm="1">
        <f t="array" ref="C162">visible((1),K162)</f>
        <v>1</v>
      </c>
      <c r="D162" s="6" t="str" cm="1">
        <f t="array" aca="1" ref="D162" ca="1">visible((I156),K162)</f>
        <v>HPL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cm="1">
        <f t="array" aca="1" ref="G162" ca="1">visible((J158),K162)</f>
        <v>56</v>
      </c>
      <c r="H162" s="6" cm="1">
        <f t="array" ref="H162">visible((C155),K162)</f>
        <v>1</v>
      </c>
      <c r="I162" s="6" cm="1">
        <f t="array" aca="1" ref="I162" ca="1">visible(materialNum(D162),K162)</f>
        <v>2</v>
      </c>
      <c r="J162" s="6" t="str" cm="1">
        <f t="array" ref="J162">visible((""),M162)</f>
        <v/>
      </c>
      <c r="K162" s="6" t="b">
        <v>1</v>
      </c>
    </row>
    <row r="163" spans="1:12" x14ac:dyDescent="0.3">
      <c r="A163" s="51">
        <v>3</v>
      </c>
      <c r="B163" s="15" t="str" cm="1">
        <f t="array" ref="B163">visible(E155, K163)</f>
        <v>وحدة سفلية دلفة /دلفتين</v>
      </c>
      <c r="C163" s="6" cm="1">
        <f t="array" ref="C163">visible(2,K163)</f>
        <v>2</v>
      </c>
      <c r="D163" s="6" t="str" cm="1">
        <f t="array" aca="1" ref="D163" ca="1">visible((I156),K163)</f>
        <v>HPL</v>
      </c>
      <c r="E163" s="6" t="str" cm="1">
        <f t="array" ref="E163">visible(("أجناب"),K163)</f>
        <v>أجناب</v>
      </c>
      <c r="F163" s="6" cm="1">
        <f t="array" aca="1" ref="F163" ca="1">visible((I158),K163)</f>
        <v>78</v>
      </c>
      <c r="G163" s="6" cm="1">
        <f t="array" aca="1" ref="G163" ca="1">visible((J158),K163)</f>
        <v>56</v>
      </c>
      <c r="H163" s="6" cm="1">
        <f t="array" ref="H163">visible((2 *C155),K163)</f>
        <v>2</v>
      </c>
      <c r="I163" s="6" cm="1">
        <f t="array" aca="1" ref="I163" ca="1">visible(materialNum(D163),K163)</f>
        <v>2</v>
      </c>
      <c r="J163" s="6" t="str" cm="1">
        <f t="array" ref="J163">visible((""),M163)</f>
        <v/>
      </c>
      <c r="K163" s="6" t="b">
        <v>1</v>
      </c>
    </row>
    <row r="164" spans="1:12" x14ac:dyDescent="0.3">
      <c r="A164" s="51">
        <v>3</v>
      </c>
      <c r="B164" s="15" t="str" cm="1">
        <f t="array" ref="B164">visible(E155, K164)</f>
        <v>وحدة سفلية دلفة /دلفتين</v>
      </c>
      <c r="C164" s="6" cm="1">
        <f t="array" ref="C164">visible(3,K164)</f>
        <v>3</v>
      </c>
      <c r="D164" s="6" t="str" cm="1">
        <f t="array" aca="1" ref="D164" ca="1">visible((I156),K164)</f>
        <v>HPL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cm="1">
        <f t="array" aca="1" ref="I164" ca="1">visible(materialNum(D164),K164)</f>
        <v>2</v>
      </c>
      <c r="J164" s="6" t="str" cm="1">
        <f t="array" ref="J164">visible((""),M164)</f>
        <v/>
      </c>
      <c r="K164" s="6" t="b">
        <v>1</v>
      </c>
    </row>
    <row r="165" spans="1:12" x14ac:dyDescent="0.3">
      <c r="A165" s="51">
        <v>3</v>
      </c>
      <c r="B165" s="15" t="str" cm="1">
        <f t="array" ref="B165">visible(E155, K165)</f>
        <v>وحدة سفلية دلفة /دلفتين</v>
      </c>
      <c r="C165" s="6" cm="1">
        <f t="array" ref="C165">visible(4,K165)</f>
        <v>4</v>
      </c>
      <c r="D165" s="6" t="str" cm="1">
        <f t="array" aca="1" ref="D165" ca="1">visible((I156),K165)</f>
        <v>HPL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cm="1">
        <f t="array" aca="1" ref="I165" ca="1">visible(materialNum(D165),K165)</f>
        <v>2</v>
      </c>
      <c r="J165" s="6" t="str" cm="1">
        <f t="array" ref="J165">visible((""),M165)</f>
        <v/>
      </c>
      <c r="K165" s="6" t="b">
        <v>1</v>
      </c>
    </row>
    <row r="166" spans="1:12" x14ac:dyDescent="0.3">
      <c r="A166" s="51">
        <v>3</v>
      </c>
      <c r="B166" s="15" t="str" cm="1">
        <f t="array" ref="B166">visible(E155, K166)</f>
        <v>وحدة سفلية دلفة /دلفتين</v>
      </c>
      <c r="C166" s="6" cm="1">
        <f t="array" ref="C166">visible(5,K166)</f>
        <v>5</v>
      </c>
      <c r="D166" s="6" t="str" cm="1">
        <f t="array" aca="1" ref="D166" ca="1">visible((I156),K166)</f>
        <v>HPL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visible((F158*C155),K166)</f>
        <v>5</v>
      </c>
      <c r="I166" s="6" cm="1">
        <f t="array" aca="1" ref="I166" ca="1">visible(materialNum(D166),K166)</f>
        <v>2</v>
      </c>
      <c r="J166" s="6" t="str" cm="1">
        <f t="array" ref="J166">visible((""),M166)</f>
        <v/>
      </c>
      <c r="K166" s="6" t="b">
        <v>1</v>
      </c>
    </row>
    <row r="167" spans="1:12" x14ac:dyDescent="0.3">
      <c r="A167" s="51">
        <v>0</v>
      </c>
    </row>
    <row r="168" spans="1:12" x14ac:dyDescent="0.3">
      <c r="A168" s="51">
        <v>4</v>
      </c>
      <c r="B168" s="15" t="str" cm="1">
        <f t="array" ref="B168">visible(E155, K168)</f>
        <v>وحدة سفلية دلفة /دلفتين</v>
      </c>
      <c r="C168" s="9" cm="1">
        <f t="array" ref="C168">visible(6,K168)</f>
        <v>6</v>
      </c>
      <c r="D168" s="9" t="str" cm="1">
        <f t="array" aca="1" ref="D168" ca="1">visible((G156),K168)</f>
        <v>يوفيلاك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visible(((H158/E158)-0.5),K168)</f>
        <v>-0.5</v>
      </c>
      <c r="H168" s="9" cm="1">
        <f t="array" ref="H168">visible((E158*C155),K168)</f>
        <v>1</v>
      </c>
      <c r="I168" s="9" cm="1">
        <f t="array" aca="1" ref="I168" ca="1">visible(materialNum(D168),K168)</f>
        <v>6</v>
      </c>
      <c r="J168" s="9" t="str" cm="1">
        <f t="array" ref="J168">visible((""),M168)</f>
        <v/>
      </c>
      <c r="K168" s="9" t="b">
        <v>1</v>
      </c>
    </row>
    <row r="169" spans="1:12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2" x14ac:dyDescent="0.3">
      <c r="A170" s="51">
        <v>5</v>
      </c>
      <c r="B170" s="15" t="str" cm="1">
        <f t="array" ref="B170">visible(E155, K170)</f>
        <v>وحدة سفلية دلفة /دلفتين</v>
      </c>
      <c r="C170" s="19" cm="1">
        <f t="array" ref="C170">visible(7,K170)</f>
        <v>7</v>
      </c>
      <c r="D170" s="19" t="str" cm="1">
        <f t="array" aca="1" ref="D170" ca="1">visible((E156),K170)</f>
        <v>ظهر</v>
      </c>
      <c r="E170" s="19" t="str" cm="1">
        <f t="array" ref="E170">visible(("ظهر"),K170)</f>
        <v>ظهر</v>
      </c>
      <c r="F170" s="19" cm="1">
        <f t="array" aca="1" ref="F170" ca="1">visible((I158-2),K170)</f>
        <v>76</v>
      </c>
      <c r="G170" s="19" cm="1">
        <f t="array" ref="G170">visible((H158-2),K170)</f>
        <v>-2</v>
      </c>
      <c r="H170" s="19" cm="1">
        <f t="array" ref="H170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v>1</v>
      </c>
    </row>
    <row r="171" spans="1:12" x14ac:dyDescent="0.3">
      <c r="A171" s="51">
        <v>255</v>
      </c>
      <c r="C171"/>
      <c r="D171"/>
      <c r="E171"/>
      <c r="F171"/>
      <c r="G171"/>
      <c r="H171"/>
      <c r="I171"/>
      <c r="J171"/>
      <c r="K171"/>
      <c r="L171"/>
    </row>
    <row r="172" spans="1:12" x14ac:dyDescent="0.3">
      <c r="A172" s="51">
        <v>255</v>
      </c>
      <c r="C172"/>
      <c r="D172"/>
      <c r="E172"/>
      <c r="F172"/>
      <c r="G172"/>
      <c r="H172"/>
      <c r="I172"/>
      <c r="J172"/>
      <c r="K172"/>
      <c r="L172"/>
    </row>
  </sheetData>
  <mergeCells count="12">
    <mergeCell ref="E48:H48"/>
    <mergeCell ref="F90:F91"/>
    <mergeCell ref="F69:F70"/>
    <mergeCell ref="E68:H68"/>
    <mergeCell ref="C2:J2"/>
    <mergeCell ref="F49:F50"/>
    <mergeCell ref="E13:H13"/>
    <mergeCell ref="E155:H155"/>
    <mergeCell ref="E132:H132"/>
    <mergeCell ref="E109:H109"/>
    <mergeCell ref="F110:F111"/>
    <mergeCell ref="E89:H89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G12" sqref="G12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8" t="s">
        <v>104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3" t="s">
        <v>116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7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7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3" t="s">
        <v>142</v>
      </c>
      <c r="F31" s="104"/>
      <c r="G31" s="104"/>
      <c r="H31" s="105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3" t="s">
        <v>119</v>
      </c>
      <c r="F66" s="104"/>
      <c r="G66" s="104"/>
      <c r="H66" s="105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7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7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3" t="s">
        <v>117</v>
      </c>
      <c r="F86" s="104"/>
      <c r="G86" s="104"/>
      <c r="H86" s="105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3" t="s">
        <v>118</v>
      </c>
      <c r="F107" s="104"/>
      <c r="G107" s="104"/>
      <c r="H107" s="105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3" t="s">
        <v>162</v>
      </c>
      <c r="F127" s="104"/>
      <c r="G127" s="104"/>
      <c r="H127" s="105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G11" sqref="G11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8" t="s">
        <v>43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3" t="s">
        <v>44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4" t="b">
        <f ca="1">NOT(AND(F15&gt;0,G15&gt;0))</f>
        <v>1</v>
      </c>
      <c r="G16" s="114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3">
        <f>C15+D15</f>
        <v>1</v>
      </c>
      <c r="D17" s="113"/>
      <c r="E17" s="26">
        <v>10</v>
      </c>
      <c r="F17" s="115" t="str">
        <f ca="1">IF(F16,"المقابض مظبوطة","مينفعش مقبض مخفي مع بيلت ان")</f>
        <v>المقابض مظبوطة</v>
      </c>
      <c r="G17" s="115"/>
      <c r="H17" s="114" t="str">
        <f>IF(H16,"عدد الدلف صحيح","عدد الدلف غير صحيح")</f>
        <v>عدد الدلف صحيح</v>
      </c>
      <c r="I17" s="114"/>
      <c r="J17" s="114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4" t="b">
        <f>C17&lt;=2</f>
        <v>1</v>
      </c>
      <c r="D18" s="114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3" t="s">
        <v>50</v>
      </c>
      <c r="F34" s="104"/>
      <c r="G34" s="104"/>
      <c r="H34" s="105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6" t="b">
        <f ca="1">NOT(AND(F36&gt;0,G36&gt;0))</f>
        <v>1</v>
      </c>
      <c r="G37" s="116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3">
        <f>C36+D36</f>
        <v>2</v>
      </c>
      <c r="D38" s="113"/>
      <c r="E38" s="7">
        <v>0</v>
      </c>
      <c r="F38" s="117" t="str">
        <f ca="1">IF(F37,"المقابض مظبوطة","مينفعش مقبض مخفي مع بيلت ان")</f>
        <v>المقابض مظبوطة</v>
      </c>
      <c r="G38" s="117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4" t="b">
        <f>C38&lt;=2</f>
        <v>1</v>
      </c>
      <c r="D39" s="114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3" t="s">
        <v>45</v>
      </c>
      <c r="F55" s="104"/>
      <c r="G55" s="104"/>
      <c r="H55" s="105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4" t="b">
        <f ca="1">NOT(AND(F57&gt;0,G57&gt;0))</f>
        <v>1</v>
      </c>
      <c r="G58" s="111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3">
        <f>C57+D57</f>
        <v>2</v>
      </c>
      <c r="D59" s="113"/>
      <c r="E59" s="7" t="s">
        <v>106</v>
      </c>
      <c r="F59" s="118" t="str">
        <f ca="1">IF(F58,"المقابض مظبوطة","مينفعش مقبض مخفي مع بيلت ان")</f>
        <v>المقابض مظبوطة</v>
      </c>
      <c r="G59" s="118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4" t="b">
        <f>C59&lt;=2</f>
        <v>1</v>
      </c>
      <c r="D60" s="114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3" t="s">
        <v>168</v>
      </c>
      <c r="F79" s="104"/>
      <c r="G79" s="104"/>
      <c r="H79" s="105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4" t="b">
        <f ca="1">NOT(AND(F81&gt;0,G81&gt;0))</f>
        <v>1</v>
      </c>
      <c r="G82" s="111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3">
        <f>C81+D81</f>
        <v>1</v>
      </c>
      <c r="D83" s="113"/>
      <c r="E83" s="7" t="s">
        <v>106</v>
      </c>
      <c r="F83" s="118" t="str">
        <f ca="1">IF(F82,"المقابض مظبوطة","مينفعش مقبض مخفي مع بيلت ان")</f>
        <v>المقابض مظبوطة</v>
      </c>
      <c r="G83" s="118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4" t="b">
        <f>C83&lt;=2</f>
        <v>1</v>
      </c>
      <c r="D84" s="114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3" t="s">
        <v>46</v>
      </c>
      <c r="F103" s="104"/>
      <c r="G103" s="104"/>
      <c r="H103" s="105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4" t="b">
        <f ca="1">NOT(AND(F105&gt;0,G105&gt;0))</f>
        <v>1</v>
      </c>
      <c r="G106" s="114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7" t="str">
        <f ca="1">IF(F106,"المقابض مظبوطة","مينفعش مقبض مخفي مع بيلت ان")</f>
        <v>المقابض مظبوطة</v>
      </c>
      <c r="G107" s="117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3" t="s">
        <v>47</v>
      </c>
      <c r="F129" s="104"/>
      <c r="G129" s="104"/>
      <c r="H129" s="105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4" t="b">
        <f ca="1">NOT(AND(F131&gt;0,G131&gt;0))</f>
        <v>1</v>
      </c>
      <c r="G132" s="114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7" t="str">
        <f ca="1">IF(F132,"المقابض مظبوطة","مينفعش مقبض مخفي مع بيلت ان")</f>
        <v>المقابض مظبوطة</v>
      </c>
      <c r="G133" s="117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3" t="s">
        <v>109</v>
      </c>
      <c r="F150" s="104"/>
      <c r="G150" s="104"/>
      <c r="H150" s="105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9">
        <f>C152+D152</f>
        <v>1</v>
      </c>
      <c r="D154" s="110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1" t="b">
        <f>C154&lt;=2</f>
        <v>1</v>
      </c>
      <c r="D155" s="112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M13" sqref="M13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8" t="s">
        <v>64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9" t="s">
        <v>65</v>
      </c>
      <c r="F13" s="119"/>
      <c r="G13" s="119"/>
      <c r="H13" s="119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13">
        <f>G17+H17</f>
        <v>2</v>
      </c>
      <c r="D19" s="113"/>
      <c r="E19" s="8"/>
      <c r="F19" s="46"/>
      <c r="G19" s="46"/>
      <c r="H19" s="46"/>
      <c r="I19" s="8">
        <f>SUM(I17:I18)</f>
        <v>210</v>
      </c>
      <c r="J19" s="117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4" t="b">
        <f>C19&lt;=2</f>
        <v>1</v>
      </c>
      <c r="D20" s="114"/>
      <c r="E20" s="8"/>
      <c r="F20" s="8"/>
      <c r="G20" s="8"/>
      <c r="H20" s="8"/>
      <c r="I20" s="6" t="b">
        <f>I19=I15</f>
        <v>1</v>
      </c>
      <c r="J20" s="117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9" t="s">
        <v>76</v>
      </c>
      <c r="F40" s="119"/>
      <c r="G40" s="119"/>
      <c r="H40" s="119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13">
        <f>G47+H47</f>
        <v>0</v>
      </c>
      <c r="D52" s="113"/>
      <c r="E52" s="8"/>
      <c r="F52" s="46"/>
      <c r="G52" s="46"/>
      <c r="H52" s="46"/>
      <c r="I52" s="8">
        <f>SUM(I44:I51)</f>
        <v>220</v>
      </c>
      <c r="J52" s="117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4" t="b">
        <f>C52&lt;=2</f>
        <v>1</v>
      </c>
      <c r="D53" s="114"/>
      <c r="E53" s="8"/>
      <c r="F53" s="8"/>
      <c r="G53" s="8"/>
      <c r="H53" s="8"/>
      <c r="I53" s="6" t="b">
        <f>I52=I42</f>
        <v>1</v>
      </c>
      <c r="J53" s="117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3" t="s">
        <v>66</v>
      </c>
      <c r="F98" s="104"/>
      <c r="G98" s="104"/>
      <c r="H98" s="105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4" t="b">
        <f>NOT(AND(F100&gt;0,G100&gt;0))</f>
        <v>1</v>
      </c>
      <c r="G101" s="114"/>
      <c r="I101" s="3" t="b">
        <f>_xlfn.XOR(I100&lt;=50,C102=2)</f>
        <v>0</v>
      </c>
    </row>
    <row r="102" spans="2:10" ht="24" hidden="1" customHeight="1" x14ac:dyDescent="0.3">
      <c r="C102" s="114">
        <f>C100+E100</f>
        <v>3</v>
      </c>
      <c r="D102" s="114"/>
      <c r="E102" s="33"/>
      <c r="F102" s="118" t="str">
        <f>IF(F101,"المقابض مظبوطة","مينفعش مقبض مخفي مع بيلت ان")</f>
        <v>المقابض مظبوطة</v>
      </c>
      <c r="G102" s="118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4" t="b">
        <f>C102&lt;=2</f>
        <v>0</v>
      </c>
      <c r="D103" s="114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3" t="s">
        <v>67</v>
      </c>
      <c r="F118" s="104"/>
      <c r="G118" s="104"/>
      <c r="H118" s="105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4" t="b">
        <f>NOT(AND(F120&gt;0,G120&gt;0))</f>
        <v>1</v>
      </c>
      <c r="G121" s="114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8" t="str">
        <f>IF(F121,"المقابض مظبوطة","مينفعش مقبض مخفي مع بيلت ان")</f>
        <v>المقابض مظبوطة</v>
      </c>
      <c r="G122" s="118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3" t="s">
        <v>68</v>
      </c>
      <c r="F138" s="104"/>
      <c r="G138" s="104"/>
      <c r="H138" s="105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4" t="b">
        <f>NOT(AND(F140&gt;0,G140&gt;0))</f>
        <v>1</v>
      </c>
      <c r="G141" s="114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8" t="str">
        <f>IF(F141,"المقابض مظبوطة","مينفعش مقبض مخفي مع بيلت ان")</f>
        <v>المقابض مظبوطة</v>
      </c>
      <c r="G142" s="118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42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>
      <selection activeCell="K11" sqref="K11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21" t="s">
        <v>103</v>
      </c>
      <c r="D2" s="122"/>
      <c r="E2" s="122"/>
      <c r="F2" s="122"/>
      <c r="G2" s="122"/>
      <c r="H2" s="122"/>
      <c r="I2" s="122"/>
      <c r="J2" s="123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3" t="s">
        <v>170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/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3" t="s">
        <v>171</v>
      </c>
      <c r="F25" s="104"/>
      <c r="G25" s="104"/>
      <c r="H25" s="105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/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3" t="s">
        <v>172</v>
      </c>
      <c r="F37" s="104"/>
      <c r="G37" s="104"/>
      <c r="H37" s="105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/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2024-09-19T18:17:40Z</dcterms:modified>
</cp:coreProperties>
</file>