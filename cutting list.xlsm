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40588FCC-9A93-490E-90AE-8C4B9EAB34D1}" xr6:coauthVersionLast="47" xr6:coauthVersionMax="47" xr10:uidLastSave="{00000000-0000-0000-0000-000000000000}"/>
  <bookViews>
    <workbookView xWindow="-108" yWindow="-108" windowWidth="23256" windowHeight="12456" tabRatio="627" activeTab="4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B172" i="3"/>
  <c r="B171" i="3"/>
  <c r="B169" i="3"/>
  <c r="B168" i="3"/>
  <c r="B167" i="3"/>
  <c r="B166" i="3"/>
  <c r="B165" i="3"/>
  <c r="B164" i="3"/>
  <c r="B154" i="3"/>
  <c r="B153" i="3"/>
  <c r="B152" i="3"/>
  <c r="B149" i="3"/>
  <c r="B148" i="3"/>
  <c r="B147" i="3"/>
  <c r="B146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17" i="3"/>
  <c r="B115" i="3"/>
  <c r="B114" i="3"/>
  <c r="B113" i="3"/>
  <c r="B112" i="3"/>
  <c r="B111" i="3"/>
  <c r="B101" i="3"/>
  <c r="B100" i="3"/>
  <c r="B98" i="3"/>
  <c r="B97" i="3"/>
  <c r="B95" i="3"/>
  <c r="B94" i="3"/>
  <c r="B93" i="3"/>
  <c r="B92" i="3"/>
  <c r="B91" i="3"/>
  <c r="B90" i="3"/>
  <c r="B89" i="3"/>
  <c r="B88" i="3"/>
  <c r="B78" i="3"/>
  <c r="B77" i="3"/>
  <c r="B75" i="3"/>
  <c r="B74" i="3"/>
  <c r="B72" i="3"/>
  <c r="B71" i="3"/>
  <c r="B70" i="3"/>
  <c r="B69" i="3"/>
  <c r="B68" i="3"/>
  <c r="B67" i="3"/>
  <c r="B66" i="3"/>
  <c r="B65" i="3"/>
  <c r="B55" i="3"/>
  <c r="B53" i="3"/>
  <c r="B51" i="3"/>
  <c r="B50" i="3"/>
  <c r="B49" i="3"/>
  <c r="B48" i="3"/>
  <c r="B47" i="3"/>
  <c r="B46" i="3"/>
  <c r="B35" i="3"/>
  <c r="B33" i="3"/>
  <c r="B32" i="3"/>
  <c r="B30" i="3"/>
  <c r="B29" i="3"/>
  <c r="B28" i="3"/>
  <c r="B27" i="3"/>
  <c r="B26" i="3"/>
  <c r="B25" i="3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H168" i="3" a="1"/>
  <c r="E172" i="3" a="1"/>
  <c r="H166" i="3" a="1"/>
  <c r="F167" i="3" a="1"/>
  <c r="H164" i="3" a="1"/>
  <c r="F168" i="3" a="1"/>
  <c r="G172" i="3" a="1"/>
  <c r="H165" i="3" a="1"/>
  <c r="E169" i="3" a="1"/>
  <c r="H172" i="3"/>
  <c r="E166" i="3" a="1"/>
  <c r="G167" i="3" a="1"/>
  <c r="E168" i="3" a="1"/>
  <c r="E167" i="3" a="1"/>
  <c r="H167" i="3" a="1"/>
  <c r="J157" i="3"/>
  <c r="H171" i="3" a="1"/>
  <c r="F164" i="3" a="1"/>
  <c r="E171" i="3" a="1"/>
  <c r="F166" i="3" a="1"/>
  <c r="E164" i="3" a="1"/>
  <c r="G166" i="3" a="1"/>
  <c r="H169" i="3"/>
  <c r="E165" i="3" a="1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2" i="3"/>
  <c r="C171" i="3"/>
  <c r="C169" i="3"/>
  <c r="C168" i="3"/>
  <c r="C167" i="3"/>
  <c r="C166" i="3"/>
  <c r="C165" i="3"/>
  <c r="C164" i="3"/>
  <c r="C154" i="3"/>
  <c r="C153" i="3"/>
  <c r="C152" i="3"/>
  <c r="C149" i="3"/>
  <c r="C148" i="3"/>
  <c r="C147" i="3"/>
  <c r="C146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17" i="3"/>
  <c r="C115" i="3"/>
  <c r="C114" i="3"/>
  <c r="C113" i="3"/>
  <c r="C112" i="3"/>
  <c r="C111" i="3"/>
  <c r="C101" i="3"/>
  <c r="C100" i="3"/>
  <c r="C98" i="3"/>
  <c r="C97" i="3"/>
  <c r="C95" i="3"/>
  <c r="C94" i="3"/>
  <c r="C93" i="3"/>
  <c r="C92" i="3"/>
  <c r="C91" i="3"/>
  <c r="C90" i="3"/>
  <c r="C89" i="3"/>
  <c r="C88" i="3"/>
  <c r="C78" i="3"/>
  <c r="C77" i="3"/>
  <c r="C75" i="3"/>
  <c r="C74" i="3"/>
  <c r="C72" i="3"/>
  <c r="C71" i="3"/>
  <c r="C70" i="3"/>
  <c r="C69" i="3"/>
  <c r="C68" i="3"/>
  <c r="C67" i="3"/>
  <c r="C66" i="3"/>
  <c r="C65" i="3"/>
  <c r="C55" i="3"/>
  <c r="C53" i="3"/>
  <c r="C51" i="3"/>
  <c r="C50" i="3"/>
  <c r="C49" i="3"/>
  <c r="C48" i="3"/>
  <c r="C47" i="3"/>
  <c r="C46" i="3"/>
  <c r="C35" i="3"/>
  <c r="C33" i="3"/>
  <c r="C32" i="3"/>
  <c r="C30" i="3"/>
  <c r="C29" i="3"/>
  <c r="C28" i="3"/>
  <c r="C27" i="3"/>
  <c r="C26" i="3"/>
  <c r="C25" i="3"/>
  <c r="F166" i="3" l="1"/>
  <c r="G172" i="3"/>
  <c r="F164" i="3"/>
  <c r="F168" i="3"/>
  <c r="H164" i="3"/>
  <c r="E166" i="3"/>
  <c r="H168" i="3"/>
  <c r="H165" i="3"/>
  <c r="E167" i="3"/>
  <c r="H171" i="3"/>
  <c r="G166" i="3"/>
  <c r="F167" i="3"/>
  <c r="E164" i="3"/>
  <c r="H166" i="3"/>
  <c r="E168" i="3"/>
  <c r="G167" i="3"/>
  <c r="E169" i="3"/>
  <c r="E165" i="3"/>
  <c r="H167" i="3"/>
  <c r="E171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90" i="5"/>
  <c r="J89" i="5"/>
  <c r="J39" i="5"/>
  <c r="J38" i="5"/>
  <c r="J171" i="4"/>
  <c r="J127" i="4"/>
  <c r="J126" i="4"/>
  <c r="J102" i="4"/>
  <c r="J78" i="4"/>
  <c r="J54" i="4"/>
  <c r="J33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H147" i="3"/>
  <c r="H144" i="3" a="1"/>
  <c r="G149" i="3" a="1"/>
  <c r="H132" i="3" a="1"/>
  <c r="G136" i="3" a="1"/>
  <c r="E130" i="3" a="1"/>
  <c r="F140" i="3" a="1"/>
  <c r="H138" i="3" a="1"/>
  <c r="H142" i="3" a="1"/>
  <c r="E140" i="3" a="1"/>
  <c r="E149" i="3" a="1"/>
  <c r="H152" i="3"/>
  <c r="F134" i="3" a="1"/>
  <c r="F130" i="3" a="1"/>
  <c r="E141" i="3" a="1"/>
  <c r="G133" i="3" a="1"/>
  <c r="E147" i="3" a="1"/>
  <c r="H154" i="3"/>
  <c r="E148" i="3" a="1"/>
  <c r="E134" i="3" a="1"/>
  <c r="H140" i="3" a="1"/>
  <c r="H130" i="3" a="1"/>
  <c r="F142" i="3" a="1"/>
  <c r="G143" i="3" a="1"/>
  <c r="G146" i="3" a="1"/>
  <c r="E136" i="3" a="1"/>
  <c r="J122" i="3"/>
  <c r="G142" i="3" a="1"/>
  <c r="H153" i="3"/>
  <c r="G138" i="3" a="1"/>
  <c r="F136" i="3" a="1"/>
  <c r="E153" i="3" a="1"/>
  <c r="H146" i="3" a="1"/>
  <c r="F133" i="3" a="1"/>
  <c r="H141" i="3" a="1"/>
  <c r="H149" i="3"/>
  <c r="H136" i="3" a="1"/>
  <c r="G139" i="3" a="1"/>
  <c r="H143" i="3" a="1"/>
  <c r="H137" i="3" a="1"/>
  <c r="G148" i="3" a="1"/>
  <c r="E144" i="3" a="1"/>
  <c r="E138" i="3" a="1"/>
  <c r="F132" i="3" a="1"/>
  <c r="G144" i="3" a="1"/>
  <c r="E135" i="3" a="1"/>
  <c r="H139" i="3" a="1"/>
  <c r="G132" i="3" a="1"/>
  <c r="H133" i="3" a="1"/>
  <c r="E132" i="3" a="1"/>
  <c r="G137" i="3" a="1"/>
  <c r="H135" i="3" a="1"/>
  <c r="H134" i="3" a="1"/>
  <c r="E154" i="3" a="1"/>
  <c r="F154" i="3" a="1"/>
  <c r="G135" i="3" a="1"/>
  <c r="E137" i="3" a="1"/>
  <c r="F139" i="3" a="1"/>
  <c r="F143" i="3" a="1"/>
  <c r="F152" i="3" a="1"/>
  <c r="H148" i="3"/>
  <c r="G141" i="3" a="1"/>
  <c r="G147" i="3" a="1"/>
  <c r="G140" i="3" a="1"/>
  <c r="G134" i="3" a="1"/>
  <c r="E146" i="3" a="1"/>
  <c r="E139" i="3" a="1"/>
  <c r="E143" i="3" a="1"/>
  <c r="E152" i="3" a="1"/>
  <c r="E142" i="3" a="1"/>
  <c r="E133" i="3" a="1"/>
  <c r="H131" i="3" a="1"/>
  <c r="F153" i="3" a="1"/>
  <c r="E131" i="3" a="1"/>
  <c r="F137" i="3" a="1"/>
  <c r="G139" i="3" l="1"/>
  <c r="G149" i="3"/>
  <c r="E140" i="3"/>
  <c r="E143" i="3"/>
  <c r="H133" i="3"/>
  <c r="F154" i="3"/>
  <c r="G142" i="3"/>
  <c r="E132" i="3"/>
  <c r="F134" i="3"/>
  <c r="H136" i="3"/>
  <c r="F137" i="3"/>
  <c r="H139" i="3"/>
  <c r="F140" i="3"/>
  <c r="H142" i="3"/>
  <c r="F143" i="3"/>
  <c r="G146" i="3"/>
  <c r="E147" i="3"/>
  <c r="E154" i="3"/>
  <c r="G134" i="3"/>
  <c r="G137" i="3"/>
  <c r="G140" i="3"/>
  <c r="E141" i="3"/>
  <c r="G143" i="3"/>
  <c r="E144" i="3"/>
  <c r="H146" i="3"/>
  <c r="F132" i="3"/>
  <c r="E138" i="3"/>
  <c r="E148" i="3"/>
  <c r="E152" i="3"/>
  <c r="F130" i="3"/>
  <c r="G132" i="3"/>
  <c r="H134" i="3"/>
  <c r="H137" i="3"/>
  <c r="H140" i="3"/>
  <c r="H143" i="3"/>
  <c r="G147" i="3"/>
  <c r="E133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E135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E115" i="3" a="1"/>
  <c r="E114" i="3" a="1"/>
  <c r="F111" i="3" a="1"/>
  <c r="E113" i="3" a="1"/>
  <c r="H117" i="3" a="1"/>
  <c r="F113" i="3" a="1"/>
  <c r="E111" i="3" a="1"/>
  <c r="H114" i="3" a="1"/>
  <c r="F114" i="3" a="1"/>
  <c r="H112" i="3" a="1"/>
  <c r="G113" i="3" a="1"/>
  <c r="E112" i="3" a="1"/>
  <c r="E117" i="3" a="1"/>
  <c r="H115" i="3" a="1"/>
  <c r="F115" i="3" a="1"/>
  <c r="G114" i="3" a="1"/>
  <c r="G117" i="3" a="1"/>
  <c r="H113" i="3" a="1"/>
  <c r="J104" i="3"/>
  <c r="H111" i="3" a="1"/>
  <c r="F111" i="3" l="1"/>
  <c r="F113" i="3"/>
  <c r="F115" i="3"/>
  <c r="G113" i="3"/>
  <c r="H115" i="3"/>
  <c r="E117" i="3"/>
  <c r="H113" i="3"/>
  <c r="E112" i="3"/>
  <c r="F114" i="3"/>
  <c r="E114" i="3"/>
  <c r="G114" i="3"/>
  <c r="G117" i="3"/>
  <c r="H111" i="3"/>
  <c r="E111" i="3"/>
  <c r="H112" i="3"/>
  <c r="E113" i="3"/>
  <c r="H114" i="3"/>
  <c r="E115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H93" i="4"/>
  <c r="F93" i="4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H88" i="3"/>
  <c r="F88" i="3"/>
  <c r="J29" i="6"/>
  <c r="J41" i="6"/>
  <c r="J83" i="4"/>
  <c r="J81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G160" i="3" a="1"/>
  <c r="F107" i="3" a="1"/>
  <c r="I56" i="11" a="1"/>
  <c r="G135" i="4" a="1"/>
  <c r="K125" i="3" a="1"/>
  <c r="G125" i="3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25" i="3" a="1"/>
  <c r="G107" i="3" a="1"/>
  <c r="I107" i="3" a="1"/>
  <c r="J136" i="4" a="1"/>
  <c r="G61" i="4" a="1"/>
  <c r="I125" i="3" a="1"/>
  <c r="J156" i="4" a="1"/>
  <c r="C123" i="3" a="1"/>
  <c r="I85" i="4" a="1"/>
  <c r="J61" i="4" a="1"/>
  <c r="I19" i="4" a="1"/>
  <c r="F160" i="3" a="1"/>
  <c r="I91" i="11" a="1"/>
  <c r="I158" i="3" a="1"/>
  <c r="I156" i="4" a="1"/>
  <c r="I123" i="3" a="1"/>
  <c r="I160" i="3" a="1"/>
  <c r="G85" i="4" a="1"/>
  <c r="C54" i="11" a="1"/>
  <c r="I110" i="4" a="1"/>
  <c r="J91" i="11" a="1"/>
  <c r="I36" i="11" a="1"/>
  <c r="J38" i="11" a="1"/>
  <c r="I105" i="3" a="1"/>
  <c r="J56" i="11" a="1"/>
  <c r="J109" i="4" a="1"/>
  <c r="J160" i="3" a="1"/>
  <c r="J107" i="3" a="1"/>
  <c r="K56" i="11" a="1"/>
  <c r="J135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C174" i="3"/>
  <c r="C151" i="3"/>
  <c r="C119" i="3"/>
  <c r="G112" i="3" a="1"/>
  <c r="G62" i="11" a="1"/>
  <c r="D43" i="11" a="1"/>
  <c r="D64" i="11" a="1"/>
  <c r="I19" i="3" a="1"/>
  <c r="D75" i="11"/>
  <c r="D61" i="11" a="1"/>
  <c r="E83" i="3" a="1"/>
  <c r="D144" i="3"/>
  <c r="I40" i="3" a="1"/>
  <c r="D62" i="11" a="1"/>
  <c r="D114" i="3" a="1"/>
  <c r="I60" i="3" a="1"/>
  <c r="E19" i="3" a="1"/>
  <c r="F75" i="11" a="1"/>
  <c r="J20" i="3" a="1"/>
  <c r="D63" i="11" a="1"/>
  <c r="F174" i="3" a="1"/>
  <c r="D133" i="3" a="1"/>
  <c r="F171" i="3" a="1"/>
  <c r="C50" i="11" a="1"/>
  <c r="F135" i="3" a="1"/>
  <c r="G130" i="3" a="1"/>
  <c r="D137" i="3"/>
  <c r="E151" i="3" a="1"/>
  <c r="H151" i="3" a="1"/>
  <c r="G85" i="11" a="1"/>
  <c r="H119" i="3" a="1"/>
  <c r="D169" i="3"/>
  <c r="B105" i="11" a="1"/>
  <c r="G111" i="3" a="1"/>
  <c r="G61" i="11" a="1"/>
  <c r="D69" i="11"/>
  <c r="D66" i="11"/>
  <c r="J40" i="3" a="1"/>
  <c r="G174" i="3" a="1"/>
  <c r="G60" i="3" a="1"/>
  <c r="J19" i="3" a="1"/>
  <c r="G119" i="3" a="1"/>
  <c r="D164" i="3" a="1"/>
  <c r="D100" i="11"/>
  <c r="D141" i="3"/>
  <c r="D68" i="11"/>
  <c r="G83" i="3" a="1"/>
  <c r="F85" i="4" a="1"/>
  <c r="G151" i="3" a="1"/>
  <c r="F62" i="11" a="1"/>
  <c r="D46" i="11" a="1"/>
  <c r="I20" i="3" a="1"/>
  <c r="D72" i="11"/>
  <c r="F144" i="3" a="1"/>
  <c r="H174" i="3" a="1"/>
  <c r="D112" i="3" a="1"/>
  <c r="D139" i="3"/>
  <c r="D111" i="3" a="1"/>
  <c r="F156" i="4" a="1"/>
  <c r="F141" i="3" a="1"/>
  <c r="D98" i="11" a="1"/>
  <c r="D140" i="3"/>
  <c r="F102" i="11" a="1"/>
  <c r="D143" i="3"/>
  <c r="D45" i="11" a="1"/>
  <c r="J83" i="3" a="1"/>
  <c r="F138" i="3" a="1"/>
  <c r="F151" i="3" a="1"/>
  <c r="D65" i="11" a="1"/>
  <c r="B174" i="3"/>
  <c r="G43" i="11" a="1"/>
  <c r="F103" i="11" a="1"/>
  <c r="D42" i="11" a="1"/>
  <c r="E105" i="11" a="1"/>
  <c r="B50" i="11" a="1"/>
  <c r="D131" i="3" a="1"/>
  <c r="D134" i="3" a="1"/>
  <c r="F19" i="4" a="1"/>
  <c r="D135" i="3"/>
  <c r="D96" i="11" a="1"/>
  <c r="H105" i="11" a="1"/>
  <c r="D168" i="3" a="1"/>
  <c r="E119" i="3" a="1"/>
  <c r="D130" i="3" a="1"/>
  <c r="I41" i="3" a="1"/>
  <c r="F135" i="4" a="1"/>
  <c r="G165" i="3" a="1"/>
  <c r="F117" i="3" a="1"/>
  <c r="D95" i="11" a="1"/>
  <c r="G115" i="3" a="1"/>
  <c r="B151" i="3"/>
  <c r="G42" i="11" a="1"/>
  <c r="F96" i="11" a="1"/>
  <c r="D97" i="11" a="1"/>
  <c r="D132" i="3" a="1"/>
  <c r="B119" i="3"/>
  <c r="F131" i="3" a="1"/>
  <c r="F100" i="11" a="1"/>
  <c r="D70" i="11"/>
  <c r="D74" i="11"/>
  <c r="F61" i="4" a="1"/>
  <c r="E60" i="3" a="1"/>
  <c r="D44" i="11" a="1"/>
  <c r="J41" i="3" a="1"/>
  <c r="D165" i="3" a="1"/>
  <c r="H50" i="11" a="1"/>
  <c r="D73" i="11"/>
  <c r="D115" i="3" a="1"/>
  <c r="F165" i="3" a="1"/>
  <c r="D138" i="3"/>
  <c r="D142" i="3"/>
  <c r="F48" i="11" a="1"/>
  <c r="G168" i="3" a="1"/>
  <c r="G99" i="11" a="1"/>
  <c r="F112" i="3" a="1"/>
  <c r="D99" i="11" a="1"/>
  <c r="E174" i="3" a="1"/>
  <c r="F72" i="11" a="1"/>
  <c r="D167" i="3" a="1"/>
  <c r="G95" i="11" a="1"/>
  <c r="I83" i="3" a="1"/>
  <c r="D67" i="11"/>
  <c r="D113" i="3" a="1"/>
  <c r="D136" i="3"/>
  <c r="D166" i="3" a="1"/>
  <c r="F169" i="3" a="1"/>
  <c r="G50" i="11" a="1"/>
  <c r="F40" i="4" a="1"/>
  <c r="F105" i="11" a="1"/>
  <c r="G164" i="3" a="1"/>
  <c r="G96" i="11" a="1"/>
  <c r="F43" i="11" a="1"/>
  <c r="J60" i="3" a="1"/>
  <c r="F77" i="11" a="1"/>
  <c r="G131" i="3" a="1"/>
  <c r="F172" i="3" a="1"/>
  <c r="E40" i="3" a="1"/>
  <c r="F66" i="11" a="1"/>
  <c r="E50" i="11" a="1"/>
  <c r="G105" i="11" a="1"/>
  <c r="F69" i="11" a="1"/>
  <c r="C82" i="11"/>
  <c r="F109" i="4" a="1"/>
  <c r="C105" i="11"/>
  <c r="D71" i="11"/>
  <c r="G46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H119" i="3"/>
  <c r="G119" i="3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F127" i="4"/>
  <c r="F126" i="4"/>
  <c r="F78" i="4"/>
  <c r="F50" i="11" a="1"/>
  <c r="I61" i="11"/>
  <c r="F80" i="11" a="1"/>
  <c r="I166" i="3"/>
  <c r="I135" i="3"/>
  <c r="I74" i="11"/>
  <c r="I69" i="11"/>
  <c r="I144" i="3"/>
  <c r="G84" i="11" a="1"/>
  <c r="I131" i="3"/>
  <c r="I111" i="3"/>
  <c r="I140" i="3"/>
  <c r="I113" i="3"/>
  <c r="I130" i="3"/>
  <c r="I44" i="11"/>
  <c r="I95" i="11"/>
  <c r="I42" i="11"/>
  <c r="I137" i="3"/>
  <c r="I72" i="11"/>
  <c r="F78" i="11" a="1"/>
  <c r="I97" i="11"/>
  <c r="I169" i="3"/>
  <c r="I114" i="3"/>
  <c r="I143" i="3"/>
  <c r="I164" i="3"/>
  <c r="I45" i="11"/>
  <c r="G152" i="3" a="1"/>
  <c r="I165" i="3"/>
  <c r="F147" i="3" a="1"/>
  <c r="F79" i="11" a="1"/>
  <c r="I133" i="3"/>
  <c r="I68" i="11"/>
  <c r="I142" i="3"/>
  <c r="F119" i="3" a="1"/>
  <c r="H82" i="11" a="1"/>
  <c r="I75" i="11"/>
  <c r="I134" i="3"/>
  <c r="I168" i="3"/>
  <c r="I65" i="11"/>
  <c r="I136" i="3"/>
  <c r="I99" i="11"/>
  <c r="I62" i="11"/>
  <c r="G154" i="3" a="1"/>
  <c r="I71" i="11"/>
  <c r="E82" i="11" a="1"/>
  <c r="I96" i="11"/>
  <c r="G153" i="3" a="1"/>
  <c r="G83" i="11" a="1"/>
  <c r="I43" i="11"/>
  <c r="F146" i="3" a="1"/>
  <c r="F149" i="3" a="1"/>
  <c r="I98" i="11"/>
  <c r="I112" i="3"/>
  <c r="G171" i="3" a="1"/>
  <c r="I132" i="3"/>
  <c r="G169" i="3" a="1"/>
  <c r="I63" i="11"/>
  <c r="I67" i="11"/>
  <c r="G82" i="11" a="1"/>
  <c r="I139" i="3"/>
  <c r="I100" i="11"/>
  <c r="B82" i="11" a="1"/>
  <c r="G102" i="11" a="1"/>
  <c r="I138" i="3"/>
  <c r="I46" i="11"/>
  <c r="I64" i="11"/>
  <c r="I167" i="3"/>
  <c r="I66" i="11"/>
  <c r="G100" i="11" a="1"/>
  <c r="I141" i="3"/>
  <c r="F82" i="11" a="1"/>
  <c r="F148" i="3" a="1"/>
  <c r="I73" i="11"/>
  <c r="I115" i="3"/>
  <c r="I70" i="11"/>
  <c r="F119" i="3" l="1"/>
  <c r="F78" i="11"/>
  <c r="F50" i="11"/>
  <c r="G169" i="3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H164" i="4"/>
  <c r="G164" i="4"/>
  <c r="F164" i="4"/>
  <c r="C158" i="4"/>
  <c r="F157" i="4"/>
  <c r="F158" i="4" s="1"/>
  <c r="D157" i="4"/>
  <c r="C157" i="4"/>
  <c r="F170" i="4" s="1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G65" i="3"/>
  <c r="F65" i="3"/>
  <c r="J99" i="11"/>
  <c r="J42" i="11"/>
  <c r="J168" i="3"/>
  <c r="J63" i="11"/>
  <c r="E18" i="6" a="1"/>
  <c r="F25" i="5" a="1"/>
  <c r="J66" i="11"/>
  <c r="J97" i="11"/>
  <c r="J74" i="11"/>
  <c r="J96" i="11"/>
  <c r="J141" i="3"/>
  <c r="J45" i="11"/>
  <c r="J143" i="3"/>
  <c r="F112" i="4" a="1"/>
  <c r="F65" i="4" a="1"/>
  <c r="F138" i="4" a="1"/>
  <c r="J134" i="3"/>
  <c r="J114" i="3"/>
  <c r="G89" i="11" a="1"/>
  <c r="J131" i="3"/>
  <c r="J139" i="3"/>
  <c r="J67" i="11"/>
  <c r="J113" i="3"/>
  <c r="J68" i="11"/>
  <c r="J132" i="3"/>
  <c r="J167" i="3"/>
  <c r="J166" i="3"/>
  <c r="J111" i="3"/>
  <c r="J64" i="11"/>
  <c r="J138" i="3"/>
  <c r="J71" i="11"/>
  <c r="J75" i="11"/>
  <c r="J43" i="11"/>
  <c r="J136" i="3"/>
  <c r="J73" i="11"/>
  <c r="J169" i="3"/>
  <c r="J70" i="11"/>
  <c r="J95" i="11"/>
  <c r="J140" i="3"/>
  <c r="J164" i="3"/>
  <c r="E18" i="11" a="1"/>
  <c r="G123" i="3" a="1"/>
  <c r="J44" i="11"/>
  <c r="F23" i="4" a="1"/>
  <c r="J46" i="11"/>
  <c r="D29" i="11" a="1"/>
  <c r="J115" i="3"/>
  <c r="F21" i="3" a="1"/>
  <c r="E42" i="6" a="1"/>
  <c r="J62" i="11"/>
  <c r="F160" i="4" a="1"/>
  <c r="F58" i="5" a="1"/>
  <c r="J72" i="11"/>
  <c r="E30" i="6" a="1"/>
  <c r="F44" i="4" a="1"/>
  <c r="J165" i="3"/>
  <c r="G158" i="3" a="1"/>
  <c r="J100" i="11"/>
  <c r="J61" i="11"/>
  <c r="J137" i="3"/>
  <c r="J69" i="11"/>
  <c r="G105" i="3" a="1"/>
  <c r="F89" i="4" a="1"/>
  <c r="F84" i="3" a="1"/>
  <c r="J135" i="3"/>
  <c r="G36" i="11" a="1"/>
  <c r="J112" i="3"/>
  <c r="J133" i="3"/>
  <c r="J98" i="11"/>
  <c r="J142" i="3"/>
  <c r="F42" i="3" a="1"/>
  <c r="D30" i="11" a="1"/>
  <c r="J65" i="11"/>
  <c r="F61" i="3" a="1"/>
  <c r="J144" i="3"/>
  <c r="J130" i="3"/>
  <c r="G54" i="11" a="1"/>
  <c r="G158" i="3" l="1"/>
  <c r="G54" i="11"/>
  <c r="G89" i="11"/>
  <c r="G105" i="3"/>
  <c r="G123" i="3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84" i="3"/>
  <c r="F61" i="3"/>
  <c r="F42" i="3"/>
  <c r="F21" i="3"/>
  <c r="C159" i="4"/>
  <c r="G171" i="4"/>
  <c r="H157" i="4"/>
  <c r="H158" i="4" s="1"/>
  <c r="G170" i="4"/>
  <c r="G74" i="3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98" i="3"/>
  <c r="D97" i="3"/>
  <c r="D75" i="3"/>
  <c r="D74" i="3"/>
  <c r="D53" i="3"/>
  <c r="D33" i="3"/>
  <c r="D32" i="3"/>
  <c r="D172" i="3"/>
  <c r="D84" i="3" a="1"/>
  <c r="D65" i="4" a="1"/>
  <c r="E54" i="11" a="1"/>
  <c r="E158" i="3" a="1"/>
  <c r="H21" i="3" a="1"/>
  <c r="D146" i="3" a="1"/>
  <c r="D32" i="11" a="1"/>
  <c r="I35" i="5"/>
  <c r="E123" i="3" a="1"/>
  <c r="D117" i="3" a="1"/>
  <c r="D25" i="5" a="1"/>
  <c r="D78" i="11"/>
  <c r="H89" i="4" a="1"/>
  <c r="I32" i="4"/>
  <c r="D77" i="11" a="1"/>
  <c r="H61" i="3" a="1"/>
  <c r="H44" i="4" a="1"/>
  <c r="D89" i="4" a="1"/>
  <c r="I53" i="3"/>
  <c r="D80" i="11"/>
  <c r="H42" i="3" a="1"/>
  <c r="D103" i="11"/>
  <c r="I74" i="3"/>
  <c r="E105" i="3" a="1"/>
  <c r="H84" i="3" a="1"/>
  <c r="D138" i="4" a="1"/>
  <c r="I170" i="4"/>
  <c r="I29" i="11"/>
  <c r="H58" i="5" a="1"/>
  <c r="D44" i="4" a="1"/>
  <c r="D61" i="3" a="1"/>
  <c r="D102" i="11" a="1"/>
  <c r="H160" i="4" a="1"/>
  <c r="D148" i="3"/>
  <c r="D58" i="5" a="1"/>
  <c r="E89" i="11" a="1"/>
  <c r="H23" i="4" a="1"/>
  <c r="D42" i="3" a="1"/>
  <c r="H25" i="5" a="1"/>
  <c r="D171" i="3" a="1"/>
  <c r="D147" i="3"/>
  <c r="H65" i="4" a="1"/>
  <c r="H138" i="4" a="1"/>
  <c r="D160" i="4" a="1"/>
  <c r="E36" i="11" a="1"/>
  <c r="D21" i="3" a="1"/>
  <c r="I149" i="4"/>
  <c r="D23" i="4" a="1"/>
  <c r="D48" i="11" a="1"/>
  <c r="I53" i="4"/>
  <c r="D112" i="4" a="1"/>
  <c r="D79" i="11"/>
  <c r="I30" i="11"/>
  <c r="D149" i="3"/>
  <c r="H112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84" i="3"/>
  <c r="H61" i="3"/>
  <c r="H42" i="3"/>
  <c r="H21" i="3"/>
  <c r="D84" i="3"/>
  <c r="D61" i="3"/>
  <c r="D42" i="3"/>
  <c r="D2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01" i="3"/>
  <c r="D100" i="3"/>
  <c r="I98" i="3"/>
  <c r="D95" i="3"/>
  <c r="D94" i="3"/>
  <c r="D93" i="3"/>
  <c r="D92" i="3"/>
  <c r="D91" i="3"/>
  <c r="D90" i="3"/>
  <c r="D89" i="3"/>
  <c r="D88" i="3"/>
  <c r="D78" i="3"/>
  <c r="D77" i="3"/>
  <c r="D72" i="3"/>
  <c r="D71" i="3"/>
  <c r="D70" i="3"/>
  <c r="D69" i="3"/>
  <c r="D68" i="3"/>
  <c r="D67" i="3"/>
  <c r="D66" i="3"/>
  <c r="D65" i="3"/>
  <c r="D55" i="3"/>
  <c r="D51" i="3"/>
  <c r="D50" i="3"/>
  <c r="D49" i="3"/>
  <c r="D48" i="3"/>
  <c r="D47" i="3"/>
  <c r="D46" i="3"/>
  <c r="D35" i="3"/>
  <c r="D30" i="3"/>
  <c r="D29" i="3"/>
  <c r="D27" i="3"/>
  <c r="D28" i="3"/>
  <c r="D26" i="3"/>
  <c r="D25" i="3"/>
  <c r="I82" i="5"/>
  <c r="I32" i="3"/>
  <c r="I47" i="6"/>
  <c r="I75" i="3"/>
  <c r="I35" i="3"/>
  <c r="I78" i="11"/>
  <c r="J100" i="4"/>
  <c r="I93" i="5"/>
  <c r="J74" i="3"/>
  <c r="I173" i="4"/>
  <c r="J35" i="5"/>
  <c r="I56" i="4"/>
  <c r="I48" i="6"/>
  <c r="I27" i="4"/>
  <c r="I24" i="6"/>
  <c r="I33" i="3"/>
  <c r="I32" i="11"/>
  <c r="J32" i="4"/>
  <c r="I103" i="11"/>
  <c r="D174" i="3" a="1"/>
  <c r="I77" i="3"/>
  <c r="I46" i="6"/>
  <c r="I146" i="3"/>
  <c r="I84" i="5"/>
  <c r="D83" i="11"/>
  <c r="I80" i="5"/>
  <c r="I37" i="6"/>
  <c r="I48" i="11"/>
  <c r="I148" i="3"/>
  <c r="D82" i="11" a="1"/>
  <c r="I75" i="4"/>
  <c r="I81" i="5"/>
  <c r="D154" i="3"/>
  <c r="D153" i="3"/>
  <c r="I79" i="11"/>
  <c r="J79" i="5"/>
  <c r="I99" i="4"/>
  <c r="I36" i="5"/>
  <c r="D105" i="11" a="1"/>
  <c r="J98" i="3"/>
  <c r="J170" i="4"/>
  <c r="I35" i="6"/>
  <c r="I35" i="4"/>
  <c r="J76" i="4"/>
  <c r="J30" i="11"/>
  <c r="I80" i="11"/>
  <c r="I151" i="4"/>
  <c r="I22" i="6"/>
  <c r="I34" i="6"/>
  <c r="J53" i="3"/>
  <c r="I41" i="5"/>
  <c r="I55" i="3"/>
  <c r="I36" i="6"/>
  <c r="D50" i="11" a="1"/>
  <c r="I50" i="6"/>
  <c r="D119" i="3" a="1"/>
  <c r="I77" i="11"/>
  <c r="I102" i="11"/>
  <c r="J124" i="4"/>
  <c r="I80" i="4"/>
  <c r="I85" i="5"/>
  <c r="I38" i="6"/>
  <c r="I171" i="3"/>
  <c r="I147" i="3"/>
  <c r="I172" i="3"/>
  <c r="I25" i="6"/>
  <c r="I78" i="5"/>
  <c r="I100" i="3"/>
  <c r="I86" i="5"/>
  <c r="J29" i="11"/>
  <c r="I149" i="3"/>
  <c r="D85" i="11"/>
  <c r="I23" i="6"/>
  <c r="I49" i="6"/>
  <c r="I123" i="4"/>
  <c r="J53" i="4"/>
  <c r="J149" i="4"/>
  <c r="I97" i="3"/>
  <c r="D152" i="3"/>
  <c r="D84" i="11"/>
  <c r="D151" i="3" a="1"/>
  <c r="I26" i="6"/>
  <c r="I83" i="5"/>
  <c r="I104" i="4"/>
  <c r="I117" i="3"/>
  <c r="D174" i="3" l="1"/>
  <c r="D105" i="11"/>
  <c r="D119" i="3"/>
  <c r="D151" i="3"/>
  <c r="D82" i="11"/>
  <c r="D50" i="11"/>
  <c r="H130" i="4"/>
  <c r="H129" i="4"/>
  <c r="F130" i="4"/>
  <c r="G30" i="4"/>
  <c r="G28" i="4"/>
  <c r="G27" i="4"/>
  <c r="I63" i="5"/>
  <c r="I30" i="5"/>
  <c r="I168" i="4"/>
  <c r="I143" i="4"/>
  <c r="I130" i="4"/>
  <c r="I119" i="4"/>
  <c r="I94" i="4"/>
  <c r="I71" i="4"/>
  <c r="I49" i="4"/>
  <c r="I49" i="3"/>
  <c r="I26" i="3"/>
  <c r="I121" i="4"/>
  <c r="I145" i="4"/>
  <c r="I144" i="4"/>
  <c r="I27" i="3"/>
  <c r="I51" i="3"/>
  <c r="J130" i="4"/>
  <c r="I68" i="3"/>
  <c r="J23" i="6"/>
  <c r="J78" i="11"/>
  <c r="J25" i="6"/>
  <c r="I33" i="5"/>
  <c r="I78" i="3"/>
  <c r="I50" i="11"/>
  <c r="I68" i="5"/>
  <c r="I66" i="5"/>
  <c r="I32" i="5"/>
  <c r="I82" i="11"/>
  <c r="J119" i="4"/>
  <c r="I129" i="4"/>
  <c r="I29" i="4"/>
  <c r="I46" i="3"/>
  <c r="I69" i="4"/>
  <c r="I29" i="3"/>
  <c r="I48" i="3"/>
  <c r="I50" i="4"/>
  <c r="I67" i="3"/>
  <c r="I93" i="4"/>
  <c r="J36" i="6"/>
  <c r="J173" i="4"/>
  <c r="J80" i="11"/>
  <c r="J171" i="3"/>
  <c r="J102" i="11"/>
  <c r="J30" i="5"/>
  <c r="I71" i="3"/>
  <c r="J35" i="6"/>
  <c r="I72" i="3"/>
  <c r="J77" i="11"/>
  <c r="I117" i="4"/>
  <c r="I95" i="3"/>
  <c r="I70" i="4"/>
  <c r="J34" i="6"/>
  <c r="J35" i="3"/>
  <c r="J48" i="6"/>
  <c r="J99" i="4"/>
  <c r="I154" i="3"/>
  <c r="J38" i="6"/>
  <c r="I166" i="4"/>
  <c r="I88" i="3"/>
  <c r="J146" i="3"/>
  <c r="J84" i="5"/>
  <c r="J32" i="3"/>
  <c r="J97" i="3"/>
  <c r="J27" i="4"/>
  <c r="I47" i="3"/>
  <c r="I164" i="4"/>
  <c r="J104" i="4"/>
  <c r="J46" i="6"/>
  <c r="I152" i="3"/>
  <c r="J48" i="11"/>
  <c r="I76" i="5"/>
  <c r="J149" i="3"/>
  <c r="I151" i="3"/>
  <c r="I51" i="4"/>
  <c r="J26" i="6"/>
  <c r="J47" i="6"/>
  <c r="I167" i="4"/>
  <c r="I153" i="3"/>
  <c r="I72" i="4"/>
  <c r="I28" i="4"/>
  <c r="J33" i="3"/>
  <c r="J151" i="4"/>
  <c r="J81" i="5"/>
  <c r="I64" i="5"/>
  <c r="J49" i="6"/>
  <c r="J37" i="6"/>
  <c r="I72" i="5"/>
  <c r="J49" i="3"/>
  <c r="I96" i="4"/>
  <c r="J123" i="4"/>
  <c r="I73" i="4"/>
  <c r="J94" i="4"/>
  <c r="I30" i="4"/>
  <c r="I65" i="3"/>
  <c r="J75" i="4"/>
  <c r="I174" i="3"/>
  <c r="I83" i="11"/>
  <c r="J71" i="4"/>
  <c r="J63" i="5"/>
  <c r="J85" i="5"/>
  <c r="J80" i="4"/>
  <c r="I66" i="3"/>
  <c r="J100" i="3"/>
  <c r="I50" i="3"/>
  <c r="J86" i="5"/>
  <c r="I69" i="5"/>
  <c r="I93" i="3"/>
  <c r="J147" i="3"/>
  <c r="I147" i="4"/>
  <c r="I105" i="11"/>
  <c r="I116" i="4"/>
  <c r="J75" i="3"/>
  <c r="J103" i="11"/>
  <c r="J49" i="4"/>
  <c r="I70" i="3"/>
  <c r="I101" i="3"/>
  <c r="J79" i="11"/>
  <c r="I73" i="5"/>
  <c r="J41" i="5"/>
  <c r="I29" i="5"/>
  <c r="J77" i="3"/>
  <c r="I94" i="3"/>
  <c r="J55" i="3"/>
  <c r="J50" i="6"/>
  <c r="I142" i="4"/>
  <c r="I120" i="4"/>
  <c r="J24" i="6"/>
  <c r="I70" i="5"/>
  <c r="I62" i="5"/>
  <c r="I84" i="11"/>
  <c r="J172" i="3"/>
  <c r="I48" i="4"/>
  <c r="I92" i="3"/>
  <c r="J168" i="4"/>
  <c r="I75" i="5"/>
  <c r="J93" i="5"/>
  <c r="I119" i="3"/>
  <c r="J148" i="3"/>
  <c r="I25" i="3"/>
  <c r="J56" i="4"/>
  <c r="I91" i="3"/>
  <c r="J143" i="4"/>
  <c r="J32" i="11"/>
  <c r="I95" i="4"/>
  <c r="I89" i="3"/>
  <c r="J26" i="3"/>
  <c r="J80" i="5"/>
  <c r="I165" i="4"/>
  <c r="J22" i="6"/>
  <c r="I97" i="4"/>
  <c r="I71" i="5"/>
  <c r="I28" i="3"/>
  <c r="I118" i="4"/>
  <c r="I90" i="3"/>
  <c r="J117" i="3"/>
  <c r="J82" i="5"/>
  <c r="I74" i="5"/>
  <c r="I85" i="11"/>
  <c r="I69" i="3"/>
  <c r="J83" i="5"/>
  <c r="I65" i="5"/>
  <c r="J78" i="5"/>
  <c r="J36" i="5"/>
  <c r="J35" i="4"/>
  <c r="I31" i="5"/>
  <c r="I30" i="3"/>
  <c r="I146" i="4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H62" i="5"/>
  <c r="G62" i="5"/>
  <c r="F62" i="5"/>
  <c r="C56" i="5"/>
  <c r="D55" i="5"/>
  <c r="C55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H29" i="5"/>
  <c r="G29" i="5"/>
  <c r="F29" i="5"/>
  <c r="C23" i="5"/>
  <c r="C24" i="5" s="1"/>
  <c r="D22" i="5"/>
  <c r="C22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118" i="4"/>
  <c r="J121" i="4"/>
  <c r="J166" i="4"/>
  <c r="J68" i="3"/>
  <c r="J28" i="3"/>
  <c r="J91" i="3"/>
  <c r="J97" i="4"/>
  <c r="J82" i="11"/>
  <c r="J62" i="5"/>
  <c r="J68" i="5"/>
  <c r="J50" i="3"/>
  <c r="J129" i="4"/>
  <c r="J92" i="3"/>
  <c r="J65" i="3"/>
  <c r="J73" i="5"/>
  <c r="J32" i="5"/>
  <c r="J69" i="4"/>
  <c r="J78" i="3"/>
  <c r="J48" i="4"/>
  <c r="J31" i="5"/>
  <c r="J116" i="4"/>
  <c r="J64" i="5"/>
  <c r="J88" i="3"/>
  <c r="J90" i="3"/>
  <c r="J165" i="4"/>
  <c r="J47" i="3"/>
  <c r="J147" i="4"/>
  <c r="J74" i="5"/>
  <c r="J29" i="4"/>
  <c r="J73" i="4"/>
  <c r="J89" i="3"/>
  <c r="J46" i="3"/>
  <c r="J30" i="3"/>
  <c r="J50" i="11"/>
  <c r="J67" i="3"/>
  <c r="J76" i="5"/>
  <c r="J70" i="3"/>
  <c r="J65" i="5"/>
  <c r="J93" i="3"/>
  <c r="J101" i="3"/>
  <c r="J167" i="4"/>
  <c r="J30" i="4"/>
  <c r="J66" i="5"/>
  <c r="J70" i="5"/>
  <c r="J105" i="11"/>
  <c r="J83" i="11"/>
  <c r="J95" i="3"/>
  <c r="J28" i="4"/>
  <c r="J146" i="4"/>
  <c r="J96" i="4"/>
  <c r="J72" i="3"/>
  <c r="J117" i="4"/>
  <c r="J50" i="4"/>
  <c r="J145" i="4"/>
  <c r="J69" i="5"/>
  <c r="J93" i="4"/>
  <c r="J94" i="3"/>
  <c r="J66" i="3"/>
  <c r="J25" i="3"/>
  <c r="J33" i="5"/>
  <c r="J75" i="5"/>
  <c r="J85" i="11"/>
  <c r="J142" i="4"/>
  <c r="J144" i="4"/>
  <c r="J174" i="3"/>
  <c r="J154" i="3"/>
  <c r="J84" i="11"/>
  <c r="J71" i="3"/>
  <c r="J119" i="3"/>
  <c r="J95" i="4"/>
  <c r="J51" i="3"/>
  <c r="J71" i="5"/>
  <c r="J69" i="3"/>
  <c r="J151" i="3"/>
  <c r="J51" i="4"/>
  <c r="J29" i="3"/>
  <c r="J29" i="5"/>
  <c r="J164" i="4"/>
  <c r="J153" i="3"/>
  <c r="J72" i="5"/>
  <c r="J152" i="3"/>
  <c r="J70" i="4"/>
  <c r="J72" i="4"/>
  <c r="J48" i="3"/>
  <c r="J27" i="3"/>
  <c r="J120" i="4"/>
  <c r="G85" i="5" l="1"/>
  <c r="F85" i="5"/>
  <c r="L81" i="5"/>
  <c r="G82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G35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116" i="5" l="1"/>
  <c r="C158" i="5"/>
  <c r="C160" i="5" s="1"/>
  <c r="C138" i="5"/>
  <c r="F35" i="3"/>
  <c r="F55" i="3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G29" i="4"/>
  <c r="F29" i="4"/>
  <c r="F28" i="4"/>
  <c r="G149" i="4"/>
  <c r="G121" i="4"/>
  <c r="F121" i="4"/>
  <c r="F120" i="4"/>
  <c r="G118" i="4"/>
  <c r="F118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F27" i="4"/>
  <c r="H20" i="4" l="1"/>
  <c r="H21" i="4" s="1"/>
  <c r="C43" i="4"/>
  <c r="F54" i="4"/>
  <c r="F53" i="4"/>
  <c r="C22" i="4"/>
  <c r="I41" i="4"/>
  <c r="I42" i="4" s="1"/>
  <c r="G32" i="4"/>
  <c r="F53" i="3"/>
  <c r="G53" i="3"/>
  <c r="F51" i="3"/>
  <c r="G51" i="3"/>
  <c r="F49" i="3"/>
  <c r="F48" i="3"/>
  <c r="F47" i="3"/>
  <c r="G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F25" i="3"/>
  <c r="G2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<sst xmlns="http://schemas.openxmlformats.org/spreadsheetml/2006/main" count="885" uniqueCount="177">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</sst>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9</xdr:row>
          <xdr:rowOff>152400</xdr:rowOff>
        </xdr:from>
        <xdr:to>
          <xdr:col>7</xdr:col>
          <xdr:colOff>502920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9</xdr:row>
          <xdr:rowOff>167640</xdr:rowOff>
        </xdr:from>
        <xdr:to>
          <xdr:col>10</xdr:col>
          <xdr:colOff>548640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9</xdr:row>
          <xdr:rowOff>167640</xdr:rowOff>
        </xdr:from>
        <xdr:to>
          <xdr:col>10</xdr:col>
          <xdr:colOff>53340</xdr:colOff>
          <xdr:row>11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9</xdr:row>
          <xdr:rowOff>167640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9</xdr:row>
          <xdr:rowOff>167640</xdr:rowOff>
        </xdr:from>
        <xdr:to>
          <xdr:col>6</xdr:col>
          <xdr:colOff>708660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9</xdr:row>
          <xdr:rowOff>144780</xdr:rowOff>
        </xdr:from>
        <xdr:to>
          <xdr:col>13</xdr:col>
          <xdr:colOff>342900</xdr:colOff>
          <xdr:row>11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10</xdr:row>
          <xdr:rowOff>0</xdr:rowOff>
        </xdr:from>
        <xdr:to>
          <xdr:col>10</xdr:col>
          <xdr:colOff>579120</xdr:colOff>
          <xdr:row>11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10</xdr:row>
          <xdr:rowOff>22860</xdr:rowOff>
        </xdr:from>
        <xdr:to>
          <xdr:col>4</xdr:col>
          <xdr:colOff>685800</xdr:colOff>
          <xdr:row>11</xdr:row>
          <xdr:rowOff>213360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213360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10</xdr:row>
          <xdr:rowOff>22860</xdr:rowOff>
        </xdr:from>
        <xdr:to>
          <xdr:col>14</xdr:col>
          <xdr:colOff>365760</xdr:colOff>
          <xdr:row>11</xdr:row>
          <xdr:rowOff>213360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76200</xdr:rowOff>
        </xdr:from>
        <xdr:to>
          <xdr:col>11</xdr:col>
          <xdr:colOff>45720</xdr:colOff>
          <xdr:row>11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76200</xdr:rowOff>
        </xdr:from>
        <xdr:to>
          <xdr:col>4</xdr:col>
          <xdr:colOff>754380</xdr:colOff>
          <xdr:row>11</xdr:row>
          <xdr:rowOff>198120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10</xdr:row>
          <xdr:rowOff>76200</xdr:rowOff>
        </xdr:from>
        <xdr:to>
          <xdr:col>7</xdr:col>
          <xdr:colOff>601980</xdr:colOff>
          <xdr:row>11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10</xdr:row>
          <xdr:rowOff>76200</xdr:rowOff>
        </xdr:from>
        <xdr:to>
          <xdr:col>14</xdr:col>
          <xdr:colOff>289560</xdr:colOff>
          <xdr:row>11</xdr:row>
          <xdr:rowOff>190500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10</xdr:row>
          <xdr:rowOff>7620</xdr:rowOff>
        </xdr:from>
        <xdr:to>
          <xdr:col>10</xdr:col>
          <xdr:colOff>434340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9</xdr:row>
          <xdr:rowOff>213360</xdr:rowOff>
        </xdr:from>
        <xdr:to>
          <xdr:col>14</xdr:col>
          <xdr:colOff>259080</xdr:colOff>
          <xdr:row>11</xdr:row>
          <xdr:rowOff>129540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176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148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158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33</v>
      </c>
      <c r="E16" s="47" t="s">
        <v>39</v>
      </c>
      <c r="F16" s="47" t="s">
        <v>37</v>
      </c>
      <c r="G16" s="47" t="s">
        <v>36</v>
      </c>
      <c r="H16" s="47" t="s">
        <v>35</v>
      </c>
      <c r="I16" s="47" t="s">
        <v>100</v>
      </c>
      <c r="J16" s="47" t="s">
        <v>34</v>
      </c>
      <c r="K16" s="47" t="s">
        <v>20</v>
      </c>
      <c r="L16" s="47" t="s">
        <v>38</v>
      </c>
      <c r="M16" s="47" t="s">
        <v>56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170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159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164</v>
      </c>
      <c r="E21" s="47" t="s">
        <v>160</v>
      </c>
      <c r="F21" s="47" t="s">
        <v>161</v>
      </c>
      <c r="G21" s="47" t="s">
        <v>162</v>
      </c>
      <c r="H21" s="47" t="s">
        <v>163</v>
      </c>
      <c r="I21" s="47" t="s">
        <v>165</v>
      </c>
      <c r="J21" s="47" t="s">
        <v>166</v>
      </c>
      <c r="K21" s="47" t="s">
        <v>167</v>
      </c>
      <c r="L21" s="47" t="s">
        <v>168</v>
      </c>
      <c r="M21" s="47" t="s">
        <v>169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170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143</v>
      </c>
      <c r="D27" s="96"/>
      <c r="E27" s="63"/>
      <c r="F27" s="95" t="s">
        <v>0</v>
      </c>
      <c r="G27" s="96"/>
      <c r="H27" s="63"/>
      <c r="I27" s="95" t="s">
        <v>42</v>
      </c>
      <c r="J27" s="96"/>
      <c r="K27" s="63"/>
      <c r="L27" s="95" t="s">
        <v>60</v>
      </c>
      <c r="M27" s="96"/>
      <c r="N27" s="63"/>
      <c r="O27" s="95" t="s">
        <v>99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30</v>
      </c>
      <c r="F29" s="50" t="str" cm="1">
        <f t="array" aca="1" ref="F29" ca="1">defaultValue(G29,$C$28)</f>
        <v>HPL</v>
      </c>
      <c r="G29" s="51" t="s">
        <v>30</v>
      </c>
      <c r="H29" s="46"/>
      <c r="I29" s="50" t="str" cm="1">
        <f t="array" aca="1" ref="I29" ca="1">defaultValue(J29,$C$28)</f>
        <v>HPL</v>
      </c>
      <c r="J29" s="51" t="s">
        <v>30</v>
      </c>
      <c r="K29" s="46"/>
      <c r="L29" s="50" t="str" cm="1">
        <f t="array" aca="1" ref="L29" ca="1">defaultValue(M29,$C$28)</f>
        <v>HPL</v>
      </c>
      <c r="M29" s="51" t="s">
        <v>30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31</v>
      </c>
      <c r="F30" s="52" t="str" cm="1">
        <f t="array" aca="1" ref="F30" ca="1">defaultValue(G30,$C$28)</f>
        <v>يوفيلاك</v>
      </c>
      <c r="G30" s="53" t="s">
        <v>31</v>
      </c>
      <c r="H30" s="46"/>
      <c r="I30" s="52" t="str" cm="1">
        <f t="array" aca="1" ref="I30" ca="1">defaultValue(J30,$C$28)</f>
        <v>يوفيلاك</v>
      </c>
      <c r="J30" s="53" t="s">
        <v>31</v>
      </c>
      <c r="K30" s="46"/>
      <c r="L30" s="52" t="str" cm="1">
        <f t="array" aca="1" ref="L30" ca="1">defaultValue(M30,$C$28)</f>
        <v>يوفيلاك</v>
      </c>
      <c r="M30" s="53" t="s">
        <v>31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56</v>
      </c>
      <c r="F31" s="55" t="str" cm="1">
        <f t="array" aca="1" ref="F31" ca="1">defaultValue(G31,$C$28)</f>
        <v>ظهر</v>
      </c>
      <c r="G31" s="56" t="s">
        <v>56</v>
      </c>
      <c r="H31" s="46"/>
      <c r="I31" s="66" t="str" cm="1">
        <f t="array" aca="1" ref="I31" ca="1">defaultValue(J31,$C$28)</f>
        <v>ظهر</v>
      </c>
      <c r="J31" s="67" t="s">
        <v>56</v>
      </c>
      <c r="K31" s="46"/>
      <c r="L31" s="66" t="str" cm="1">
        <f t="array" aca="1" ref="L31" ca="1">defaultValue(M31,$C$28)</f>
        <v>ظهر</v>
      </c>
      <c r="M31" s="67" t="s">
        <v>56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19</v>
      </c>
      <c r="F32" s="58">
        <v>56</v>
      </c>
      <c r="G32" s="60" t="s">
        <v>108</v>
      </c>
      <c r="H32" s="57"/>
      <c r="I32" s="58">
        <v>30</v>
      </c>
      <c r="J32" s="60" t="s">
        <v>108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16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109</v>
      </c>
      <c r="F34" s="58" cm="1">
        <f t="array" aca="1" ref="F34" ca="1">defaultValue(G34,$C$28)</f>
        <v>45</v>
      </c>
      <c r="G34" s="60" t="s">
        <v>19</v>
      </c>
      <c r="H34" s="46"/>
      <c r="I34" s="58" cm="1">
        <f t="array" aca="1" ref="I34" ca="1">defaultValue(J34,$C$28)</f>
        <v>45</v>
      </c>
      <c r="J34" s="60" t="s">
        <v>19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16</v>
      </c>
      <c r="H35" s="46"/>
      <c r="I35" s="58" cm="1">
        <f t="array" aca="1" ref="I35" ca="1">defaultValue(J35,$C$28)</f>
        <v>3.5</v>
      </c>
      <c r="J35" s="60" t="s">
        <v>16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109</v>
      </c>
      <c r="H36" s="46"/>
      <c r="I36" s="58">
        <v>0</v>
      </c>
      <c r="J36" s="60" t="s">
        <v>110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49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149</v>
      </c>
      <c r="D2" s="100" t="s">
        <v>174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148</v>
      </c>
    </row>
    <row r="4" spans="1:15" s="83" customFormat="1" ht="21" x14ac:dyDescent="0.4">
      <c r="D4" s="98" t="s">
        <v>173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159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125</v>
      </c>
      <c r="B17" s="14"/>
      <c r="C17" s="13">
        <v>1</v>
      </c>
      <c r="D17" s="21" t="s">
        <v>57</v>
      </c>
      <c r="E17" s="101" t="s">
        <v>150</v>
      </c>
      <c r="F17" s="102"/>
      <c r="G17" s="102"/>
      <c r="H17" s="103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56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107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108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171</v>
      </c>
      <c r="K22" s="6" t="s">
        <v>154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130</v>
      </c>
      <c r="B35" s="14"/>
      <c r="C35" s="13">
        <v>1</v>
      </c>
      <c r="D35" s="21" t="s">
        <v>57</v>
      </c>
      <c r="E35" s="101" t="s">
        <v>151</v>
      </c>
      <c r="F35" s="102"/>
      <c r="G35" s="102"/>
      <c r="H35" s="103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109</v>
      </c>
      <c r="E36" s="26" t="str" cm="1">
        <f t="array" aca="1" ref="E36" ca="1">defaultValue(F36,K35)</f>
        <v>ظهر</v>
      </c>
      <c r="F36" s="7" t="s">
        <v>56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107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108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171</v>
      </c>
      <c r="K40" s="6" t="s">
        <v>154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126</v>
      </c>
      <c r="B53" s="14"/>
      <c r="C53" s="13">
        <v>1</v>
      </c>
      <c r="D53" s="21" t="s">
        <v>57</v>
      </c>
      <c r="E53" s="101" t="s">
        <v>152</v>
      </c>
      <c r="F53" s="102"/>
      <c r="G53" s="102"/>
      <c r="H53" s="103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109</v>
      </c>
      <c r="E54" s="26" t="str" cm="1">
        <f t="array" aca="1" ref="E54" ca="1">defaultValue(F54,K53)</f>
        <v>ظهر</v>
      </c>
      <c r="F54" s="7" t="s">
        <v>56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107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119</v>
      </c>
      <c r="D55" s="7" t="s">
        <v>118</v>
      </c>
      <c r="E55" s="70" t="s">
        <v>117</v>
      </c>
      <c r="F55" s="70" t="s">
        <v>155</v>
      </c>
      <c r="G55" s="7" t="s">
        <v>16</v>
      </c>
      <c r="H55" s="7" t="s">
        <v>22</v>
      </c>
      <c r="I55" s="7" t="s">
        <v>3</v>
      </c>
      <c r="J55" s="7" t="s">
        <v>108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120</v>
      </c>
      <c r="I57" s="26">
        <v>0</v>
      </c>
      <c r="J57" s="104" t="s">
        <v>156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171</v>
      </c>
      <c r="K59" s="6" t="s">
        <v>154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131</v>
      </c>
      <c r="B88" s="14"/>
      <c r="C88" s="13">
        <v>1</v>
      </c>
      <c r="D88" s="21" t="s">
        <v>57</v>
      </c>
      <c r="E88" s="101" t="s">
        <v>157</v>
      </c>
      <c r="F88" s="102"/>
      <c r="G88" s="102"/>
      <c r="H88" s="103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109</v>
      </c>
      <c r="E89" s="26" t="str" cm="1">
        <f t="array" aca="1" ref="E89" ca="1">defaultValue(F89,K88)</f>
        <v>ظهر</v>
      </c>
      <c r="F89" s="7" t="s">
        <v>56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107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108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171</v>
      </c>
      <c r="K93" s="6" t="s">
        <v>154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116</v>
      </c>
      <c r="C2" s="108" t="s">
        <v>175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100</v>
      </c>
      <c r="T3" s="72" t="s">
        <v>42</v>
      </c>
      <c r="U3" s="72" t="s">
        <v>60</v>
      </c>
      <c r="V3" s="72" t="s">
        <v>99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173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159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pane ySplit="12" topLeftCell="A89" activePane="bottomLeft" state="frozen"/>
      <selection activeCell="B1" sqref="B1"/>
      <selection pane="bottomLeft" activeCell="D93" sqref="D93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112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144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173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159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42" t="s">
        <v>125</v>
      </c>
      <c r="C17" s="13">
        <v>1</v>
      </c>
      <c r="D17" s="21" t="s">
        <v>57</v>
      </c>
      <c r="E17" s="101" t="s">
        <v>25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109"/>
      <c r="G18" s="7"/>
      <c r="H18" s="7" t="s">
        <v>22</v>
      </c>
      <c r="I18" s="7" t="s">
        <v>3</v>
      </c>
      <c r="J18" s="7" t="s">
        <v>108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109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56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107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171</v>
      </c>
      <c r="K23" s="6" t="s">
        <v>154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>
        <f>visible(E17, K25)</f>
        <v>وحدة سفلية  زاوية 90</v>
      </c>
      <c r="C25" s="6">
        <f>visible(1,K25)</f>
        <v>1</v>
      </c>
      <c r="D25" s="6" t="str">
        <f ca="1">visible(H21, K25)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>
        <f>visible(E17, K26)</f>
        <v>وحدة سفلية  زاوية 90</v>
      </c>
      <c r="C26" s="6">
        <f>visible(2,K26)</f>
        <v>2</v>
      </c>
      <c r="D26" s="6" t="str">
        <f ca="1">visible(H21, K26)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>
        <f>visible(E17, K27)</f>
        <v>وحدة سفلية  زاوية 90</v>
      </c>
      <c r="C27" s="6">
        <f>visible(3,K27)</f>
        <v>3</v>
      </c>
      <c r="D27" s="6" t="str">
        <f ca="1">visible(H21, K27)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>
        <f>visible(E17, K28)</f>
        <v>وحدة سفلية  زاوية 90</v>
      </c>
      <c r="C28" s="6">
        <f>visible(4,K28)</f>
        <v>4</v>
      </c>
      <c r="D28" s="6" t="str">
        <f ca="1">visible(H21, K28)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 t="str">
        <f>visible(E17, K29)</f>
        <v>وحدة سفلية  زاوية 90</v>
      </c>
      <c r="C29" s="6">
        <f>visible(5,K29)</f>
        <v>5</v>
      </c>
      <c r="D29" s="6" t="str">
        <f ca="1">visible(H21, K29)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 t="str">
        <f>visible(E17, K30)</f>
        <v>وحدة سفلية  زاوية 90</v>
      </c>
      <c r="C30" s="6">
        <f>visible(6,K30)</f>
        <v>6</v>
      </c>
      <c r="D30" s="6" t="str">
        <f ca="1">visible(H21, K30)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 t="str">
        <f>visible(E17, K32)</f>
        <v>وحدة سفلية  زاوية 90</v>
      </c>
      <c r="C32" s="9">
        <f>visible(7,K32)</f>
        <v>7</v>
      </c>
      <c r="D32" s="9" t="str">
        <f ca="1">visible(F21, K32)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 t="str">
        <f>visible(E17, K33)</f>
        <v>وحدة سفلية  زاوية 90</v>
      </c>
      <c r="C33" s="9">
        <f>visible(8,K33)</f>
        <v>8</v>
      </c>
      <c r="D33" s="9" t="str">
        <f ca="1">visible(F21, K33)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 t="str">
        <f>visible(E17, K35)</f>
        <v>وحدة سفلية  زاوية 90</v>
      </c>
      <c r="C35" s="18">
        <f>visible(9,K35)</f>
        <v>9</v>
      </c>
      <c r="D35" s="18" t="str">
        <f ca="1">visible(D21, K35)</f>
        <v>ظهر</v>
      </c>
      <c r="E35" s="18" t="s">
        <v>56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1.2" x14ac:dyDescent="0.3">
      <c r="A38" s="42" t="s">
        <v>130</v>
      </c>
      <c r="C38" s="13">
        <v>1</v>
      </c>
      <c r="D38" s="21" t="s">
        <v>57</v>
      </c>
      <c r="E38" s="101" t="s">
        <v>28</v>
      </c>
      <c r="F38" s="102"/>
      <c r="G38" s="102"/>
      <c r="H38" s="103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109"/>
      <c r="G39" s="7"/>
      <c r="H39" s="7" t="s">
        <v>22</v>
      </c>
      <c r="I39" s="7" t="s">
        <v>3</v>
      </c>
      <c r="J39" s="7" t="s">
        <v>108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109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56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107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171</v>
      </c>
      <c r="K44" s="6" t="s">
        <v>154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visible(E38, K46)</f>
        <v>وحدة سفلية  ركنة 45</v>
      </c>
      <c r="C46" s="6">
        <f>visible(1,K46)</f>
        <v>1</v>
      </c>
      <c r="D46" s="6" t="str">
        <f ca="1">visible(H42, K46)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1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visible(E38, K47)</f>
        <v>وحدة سفلية  ركنة 45</v>
      </c>
      <c r="C47" s="6">
        <f>visible(2,K47)</f>
        <v>2</v>
      </c>
      <c r="D47" s="6" t="str">
        <f ca="1">visible(H42, K47)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1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visible(E38, K48)</f>
        <v>وحدة سفلية  ركنة 45</v>
      </c>
      <c r="C48" s="6">
        <f>visible(3,K48)</f>
        <v>3</v>
      </c>
      <c r="D48" s="6" t="str">
        <f ca="1">visible(H42, K48)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1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visible(E38, K49)</f>
        <v>وحدة سفلية  ركنة 45</v>
      </c>
      <c r="C49" s="6">
        <f>visible(4,K49)</f>
        <v>4</v>
      </c>
      <c r="D49" s="6" t="str">
        <f ca="1">visible(H42, K49)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1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visible(E38, K50)</f>
        <v>وحدة سفلية  ركنة 45</v>
      </c>
      <c r="C50" s="6">
        <f>visible(5,K50)</f>
        <v>5</v>
      </c>
      <c r="D50" s="6" t="str">
        <f ca="1">visible(H42, K50)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1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visible(E38, K51)</f>
        <v>وحدة سفلية  ركنة 45</v>
      </c>
      <c r="C51" s="6">
        <f>visible(6,K51)</f>
        <v>6</v>
      </c>
      <c r="D51" s="6" t="str">
        <f ca="1">visible(H42, K51)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1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visible(E38, K53)</f>
        <v>وحدة سفلية  ركنة 45</v>
      </c>
      <c r="C53" s="9">
        <f>visible(7,K53)</f>
        <v>7</v>
      </c>
      <c r="D53" s="9" t="str">
        <f ca="1">visible(F42, K53)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visible(E38, K55)</f>
        <v>وحدة سفلية  ركنة 45</v>
      </c>
      <c r="C55" s="18">
        <f>visible(8,K55)</f>
        <v>8</v>
      </c>
      <c r="D55" s="18" t="str">
        <f ca="1">visible(D42, K55)</f>
        <v>ظهر</v>
      </c>
      <c r="E55" s="18" t="s">
        <v>56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1.2" x14ac:dyDescent="0.3">
      <c r="A58" s="42" t="s">
        <v>126</v>
      </c>
      <c r="B58" s="3"/>
      <c r="C58" s="13">
        <v>1</v>
      </c>
      <c r="D58" s="21" t="s">
        <v>57</v>
      </c>
      <c r="E58" s="101" t="s">
        <v>101</v>
      </c>
      <c r="F58" s="102"/>
      <c r="G58" s="102"/>
      <c r="H58" s="103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109"/>
      <c r="G59" s="15" t="s">
        <v>19</v>
      </c>
      <c r="H59" s="7" t="s">
        <v>22</v>
      </c>
      <c r="I59" s="7" t="s">
        <v>3</v>
      </c>
      <c r="J59" s="7" t="s">
        <v>108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109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56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107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171</v>
      </c>
      <c r="K63" s="6" t="s">
        <v>154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visible(E58, K65)</f>
        <v xml:space="preserve">وحدة سفلية  فرن </v>
      </c>
      <c r="C65" s="6">
        <f>visible(1,K65)</f>
        <v>1</v>
      </c>
      <c r="D65" s="6" t="str">
        <f ca="1">visible(H61, K65)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2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visible(E58, K66)</f>
        <v xml:space="preserve">وحدة سفلية  فرن </v>
      </c>
      <c r="C66" s="6">
        <f>visible(2,K66)</f>
        <v>2</v>
      </c>
      <c r="D66" s="6" t="str">
        <f ca="1">visible(H61, K66)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2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visible(E58, K67)</f>
        <v xml:space="preserve">وحدة سفلية  فرن </v>
      </c>
      <c r="C67" s="6">
        <f>visible(3,K67)</f>
        <v>3</v>
      </c>
      <c r="D67" s="6" t="str">
        <f ca="1">visible(H61, K67)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2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visible(E58, K68)</f>
        <v xml:space="preserve">وحدة سفلية  فرن </v>
      </c>
      <c r="C68" s="6">
        <f>visible(4,K68)</f>
        <v>4</v>
      </c>
      <c r="D68" s="6" t="str">
        <f ca="1">visible(H61, K68)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2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visible(E58, K69)</f>
        <v xml:space="preserve">وحدة سفلية  فرن </v>
      </c>
      <c r="C69" s="6">
        <f>visible(5,K69)</f>
        <v>5</v>
      </c>
      <c r="D69" s="6" t="str">
        <f ca="1">visible(H61, K69)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2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visible(E58, K70)</f>
        <v xml:space="preserve">وحدة سفلية  فرن </v>
      </c>
      <c r="C70" s="10">
        <f>visible(6,K70)</f>
        <v>6</v>
      </c>
      <c r="D70" s="10" t="str">
        <f ca="1">visible(H61, K70)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2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visible(E58, K71)</f>
        <v xml:space="preserve">وحدة سفلية  فرن </v>
      </c>
      <c r="C71" s="10">
        <f>visible(7,K71)</f>
        <v>7</v>
      </c>
      <c r="D71" s="10" t="str">
        <f ca="1">visible(H61, K71)</f>
        <v>HPL</v>
      </c>
      <c r="E71" s="10" t="s">
        <v>123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2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visible(E58, K72)</f>
        <v xml:space="preserve">وحدة سفلية  فرن </v>
      </c>
      <c r="C72" s="10">
        <f>visible(8,K72)</f>
        <v>8</v>
      </c>
      <c r="D72" s="10" t="str">
        <f ca="1">visible(H61, K72)</f>
        <v>HPL</v>
      </c>
      <c r="E72" s="10" t="s">
        <v>124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2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visible(E58, K74)</f>
        <v xml:space="preserve">وحدة سفلية  فرن </v>
      </c>
      <c r="C74" s="9">
        <f>visible(9,K74)</f>
        <v>9</v>
      </c>
      <c r="D74" s="9" t="str">
        <f ca="1">visible(F61, K74)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visible(E58, K75)</f>
        <v xml:space="preserve">وحدة سفلية  فرن </v>
      </c>
      <c r="C75" s="9">
        <f>visible(10,K75)</f>
        <v>10</v>
      </c>
      <c r="D75" s="9" t="str">
        <f ca="1">visible(F61, K75)</f>
        <v>يوفيلاك</v>
      </c>
      <c r="E75" s="9" t="s">
        <v>122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visible(E58, K77)</f>
        <v xml:space="preserve">وحدة سفلية  فرن </v>
      </c>
      <c r="C77" s="18">
        <f>visible(11,K77)</f>
        <v>11</v>
      </c>
      <c r="D77" s="18" t="str">
        <f ca="1">visible(D61, K77)</f>
        <v>ظهر</v>
      </c>
      <c r="E77" s="18" t="s">
        <v>56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visible(E58, K78)</f>
        <v xml:space="preserve">وحدة سفلية  فرن </v>
      </c>
      <c r="C78" s="18">
        <f>visible(12,K78)</f>
        <v>12</v>
      </c>
      <c r="D78" s="18" t="str">
        <f ca="1">visible(D61, K78)</f>
        <v>ظهر</v>
      </c>
      <c r="E78" s="18" t="s">
        <v>121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1.2" x14ac:dyDescent="0.3">
      <c r="A81" s="43" t="s">
        <v>131</v>
      </c>
      <c r="C81" s="13">
        <v>1</v>
      </c>
      <c r="D81" s="21" t="s">
        <v>57</v>
      </c>
      <c r="E81" s="101" t="s">
        <v>132</v>
      </c>
      <c r="F81" s="102"/>
      <c r="G81" s="102"/>
      <c r="H81" s="103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133</v>
      </c>
      <c r="G82" s="15" t="s">
        <v>19</v>
      </c>
      <c r="H82" s="7" t="s">
        <v>22</v>
      </c>
      <c r="I82" s="7" t="s">
        <v>3</v>
      </c>
      <c r="J82" s="7" t="s">
        <v>108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56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107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171</v>
      </c>
      <c r="K86" s="6" t="s">
        <v>154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visible(E81, K88)</f>
        <v>وحدة سفلية دلفة /دلفتين + درج</v>
      </c>
      <c r="C88" s="6">
        <f>visible(1,K88)</f>
        <v>1</v>
      </c>
      <c r="D88" s="6" t="str">
        <f ca="1">visible(H84, K88)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3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visible(E81, K89)</f>
        <v>وحدة سفلية دلفة /دلفتين + درج</v>
      </c>
      <c r="C89" s="6">
        <f>visible(2,K89)</f>
        <v>2</v>
      </c>
      <c r="D89" s="6" t="str">
        <f ca="1">visible(H84, K89)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3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visible(E81, K90)</f>
        <v>وحدة سفلية دلفة /دلفتين + درج</v>
      </c>
      <c r="C90" s="6">
        <f>visible(3,K90)</f>
        <v>3</v>
      </c>
      <c r="D90" s="6" t="str">
        <f ca="1">visible(H84, K90)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3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visible(E81, K91)</f>
        <v>وحدة سفلية دلفة /دلفتين + درج</v>
      </c>
      <c r="C91" s="6">
        <f>visible(4,K91)</f>
        <v>4</v>
      </c>
      <c r="D91" s="6" t="str">
        <f ca="1">visible(H84, K91)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3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visible(E81, K92)</f>
        <v>وحدة سفلية دلفة /دلفتين + درج</v>
      </c>
      <c r="C92" s="6">
        <f>visible(5,K92)</f>
        <v>5</v>
      </c>
      <c r="D92" s="6" t="str">
        <f ca="1">visible(H84, K92)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3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visible(E81, K93)</f>
        <v>وحدة سفلية دلفة /دلفتين + درج</v>
      </c>
      <c r="C93" s="10">
        <f>visible(6,K93)</f>
        <v>6</v>
      </c>
      <c r="D93" s="10" t="str">
        <f ca="1">visible(H84, K93)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3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visible(E81, K94)</f>
        <v>وحدة سفلية دلفة /دلفتين + درج</v>
      </c>
      <c r="C94" s="10">
        <f>visible(7,K94)</f>
        <v>7</v>
      </c>
      <c r="D94" s="10" t="str">
        <f ca="1">visible(H84, K94)</f>
        <v>HPL</v>
      </c>
      <c r="E94" s="10" t="s">
        <v>123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3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visible(E81, K95)</f>
        <v>وحدة سفلية دلفة /دلفتين + درج</v>
      </c>
      <c r="C95" s="10">
        <f>visible(8,K95)</f>
        <v>8</v>
      </c>
      <c r="D95" s="10" t="str">
        <f ca="1">visible(H84, K95)</f>
        <v>HPL</v>
      </c>
      <c r="E95" s="10" t="s">
        <v>124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3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visible(E81, K97)</f>
        <v>وحدة سفلية دلفة /دلفتين + درج</v>
      </c>
      <c r="C97" s="9">
        <f>visible(9,K97)</f>
        <v>9</v>
      </c>
      <c r="D97" s="9" t="str">
        <f ca="1">visible(F84, K97)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visible(E81, K98)</f>
        <v>وحدة سفلية دلفة /دلفتين + درج</v>
      </c>
      <c r="C98" s="9">
        <f>visible(10,K98)</f>
        <v>10</v>
      </c>
      <c r="D98" s="9" t="str">
        <f ca="1">visible(F84, K98)</f>
        <v>يوفيلاك</v>
      </c>
      <c r="E98" s="9" t="s">
        <v>135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visible(E81, K100)</f>
        <v>وحدة سفلية دلفة /دلفتين + درج</v>
      </c>
      <c r="C100" s="18">
        <f>visible(11,K100)</f>
        <v>11</v>
      </c>
      <c r="D100" s="18" t="str">
        <f ca="1">visible(D84, K100)</f>
        <v>ظهر</v>
      </c>
      <c r="E100" s="18" t="s">
        <v>56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visible(E81, K101)</f>
        <v>وحدة سفلية دلفة /دلفتين + درج</v>
      </c>
      <c r="C101" s="18">
        <f>visible(12,K101)</f>
        <v>12</v>
      </c>
      <c r="D101" s="18" t="str">
        <f ca="1">visible(D84, K101)</f>
        <v>ظهر</v>
      </c>
      <c r="E101" s="18" t="s">
        <v>134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1.2" x14ac:dyDescent="0.3">
      <c r="A104" s="43" t="s">
        <v>127</v>
      </c>
      <c r="C104" s="13">
        <v>1</v>
      </c>
      <c r="D104" s="21" t="s">
        <v>57</v>
      </c>
      <c r="E104" s="101" t="s">
        <v>153</v>
      </c>
      <c r="F104" s="102"/>
      <c r="G104" s="102"/>
      <c r="H104" s="103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56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107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109</v>
      </c>
      <c r="G106" s="7" t="s">
        <v>16</v>
      </c>
      <c r="H106" s="7" t="s">
        <v>22</v>
      </c>
      <c r="I106" s="7" t="s">
        <v>3</v>
      </c>
      <c r="J106" s="7" t="s">
        <v>108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171</v>
      </c>
      <c r="K109" s="6" t="s">
        <v>154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>
        <f>visible(E104, K111)</f>
        <v>وحدة سفلية دلفة/ دلفتين</v>
      </c>
      <c r="C111" s="6">
        <f>visible(1,K111)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>
        <f>visible(E104, K112)</f>
        <v>وحدة سفلية دلفة/ دلفتين</v>
      </c>
      <c r="C112" s="6">
        <f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>
        <f>visible(E104, K113)</f>
        <v>وحدة سفلية دلفة/ دلفتين</v>
      </c>
      <c r="C113" s="6">
        <f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>
        <f>visible(E104, K114)</f>
        <v>وحدة سفلية دلفة/ دلفتين</v>
      </c>
      <c r="C114" s="6">
        <f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>
        <f>visible(E104, K115)</f>
        <v>وحدة سفلية دلفة/ دلفتين</v>
      </c>
      <c r="C115" s="6">
        <f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>
        <f>visible(E104, K117)</f>
        <v>وحدة سفلية دلفة/ دلفتين</v>
      </c>
      <c r="C117" s="9">
        <f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>
        <f ca="1">visible(E104, K119)</f>
        <v>وحدة سفلية دلفة/ دلفتين</v>
      </c>
      <c r="C119" s="18">
        <f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43" t="s">
        <v>128</v>
      </c>
      <c r="C122" s="13">
        <v>1</v>
      </c>
      <c r="D122" s="21" t="s">
        <v>57</v>
      </c>
      <c r="E122" s="101" t="s">
        <v>152</v>
      </c>
      <c r="F122" s="102"/>
      <c r="G122" s="102"/>
      <c r="H122" s="103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56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107</v>
      </c>
    </row>
    <row r="124" spans="1:62" ht="31.2" x14ac:dyDescent="0.3">
      <c r="A124" s="42">
        <v>1</v>
      </c>
      <c r="C124" s="7" t="s">
        <v>119</v>
      </c>
      <c r="D124" s="7" t="s">
        <v>118</v>
      </c>
      <c r="E124" s="70" t="s">
        <v>117</v>
      </c>
      <c r="F124" s="70" t="s">
        <v>155</v>
      </c>
      <c r="G124" s="7" t="s">
        <v>16</v>
      </c>
      <c r="H124" s="7" t="s">
        <v>22</v>
      </c>
      <c r="I124" s="7" t="s">
        <v>3</v>
      </c>
      <c r="J124" s="7" t="s">
        <v>108</v>
      </c>
      <c r="K124" s="7" t="s">
        <v>109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120</v>
      </c>
      <c r="I126" s="26">
        <v>0</v>
      </c>
      <c r="J126" s="104" t="s">
        <v>156</v>
      </c>
      <c r="K126" s="105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171</v>
      </c>
      <c r="K128" s="6" t="s">
        <v>154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>
        <f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4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>
        <f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4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>
        <f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4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>
        <f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4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>
        <f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4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4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4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4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4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4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4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4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4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4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4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>
        <f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>
        <f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1.2" x14ac:dyDescent="0.3">
      <c r="A157" s="43" t="s">
        <v>129</v>
      </c>
      <c r="C157" s="13">
        <v>1</v>
      </c>
      <c r="D157" s="21" t="s">
        <v>57</v>
      </c>
      <c r="E157" s="101" t="s">
        <v>172</v>
      </c>
      <c r="F157" s="102"/>
      <c r="G157" s="102"/>
      <c r="H157" s="103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56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107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109</v>
      </c>
      <c r="G159" s="7" t="s">
        <v>16</v>
      </c>
      <c r="H159" s="7" t="s">
        <v>22</v>
      </c>
      <c r="I159" s="7" t="s">
        <v>3</v>
      </c>
      <c r="J159" s="7" t="s">
        <v>108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171</v>
      </c>
      <c r="K162" s="6" t="s">
        <v>154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>
        <f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5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>
        <f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5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>
        <f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5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>
        <f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5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>
        <f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5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5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>
        <f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>
        <f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C4:N4"/>
    <mergeCell ref="C7:N7"/>
    <mergeCell ref="C2:K2"/>
    <mergeCell ref="E157:H157"/>
    <mergeCell ref="E122:H122"/>
    <mergeCell ref="J126:K126"/>
    <mergeCell ref="F39:F40"/>
    <mergeCell ref="F18:F19"/>
    <mergeCell ref="E17:H17"/>
    <mergeCell ref="E104:H104"/>
    <mergeCell ref="E81:H81"/>
    <mergeCell ref="E58:H58"/>
    <mergeCell ref="F59:F60"/>
    <mergeCell ref="E38:H38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abSelected="1" topLeftCell="B1" zoomScale="70" zoomScaleNormal="70" workbookViewId="0">
      <pane ySplit="12" topLeftCell="A162" activePane="bottomLeft" state="frozen"/>
      <selection activeCell="B1" sqref="B1"/>
      <selection pane="bottomLeft" activeCell="D173" sqref="D173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113</v>
      </c>
      <c r="C2" s="111" t="s">
        <v>42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145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173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159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125</v>
      </c>
      <c r="B17" s="3"/>
      <c r="C17" s="13">
        <v>1</v>
      </c>
      <c r="D17" s="21" t="s">
        <v>57</v>
      </c>
      <c r="E17" s="101" t="s">
        <v>43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52</v>
      </c>
      <c r="D18" s="7" t="s">
        <v>53</v>
      </c>
      <c r="E18" s="17" t="s">
        <v>18</v>
      </c>
      <c r="F18" s="7" t="s">
        <v>16</v>
      </c>
      <c r="G18" s="7" t="s">
        <v>110</v>
      </c>
      <c r="H18" s="7" t="s">
        <v>22</v>
      </c>
      <c r="I18" s="7" t="s">
        <v>3</v>
      </c>
      <c r="J18" s="7" t="s">
        <v>108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56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107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171</v>
      </c>
      <c r="K25" s="6" t="s">
        <v>154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">
        <v>67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">
        <v>56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130</v>
      </c>
      <c r="C38" s="13">
        <v>1</v>
      </c>
      <c r="D38" s="21" t="s">
        <v>57</v>
      </c>
      <c r="E38" s="101" t="s">
        <v>49</v>
      </c>
      <c r="F38" s="102"/>
      <c r="G38" s="102"/>
      <c r="H38" s="103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52</v>
      </c>
      <c r="D39" s="7" t="s">
        <v>53</v>
      </c>
      <c r="E39" s="7" t="s">
        <v>50</v>
      </c>
      <c r="F39" s="7" t="s">
        <v>16</v>
      </c>
      <c r="G39" s="7" t="s">
        <v>110</v>
      </c>
      <c r="H39" s="7" t="s">
        <v>22</v>
      </c>
      <c r="I39" s="7" t="s">
        <v>3</v>
      </c>
      <c r="J39" s="7" t="s">
        <v>108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56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107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171</v>
      </c>
      <c r="K46" s="6" t="s">
        <v>154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">
        <v>54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">
        <v>55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">
        <v>56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126</v>
      </c>
      <c r="C59" s="13">
        <v>1</v>
      </c>
      <c r="D59" s="21" t="s">
        <v>57</v>
      </c>
      <c r="E59" s="101" t="s">
        <v>44</v>
      </c>
      <c r="F59" s="102"/>
      <c r="G59" s="102"/>
      <c r="H59" s="103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53</v>
      </c>
      <c r="E60" s="7" t="s">
        <v>18</v>
      </c>
      <c r="F60" s="7" t="s">
        <v>16</v>
      </c>
      <c r="G60" s="7" t="s">
        <v>110</v>
      </c>
      <c r="H60" s="7" t="s">
        <v>22</v>
      </c>
      <c r="I60" s="7" t="s">
        <v>3</v>
      </c>
      <c r="J60" s="7" t="s">
        <v>108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136</v>
      </c>
      <c r="J62" s="45" t="s">
        <v>137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102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56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107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171</v>
      </c>
      <c r="K67" s="6" t="s">
        <v>154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">
        <v>67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">
        <v>56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131</v>
      </c>
      <c r="C83" s="13">
        <v>1</v>
      </c>
      <c r="D83" s="21" t="s">
        <v>57</v>
      </c>
      <c r="E83" s="101" t="s">
        <v>138</v>
      </c>
      <c r="F83" s="102"/>
      <c r="G83" s="102"/>
      <c r="H83" s="103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53</v>
      </c>
      <c r="E84" s="7" t="s">
        <v>50</v>
      </c>
      <c r="F84" s="7" t="s">
        <v>16</v>
      </c>
      <c r="G84" s="7" t="s">
        <v>110</v>
      </c>
      <c r="H84" s="7" t="s">
        <v>22</v>
      </c>
      <c r="I84" s="7" t="s">
        <v>3</v>
      </c>
      <c r="J84" s="7" t="s">
        <v>108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136</v>
      </c>
      <c r="J86" s="45" t="s">
        <v>137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102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56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107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171</v>
      </c>
      <c r="K91" s="6" t="s">
        <v>154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">
        <v>139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">
        <v>67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">
        <v>56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127</v>
      </c>
      <c r="C107" s="13">
        <v>1</v>
      </c>
      <c r="D107" s="21" t="s">
        <v>57</v>
      </c>
      <c r="E107" s="101" t="s">
        <v>45</v>
      </c>
      <c r="F107" s="102"/>
      <c r="G107" s="102"/>
      <c r="H107" s="103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110</v>
      </c>
      <c r="H108" s="7" t="s">
        <v>22</v>
      </c>
      <c r="I108" s="7" t="s">
        <v>3</v>
      </c>
      <c r="J108" s="7" t="s">
        <v>108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56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107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171</v>
      </c>
      <c r="K114" s="6" t="s">
        <v>154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">
        <v>58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">
        <v>59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">
        <v>67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">
        <v>67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">
        <v>103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">
        <v>104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128</v>
      </c>
      <c r="C133" s="13">
        <v>1</v>
      </c>
      <c r="D133" s="21" t="s">
        <v>57</v>
      </c>
      <c r="E133" s="101" t="s">
        <v>46</v>
      </c>
      <c r="F133" s="102"/>
      <c r="G133" s="102"/>
      <c r="H133" s="103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110</v>
      </c>
      <c r="H134" s="7" t="s">
        <v>22</v>
      </c>
      <c r="I134" s="7" t="s">
        <v>3</v>
      </c>
      <c r="J134" s="7" t="s">
        <v>108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56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107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171</v>
      </c>
      <c r="K140" s="6" t="s">
        <v>154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">
        <v>58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">
        <v>59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">
        <v>56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129</v>
      </c>
      <c r="C154" s="13">
        <v>1</v>
      </c>
      <c r="D154" s="21" t="s">
        <v>57</v>
      </c>
      <c r="E154" s="101" t="s">
        <v>105</v>
      </c>
      <c r="F154" s="102"/>
      <c r="G154" s="102"/>
      <c r="H154" s="103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52</v>
      </c>
      <c r="D155" s="7" t="s">
        <v>53</v>
      </c>
      <c r="E155" s="17" t="s">
        <v>18</v>
      </c>
      <c r="F155" s="7" t="s">
        <v>16</v>
      </c>
      <c r="G155" s="7" t="s">
        <v>110</v>
      </c>
      <c r="H155" s="7" t="s">
        <v>22</v>
      </c>
      <c r="I155" s="7" t="s">
        <v>3</v>
      </c>
      <c r="J155" s="7" t="s">
        <v>108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106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56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107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171</v>
      </c>
      <c r="K162" s="6" t="s">
        <v>154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">
        <v>67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">
        <v>56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64" activePane="bottomLeft" state="frozen"/>
      <selection activeCell="B1" sqref="B1"/>
      <selection pane="bottomLeft" activeCell="E91" sqref="E91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114</v>
      </c>
      <c r="C2" s="111" t="s">
        <v>60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146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173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159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125</v>
      </c>
      <c r="B17" s="3"/>
      <c r="C17" s="13">
        <v>1</v>
      </c>
      <c r="D17" s="21" t="s">
        <v>57</v>
      </c>
      <c r="E17" s="122" t="s">
        <v>61</v>
      </c>
      <c r="F17" s="122"/>
      <c r="G17" s="122"/>
      <c r="H17" s="122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52</v>
      </c>
      <c r="H20" s="7" t="s">
        <v>53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65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66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56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107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171</v>
      </c>
      <c r="K27" s="6" t="s">
        <v>154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">
        <v>68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">
        <v>69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">
        <v>70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">
        <v>71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">
        <v>56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130</v>
      </c>
      <c r="C44" s="13">
        <v>1</v>
      </c>
      <c r="D44" s="21" t="s">
        <v>57</v>
      </c>
      <c r="E44" s="122" t="s">
        <v>72</v>
      </c>
      <c r="F44" s="122"/>
      <c r="G44" s="122"/>
      <c r="H44" s="122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52</v>
      </c>
      <c r="H47" s="7" t="s">
        <v>53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73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74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75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65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76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77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78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79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56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107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171</v>
      </c>
      <c r="K60" s="6" t="s">
        <v>154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">
        <v>80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">
        <v>81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">
        <v>82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">
        <v>83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">
        <v>84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">
        <v>85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">
        <v>86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">
        <v>87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">
        <v>88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">
        <v>91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">
        <v>92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">
        <v>93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">
        <v>68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">
        <v>94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">
        <v>95</v>
      </c>
      <c r="F83" s="9"/>
      <c r="G83" s="9"/>
      <c r="H83" s="9"/>
      <c r="I83" s="9">
        <f t="shared" ca="1" si="1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">
        <v>96</v>
      </c>
      <c r="F84" s="9"/>
      <c r="G84" s="9"/>
      <c r="H84" s="9"/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">
        <v>89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">
        <v>90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">
        <v>70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">
        <v>97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">
        <v>98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">
        <v>56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57</v>
      </c>
      <c r="E102" s="101" t="s">
        <v>62</v>
      </c>
      <c r="F102" s="102"/>
      <c r="G102" s="102"/>
      <c r="H102" s="103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56</v>
      </c>
      <c r="E120" s="18" t="s">
        <v>56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57</v>
      </c>
      <c r="E122" s="101" t="s">
        <v>63</v>
      </c>
      <c r="F122" s="102"/>
      <c r="G122" s="102"/>
      <c r="H122" s="103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58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59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56</v>
      </c>
      <c r="E140" s="18" t="s">
        <v>56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57</v>
      </c>
      <c r="E142" s="101" t="s">
        <v>64</v>
      </c>
      <c r="F142" s="102"/>
      <c r="G142" s="102"/>
      <c r="H142" s="103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58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59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56</v>
      </c>
      <c r="E160" s="18" t="s">
        <v>56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41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D48" sqref="D48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115</v>
      </c>
      <c r="C2" s="111" t="s">
        <v>99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147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173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159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125</v>
      </c>
      <c r="B17" s="14"/>
      <c r="C17" s="13">
        <v>1</v>
      </c>
      <c r="D17" s="21" t="s">
        <v>57</v>
      </c>
      <c r="E17" s="101" t="s">
        <v>140</v>
      </c>
      <c r="F17" s="102"/>
      <c r="G17" s="102"/>
      <c r="H17" s="103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171</v>
      </c>
      <c r="K20" s="6" t="s">
        <v>154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">
        <v>111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">
        <v>111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">
        <v>111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">
        <v>111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">
        <v>111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130</v>
      </c>
      <c r="B29" s="14"/>
      <c r="C29" s="13">
        <v>1</v>
      </c>
      <c r="D29" s="21" t="s">
        <v>57</v>
      </c>
      <c r="E29" s="101" t="s">
        <v>141</v>
      </c>
      <c r="F29" s="102"/>
      <c r="G29" s="102"/>
      <c r="H29" s="103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171</v>
      </c>
      <c r="K32" s="6" t="s">
        <v>154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">
        <v>111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">
        <v>111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">
        <v>111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">
        <v>111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">
        <v>111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126</v>
      </c>
      <c r="B41" s="14"/>
      <c r="C41" s="13">
        <v>1</v>
      </c>
      <c r="D41" s="21" t="s">
        <v>57</v>
      </c>
      <c r="E41" s="101" t="s">
        <v>142</v>
      </c>
      <c r="F41" s="102"/>
      <c r="G41" s="102"/>
      <c r="H41" s="103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171</v>
      </c>
      <c r="K44" s="6" t="s">
        <v>154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">
        <v>111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">
        <v>111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">
        <v>111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">
        <v>111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">
        <v>111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2024-09-23T14:16:36Z</dcterms:modified>
</cp:coreProperties>
</file>