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38F008C2-AAA7-4334-A725-AC1E32A3373F}" xr6:coauthVersionLast="47" xr6:coauthVersionMax="47" xr10:uidLastSave="{00000000-0000-0000-0000-000000000000}"/>
  <bookViews>
    <workbookView xWindow="-108" yWindow="-108" windowWidth="23256" windowHeight="12456" tabRatio="627" activeTab="3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1" l="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K157" i="3"/>
  <c r="C31" i="8"/>
  <c r="C30" i="8"/>
  <c r="K88" i="11"/>
  <c r="B50" i="6"/>
  <c r="B49" i="6"/>
  <c r="B48" i="6"/>
  <c r="B47" i="6"/>
  <c r="B46" i="6"/>
  <c r="B38" i="6"/>
  <c r="B37" i="6"/>
  <c r="B36" i="6"/>
  <c r="B35" i="6"/>
  <c r="B34" i="6"/>
  <c r="B26" i="6"/>
  <c r="B25" i="6"/>
  <c r="B24" i="6"/>
  <c r="B23" i="6"/>
  <c r="B22" i="6"/>
  <c r="B93" i="5"/>
  <c r="B91" i="5"/>
  <c r="B90" i="5"/>
  <c r="B89" i="5"/>
  <c r="B86" i="5"/>
  <c r="B85" i="5"/>
  <c r="B84" i="5"/>
  <c r="B83" i="5"/>
  <c r="B82" i="5"/>
  <c r="B81" i="5"/>
  <c r="B80" i="5"/>
  <c r="B79" i="5"/>
  <c r="B78" i="5"/>
  <c r="B76" i="5"/>
  <c r="B75" i="5"/>
  <c r="B74" i="5"/>
  <c r="B73" i="5"/>
  <c r="B72" i="5"/>
  <c r="B71" i="5"/>
  <c r="B70" i="5"/>
  <c r="B69" i="5"/>
  <c r="B68" i="5"/>
  <c r="B66" i="5"/>
  <c r="B65" i="5"/>
  <c r="B64" i="5"/>
  <c r="B63" i="5"/>
  <c r="B62" i="5"/>
  <c r="B41" i="5"/>
  <c r="B39" i="5"/>
  <c r="B38" i="5"/>
  <c r="B36" i="5"/>
  <c r="B35" i="5"/>
  <c r="B33" i="5"/>
  <c r="B32" i="5"/>
  <c r="B31" i="5"/>
  <c r="B30" i="5"/>
  <c r="B29" i="5"/>
  <c r="B173" i="4"/>
  <c r="B171" i="4"/>
  <c r="B170" i="4"/>
  <c r="B168" i="4"/>
  <c r="B167" i="4"/>
  <c r="B166" i="4"/>
  <c r="B165" i="4"/>
  <c r="B164" i="4"/>
  <c r="B151" i="4"/>
  <c r="B149" i="4"/>
  <c r="B147" i="4"/>
  <c r="B146" i="4"/>
  <c r="B145" i="4"/>
  <c r="B144" i="4"/>
  <c r="B143" i="4"/>
  <c r="B142" i="4"/>
  <c r="B130" i="4"/>
  <c r="B129" i="4"/>
  <c r="B127" i="4"/>
  <c r="B126" i="4"/>
  <c r="B124" i="4"/>
  <c r="B123" i="4"/>
  <c r="B121" i="4"/>
  <c r="B120" i="4"/>
  <c r="B119" i="4"/>
  <c r="B118" i="4"/>
  <c r="B117" i="4"/>
  <c r="B116" i="4"/>
  <c r="B104" i="4"/>
  <c r="B102" i="4"/>
  <c r="B100" i="4"/>
  <c r="B99" i="4"/>
  <c r="B97" i="4"/>
  <c r="B96" i="4"/>
  <c r="B95" i="4"/>
  <c r="B94" i="4"/>
  <c r="B93" i="4"/>
  <c r="B80" i="4"/>
  <c r="B78" i="4"/>
  <c r="B76" i="4"/>
  <c r="B75" i="4"/>
  <c r="B73" i="4"/>
  <c r="B72" i="4"/>
  <c r="B71" i="4"/>
  <c r="B70" i="4"/>
  <c r="B69" i="4"/>
  <c r="B56" i="4"/>
  <c r="B54" i="4"/>
  <c r="B53" i="4"/>
  <c r="B51" i="4"/>
  <c r="B50" i="4"/>
  <c r="B49" i="4"/>
  <c r="B48" i="4"/>
  <c r="B35" i="4"/>
  <c r="B33" i="4"/>
  <c r="B32" i="4"/>
  <c r="B30" i="4"/>
  <c r="B29" i="4"/>
  <c r="B28" i="4"/>
  <c r="B27" i="4"/>
  <c r="B172" i="3"/>
  <c r="B171" i="3"/>
  <c r="B169" i="3"/>
  <c r="B168" i="3"/>
  <c r="B167" i="3"/>
  <c r="B166" i="3"/>
  <c r="B165" i="3"/>
  <c r="B164" i="3"/>
  <c r="B154" i="3"/>
  <c r="B153" i="3"/>
  <c r="B152" i="3"/>
  <c r="B149" i="3"/>
  <c r="B148" i="3"/>
  <c r="B147" i="3"/>
  <c r="B146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17" i="3"/>
  <c r="B115" i="3"/>
  <c r="B114" i="3"/>
  <c r="B113" i="3"/>
  <c r="B112" i="3"/>
  <c r="B111" i="3"/>
  <c r="B101" i="3"/>
  <c r="B100" i="3"/>
  <c r="B98" i="3"/>
  <c r="B97" i="3"/>
  <c r="B95" i="3"/>
  <c r="B94" i="3"/>
  <c r="B93" i="3"/>
  <c r="B92" i="3"/>
  <c r="B91" i="3"/>
  <c r="B90" i="3"/>
  <c r="B89" i="3"/>
  <c r="B88" i="3"/>
  <c r="B78" i="3"/>
  <c r="B77" i="3"/>
  <c r="B75" i="3"/>
  <c r="B74" i="3"/>
  <c r="B72" i="3"/>
  <c r="B71" i="3"/>
  <c r="B70" i="3"/>
  <c r="B69" i="3"/>
  <c r="B68" i="3"/>
  <c r="B67" i="3"/>
  <c r="B66" i="3"/>
  <c r="B65" i="3"/>
  <c r="B55" i="3"/>
  <c r="B53" i="3"/>
  <c r="B51" i="3"/>
  <c r="B50" i="3"/>
  <c r="B49" i="3"/>
  <c r="B48" i="3"/>
  <c r="B47" i="3"/>
  <c r="B46" i="3"/>
  <c r="B35" i="3"/>
  <c r="B33" i="3"/>
  <c r="B32" i="3"/>
  <c r="B30" i="3"/>
  <c r="B29" i="3"/>
  <c r="B28" i="3"/>
  <c r="B27" i="3"/>
  <c r="B26" i="3"/>
  <c r="B25" i="3"/>
  <c r="F95" i="11" a="1"/>
  <c r="H99" i="11" a="1"/>
  <c r="C96" i="11"/>
  <c r="B99" i="11" a="1"/>
  <c r="C100" i="11"/>
  <c r="G103" i="11" a="1"/>
  <c r="C102" i="11"/>
  <c r="H102" i="11" a="1"/>
  <c r="G97" i="11" a="1"/>
  <c r="F46" i="11" a="1"/>
  <c r="B100" i="11"/>
  <c r="H95" i="11" a="1"/>
  <c r="B97" i="11" a="1"/>
  <c r="C99" i="11"/>
  <c r="F98" i="11" a="1"/>
  <c r="E103" i="11" a="1"/>
  <c r="E95" i="11" a="1"/>
  <c r="C95" i="11"/>
  <c r="B96" i="11" a="1"/>
  <c r="J88" i="11"/>
  <c r="E99" i="11" a="1"/>
  <c r="H97" i="11" a="1"/>
  <c r="C97" i="11"/>
  <c r="E97" i="11" a="1"/>
  <c r="E102" i="11" a="1"/>
  <c r="E100" i="11" a="1"/>
  <c r="B102" i="11" a="1"/>
  <c r="H103" i="11"/>
  <c r="G98" i="11" a="1"/>
  <c r="F97" i="11" a="1"/>
  <c r="F99" i="11" a="1"/>
  <c r="E98" i="11" a="1"/>
  <c r="B98" i="11" a="1"/>
  <c r="B95" i="11" a="1"/>
  <c r="H100" i="11"/>
  <c r="C98" i="11"/>
  <c r="C103" i="11"/>
  <c r="H98" i="11" a="1"/>
  <c r="B103" i="11"/>
  <c r="E96" i="11" a="1"/>
  <c r="H96" i="11" a="1"/>
  <c r="I38" i="5"/>
  <c r="I39" i="5"/>
  <c r="I90" i="5"/>
  <c r="I89" i="5"/>
  <c r="I91" i="5"/>
  <c r="I127" i="4"/>
  <c r="I33" i="4"/>
  <c r="I171" i="4"/>
  <c r="I126" i="4"/>
  <c r="I102" i="4"/>
  <c r="I78" i="4"/>
  <c r="I54" i="4"/>
  <c r="C166" i="3"/>
  <c r="C169" i="3"/>
  <c r="H168" i="3" a="1"/>
  <c r="E172" i="3" a="1"/>
  <c r="H166" i="3" a="1"/>
  <c r="C165" i="3"/>
  <c r="C164" i="3"/>
  <c r="F167" i="3" a="1"/>
  <c r="C167" i="3"/>
  <c r="H164" i="3" a="1"/>
  <c r="C172" i="3"/>
  <c r="F168" i="3" a="1"/>
  <c r="C168" i="3"/>
  <c r="G172" i="3" a="1"/>
  <c r="H165" i="3" a="1"/>
  <c r="E169" i="3" a="1"/>
  <c r="H172" i="3"/>
  <c r="E166" i="3" a="1"/>
  <c r="G167" i="3" a="1"/>
  <c r="C171" i="3"/>
  <c r="E168" i="3" a="1"/>
  <c r="E167" i="3" a="1"/>
  <c r="H167" i="3" a="1"/>
  <c r="J157" i="3"/>
  <c r="H171" i="3" a="1"/>
  <c r="F164" i="3" a="1"/>
  <c r="E171" i="3" a="1"/>
  <c r="F166" i="3" a="1"/>
  <c r="E164" i="3" a="1"/>
  <c r="G166" i="3" a="1"/>
  <c r="H169" i="3"/>
  <c r="E165" i="3" a="1"/>
  <c r="F166" i="3" l="1"/>
  <c r="G172" i="3"/>
  <c r="F164" i="3"/>
  <c r="F168" i="3"/>
  <c r="H164" i="3"/>
  <c r="E166" i="3"/>
  <c r="H168" i="3"/>
  <c r="H165" i="3"/>
  <c r="E167" i="3"/>
  <c r="H171" i="3"/>
  <c r="G166" i="3"/>
  <c r="F167" i="3"/>
  <c r="E164" i="3"/>
  <c r="H166" i="3"/>
  <c r="E168" i="3"/>
  <c r="G167" i="3"/>
  <c r="E169" i="3"/>
  <c r="E165" i="3"/>
  <c r="H167" i="3"/>
  <c r="E171" i="3"/>
  <c r="E172" i="3"/>
  <c r="F46" i="11"/>
  <c r="F99" i="11"/>
  <c r="G103" i="11"/>
  <c r="E103" i="11"/>
  <c r="E100" i="11"/>
  <c r="F97" i="11"/>
  <c r="G97" i="11"/>
  <c r="H95" i="11"/>
  <c r="E96" i="11"/>
  <c r="B97" i="11"/>
  <c r="H97" i="11"/>
  <c r="E98" i="11"/>
  <c r="B99" i="11"/>
  <c r="H99" i="11"/>
  <c r="E102" i="11"/>
  <c r="B95" i="11"/>
  <c r="F95" i="11"/>
  <c r="F98" i="11"/>
  <c r="G98" i="11"/>
  <c r="E95" i="11"/>
  <c r="B96" i="11"/>
  <c r="H96" i="11"/>
  <c r="E97" i="11"/>
  <c r="B98" i="11"/>
  <c r="H98" i="11"/>
  <c r="E99" i="11"/>
  <c r="B102" i="11"/>
  <c r="H102" i="11"/>
  <c r="J91" i="5"/>
  <c r="J89" i="5"/>
  <c r="J90" i="5"/>
  <c r="J39" i="5"/>
  <c r="J38" i="5"/>
  <c r="J78" i="4"/>
  <c r="J102" i="4"/>
  <c r="J171" i="4"/>
  <c r="J33" i="4"/>
  <c r="J127" i="4"/>
  <c r="J126" i="4"/>
  <c r="J54" i="4"/>
  <c r="K122" i="3" l="1"/>
  <c r="K154" i="3"/>
  <c r="K153" i="3"/>
  <c r="K152" i="3"/>
  <c r="K149" i="3"/>
  <c r="K148" i="3"/>
  <c r="K147" i="3"/>
  <c r="K146" i="3"/>
  <c r="K144" i="3"/>
  <c r="K143" i="3"/>
  <c r="K142" i="3"/>
  <c r="K141" i="3"/>
  <c r="K140" i="3"/>
  <c r="K139" i="3"/>
  <c r="K138" i="3"/>
  <c r="K137" i="3"/>
  <c r="K136" i="3"/>
  <c r="K135" i="3"/>
  <c r="K134" i="3"/>
  <c r="K83" i="11"/>
  <c r="K85" i="11"/>
  <c r="K84" i="11"/>
  <c r="H84" i="11"/>
  <c r="C84" i="11"/>
  <c r="H85" i="11"/>
  <c r="C83" i="11"/>
  <c r="F83" i="11" a="1"/>
  <c r="C85" i="11"/>
  <c r="C61" i="11"/>
  <c r="E85" i="11" a="1"/>
  <c r="C63" i="11"/>
  <c r="E83" i="11" a="1"/>
  <c r="H83" i="11"/>
  <c r="C64" i="11"/>
  <c r="C62" i="11"/>
  <c r="E84" i="11" a="1"/>
  <c r="F84" i="11" a="1"/>
  <c r="F85" i="11" a="1"/>
  <c r="H147" i="3"/>
  <c r="H144" i="3" a="1"/>
  <c r="G149" i="3" a="1"/>
  <c r="C136" i="3"/>
  <c r="H132" i="3" a="1"/>
  <c r="G136" i="3" a="1"/>
  <c r="C154" i="3"/>
  <c r="E130" i="3" a="1"/>
  <c r="F140" i="3" a="1"/>
  <c r="H138" i="3" a="1"/>
  <c r="C138" i="3"/>
  <c r="H142" i="3" a="1"/>
  <c r="C137" i="3"/>
  <c r="E140" i="3" a="1"/>
  <c r="E149" i="3" a="1"/>
  <c r="H152" i="3"/>
  <c r="F134" i="3" a="1"/>
  <c r="C143" i="3"/>
  <c r="C139" i="3"/>
  <c r="F130" i="3" a="1"/>
  <c r="E141" i="3" a="1"/>
  <c r="G133" i="3" a="1"/>
  <c r="E147" i="3" a="1"/>
  <c r="H154" i="3"/>
  <c r="C131" i="3"/>
  <c r="E148" i="3" a="1"/>
  <c r="E134" i="3" a="1"/>
  <c r="H140" i="3" a="1"/>
  <c r="H130" i="3" a="1"/>
  <c r="F142" i="3" a="1"/>
  <c r="G143" i="3" a="1"/>
  <c r="G146" i="3" a="1"/>
  <c r="E136" i="3" a="1"/>
  <c r="J122" i="3"/>
  <c r="G142" i="3" a="1"/>
  <c r="H153" i="3"/>
  <c r="G138" i="3" a="1"/>
  <c r="C153" i="3"/>
  <c r="F136" i="3" a="1"/>
  <c r="E153" i="3" a="1"/>
  <c r="C142" i="3"/>
  <c r="H146" i="3" a="1"/>
  <c r="F133" i="3" a="1"/>
  <c r="H141" i="3" a="1"/>
  <c r="H149" i="3"/>
  <c r="H136" i="3" a="1"/>
  <c r="G139" i="3" a="1"/>
  <c r="C149" i="3"/>
  <c r="H143" i="3" a="1"/>
  <c r="C152" i="3"/>
  <c r="H137" i="3" a="1"/>
  <c r="C132" i="3"/>
  <c r="G148" i="3" a="1"/>
  <c r="E144" i="3" a="1"/>
  <c r="E138" i="3" a="1"/>
  <c r="F132" i="3" a="1"/>
  <c r="G144" i="3" a="1"/>
  <c r="E135" i="3" a="1"/>
  <c r="H139" i="3" a="1"/>
  <c r="G132" i="3" a="1"/>
  <c r="H133" i="3" a="1"/>
  <c r="E132" i="3" a="1"/>
  <c r="G137" i="3" a="1"/>
  <c r="H135" i="3" a="1"/>
  <c r="H134" i="3" a="1"/>
  <c r="C148" i="3"/>
  <c r="E154" i="3" a="1"/>
  <c r="C134" i="3"/>
  <c r="C146" i="3"/>
  <c r="C133" i="3"/>
  <c r="F154" i="3" a="1"/>
  <c r="G135" i="3" a="1"/>
  <c r="C130" i="3"/>
  <c r="C141" i="3"/>
  <c r="E137" i="3" a="1"/>
  <c r="F139" i="3" a="1"/>
  <c r="C144" i="3"/>
  <c r="F143" i="3" a="1"/>
  <c r="F152" i="3" a="1"/>
  <c r="H148" i="3"/>
  <c r="G141" i="3" a="1"/>
  <c r="C147" i="3"/>
  <c r="C140" i="3"/>
  <c r="G147" i="3" a="1"/>
  <c r="G140" i="3" a="1"/>
  <c r="G134" i="3" a="1"/>
  <c r="E146" i="3" a="1"/>
  <c r="E139" i="3" a="1"/>
  <c r="C135" i="3"/>
  <c r="E143" i="3" a="1"/>
  <c r="E152" i="3" a="1"/>
  <c r="E142" i="3" a="1"/>
  <c r="E133" i="3" a="1"/>
  <c r="H131" i="3" a="1"/>
  <c r="F153" i="3" a="1"/>
  <c r="E131" i="3" a="1"/>
  <c r="F137" i="3" a="1"/>
  <c r="G139" i="3" l="1"/>
  <c r="G149" i="3"/>
  <c r="E140" i="3"/>
  <c r="E143" i="3"/>
  <c r="H133" i="3"/>
  <c r="F154" i="3"/>
  <c r="G142" i="3"/>
  <c r="E132" i="3"/>
  <c r="F134" i="3"/>
  <c r="H136" i="3"/>
  <c r="F137" i="3"/>
  <c r="H139" i="3"/>
  <c r="F140" i="3"/>
  <c r="H142" i="3"/>
  <c r="F143" i="3"/>
  <c r="G146" i="3"/>
  <c r="E147" i="3"/>
  <c r="E154" i="3"/>
  <c r="G134" i="3"/>
  <c r="G137" i="3"/>
  <c r="G140" i="3"/>
  <c r="E141" i="3"/>
  <c r="G143" i="3"/>
  <c r="E144" i="3"/>
  <c r="H146" i="3"/>
  <c r="F132" i="3"/>
  <c r="E138" i="3"/>
  <c r="E148" i="3"/>
  <c r="E152" i="3"/>
  <c r="F130" i="3"/>
  <c r="G132" i="3"/>
  <c r="H134" i="3"/>
  <c r="H137" i="3"/>
  <c r="H140" i="3"/>
  <c r="H143" i="3"/>
  <c r="G147" i="3"/>
  <c r="E133" i="3"/>
  <c r="F152" i="3"/>
  <c r="E134" i="3"/>
  <c r="E130" i="3"/>
  <c r="H132" i="3"/>
  <c r="G135" i="3"/>
  <c r="E136" i="3"/>
  <c r="G138" i="3"/>
  <c r="E139" i="3"/>
  <c r="G141" i="3"/>
  <c r="E142" i="3"/>
  <c r="G144" i="3"/>
  <c r="E149" i="3"/>
  <c r="E153" i="3"/>
  <c r="G133" i="3"/>
  <c r="E137" i="3"/>
  <c r="E131" i="3"/>
  <c r="F133" i="3"/>
  <c r="G148" i="3"/>
  <c r="G136" i="3"/>
  <c r="H131" i="3"/>
  <c r="E135" i="3"/>
  <c r="H130" i="3"/>
  <c r="H135" i="3"/>
  <c r="F136" i="3"/>
  <c r="H138" i="3"/>
  <c r="F139" i="3"/>
  <c r="H141" i="3"/>
  <c r="F142" i="3"/>
  <c r="H144" i="3"/>
  <c r="E146" i="3"/>
  <c r="F153" i="3"/>
  <c r="F85" i="11"/>
  <c r="F84" i="11"/>
  <c r="F83" i="11"/>
  <c r="E85" i="11"/>
  <c r="E84" i="11"/>
  <c r="E83" i="11"/>
  <c r="K80" i="11" l="1"/>
  <c r="K79" i="11"/>
  <c r="K78" i="11"/>
  <c r="K77" i="11"/>
  <c r="H79" i="11"/>
  <c r="C77" i="11"/>
  <c r="B84" i="11"/>
  <c r="C79" i="11"/>
  <c r="H78" i="11"/>
  <c r="G80" i="11" a="1"/>
  <c r="B83" i="11"/>
  <c r="G78" i="11" a="1"/>
  <c r="G79" i="11" a="1"/>
  <c r="C80" i="11"/>
  <c r="H77" i="11" a="1"/>
  <c r="H80" i="11"/>
  <c r="G77" i="11" a="1"/>
  <c r="E77" i="11" a="1"/>
  <c r="B85" i="11"/>
  <c r="E78" i="11" a="1"/>
  <c r="C78" i="11"/>
  <c r="E79" i="11" a="1"/>
  <c r="E80" i="11" a="1"/>
  <c r="H77" i="11" l="1"/>
  <c r="G80" i="11"/>
  <c r="G79" i="11"/>
  <c r="G78" i="11"/>
  <c r="G77" i="11"/>
  <c r="E80" i="11"/>
  <c r="E79" i="11"/>
  <c r="E78" i="11"/>
  <c r="E77" i="11"/>
  <c r="K75" i="11" l="1"/>
  <c r="K74" i="11"/>
  <c r="K73" i="11"/>
  <c r="K72" i="11"/>
  <c r="K71" i="11"/>
  <c r="K70" i="11"/>
  <c r="K69" i="11"/>
  <c r="K68" i="11"/>
  <c r="K67" i="11"/>
  <c r="K66" i="11"/>
  <c r="K65" i="11"/>
  <c r="G66" i="11" a="1"/>
  <c r="H71" i="11" a="1"/>
  <c r="G75" i="11" a="1"/>
  <c r="C72" i="11"/>
  <c r="H75" i="11" a="1"/>
  <c r="E65" i="11" a="1"/>
  <c r="E73" i="11" a="1"/>
  <c r="C71" i="11"/>
  <c r="C75" i="11"/>
  <c r="E66" i="11" a="1"/>
  <c r="H68" i="11" a="1"/>
  <c r="C73" i="11"/>
  <c r="F71" i="11" a="1"/>
  <c r="H74" i="11" a="1"/>
  <c r="G70" i="11" a="1"/>
  <c r="C69" i="11"/>
  <c r="F67" i="11" a="1"/>
  <c r="E68" i="11" a="1"/>
  <c r="E74" i="11" a="1"/>
  <c r="C65" i="11"/>
  <c r="B73" i="11"/>
  <c r="C70" i="11"/>
  <c r="G74" i="11" a="1"/>
  <c r="H72" i="11" a="1"/>
  <c r="H66" i="11" a="1"/>
  <c r="B69" i="11"/>
  <c r="F73" i="11" a="1"/>
  <c r="E70" i="11" a="1"/>
  <c r="B66" i="11"/>
  <c r="C66" i="11"/>
  <c r="B78" i="11"/>
  <c r="G69" i="11" a="1"/>
  <c r="C67" i="11"/>
  <c r="G67" i="11" a="1"/>
  <c r="F65" i="11" a="1"/>
  <c r="C74" i="11"/>
  <c r="B79" i="11"/>
  <c r="B80" i="11"/>
  <c r="E71" i="11" a="1"/>
  <c r="E72" i="11" a="1"/>
  <c r="H65" i="11" a="1"/>
  <c r="B67" i="11"/>
  <c r="H70" i="11" a="1"/>
  <c r="F74" i="11" a="1"/>
  <c r="H73" i="11" a="1"/>
  <c r="B71" i="11"/>
  <c r="G65" i="11" a="1"/>
  <c r="E75" i="11" a="1"/>
  <c r="B75" i="11"/>
  <c r="B72" i="11"/>
  <c r="G73" i="11" a="1"/>
  <c r="F68" i="11" a="1"/>
  <c r="G68" i="11" a="1"/>
  <c r="H69" i="11" a="1"/>
  <c r="B68" i="11"/>
  <c r="H67" i="11" a="1"/>
  <c r="E69" i="11" a="1"/>
  <c r="B70" i="11"/>
  <c r="G72" i="11" a="1"/>
  <c r="F70" i="11" a="1"/>
  <c r="C68" i="11"/>
  <c r="E67" i="11" a="1"/>
  <c r="G71" i="11" a="1"/>
  <c r="B74" i="11"/>
  <c r="H75" i="11" l="1"/>
  <c r="H74" i="11"/>
  <c r="H73" i="11"/>
  <c r="H72" i="11"/>
  <c r="H71" i="11"/>
  <c r="H70" i="11"/>
  <c r="H69" i="11"/>
  <c r="H68" i="11"/>
  <c r="H67" i="11"/>
  <c r="H66" i="11"/>
  <c r="H65" i="11"/>
  <c r="G67" i="11"/>
  <c r="G66" i="11"/>
  <c r="G65" i="11"/>
  <c r="G70" i="11"/>
  <c r="G69" i="11"/>
  <c r="G68" i="11"/>
  <c r="G71" i="11"/>
  <c r="G72" i="11"/>
  <c r="G73" i="11"/>
  <c r="G74" i="11"/>
  <c r="G75" i="11"/>
  <c r="F74" i="11"/>
  <c r="F73" i="11"/>
  <c r="F71" i="11"/>
  <c r="F70" i="11"/>
  <c r="F68" i="11"/>
  <c r="F67" i="11"/>
  <c r="F65" i="11"/>
  <c r="E75" i="11"/>
  <c r="E74" i="11"/>
  <c r="E73" i="11"/>
  <c r="E72" i="11"/>
  <c r="E71" i="11"/>
  <c r="E70" i="11"/>
  <c r="E69" i="11"/>
  <c r="E68" i="11"/>
  <c r="E67" i="11"/>
  <c r="E66" i="11"/>
  <c r="E65" i="11"/>
  <c r="K104" i="3" l="1"/>
  <c r="K53" i="11"/>
  <c r="F64" i="11" a="1"/>
  <c r="B77" i="11" a="1"/>
  <c r="H63" i="11" a="1"/>
  <c r="E62" i="11" a="1"/>
  <c r="G63" i="11" a="1"/>
  <c r="H64" i="11" a="1"/>
  <c r="E61" i="11" a="1"/>
  <c r="G64" i="11" a="1"/>
  <c r="B65" i="11" a="1"/>
  <c r="E63" i="11" a="1"/>
  <c r="F61" i="11" a="1"/>
  <c r="B63" i="11" a="1"/>
  <c r="J53" i="11"/>
  <c r="E64" i="11" a="1"/>
  <c r="B61" i="11" a="1"/>
  <c r="B64" i="11" a="1"/>
  <c r="B62" i="11" a="1"/>
  <c r="F63" i="11" a="1"/>
  <c r="H61" i="11" a="1"/>
  <c r="H62" i="11" a="1"/>
  <c r="C22" i="6"/>
  <c r="C36" i="6"/>
  <c r="C49" i="6"/>
  <c r="C50" i="6"/>
  <c r="C48" i="6"/>
  <c r="C37" i="6"/>
  <c r="C23" i="6"/>
  <c r="C35" i="6"/>
  <c r="C24" i="6"/>
  <c r="C47" i="6"/>
  <c r="C34" i="6"/>
  <c r="C26" i="6"/>
  <c r="C38" i="6"/>
  <c r="C46" i="6"/>
  <c r="C25" i="6"/>
  <c r="E115" i="3" a="1"/>
  <c r="E114" i="3" a="1"/>
  <c r="F111" i="3" a="1"/>
  <c r="E113" i="3" a="1"/>
  <c r="H117" i="3" a="1"/>
  <c r="F113" i="3" a="1"/>
  <c r="C113" i="3" a="1"/>
  <c r="E111" i="3" a="1"/>
  <c r="C117" i="3" a="1"/>
  <c r="H114" i="3" a="1"/>
  <c r="F114" i="3" a="1"/>
  <c r="H112" i="3" a="1"/>
  <c r="G113" i="3" a="1"/>
  <c r="E112" i="3" a="1"/>
  <c r="C114" i="3" a="1"/>
  <c r="E117" i="3" a="1"/>
  <c r="H115" i="3" a="1"/>
  <c r="F115" i="3" a="1"/>
  <c r="C111" i="3" a="1"/>
  <c r="G114" i="3" a="1"/>
  <c r="G117" i="3" a="1"/>
  <c r="H113" i="3" a="1"/>
  <c r="C112" i="3" a="1"/>
  <c r="J104" i="3"/>
  <c r="C115" i="3" a="1"/>
  <c r="H111" i="3" a="1"/>
  <c r="F111" i="3" l="1"/>
  <c r="C112" i="3"/>
  <c r="F113" i="3"/>
  <c r="C114" i="3"/>
  <c r="F115" i="3"/>
  <c r="C117" i="3"/>
  <c r="G113" i="3"/>
  <c r="H115" i="3"/>
  <c r="E117" i="3"/>
  <c r="H113" i="3"/>
  <c r="E112" i="3"/>
  <c r="C111" i="3"/>
  <c r="C113" i="3"/>
  <c r="F114" i="3"/>
  <c r="C115" i="3"/>
  <c r="E114" i="3"/>
  <c r="G114" i="3"/>
  <c r="G117" i="3"/>
  <c r="H111" i="3"/>
  <c r="E111" i="3"/>
  <c r="H112" i="3"/>
  <c r="E113" i="3"/>
  <c r="H114" i="3"/>
  <c r="E115" i="3"/>
  <c r="H117" i="3"/>
  <c r="H61" i="11"/>
  <c r="B65" i="11"/>
  <c r="F63" i="11"/>
  <c r="B61" i="11"/>
  <c r="B63" i="11"/>
  <c r="F64" i="11"/>
  <c r="G63" i="11"/>
  <c r="E64" i="11"/>
  <c r="E62" i="11"/>
  <c r="G64" i="11"/>
  <c r="H63" i="11"/>
  <c r="F61" i="11"/>
  <c r="E61" i="11"/>
  <c r="B62" i="11"/>
  <c r="H62" i="11"/>
  <c r="E63" i="11"/>
  <c r="B64" i="11"/>
  <c r="H64" i="11"/>
  <c r="B77" i="11"/>
  <c r="K35" i="11"/>
  <c r="K17" i="11"/>
  <c r="E45" i="11" a="1"/>
  <c r="C25" i="11" a="1"/>
  <c r="C27" i="11" a="1"/>
  <c r="C44" i="11" a="1"/>
  <c r="E46" i="11" a="1"/>
  <c r="C45" i="11" a="1"/>
  <c r="F27" i="11" a="1"/>
  <c r="E30" i="11" a="1"/>
  <c r="B25" i="11" a="1"/>
  <c r="C30" i="11" a="1"/>
  <c r="G44" i="11" a="1"/>
  <c r="H24" i="11" a="1"/>
  <c r="F25" i="11" a="1"/>
  <c r="E43" i="11" a="1"/>
  <c r="H48" i="11" a="1"/>
  <c r="E44" i="11" a="1"/>
  <c r="B27" i="11" a="1"/>
  <c r="F32" i="11" a="1"/>
  <c r="G48" i="11" a="1"/>
  <c r="C24" i="11" a="1"/>
  <c r="G45" i="11" a="1"/>
  <c r="C46" i="11" a="1"/>
  <c r="E29" i="11" a="1"/>
  <c r="H44" i="11" a="1"/>
  <c r="F29" i="11" a="1"/>
  <c r="E26" i="11" a="1"/>
  <c r="B32" i="11" a="1"/>
  <c r="H26" i="11" a="1"/>
  <c r="F45" i="11" a="1"/>
  <c r="B44" i="11" a="1"/>
  <c r="B26" i="11" a="1"/>
  <c r="B46" i="11" a="1"/>
  <c r="G26" i="11" a="1"/>
  <c r="C32" i="11" a="1"/>
  <c r="H42" i="11" a="1"/>
  <c r="H46" i="11" a="1"/>
  <c r="F42" i="11" a="1"/>
  <c r="E27" i="11" a="1"/>
  <c r="B24" i="11" a="1"/>
  <c r="E25" i="11" a="1"/>
  <c r="H27" i="11" a="1"/>
  <c r="H32" i="11" a="1"/>
  <c r="H29" i="11" a="1"/>
  <c r="C42" i="11" a="1"/>
  <c r="G30" i="11" a="1"/>
  <c r="B30" i="11" a="1"/>
  <c r="H30" i="11" a="1"/>
  <c r="B29" i="11" a="1"/>
  <c r="F26" i="11" a="1"/>
  <c r="G29" i="11" a="1"/>
  <c r="H43" i="11" a="1"/>
  <c r="E42" i="11" a="1"/>
  <c r="G24" i="11" a="1"/>
  <c r="E48" i="11" a="1"/>
  <c r="B42" i="11" a="1"/>
  <c r="H25" i="11" a="1"/>
  <c r="B43" i="11" a="1"/>
  <c r="G32" i="11" a="1"/>
  <c r="B48" i="11" a="1"/>
  <c r="F24" i="11" a="1"/>
  <c r="F44" i="11" a="1"/>
  <c r="C26" i="11" a="1"/>
  <c r="H45" i="11" a="1"/>
  <c r="G25" i="11" a="1"/>
  <c r="E24" i="11" a="1"/>
  <c r="G27" i="11" a="1"/>
  <c r="B45" i="11" a="1"/>
  <c r="F30" i="11" a="1"/>
  <c r="C48" i="11" a="1"/>
  <c r="E32" i="11" a="1"/>
  <c r="C29" i="11" a="1"/>
  <c r="J17" i="11"/>
  <c r="J35" i="11"/>
  <c r="C43" i="11" a="1"/>
  <c r="G1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18" i="11" a="1"/>
  <c r="G20" i="11" a="1"/>
  <c r="I18" i="11" l="1"/>
  <c r="G20" i="11"/>
  <c r="D27" i="11" a="1"/>
  <c r="D24" i="11" a="1"/>
  <c r="D26" i="11" a="1"/>
  <c r="D25" i="11" a="1"/>
  <c r="D27" i="11" l="1"/>
  <c r="D26" i="11"/>
  <c r="D25" i="11"/>
  <c r="D24" i="11"/>
  <c r="I25" i="11"/>
  <c r="I27" i="11"/>
  <c r="I24" i="11"/>
  <c r="I26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81" i="3"/>
  <c r="K58" i="3"/>
  <c r="K38" i="3"/>
  <c r="K17" i="3"/>
  <c r="O38" i="8" a="1"/>
  <c r="L30" i="8" a="1"/>
  <c r="I37" i="8" a="1"/>
  <c r="F39" i="8" a="1"/>
  <c r="F31" i="8" a="1"/>
  <c r="L29" i="8" a="1"/>
  <c r="J26" i="11"/>
  <c r="O40" i="8" a="1"/>
  <c r="O37" i="8" a="1"/>
  <c r="L37" i="8" a="1"/>
  <c r="I39" i="8" a="1"/>
  <c r="F36" i="8" a="1"/>
  <c r="O36" i="8" a="1"/>
  <c r="L38" i="8" a="1"/>
  <c r="I41" i="8" a="1"/>
  <c r="I34" i="8" a="1"/>
  <c r="F34" i="8" a="1"/>
  <c r="O33" i="8" a="1"/>
  <c r="I35" i="8" a="1"/>
  <c r="L39" i="8" a="1"/>
  <c r="J25" i="11"/>
  <c r="F41" i="8" a="1"/>
  <c r="O31" i="8" a="1"/>
  <c r="F29" i="8" a="1"/>
  <c r="O30" i="8" a="1"/>
  <c r="I31" i="8" a="1"/>
  <c r="O29" i="8" a="1"/>
  <c r="F38" i="8" a="1"/>
  <c r="J24" i="11"/>
  <c r="O39" i="8" a="1"/>
  <c r="O35" i="8" a="1"/>
  <c r="L33" i="8" a="1"/>
  <c r="L40" i="8" a="1"/>
  <c r="F30" i="8" a="1"/>
  <c r="O32" i="8" a="1"/>
  <c r="I30" i="8" a="1"/>
  <c r="L35" i="8" a="1"/>
  <c r="O34" i="8" a="1"/>
  <c r="L34" i="8" a="1"/>
  <c r="I40" i="8" a="1"/>
  <c r="F35" i="8" a="1"/>
  <c r="L36" i="8" a="1"/>
  <c r="L31" i="8" a="1"/>
  <c r="I29" i="8" a="1"/>
  <c r="F40" i="8" a="1"/>
  <c r="L41" i="8" a="1"/>
  <c r="O41" i="8" a="1"/>
  <c r="J27" i="11"/>
  <c r="I38" i="8" a="1"/>
  <c r="L32" i="8" a="1"/>
  <c r="F37" i="8" a="1"/>
  <c r="O29" i="8" l="1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G50" i="6"/>
  <c r="G49" i="6"/>
  <c r="G48" i="6"/>
  <c r="G47" i="6"/>
  <c r="G46" i="6"/>
  <c r="G38" i="6"/>
  <c r="G37" i="6"/>
  <c r="G36" i="6"/>
  <c r="G35" i="6"/>
  <c r="G34" i="6"/>
  <c r="G26" i="6"/>
  <c r="G25" i="6"/>
  <c r="G24" i="6"/>
  <c r="G23" i="6"/>
  <c r="G102" i="4"/>
  <c r="G99" i="4"/>
  <c r="G100" i="4"/>
  <c r="F96" i="4"/>
  <c r="G73" i="4"/>
  <c r="G97" i="4"/>
  <c r="H104" i="4"/>
  <c r="G104" i="4"/>
  <c r="H102" i="4"/>
  <c r="H100" i="4"/>
  <c r="H99" i="4"/>
  <c r="H97" i="4"/>
  <c r="H96" i="4"/>
  <c r="H95" i="4"/>
  <c r="H94" i="4"/>
  <c r="F94" i="4"/>
  <c r="C94" i="4"/>
  <c r="C95" i="4" s="1"/>
  <c r="C96" i="4" s="1"/>
  <c r="C97" i="4" s="1"/>
  <c r="C99" i="4" s="1"/>
  <c r="C100" i="4" s="1"/>
  <c r="C102" i="4" s="1"/>
  <c r="C104" i="4" s="1"/>
  <c r="H93" i="4"/>
  <c r="F93" i="4"/>
  <c r="C87" i="4"/>
  <c r="C88" i="4" s="1"/>
  <c r="D86" i="4"/>
  <c r="C86" i="4"/>
  <c r="G78" i="4"/>
  <c r="H78" i="4"/>
  <c r="G75" i="4"/>
  <c r="H127" i="4"/>
  <c r="H126" i="4"/>
  <c r="G76" i="4"/>
  <c r="C63" i="4"/>
  <c r="H62" i="4" s="1"/>
  <c r="H98" i="3"/>
  <c r="H101" i="3"/>
  <c r="F101" i="3"/>
  <c r="F98" i="3"/>
  <c r="H95" i="3"/>
  <c r="H94" i="3"/>
  <c r="H93" i="3"/>
  <c r="G95" i="3"/>
  <c r="F95" i="3"/>
  <c r="F93" i="3"/>
  <c r="H100" i="3"/>
  <c r="G100" i="3"/>
  <c r="H97" i="3"/>
  <c r="G97" i="3"/>
  <c r="H92" i="3"/>
  <c r="F92" i="3"/>
  <c r="H91" i="3"/>
  <c r="G91" i="3"/>
  <c r="F91" i="3"/>
  <c r="H90" i="3"/>
  <c r="G90" i="3"/>
  <c r="F90" i="3"/>
  <c r="H89" i="3"/>
  <c r="C89" i="3"/>
  <c r="C90" i="3" s="1"/>
  <c r="C91" i="3" s="1"/>
  <c r="C92" i="3" s="1"/>
  <c r="C93" i="3" s="1"/>
  <c r="C94" i="3" s="1"/>
  <c r="C95" i="3" s="1"/>
  <c r="C97" i="3" s="1"/>
  <c r="C98" i="3" s="1"/>
  <c r="H88" i="3"/>
  <c r="F88" i="3"/>
  <c r="J29" i="6"/>
  <c r="J41" i="6"/>
  <c r="J83" i="4"/>
  <c r="J81" i="3"/>
  <c r="I38" i="11" a="1"/>
  <c r="G109" i="4" a="1"/>
  <c r="G40" i="4" a="1"/>
  <c r="J110" i="4" a="1"/>
  <c r="I109" i="4" a="1"/>
  <c r="I89" i="11" a="1"/>
  <c r="I40" i="4" a="1"/>
  <c r="C89" i="11" a="1"/>
  <c r="G19" i="4" a="1"/>
  <c r="I54" i="11" a="1"/>
  <c r="G160" i="3" a="1"/>
  <c r="F107" i="3" a="1"/>
  <c r="I56" i="11" a="1"/>
  <c r="G135" i="4" a="1"/>
  <c r="K125" i="3" a="1"/>
  <c r="G125" i="3" a="1"/>
  <c r="I135" i="4" a="1"/>
  <c r="J19" i="4" a="1"/>
  <c r="J85" i="4" a="1"/>
  <c r="C36" i="11" a="1"/>
  <c r="G56" i="11" a="1"/>
  <c r="G38" i="11" a="1"/>
  <c r="I61" i="4" a="1"/>
  <c r="I136" i="4" a="1"/>
  <c r="G91" i="11" a="1"/>
  <c r="J40" i="4" a="1"/>
  <c r="G156" i="4" a="1"/>
  <c r="J125" i="3" a="1"/>
  <c r="G107" i="3" a="1"/>
  <c r="I107" i="3" a="1"/>
  <c r="J136" i="4" a="1"/>
  <c r="G61" i="4" a="1"/>
  <c r="I125" i="3" a="1"/>
  <c r="J156" i="4" a="1"/>
  <c r="C123" i="3" a="1"/>
  <c r="I85" i="4" a="1"/>
  <c r="J61" i="4" a="1"/>
  <c r="I19" i="4" a="1"/>
  <c r="F160" i="3" a="1"/>
  <c r="I91" i="11" a="1"/>
  <c r="I158" i="3" a="1"/>
  <c r="I156" i="4" a="1"/>
  <c r="I123" i="3" a="1"/>
  <c r="I160" i="3" a="1"/>
  <c r="G85" i="4" a="1"/>
  <c r="C54" i="11" a="1"/>
  <c r="I110" i="4" a="1"/>
  <c r="J91" i="11" a="1"/>
  <c r="I36" i="11" a="1"/>
  <c r="J38" i="11" a="1"/>
  <c r="I105" i="3" a="1"/>
  <c r="J56" i="11" a="1"/>
  <c r="J109" i="4" a="1"/>
  <c r="J160" i="3" a="1"/>
  <c r="J107" i="3" a="1"/>
  <c r="K56" i="11" a="1"/>
  <c r="J135" i="4" a="1"/>
  <c r="J160" i="3" l="1"/>
  <c r="J91" i="11"/>
  <c r="J125" i="3"/>
  <c r="J107" i="3"/>
  <c r="J56" i="11"/>
  <c r="J38" i="11"/>
  <c r="I160" i="3"/>
  <c r="I91" i="11"/>
  <c r="I125" i="3"/>
  <c r="I107" i="3"/>
  <c r="I56" i="11"/>
  <c r="I38" i="11"/>
  <c r="G160" i="3"/>
  <c r="I158" i="3"/>
  <c r="F160" i="3"/>
  <c r="K174" i="3" s="1"/>
  <c r="G91" i="11"/>
  <c r="I89" i="11"/>
  <c r="C89" i="11"/>
  <c r="K105" i="11" s="1"/>
  <c r="I123" i="3"/>
  <c r="C123" i="3"/>
  <c r="G125" i="3"/>
  <c r="K125" i="3"/>
  <c r="K151" i="3" s="1"/>
  <c r="C54" i="11"/>
  <c r="K82" i="11" s="1"/>
  <c r="K56" i="11"/>
  <c r="I105" i="3"/>
  <c r="G107" i="3"/>
  <c r="F107" i="3"/>
  <c r="K119" i="3" s="1"/>
  <c r="C36" i="11"/>
  <c r="K50" i="11" s="1"/>
  <c r="I54" i="11"/>
  <c r="G56" i="11"/>
  <c r="G38" i="11"/>
  <c r="I36" i="11"/>
  <c r="I110" i="4"/>
  <c r="J110" i="4"/>
  <c r="I136" i="4"/>
  <c r="J136" i="4"/>
  <c r="G156" i="4"/>
  <c r="I156" i="4"/>
  <c r="J156" i="4"/>
  <c r="G135" i="4"/>
  <c r="I135" i="4"/>
  <c r="J135" i="4"/>
  <c r="G109" i="4"/>
  <c r="I109" i="4"/>
  <c r="J109" i="4"/>
  <c r="G85" i="4"/>
  <c r="I85" i="4"/>
  <c r="F95" i="4" s="1"/>
  <c r="J85" i="4"/>
  <c r="G95" i="4" s="1"/>
  <c r="G61" i="4"/>
  <c r="I61" i="4"/>
  <c r="J61" i="4"/>
  <c r="G40" i="4"/>
  <c r="I40" i="4"/>
  <c r="J40" i="4"/>
  <c r="G19" i="4"/>
  <c r="I19" i="4"/>
  <c r="J19" i="4"/>
  <c r="C100" i="3"/>
  <c r="C101" i="3" s="1"/>
  <c r="H72" i="3"/>
  <c r="G72" i="3"/>
  <c r="F72" i="3"/>
  <c r="H71" i="3"/>
  <c r="H70" i="3"/>
  <c r="F70" i="3"/>
  <c r="H78" i="3"/>
  <c r="F78" i="3"/>
  <c r="H68" i="3"/>
  <c r="H67" i="3"/>
  <c r="H65" i="3"/>
  <c r="G54" i="4"/>
  <c r="G151" i="4"/>
  <c r="G130" i="4"/>
  <c r="G129" i="4"/>
  <c r="G55" i="3"/>
  <c r="G35" i="3"/>
  <c r="J17" i="6"/>
  <c r="J44" i="5"/>
  <c r="J17" i="5"/>
  <c r="J154" i="4"/>
  <c r="J17" i="4"/>
  <c r="J133" i="4"/>
  <c r="J107" i="4"/>
  <c r="J38" i="4"/>
  <c r="J59" i="4"/>
  <c r="J17" i="3"/>
  <c r="J38" i="3"/>
  <c r="J58" i="3"/>
  <c r="G112" i="3" a="1"/>
  <c r="G62" i="11" a="1"/>
  <c r="D43" i="11" a="1"/>
  <c r="D64" i="11" a="1"/>
  <c r="I19" i="3" a="1"/>
  <c r="D75" i="11"/>
  <c r="D61" i="11" a="1"/>
  <c r="E83" i="3" a="1"/>
  <c r="D144" i="3"/>
  <c r="I40" i="3" a="1"/>
  <c r="D62" i="11" a="1"/>
  <c r="D114" i="3" a="1"/>
  <c r="I60" i="3" a="1"/>
  <c r="E19" i="3" a="1"/>
  <c r="F75" i="11" a="1"/>
  <c r="J20" i="3" a="1"/>
  <c r="D63" i="11" a="1"/>
  <c r="F174" i="3" a="1"/>
  <c r="D133" i="3" a="1"/>
  <c r="F171" i="3" a="1"/>
  <c r="C50" i="11" a="1"/>
  <c r="F135" i="3" a="1"/>
  <c r="G130" i="3" a="1"/>
  <c r="D137" i="3"/>
  <c r="E151" i="3" a="1"/>
  <c r="H151" i="3" a="1"/>
  <c r="G85" i="11" a="1"/>
  <c r="H119" i="3" a="1"/>
  <c r="D169" i="3"/>
  <c r="B105" i="11" a="1"/>
  <c r="G111" i="3" a="1"/>
  <c r="G61" i="11" a="1"/>
  <c r="D69" i="11"/>
  <c r="D66" i="11"/>
  <c r="J40" i="3" a="1"/>
  <c r="G174" i="3" a="1"/>
  <c r="G60" i="3" a="1"/>
  <c r="J19" i="3" a="1"/>
  <c r="G119" i="3" a="1"/>
  <c r="D164" i="3" a="1"/>
  <c r="D100" i="11"/>
  <c r="D141" i="3"/>
  <c r="D68" i="11"/>
  <c r="G83" i="3" a="1"/>
  <c r="F85" i="4" a="1"/>
  <c r="G151" i="3" a="1"/>
  <c r="F62" i="11" a="1"/>
  <c r="D46" i="11" a="1"/>
  <c r="I20" i="3" a="1"/>
  <c r="D72" i="11"/>
  <c r="F144" i="3" a="1"/>
  <c r="H174" i="3" a="1"/>
  <c r="D112" i="3" a="1"/>
  <c r="D139" i="3"/>
  <c r="D111" i="3" a="1"/>
  <c r="F156" i="4" a="1"/>
  <c r="F141" i="3" a="1"/>
  <c r="D98" i="11" a="1"/>
  <c r="D140" i="3"/>
  <c r="F102" i="11" a="1"/>
  <c r="D143" i="3"/>
  <c r="D45" i="11" a="1"/>
  <c r="J83" i="3" a="1"/>
  <c r="F138" i="3" a="1"/>
  <c r="F151" i="3" a="1"/>
  <c r="D65" i="11" a="1"/>
  <c r="B174" i="3"/>
  <c r="G43" i="11" a="1"/>
  <c r="F103" i="11" a="1"/>
  <c r="D42" i="11" a="1"/>
  <c r="E105" i="11" a="1"/>
  <c r="B50" i="11" a="1"/>
  <c r="D131" i="3" a="1"/>
  <c r="D134" i="3" a="1"/>
  <c r="F19" i="4" a="1"/>
  <c r="D135" i="3"/>
  <c r="D96" i="11" a="1"/>
  <c r="H105" i="11" a="1"/>
  <c r="D168" i="3" a="1"/>
  <c r="E119" i="3" a="1"/>
  <c r="D130" i="3" a="1"/>
  <c r="C119" i="3" a="1"/>
  <c r="I41" i="3" a="1"/>
  <c r="F135" i="4" a="1"/>
  <c r="G165" i="3" a="1"/>
  <c r="F117" i="3" a="1"/>
  <c r="D95" i="11" a="1"/>
  <c r="G115" i="3" a="1"/>
  <c r="B151" i="3"/>
  <c r="G42" i="11" a="1"/>
  <c r="F96" i="11" a="1"/>
  <c r="D97" i="11" a="1"/>
  <c r="D132" i="3" a="1"/>
  <c r="B119" i="3"/>
  <c r="F131" i="3" a="1"/>
  <c r="F100" i="11" a="1"/>
  <c r="D70" i="11"/>
  <c r="D74" i="11"/>
  <c r="F61" i="4" a="1"/>
  <c r="E60" i="3" a="1"/>
  <c r="D44" i="11" a="1"/>
  <c r="J41" i="3" a="1"/>
  <c r="D165" i="3" a="1"/>
  <c r="C174" i="3"/>
  <c r="H50" i="11" a="1"/>
  <c r="D73" i="11"/>
  <c r="D115" i="3" a="1"/>
  <c r="F165" i="3" a="1"/>
  <c r="D138" i="3"/>
  <c r="D142" i="3"/>
  <c r="F48" i="11" a="1"/>
  <c r="C151" i="3"/>
  <c r="G168" i="3" a="1"/>
  <c r="G99" i="11" a="1"/>
  <c r="F112" i="3" a="1"/>
  <c r="D99" i="11" a="1"/>
  <c r="E174" i="3" a="1"/>
  <c r="F72" i="11" a="1"/>
  <c r="D167" i="3" a="1"/>
  <c r="G95" i="11" a="1"/>
  <c r="I83" i="3" a="1"/>
  <c r="D67" i="11"/>
  <c r="D113" i="3" a="1"/>
  <c r="D136" i="3"/>
  <c r="D166" i="3" a="1"/>
  <c r="F169" i="3" a="1"/>
  <c r="G50" i="11" a="1"/>
  <c r="F40" i="4" a="1"/>
  <c r="F105" i="11" a="1"/>
  <c r="G164" i="3" a="1"/>
  <c r="G96" i="11" a="1"/>
  <c r="F43" i="11" a="1"/>
  <c r="J60" i="3" a="1"/>
  <c r="F77" i="11" a="1"/>
  <c r="G131" i="3" a="1"/>
  <c r="F172" i="3" a="1"/>
  <c r="E40" i="3" a="1"/>
  <c r="F66" i="11" a="1"/>
  <c r="E50" i="11" a="1"/>
  <c r="G105" i="11" a="1"/>
  <c r="F69" i="11" a="1"/>
  <c r="C82" i="11"/>
  <c r="F109" i="4" a="1"/>
  <c r="C105" i="11"/>
  <c r="D71" i="11"/>
  <c r="G46" i="11" a="1"/>
  <c r="F43" i="11" l="1"/>
  <c r="F112" i="3"/>
  <c r="F100" i="11"/>
  <c r="F96" i="11"/>
  <c r="F103" i="11"/>
  <c r="F62" i="11"/>
  <c r="G61" i="11"/>
  <c r="G62" i="11"/>
  <c r="F169" i="3"/>
  <c r="F172" i="3"/>
  <c r="F165" i="3"/>
  <c r="G95" i="11"/>
  <c r="G96" i="11"/>
  <c r="G99" i="11"/>
  <c r="F131" i="3"/>
  <c r="G42" i="11"/>
  <c r="G43" i="11"/>
  <c r="G46" i="11"/>
  <c r="G111" i="3"/>
  <c r="G112" i="3"/>
  <c r="G115" i="3"/>
  <c r="G131" i="3"/>
  <c r="G130" i="3"/>
  <c r="G165" i="3"/>
  <c r="G164" i="3"/>
  <c r="G168" i="3"/>
  <c r="E91" i="11"/>
  <c r="E160" i="3"/>
  <c r="H174" i="3"/>
  <c r="G174" i="3"/>
  <c r="E174" i="3"/>
  <c r="F174" i="3"/>
  <c r="D166" i="3"/>
  <c r="D165" i="3"/>
  <c r="D168" i="3"/>
  <c r="D164" i="3"/>
  <c r="D167" i="3"/>
  <c r="F171" i="3"/>
  <c r="E105" i="11"/>
  <c r="H105" i="11"/>
  <c r="B105" i="11"/>
  <c r="G105" i="11"/>
  <c r="F105" i="11"/>
  <c r="D99" i="11"/>
  <c r="D97" i="11"/>
  <c r="D95" i="11"/>
  <c r="D96" i="11"/>
  <c r="D98" i="11"/>
  <c r="F102" i="11"/>
  <c r="H151" i="3"/>
  <c r="G151" i="3"/>
  <c r="E151" i="3"/>
  <c r="F151" i="3"/>
  <c r="F144" i="3"/>
  <c r="F141" i="3"/>
  <c r="F138" i="3"/>
  <c r="F135" i="3"/>
  <c r="D134" i="3"/>
  <c r="D131" i="3"/>
  <c r="D133" i="3"/>
  <c r="D130" i="3"/>
  <c r="D132" i="3"/>
  <c r="G85" i="11"/>
  <c r="F77" i="11"/>
  <c r="F75" i="11"/>
  <c r="F72" i="11"/>
  <c r="F69" i="11"/>
  <c r="F66" i="11"/>
  <c r="F117" i="3"/>
  <c r="D113" i="3"/>
  <c r="D115" i="3"/>
  <c r="D111" i="3"/>
  <c r="D112" i="3"/>
  <c r="D114" i="3"/>
  <c r="E119" i="3"/>
  <c r="C119" i="3"/>
  <c r="H119" i="3"/>
  <c r="G119" i="3"/>
  <c r="C50" i="11"/>
  <c r="E50" i="11"/>
  <c r="G50" i="11"/>
  <c r="B50" i="11"/>
  <c r="H50" i="11"/>
  <c r="D65" i="11"/>
  <c r="D63" i="11"/>
  <c r="D61" i="11"/>
  <c r="D62" i="11"/>
  <c r="D64" i="11"/>
  <c r="D46" i="11"/>
  <c r="D44" i="11"/>
  <c r="D42" i="11"/>
  <c r="D45" i="11"/>
  <c r="D43" i="11"/>
  <c r="F48" i="11"/>
  <c r="F109" i="4"/>
  <c r="F40" i="4"/>
  <c r="F61" i="4"/>
  <c r="F156" i="4"/>
  <c r="F85" i="4"/>
  <c r="F99" i="4" s="1"/>
  <c r="F135" i="4"/>
  <c r="F19" i="4"/>
  <c r="F102" i="4"/>
  <c r="E86" i="4"/>
  <c r="H86" i="4"/>
  <c r="H87" i="4" s="1"/>
  <c r="F97" i="4"/>
  <c r="G94" i="4"/>
  <c r="G96" i="4"/>
  <c r="G93" i="4"/>
  <c r="F100" i="4"/>
  <c r="F104" i="4"/>
  <c r="E83" i="3"/>
  <c r="E60" i="3"/>
  <c r="E40" i="3"/>
  <c r="E19" i="3"/>
  <c r="G83" i="3"/>
  <c r="G60" i="3"/>
  <c r="G78" i="3" s="1"/>
  <c r="I83" i="3"/>
  <c r="I60" i="3"/>
  <c r="I41" i="3"/>
  <c r="I40" i="3"/>
  <c r="I20" i="3"/>
  <c r="I19" i="3"/>
  <c r="J83" i="3"/>
  <c r="G92" i="3" s="1"/>
  <c r="J60" i="3"/>
  <c r="J40" i="3"/>
  <c r="J41" i="3"/>
  <c r="J20" i="3"/>
  <c r="J19" i="3"/>
  <c r="G22" i="6"/>
  <c r="F127" i="4"/>
  <c r="F126" i="4"/>
  <c r="F78" i="4"/>
  <c r="F50" i="11" a="1"/>
  <c r="I61" i="11"/>
  <c r="F80" i="11" a="1"/>
  <c r="I166" i="3"/>
  <c r="I135" i="3"/>
  <c r="I74" i="11"/>
  <c r="I69" i="11"/>
  <c r="I144" i="3"/>
  <c r="G84" i="11" a="1"/>
  <c r="I131" i="3"/>
  <c r="I111" i="3"/>
  <c r="I140" i="3"/>
  <c r="I113" i="3"/>
  <c r="I130" i="3"/>
  <c r="I44" i="11"/>
  <c r="I95" i="11"/>
  <c r="I42" i="11"/>
  <c r="I137" i="3"/>
  <c r="I72" i="11"/>
  <c r="F78" i="11" a="1"/>
  <c r="I97" i="11"/>
  <c r="I169" i="3"/>
  <c r="I114" i="3"/>
  <c r="I143" i="3"/>
  <c r="I164" i="3"/>
  <c r="I45" i="11"/>
  <c r="G152" i="3" a="1"/>
  <c r="I165" i="3"/>
  <c r="F147" i="3" a="1"/>
  <c r="F79" i="11" a="1"/>
  <c r="I133" i="3"/>
  <c r="I68" i="11"/>
  <c r="I142" i="3"/>
  <c r="F119" i="3" a="1"/>
  <c r="H82" i="11" a="1"/>
  <c r="I75" i="11"/>
  <c r="I134" i="3"/>
  <c r="I168" i="3"/>
  <c r="I65" i="11"/>
  <c r="I136" i="3"/>
  <c r="I99" i="11"/>
  <c r="I62" i="11"/>
  <c r="G154" i="3" a="1"/>
  <c r="I71" i="11"/>
  <c r="E82" i="11" a="1"/>
  <c r="I96" i="11"/>
  <c r="G153" i="3" a="1"/>
  <c r="G83" i="11" a="1"/>
  <c r="I43" i="11"/>
  <c r="F146" i="3" a="1"/>
  <c r="F149" i="3" a="1"/>
  <c r="I98" i="11"/>
  <c r="I112" i="3"/>
  <c r="G171" i="3" a="1"/>
  <c r="I132" i="3"/>
  <c r="G169" i="3" a="1"/>
  <c r="I63" i="11"/>
  <c r="I67" i="11"/>
  <c r="G82" i="11" a="1"/>
  <c r="I139" i="3"/>
  <c r="I100" i="11"/>
  <c r="B82" i="11" a="1"/>
  <c r="G102" i="11" a="1"/>
  <c r="I138" i="3"/>
  <c r="I46" i="11"/>
  <c r="I64" i="11"/>
  <c r="I167" i="3"/>
  <c r="I66" i="11"/>
  <c r="G100" i="11" a="1"/>
  <c r="I141" i="3"/>
  <c r="F82" i="11" a="1"/>
  <c r="F148" i="3" a="1"/>
  <c r="I73" i="11"/>
  <c r="I115" i="3"/>
  <c r="I70" i="11"/>
  <c r="F119" i="3" l="1"/>
  <c r="F78" i="11"/>
  <c r="F50" i="11"/>
  <c r="G169" i="3"/>
  <c r="G171" i="3"/>
  <c r="G100" i="11"/>
  <c r="G102" i="11"/>
  <c r="G84" i="11"/>
  <c r="G83" i="11"/>
  <c r="F79" i="11"/>
  <c r="F147" i="3"/>
  <c r="F148" i="3"/>
  <c r="F149" i="3"/>
  <c r="G153" i="3"/>
  <c r="G154" i="3"/>
  <c r="G152" i="3"/>
  <c r="F146" i="3"/>
  <c r="F80" i="11"/>
  <c r="F82" i="11"/>
  <c r="E82" i="11"/>
  <c r="H82" i="11"/>
  <c r="B82" i="11"/>
  <c r="G82" i="11"/>
  <c r="F89" i="3"/>
  <c r="G101" i="3"/>
  <c r="F86" i="4"/>
  <c r="F87" i="4" s="1"/>
  <c r="F94" i="3"/>
  <c r="G89" i="3"/>
  <c r="G88" i="3"/>
  <c r="G98" i="3"/>
  <c r="F97" i="3" s="1"/>
  <c r="F100" i="3"/>
  <c r="F71" i="3"/>
  <c r="G48" i="4"/>
  <c r="G51" i="4"/>
  <c r="G49" i="4"/>
  <c r="G126" i="4"/>
  <c r="G127" i="4"/>
  <c r="G72" i="4"/>
  <c r="G70" i="4"/>
  <c r="G69" i="4"/>
  <c r="G75" i="3"/>
  <c r="H173" i="4"/>
  <c r="G173" i="4"/>
  <c r="F173" i="4"/>
  <c r="H171" i="4"/>
  <c r="F171" i="4"/>
  <c r="H170" i="4"/>
  <c r="H168" i="4"/>
  <c r="G168" i="4"/>
  <c r="F168" i="4"/>
  <c r="H167" i="4"/>
  <c r="G167" i="4"/>
  <c r="F167" i="4"/>
  <c r="H166" i="4"/>
  <c r="G166" i="4"/>
  <c r="F166" i="4"/>
  <c r="H165" i="4"/>
  <c r="G165" i="4"/>
  <c r="F165" i="4"/>
  <c r="C165" i="4"/>
  <c r="C166" i="4" s="1"/>
  <c r="C167" i="4" s="1"/>
  <c r="C168" i="4" s="1"/>
  <c r="C170" i="4" s="1"/>
  <c r="C171" i="4" s="1"/>
  <c r="C173" i="4" s="1"/>
  <c r="H164" i="4"/>
  <c r="G164" i="4"/>
  <c r="F164" i="4"/>
  <c r="C158" i="4"/>
  <c r="F157" i="4"/>
  <c r="F158" i="4" s="1"/>
  <c r="D157" i="4"/>
  <c r="C157" i="4"/>
  <c r="F170" i="4" s="1"/>
  <c r="H77" i="3"/>
  <c r="G77" i="3"/>
  <c r="F77" i="3"/>
  <c r="H75" i="3"/>
  <c r="F75" i="3"/>
  <c r="H74" i="3"/>
  <c r="F74" i="3" s="1"/>
  <c r="H69" i="3"/>
  <c r="G69" i="3"/>
  <c r="F69" i="3"/>
  <c r="F68" i="3"/>
  <c r="F67" i="3"/>
  <c r="H66" i="3"/>
  <c r="G66" i="3"/>
  <c r="F66" i="3"/>
  <c r="C66" i="3"/>
  <c r="C67" i="3" s="1"/>
  <c r="C68" i="3" s="1"/>
  <c r="C69" i="3" s="1"/>
  <c r="G65" i="3"/>
  <c r="F65" i="3"/>
  <c r="J99" i="11"/>
  <c r="J42" i="11"/>
  <c r="J168" i="3"/>
  <c r="J63" i="11"/>
  <c r="E18" i="6" a="1"/>
  <c r="F25" i="5" a="1"/>
  <c r="J66" i="11"/>
  <c r="J97" i="11"/>
  <c r="J74" i="11"/>
  <c r="J96" i="11"/>
  <c r="J141" i="3"/>
  <c r="J45" i="11"/>
  <c r="J143" i="3"/>
  <c r="F112" i="4" a="1"/>
  <c r="F65" i="4" a="1"/>
  <c r="F138" i="4" a="1"/>
  <c r="J134" i="3"/>
  <c r="J114" i="3"/>
  <c r="G89" i="11" a="1"/>
  <c r="J131" i="3"/>
  <c r="J139" i="3"/>
  <c r="J67" i="11"/>
  <c r="J113" i="3"/>
  <c r="J68" i="11"/>
  <c r="J132" i="3"/>
  <c r="J167" i="3"/>
  <c r="J166" i="3"/>
  <c r="J111" i="3"/>
  <c r="J64" i="11"/>
  <c r="J138" i="3"/>
  <c r="J71" i="11"/>
  <c r="J75" i="11"/>
  <c r="J43" i="11"/>
  <c r="J136" i="3"/>
  <c r="J73" i="11"/>
  <c r="J169" i="3"/>
  <c r="J70" i="11"/>
  <c r="J95" i="11"/>
  <c r="J140" i="3"/>
  <c r="J164" i="3"/>
  <c r="E18" i="11" a="1"/>
  <c r="G123" i="3" a="1"/>
  <c r="J44" i="11"/>
  <c r="F23" i="4" a="1"/>
  <c r="J46" i="11"/>
  <c r="D29" i="11" a="1"/>
  <c r="J115" i="3"/>
  <c r="F21" i="3" a="1"/>
  <c r="E42" i="6" a="1"/>
  <c r="J62" i="11"/>
  <c r="F160" i="4" a="1"/>
  <c r="F58" i="5" a="1"/>
  <c r="J72" i="11"/>
  <c r="E30" i="6" a="1"/>
  <c r="F44" i="4" a="1"/>
  <c r="J165" i="3"/>
  <c r="G158" i="3" a="1"/>
  <c r="J100" i="11"/>
  <c r="J61" i="11"/>
  <c r="J137" i="3"/>
  <c r="J69" i="11"/>
  <c r="G105" i="3" a="1"/>
  <c r="F89" i="4" a="1"/>
  <c r="F84" i="3" a="1"/>
  <c r="J135" i="3"/>
  <c r="G36" i="11" a="1"/>
  <c r="J112" i="3"/>
  <c r="J133" i="3"/>
  <c r="J98" i="11"/>
  <c r="J142" i="3"/>
  <c r="F42" i="3" a="1"/>
  <c r="D30" i="11" a="1"/>
  <c r="J65" i="11"/>
  <c r="F61" i="3" a="1"/>
  <c r="J144" i="3"/>
  <c r="J130" i="3"/>
  <c r="G54" i="11" a="1"/>
  <c r="G158" i="3" l="1"/>
  <c r="G54" i="11"/>
  <c r="G89" i="11"/>
  <c r="G105" i="3"/>
  <c r="G123" i="3"/>
  <c r="G36" i="11"/>
  <c r="E18" i="11"/>
  <c r="D29" i="11"/>
  <c r="D30" i="11"/>
  <c r="C70" i="3"/>
  <c r="C71" i="3" s="1"/>
  <c r="C72" i="3" s="1"/>
  <c r="C74" i="3" s="1"/>
  <c r="C75" i="3" s="1"/>
  <c r="C77" i="3" s="1"/>
  <c r="C78" i="3" s="1"/>
  <c r="F160" i="4"/>
  <c r="D170" i="4" s="1"/>
  <c r="F112" i="4"/>
  <c r="D124" i="4" s="1"/>
  <c r="F89" i="4"/>
  <c r="D100" i="4" s="1"/>
  <c r="F23" i="4"/>
  <c r="D32" i="4" s="1"/>
  <c r="F138" i="4"/>
  <c r="D149" i="4" s="1"/>
  <c r="F65" i="4"/>
  <c r="D76" i="4" s="1"/>
  <c r="F44" i="4"/>
  <c r="D53" i="4" s="1"/>
  <c r="F58" i="5"/>
  <c r="D79" i="5" s="1"/>
  <c r="F25" i="5"/>
  <c r="D35" i="5" s="1"/>
  <c r="E42" i="6"/>
  <c r="E30" i="6"/>
  <c r="E18" i="6"/>
  <c r="F84" i="3"/>
  <c r="D98" i="3" s="1"/>
  <c r="F61" i="3"/>
  <c r="D74" i="3" s="1"/>
  <c r="F42" i="3"/>
  <c r="D53" i="3" s="1"/>
  <c r="F21" i="3"/>
  <c r="C159" i="4"/>
  <c r="G171" i="4"/>
  <c r="H157" i="4"/>
  <c r="H158" i="4" s="1"/>
  <c r="G170" i="4"/>
  <c r="G74" i="3"/>
  <c r="D172" i="3"/>
  <c r="D84" i="3" a="1"/>
  <c r="D65" i="4" a="1"/>
  <c r="E54" i="11" a="1"/>
  <c r="E158" i="3" a="1"/>
  <c r="H21" i="3" a="1"/>
  <c r="D146" i="3" a="1"/>
  <c r="D32" i="11" a="1"/>
  <c r="I35" i="5"/>
  <c r="E123" i="3" a="1"/>
  <c r="D117" i="3" a="1"/>
  <c r="D25" i="5" a="1"/>
  <c r="D78" i="11"/>
  <c r="H89" i="4" a="1"/>
  <c r="I32" i="4"/>
  <c r="D77" i="11" a="1"/>
  <c r="H61" i="3" a="1"/>
  <c r="I98" i="3"/>
  <c r="H44" i="4" a="1"/>
  <c r="D89" i="4" a="1"/>
  <c r="I53" i="3"/>
  <c r="I79" i="5"/>
  <c r="D80" i="11"/>
  <c r="H42" i="3" a="1"/>
  <c r="D103" i="11"/>
  <c r="I74" i="3"/>
  <c r="E105" i="3" a="1"/>
  <c r="H84" i="3" a="1"/>
  <c r="D138" i="4" a="1"/>
  <c r="I170" i="4"/>
  <c r="I29" i="11"/>
  <c r="H58" i="5" a="1"/>
  <c r="D44" i="4" a="1"/>
  <c r="D61" i="3" a="1"/>
  <c r="I100" i="4"/>
  <c r="D102" i="11" a="1"/>
  <c r="H160" i="4" a="1"/>
  <c r="D148" i="3"/>
  <c r="D58" i="5" a="1"/>
  <c r="E89" i="11" a="1"/>
  <c r="H23" i="4" a="1"/>
  <c r="D42" i="3" a="1"/>
  <c r="H25" i="5" a="1"/>
  <c r="I124" i="4"/>
  <c r="D171" i="3" a="1"/>
  <c r="D147" i="3"/>
  <c r="H65" i="4" a="1"/>
  <c r="H138" i="4" a="1"/>
  <c r="D160" i="4" a="1"/>
  <c r="E36" i="11" a="1"/>
  <c r="D21" i="3" a="1"/>
  <c r="I149" i="4"/>
  <c r="D23" i="4" a="1"/>
  <c r="D48" i="11" a="1"/>
  <c r="I76" i="4"/>
  <c r="I53" i="4"/>
  <c r="D112" i="4" a="1"/>
  <c r="D79" i="11"/>
  <c r="I30" i="11"/>
  <c r="D149" i="3"/>
  <c r="H112" i="4" a="1"/>
  <c r="E158" i="3" l="1"/>
  <c r="D171" i="3"/>
  <c r="D32" i="11"/>
  <c r="D48" i="11"/>
  <c r="D146" i="3"/>
  <c r="E54" i="11"/>
  <c r="E123" i="3"/>
  <c r="E105" i="3"/>
  <c r="E89" i="11"/>
  <c r="E36" i="11"/>
  <c r="D117" i="3"/>
  <c r="D102" i="11"/>
  <c r="D77" i="11"/>
  <c r="D84" i="5"/>
  <c r="D83" i="5"/>
  <c r="D82" i="5"/>
  <c r="D85" i="5"/>
  <c r="D86" i="5"/>
  <c r="D99" i="4"/>
  <c r="D123" i="4"/>
  <c r="D75" i="4"/>
  <c r="D80" i="5"/>
  <c r="D81" i="5"/>
  <c r="D78" i="5"/>
  <c r="D138" i="4"/>
  <c r="D151" i="4" s="1"/>
  <c r="D65" i="4"/>
  <c r="D80" i="4" s="1"/>
  <c r="D89" i="4"/>
  <c r="D104" i="4" s="1"/>
  <c r="D23" i="4"/>
  <c r="D35" i="4" s="1"/>
  <c r="D160" i="4"/>
  <c r="D173" i="4" s="1"/>
  <c r="D112" i="4"/>
  <c r="D130" i="4" s="1"/>
  <c r="D44" i="4"/>
  <c r="D56" i="4" s="1"/>
  <c r="H89" i="4"/>
  <c r="D94" i="4" s="1"/>
  <c r="H160" i="4"/>
  <c r="D168" i="4" s="1"/>
  <c r="H138" i="4"/>
  <c r="D143" i="4" s="1"/>
  <c r="H23" i="4"/>
  <c r="D27" i="4" s="1"/>
  <c r="H65" i="4"/>
  <c r="D71" i="4" s="1"/>
  <c r="H112" i="4"/>
  <c r="D119" i="4" s="1"/>
  <c r="H44" i="4"/>
  <c r="D49" i="4" s="1"/>
  <c r="D58" i="5"/>
  <c r="D93" i="5" s="1"/>
  <c r="D25" i="5"/>
  <c r="D41" i="5" s="1"/>
  <c r="H25" i="5"/>
  <c r="D30" i="5" s="1"/>
  <c r="H58" i="5"/>
  <c r="D63" i="5" s="1"/>
  <c r="D36" i="5"/>
  <c r="D97" i="3"/>
  <c r="H84" i="3"/>
  <c r="H61" i="3"/>
  <c r="H42" i="3"/>
  <c r="D49" i="3" s="1"/>
  <c r="H21" i="3"/>
  <c r="D26" i="3" s="1"/>
  <c r="D84" i="3"/>
  <c r="D100" i="3" s="1"/>
  <c r="D61" i="3"/>
  <c r="D77" i="3" s="1"/>
  <c r="D42" i="3"/>
  <c r="D55" i="3" s="1"/>
  <c r="D21" i="3"/>
  <c r="D35" i="3" s="1"/>
  <c r="D48" i="6"/>
  <c r="D49" i="6"/>
  <c r="D46" i="6"/>
  <c r="D47" i="6"/>
  <c r="D50" i="6"/>
  <c r="D38" i="6"/>
  <c r="D37" i="6"/>
  <c r="D35" i="6"/>
  <c r="D34" i="6"/>
  <c r="D36" i="6"/>
  <c r="D22" i="6"/>
  <c r="D26" i="6"/>
  <c r="D25" i="6"/>
  <c r="D24" i="6"/>
  <c r="D23" i="6"/>
  <c r="D75" i="3"/>
  <c r="D32" i="3"/>
  <c r="D33" i="3"/>
  <c r="I82" i="5"/>
  <c r="I32" i="3"/>
  <c r="I143" i="4"/>
  <c r="I47" i="6"/>
  <c r="I75" i="3"/>
  <c r="I94" i="4"/>
  <c r="I35" i="3"/>
  <c r="I78" i="11"/>
  <c r="J100" i="4"/>
  <c r="I93" i="5"/>
  <c r="J74" i="3"/>
  <c r="I173" i="4"/>
  <c r="J35" i="5"/>
  <c r="I56" i="4"/>
  <c r="I48" i="6"/>
  <c r="I27" i="4"/>
  <c r="I24" i="6"/>
  <c r="I33" i="3"/>
  <c r="I32" i="11"/>
  <c r="J32" i="4"/>
  <c r="I103" i="11"/>
  <c r="D174" i="3" a="1"/>
  <c r="I77" i="3"/>
  <c r="I46" i="6"/>
  <c r="I146" i="3"/>
  <c r="I84" i="5"/>
  <c r="D83" i="11"/>
  <c r="I80" i="5"/>
  <c r="I37" i="6"/>
  <c r="I48" i="11"/>
  <c r="I148" i="3"/>
  <c r="D82" i="11" a="1"/>
  <c r="I75" i="4"/>
  <c r="I81" i="5"/>
  <c r="D154" i="3"/>
  <c r="D153" i="3"/>
  <c r="I79" i="11"/>
  <c r="I49" i="4"/>
  <c r="J79" i="5"/>
  <c r="I99" i="4"/>
  <c r="I36" i="5"/>
  <c r="D105" i="11" a="1"/>
  <c r="J98" i="3"/>
  <c r="J170" i="4"/>
  <c r="I35" i="6"/>
  <c r="I35" i="4"/>
  <c r="J76" i="4"/>
  <c r="J30" i="11"/>
  <c r="I80" i="11"/>
  <c r="I119" i="4"/>
  <c r="I63" i="5"/>
  <c r="I151" i="4"/>
  <c r="I22" i="6"/>
  <c r="I34" i="6"/>
  <c r="J53" i="3"/>
  <c r="I168" i="4"/>
  <c r="I41" i="5"/>
  <c r="I55" i="3"/>
  <c r="I36" i="6"/>
  <c r="D50" i="11" a="1"/>
  <c r="I50" i="6"/>
  <c r="D119" i="3" a="1"/>
  <c r="I77" i="11"/>
  <c r="I102" i="11"/>
  <c r="J124" i="4"/>
  <c r="I80" i="4"/>
  <c r="I85" i="5"/>
  <c r="I38" i="6"/>
  <c r="I171" i="3"/>
  <c r="I147" i="3"/>
  <c r="I172" i="3"/>
  <c r="I25" i="6"/>
  <c r="I71" i="4"/>
  <c r="I78" i="5"/>
  <c r="I100" i="3"/>
  <c r="I86" i="5"/>
  <c r="J29" i="11"/>
  <c r="I149" i="3"/>
  <c r="I26" i="3"/>
  <c r="D85" i="11"/>
  <c r="I23" i="6"/>
  <c r="I49" i="6"/>
  <c r="I130" i="4"/>
  <c r="I123" i="4"/>
  <c r="J53" i="4"/>
  <c r="I49" i="3"/>
  <c r="J149" i="4"/>
  <c r="I97" i="3"/>
  <c r="D152" i="3"/>
  <c r="D84" i="11"/>
  <c r="D151" i="3" a="1"/>
  <c r="I26" i="6"/>
  <c r="I83" i="5"/>
  <c r="I30" i="5"/>
  <c r="I104" i="4"/>
  <c r="I117" i="3"/>
  <c r="D174" i="3" l="1"/>
  <c r="D105" i="11"/>
  <c r="D119" i="3"/>
  <c r="D151" i="3"/>
  <c r="D82" i="11"/>
  <c r="D50" i="11"/>
  <c r="D70" i="3"/>
  <c r="D71" i="3"/>
  <c r="D72" i="3"/>
  <c r="D93" i="3"/>
  <c r="D94" i="3"/>
  <c r="D95" i="3"/>
  <c r="D117" i="4"/>
  <c r="D116" i="4"/>
  <c r="D120" i="4"/>
  <c r="D118" i="4"/>
  <c r="D69" i="3"/>
  <c r="D121" i="4"/>
  <c r="D67" i="3"/>
  <c r="D51" i="3"/>
  <c r="D50" i="4"/>
  <c r="D51" i="4"/>
  <c r="D31" i="5"/>
  <c r="D32" i="5"/>
  <c r="D33" i="5"/>
  <c r="D75" i="5"/>
  <c r="D48" i="3"/>
  <c r="D48" i="4"/>
  <c r="D142" i="4"/>
  <c r="D144" i="4"/>
  <c r="D166" i="4"/>
  <c r="D145" i="4"/>
  <c r="D165" i="4"/>
  <c r="D146" i="4"/>
  <c r="D164" i="4"/>
  <c r="D28" i="4"/>
  <c r="D129" i="4"/>
  <c r="D29" i="4"/>
  <c r="D30" i="4"/>
  <c r="D64" i="5"/>
  <c r="D29" i="5"/>
  <c r="D69" i="4"/>
  <c r="D70" i="4"/>
  <c r="D76" i="5"/>
  <c r="D27" i="3"/>
  <c r="D25" i="3"/>
  <c r="D72" i="4"/>
  <c r="D66" i="5"/>
  <c r="D73" i="5"/>
  <c r="D70" i="5"/>
  <c r="D73" i="4"/>
  <c r="D69" i="5"/>
  <c r="D71" i="5"/>
  <c r="D29" i="3"/>
  <c r="D147" i="4"/>
  <c r="D65" i="5"/>
  <c r="D167" i="4"/>
  <c r="D68" i="5"/>
  <c r="D74" i="5"/>
  <c r="D72" i="5"/>
  <c r="D28" i="3"/>
  <c r="D62" i="5"/>
  <c r="D95" i="4"/>
  <c r="D96" i="4"/>
  <c r="D97" i="4"/>
  <c r="D93" i="4"/>
  <c r="D30" i="3"/>
  <c r="D46" i="3"/>
  <c r="D50" i="3"/>
  <c r="D47" i="3"/>
  <c r="D92" i="3"/>
  <c r="D88" i="3"/>
  <c r="D90" i="3"/>
  <c r="D91" i="3"/>
  <c r="D89" i="3"/>
  <c r="D78" i="3"/>
  <c r="D68" i="3"/>
  <c r="D65" i="3"/>
  <c r="D101" i="3"/>
  <c r="D66" i="3"/>
  <c r="H130" i="4"/>
  <c r="H129" i="4"/>
  <c r="F130" i="4"/>
  <c r="G30" i="4"/>
  <c r="G28" i="4"/>
  <c r="G27" i="4"/>
  <c r="I121" i="4"/>
  <c r="I145" i="4"/>
  <c r="I144" i="4"/>
  <c r="I27" i="3"/>
  <c r="I51" i="3"/>
  <c r="J130" i="4"/>
  <c r="I68" i="3"/>
  <c r="J23" i="6"/>
  <c r="J78" i="11"/>
  <c r="J25" i="6"/>
  <c r="I33" i="5"/>
  <c r="I78" i="3"/>
  <c r="I50" i="11"/>
  <c r="I68" i="5"/>
  <c r="I66" i="5"/>
  <c r="I32" i="5"/>
  <c r="I82" i="11"/>
  <c r="J119" i="4"/>
  <c r="I129" i="4"/>
  <c r="I29" i="4"/>
  <c r="I46" i="3"/>
  <c r="I69" i="4"/>
  <c r="I29" i="3"/>
  <c r="I48" i="3"/>
  <c r="I50" i="4"/>
  <c r="I67" i="3"/>
  <c r="I93" i="4"/>
  <c r="J36" i="6"/>
  <c r="J173" i="4"/>
  <c r="J80" i="11"/>
  <c r="J171" i="3"/>
  <c r="J102" i="11"/>
  <c r="J30" i="5"/>
  <c r="I71" i="3"/>
  <c r="J35" i="6"/>
  <c r="I72" i="3"/>
  <c r="J77" i="11"/>
  <c r="I117" i="4"/>
  <c r="I95" i="3"/>
  <c r="I70" i="4"/>
  <c r="J34" i="6"/>
  <c r="J35" i="3"/>
  <c r="J48" i="6"/>
  <c r="J99" i="4"/>
  <c r="I154" i="3"/>
  <c r="J38" i="6"/>
  <c r="I166" i="4"/>
  <c r="I88" i="3"/>
  <c r="J146" i="3"/>
  <c r="J84" i="5"/>
  <c r="J32" i="3"/>
  <c r="J97" i="3"/>
  <c r="J27" i="4"/>
  <c r="I47" i="3"/>
  <c r="I164" i="4"/>
  <c r="J104" i="4"/>
  <c r="J46" i="6"/>
  <c r="I152" i="3"/>
  <c r="J48" i="11"/>
  <c r="I76" i="5"/>
  <c r="J149" i="3"/>
  <c r="I151" i="3"/>
  <c r="I51" i="4"/>
  <c r="J26" i="6"/>
  <c r="J47" i="6"/>
  <c r="I167" i="4"/>
  <c r="I153" i="3"/>
  <c r="I72" i="4"/>
  <c r="I28" i="4"/>
  <c r="J33" i="3"/>
  <c r="J151" i="4"/>
  <c r="J81" i="5"/>
  <c r="I64" i="5"/>
  <c r="J49" i="6"/>
  <c r="J37" i="6"/>
  <c r="I72" i="5"/>
  <c r="J49" i="3"/>
  <c r="I96" i="4"/>
  <c r="J123" i="4"/>
  <c r="I73" i="4"/>
  <c r="J94" i="4"/>
  <c r="I30" i="4"/>
  <c r="I65" i="3"/>
  <c r="J75" i="4"/>
  <c r="I174" i="3"/>
  <c r="I83" i="11"/>
  <c r="J71" i="4"/>
  <c r="J63" i="5"/>
  <c r="J85" i="5"/>
  <c r="J80" i="4"/>
  <c r="I66" i="3"/>
  <c r="J100" i="3"/>
  <c r="I50" i="3"/>
  <c r="J86" i="5"/>
  <c r="I69" i="5"/>
  <c r="I93" i="3"/>
  <c r="J147" i="3"/>
  <c r="I147" i="4"/>
  <c r="I105" i="11"/>
  <c r="I116" i="4"/>
  <c r="J75" i="3"/>
  <c r="J103" i="11"/>
  <c r="J49" i="4"/>
  <c r="I70" i="3"/>
  <c r="I101" i="3"/>
  <c r="J79" i="11"/>
  <c r="I73" i="5"/>
  <c r="J41" i="5"/>
  <c r="I29" i="5"/>
  <c r="J77" i="3"/>
  <c r="I94" i="3"/>
  <c r="J55" i="3"/>
  <c r="J50" i="6"/>
  <c r="I142" i="4"/>
  <c r="I120" i="4"/>
  <c r="J24" i="6"/>
  <c r="I70" i="5"/>
  <c r="I62" i="5"/>
  <c r="I84" i="11"/>
  <c r="J172" i="3"/>
  <c r="I48" i="4"/>
  <c r="I92" i="3"/>
  <c r="J168" i="4"/>
  <c r="I75" i="5"/>
  <c r="J93" i="5"/>
  <c r="I119" i="3"/>
  <c r="J148" i="3"/>
  <c r="I25" i="3"/>
  <c r="J56" i="4"/>
  <c r="I91" i="3"/>
  <c r="J143" i="4"/>
  <c r="J32" i="11"/>
  <c r="I95" i="4"/>
  <c r="I89" i="3"/>
  <c r="J26" i="3"/>
  <c r="J80" i="5"/>
  <c r="I165" i="4"/>
  <c r="J22" i="6"/>
  <c r="I97" i="4"/>
  <c r="I71" i="5"/>
  <c r="I28" i="3"/>
  <c r="I118" i="4"/>
  <c r="I90" i="3"/>
  <c r="J117" i="3"/>
  <c r="J82" i="5"/>
  <c r="I74" i="5"/>
  <c r="I85" i="11"/>
  <c r="I69" i="3"/>
  <c r="J83" i="5"/>
  <c r="I65" i="5"/>
  <c r="J78" i="5"/>
  <c r="J36" i="5"/>
  <c r="J35" i="4"/>
  <c r="I31" i="5"/>
  <c r="I30" i="3"/>
  <c r="I146" i="4"/>
  <c r="H91" i="5" l="1"/>
  <c r="F91" i="5" s="1"/>
  <c r="H90" i="5"/>
  <c r="F90" i="5" s="1"/>
  <c r="H86" i="5"/>
  <c r="F86" i="5" s="1"/>
  <c r="H85" i="5"/>
  <c r="H82" i="5"/>
  <c r="H81" i="5"/>
  <c r="G81" i="5" s="1"/>
  <c r="L82" i="5"/>
  <c r="L83" i="5"/>
  <c r="H80" i="5"/>
  <c r="L79" i="5" s="1"/>
  <c r="H79" i="5"/>
  <c r="L78" i="5" s="1"/>
  <c r="H78" i="5"/>
  <c r="F78" i="5" s="1"/>
  <c r="F36" i="5"/>
  <c r="F35" i="5"/>
  <c r="H76" i="5"/>
  <c r="G76" i="5" s="1"/>
  <c r="H75" i="5"/>
  <c r="G75" i="5" s="1"/>
  <c r="H74" i="5"/>
  <c r="F74" i="5" s="1"/>
  <c r="H73" i="5"/>
  <c r="G73" i="5" s="1"/>
  <c r="H72" i="5"/>
  <c r="G72" i="5" s="1"/>
  <c r="H71" i="5"/>
  <c r="G71" i="5" s="1"/>
  <c r="H70" i="5"/>
  <c r="F70" i="5" s="1"/>
  <c r="H69" i="5"/>
  <c r="F69" i="5" s="1"/>
  <c r="H68" i="5"/>
  <c r="I56" i="5"/>
  <c r="I57" i="5" s="1"/>
  <c r="J56" i="5" s="1"/>
  <c r="H93" i="5"/>
  <c r="G93" i="5"/>
  <c r="F93" i="5"/>
  <c r="H89" i="5"/>
  <c r="G89" i="5" s="1"/>
  <c r="H66" i="5"/>
  <c r="G66" i="5"/>
  <c r="F66" i="5"/>
  <c r="H65" i="5"/>
  <c r="G65" i="5"/>
  <c r="F65" i="5"/>
  <c r="H64" i="5"/>
  <c r="G64" i="5"/>
  <c r="F64" i="5"/>
  <c r="H63" i="5"/>
  <c r="G63" i="5"/>
  <c r="F63" i="5"/>
  <c r="C63" i="5"/>
  <c r="C64" i="5" s="1"/>
  <c r="H62" i="5"/>
  <c r="G62" i="5"/>
  <c r="F62" i="5"/>
  <c r="C56" i="5"/>
  <c r="D55" i="5"/>
  <c r="C55" i="5"/>
  <c r="H39" i="5"/>
  <c r="I23" i="5"/>
  <c r="I24" i="5" s="1"/>
  <c r="J23" i="5" s="1"/>
  <c r="F39" i="5"/>
  <c r="H36" i="5"/>
  <c r="H31" i="5"/>
  <c r="G31" i="5"/>
  <c r="G30" i="5"/>
  <c r="F31" i="5"/>
  <c r="H38" i="5"/>
  <c r="F38" i="5"/>
  <c r="F33" i="4"/>
  <c r="H33" i="4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H41" i="5"/>
  <c r="G41" i="5"/>
  <c r="F41" i="5"/>
  <c r="H35" i="5"/>
  <c r="H33" i="5"/>
  <c r="G33" i="5"/>
  <c r="F33" i="5"/>
  <c r="H32" i="5"/>
  <c r="G32" i="5"/>
  <c r="F32" i="5"/>
  <c r="H30" i="5"/>
  <c r="F30" i="5"/>
  <c r="C30" i="5"/>
  <c r="C31" i="5" s="1"/>
  <c r="C32" i="5" s="1"/>
  <c r="H29" i="5"/>
  <c r="G29" i="5"/>
  <c r="F29" i="5"/>
  <c r="C23" i="5"/>
  <c r="C24" i="5" s="1"/>
  <c r="D22" i="5"/>
  <c r="C22" i="5"/>
  <c r="I140" i="5"/>
  <c r="D130" i="5"/>
  <c r="D133" i="5" s="1"/>
  <c r="F149" i="4"/>
  <c r="F136" i="4"/>
  <c r="F137" i="4" s="1"/>
  <c r="F124" i="4"/>
  <c r="F123" i="4"/>
  <c r="F110" i="4"/>
  <c r="F111" i="4" s="1"/>
  <c r="H149" i="4"/>
  <c r="H147" i="4"/>
  <c r="G147" i="4"/>
  <c r="F147" i="4"/>
  <c r="H146" i="4"/>
  <c r="F146" i="4"/>
  <c r="H145" i="4"/>
  <c r="G145" i="4"/>
  <c r="F145" i="4"/>
  <c r="H144" i="4"/>
  <c r="G144" i="4"/>
  <c r="F144" i="4"/>
  <c r="H143" i="4"/>
  <c r="G143" i="4"/>
  <c r="F143" i="4"/>
  <c r="C143" i="4"/>
  <c r="C144" i="4" s="1"/>
  <c r="C145" i="4" s="1"/>
  <c r="C146" i="4" s="1"/>
  <c r="C147" i="4" s="1"/>
  <c r="H142" i="4"/>
  <c r="G142" i="4"/>
  <c r="F142" i="4"/>
  <c r="H151" i="4"/>
  <c r="F151" i="4"/>
  <c r="F129" i="4"/>
  <c r="H80" i="4"/>
  <c r="G80" i="4"/>
  <c r="F80" i="4"/>
  <c r="H56" i="4"/>
  <c r="G56" i="4"/>
  <c r="F56" i="4"/>
  <c r="H35" i="4"/>
  <c r="G35" i="4"/>
  <c r="F35" i="4"/>
  <c r="H124" i="4"/>
  <c r="H123" i="4"/>
  <c r="H121" i="4"/>
  <c r="H120" i="4"/>
  <c r="H119" i="4"/>
  <c r="H118" i="4"/>
  <c r="H117" i="4"/>
  <c r="H116" i="4"/>
  <c r="G124" i="4"/>
  <c r="G123" i="4"/>
  <c r="J118" i="4"/>
  <c r="J121" i="4"/>
  <c r="J166" i="4"/>
  <c r="J68" i="3"/>
  <c r="J28" i="3"/>
  <c r="J91" i="3"/>
  <c r="J97" i="4"/>
  <c r="J82" i="11"/>
  <c r="J62" i="5"/>
  <c r="J68" i="5"/>
  <c r="J50" i="3"/>
  <c r="J129" i="4"/>
  <c r="J92" i="3"/>
  <c r="J65" i="3"/>
  <c r="J73" i="5"/>
  <c r="J32" i="5"/>
  <c r="J69" i="4"/>
  <c r="J78" i="3"/>
  <c r="J48" i="4"/>
  <c r="J31" i="5"/>
  <c r="J116" i="4"/>
  <c r="J64" i="5"/>
  <c r="J88" i="3"/>
  <c r="J90" i="3"/>
  <c r="J165" i="4"/>
  <c r="J47" i="3"/>
  <c r="J147" i="4"/>
  <c r="J74" i="5"/>
  <c r="J29" i="4"/>
  <c r="J73" i="4"/>
  <c r="J89" i="3"/>
  <c r="J46" i="3"/>
  <c r="J30" i="3"/>
  <c r="J50" i="11"/>
  <c r="J67" i="3"/>
  <c r="J76" i="5"/>
  <c r="J70" i="3"/>
  <c r="J65" i="5"/>
  <c r="J93" i="3"/>
  <c r="J101" i="3"/>
  <c r="J167" i="4"/>
  <c r="J30" i="4"/>
  <c r="J66" i="5"/>
  <c r="J70" i="5"/>
  <c r="J105" i="11"/>
  <c r="J83" i="11"/>
  <c r="J95" i="3"/>
  <c r="J28" i="4"/>
  <c r="J146" i="4"/>
  <c r="J96" i="4"/>
  <c r="J72" i="3"/>
  <c r="J117" i="4"/>
  <c r="J50" i="4"/>
  <c r="J145" i="4"/>
  <c r="J69" i="5"/>
  <c r="J93" i="4"/>
  <c r="J94" i="3"/>
  <c r="J66" i="3"/>
  <c r="J25" i="3"/>
  <c r="J33" i="5"/>
  <c r="J75" i="5"/>
  <c r="J85" i="11"/>
  <c r="J142" i="4"/>
  <c r="J144" i="4"/>
  <c r="J174" i="3"/>
  <c r="J154" i="3"/>
  <c r="J84" i="11"/>
  <c r="J71" i="3"/>
  <c r="J119" i="3"/>
  <c r="J95" i="4"/>
  <c r="J51" i="3"/>
  <c r="J71" i="5"/>
  <c r="J69" i="3"/>
  <c r="J151" i="3"/>
  <c r="J51" i="4"/>
  <c r="J29" i="3"/>
  <c r="J29" i="5"/>
  <c r="J164" i="4"/>
  <c r="J153" i="3"/>
  <c r="J72" i="5"/>
  <c r="J152" i="3"/>
  <c r="J70" i="4"/>
  <c r="J72" i="4"/>
  <c r="J48" i="3"/>
  <c r="J27" i="3"/>
  <c r="J120" i="4"/>
  <c r="G85" i="5" l="1"/>
  <c r="F85" i="5"/>
  <c r="L81" i="5"/>
  <c r="G82" i="5"/>
  <c r="F71" i="5"/>
  <c r="D150" i="5"/>
  <c r="D155" i="5" s="1"/>
  <c r="F79" i="5"/>
  <c r="G86" i="5"/>
  <c r="G79" i="5"/>
  <c r="G90" i="5"/>
  <c r="C152" i="5"/>
  <c r="C153" i="5" s="1"/>
  <c r="G80" i="5"/>
  <c r="F80" i="5"/>
  <c r="D157" i="5"/>
  <c r="D158" i="5" s="1"/>
  <c r="G91" i="5"/>
  <c r="G38" i="5"/>
  <c r="I130" i="5"/>
  <c r="G39" i="5"/>
  <c r="F72" i="5"/>
  <c r="I157" i="5"/>
  <c r="F73" i="5"/>
  <c r="G36" i="5"/>
  <c r="C133" i="5"/>
  <c r="F89" i="5"/>
  <c r="F81" i="5"/>
  <c r="F82" i="5"/>
  <c r="F75" i="5"/>
  <c r="G74" i="5"/>
  <c r="G70" i="5"/>
  <c r="G69" i="5"/>
  <c r="G78" i="5"/>
  <c r="L77" i="5"/>
  <c r="F76" i="5"/>
  <c r="G68" i="5"/>
  <c r="F68" i="5"/>
  <c r="C57" i="5"/>
  <c r="C65" i="5"/>
  <c r="C66" i="5" s="1"/>
  <c r="G35" i="5"/>
  <c r="C33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F117" i="4"/>
  <c r="G117" i="4"/>
  <c r="F119" i="4"/>
  <c r="G119" i="4"/>
  <c r="F73" i="4"/>
  <c r="H76" i="4"/>
  <c r="H75" i="4"/>
  <c r="H73" i="4"/>
  <c r="H72" i="4"/>
  <c r="H71" i="4"/>
  <c r="H69" i="4"/>
  <c r="H70" i="4"/>
  <c r="F70" i="4"/>
  <c r="C70" i="4"/>
  <c r="E62" i="4"/>
  <c r="C64" i="4"/>
  <c r="F62" i="4"/>
  <c r="F63" i="4" s="1"/>
  <c r="D62" i="4"/>
  <c r="C62" i="4"/>
  <c r="H54" i="4"/>
  <c r="H53" i="4"/>
  <c r="H51" i="4"/>
  <c r="H50" i="4"/>
  <c r="H49" i="4"/>
  <c r="H48" i="4"/>
  <c r="H32" i="4"/>
  <c r="H30" i="4"/>
  <c r="H29" i="4"/>
  <c r="H28" i="4"/>
  <c r="H27" i="4"/>
  <c r="D117" i="5" l="1"/>
  <c r="C68" i="5"/>
  <c r="C69" i="5" s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35" i="5"/>
  <c r="C113" i="5"/>
  <c r="D138" i="5"/>
  <c r="D111" i="5"/>
  <c r="D113" i="5"/>
  <c r="D114" i="5"/>
  <c r="J122" i="5"/>
  <c r="I132" i="5"/>
  <c r="I133" i="5"/>
  <c r="I131" i="5"/>
  <c r="I135" i="5"/>
  <c r="I134" i="5"/>
  <c r="C71" i="4"/>
  <c r="H63" i="4"/>
  <c r="D118" i="5" l="1"/>
  <c r="I152" i="5"/>
  <c r="I154" i="5"/>
  <c r="I153" i="5"/>
  <c r="I155" i="5"/>
  <c r="C36" i="5"/>
  <c r="I138" i="5"/>
  <c r="I113" i="5"/>
  <c r="I112" i="5"/>
  <c r="I111" i="5"/>
  <c r="I114" i="5"/>
  <c r="C70" i="5"/>
  <c r="C114" i="5"/>
  <c r="C157" i="5"/>
  <c r="C137" i="5"/>
  <c r="J142" i="5"/>
  <c r="C72" i="4"/>
  <c r="H55" i="3"/>
  <c r="H53" i="3"/>
  <c r="H51" i="3"/>
  <c r="H50" i="3"/>
  <c r="H49" i="3"/>
  <c r="H48" i="3"/>
  <c r="H47" i="3"/>
  <c r="H46" i="3"/>
  <c r="H35" i="3"/>
  <c r="H28" i="3"/>
  <c r="H27" i="3"/>
  <c r="H26" i="3"/>
  <c r="H33" i="3"/>
  <c r="H32" i="3"/>
  <c r="H30" i="3"/>
  <c r="H29" i="3"/>
  <c r="H25" i="3"/>
  <c r="C38" i="5" l="1"/>
  <c r="C39" i="5" s="1"/>
  <c r="C41" i="5" s="1"/>
  <c r="C71" i="5"/>
  <c r="C116" i="5"/>
  <c r="C158" i="5"/>
  <c r="C160" i="5" s="1"/>
  <c r="C138" i="5"/>
  <c r="F35" i="3"/>
  <c r="F55" i="3"/>
  <c r="C72" i="5" l="1"/>
  <c r="C117" i="5"/>
  <c r="C140" i="5"/>
  <c r="C73" i="5" l="1"/>
  <c r="C118" i="5"/>
  <c r="C120" i="5" s="1"/>
  <c r="F20" i="4"/>
  <c r="F21" i="4" s="1"/>
  <c r="F41" i="4"/>
  <c r="F42" i="4" s="1"/>
  <c r="C42" i="4"/>
  <c r="D41" i="4"/>
  <c r="C41" i="4"/>
  <c r="C20" i="4"/>
  <c r="F32" i="4" s="1"/>
  <c r="D20" i="4"/>
  <c r="C21" i="4"/>
  <c r="G33" i="4" s="1"/>
  <c r="F51" i="4"/>
  <c r="F49" i="4"/>
  <c r="C49" i="4"/>
  <c r="G29" i="4"/>
  <c r="F29" i="4"/>
  <c r="F28" i="4"/>
  <c r="G149" i="4"/>
  <c r="G121" i="4"/>
  <c r="F121" i="4"/>
  <c r="F120" i="4"/>
  <c r="G118" i="4"/>
  <c r="F118" i="4"/>
  <c r="C117" i="4"/>
  <c r="G116" i="4"/>
  <c r="F116" i="4"/>
  <c r="F76" i="4"/>
  <c r="F75" i="4"/>
  <c r="F72" i="4"/>
  <c r="G71" i="4"/>
  <c r="F71" i="4"/>
  <c r="F69" i="4"/>
  <c r="G53" i="4"/>
  <c r="G50" i="4"/>
  <c r="F50" i="4"/>
  <c r="F48" i="4"/>
  <c r="F30" i="4"/>
  <c r="C28" i="4"/>
  <c r="F27" i="4"/>
  <c r="C74" i="5" l="1"/>
  <c r="H20" i="4"/>
  <c r="H21" i="4" s="1"/>
  <c r="C50" i="4"/>
  <c r="C43" i="4"/>
  <c r="F54" i="4"/>
  <c r="F53" i="4"/>
  <c r="C22" i="4"/>
  <c r="I41" i="4"/>
  <c r="I42" i="4" s="1"/>
  <c r="G32" i="4"/>
  <c r="C29" i="4"/>
  <c r="C30" i="4" s="1"/>
  <c r="C118" i="4"/>
  <c r="F53" i="3"/>
  <c r="G53" i="3"/>
  <c r="F51" i="3"/>
  <c r="G51" i="3"/>
  <c r="F49" i="3"/>
  <c r="F48" i="3"/>
  <c r="F47" i="3"/>
  <c r="G47" i="3"/>
  <c r="C47" i="3"/>
  <c r="F46" i="3"/>
  <c r="G46" i="3"/>
  <c r="F33" i="3"/>
  <c r="G33" i="3"/>
  <c r="F32" i="3"/>
  <c r="G32" i="3"/>
  <c r="F30" i="3"/>
  <c r="G30" i="3"/>
  <c r="F29" i="3"/>
  <c r="F28" i="3"/>
  <c r="F27" i="3"/>
  <c r="F26" i="3"/>
  <c r="G26" i="3"/>
  <c r="C26" i="3"/>
  <c r="F25" i="3"/>
  <c r="G25" i="3"/>
  <c r="C75" i="5" l="1"/>
  <c r="C51" i="4"/>
  <c r="C119" i="4"/>
  <c r="C32" i="4"/>
  <c r="C33" i="4" s="1"/>
  <c r="C48" i="3"/>
  <c r="C27" i="3"/>
  <c r="C35" i="4" l="1"/>
  <c r="C76" i="5"/>
  <c r="C120" i="4"/>
  <c r="C53" i="4"/>
  <c r="C73" i="4"/>
  <c r="C49" i="3"/>
  <c r="C28" i="3"/>
  <c r="C78" i="5" l="1"/>
  <c r="C75" i="4"/>
  <c r="C121" i="4"/>
  <c r="C149" i="4"/>
  <c r="C151" i="4" s="1"/>
  <c r="C29" i="3"/>
  <c r="C50" i="3"/>
  <c r="C79" i="5" l="1"/>
  <c r="C123" i="4"/>
  <c r="C76" i="4"/>
  <c r="C78" i="4" s="1"/>
  <c r="C80" i="4" s="1"/>
  <c r="C51" i="3"/>
  <c r="C30" i="3"/>
  <c r="C80" i="5" l="1"/>
  <c r="C124" i="4"/>
  <c r="C126" i="4" s="1"/>
  <c r="C127" i="4" s="1"/>
  <c r="C129" i="4" s="1"/>
  <c r="C53" i="3"/>
  <c r="C55" i="3" s="1"/>
  <c r="C32" i="3"/>
  <c r="C130" i="4" l="1"/>
  <c r="C81" i="5"/>
  <c r="C54" i="4"/>
  <c r="C33" i="3"/>
  <c r="C35" i="3" s="1"/>
  <c r="C82" i="5" l="1"/>
  <c r="C56" i="4"/>
  <c r="C83" i="5" l="1"/>
  <c r="C84" i="5" l="1"/>
  <c r="C85" i="5" l="1"/>
  <c r="C86" i="5" l="1"/>
  <c r="C89" i="5"/>
  <c r="C90" i="5" s="1"/>
  <c r="C93" i="5" l="1"/>
  <c r="C91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<sst xmlns="http://schemas.openxmlformats.org/spreadsheetml/2006/main" count="897" uniqueCount="178">
  <si>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</si>
  <si>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</si>
  <si>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</si>
  <si>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</si>
  <si>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</si>
  <si>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</si>
  <si>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</si>
  <si>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</si>
  <si>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</si>
  <si>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</si>
  <si>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</si>
  <si>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</si>
  <si>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</si>
  <si>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</si>
  <si>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</si>
  <si>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</si>
  <si>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</si>
  <si>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</si>
  <si>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</si>
  <si>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</si>
  <si>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</si>
  <si>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</si>
  <si>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</si>
  <si>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</si>
  <si>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</si>
  <si>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</si>
  <si>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</si>
  <si>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</si>
  <si>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</si>
  <si>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</si>
  <si>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</si>
  <si>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</si>
  <si>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</si>
  <si>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</si>
  <si>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</si>
  <si>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</si>
  <si>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</si>
  <si>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</si>
  <si>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</si>
  <si>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</si>
  <si>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</si>
  <si>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</si>
  <si>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</si>
  <si>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</si>
  <si>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</si>
  <si>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</si>
  <si>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</si>
  <si>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</si>
  <si>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</si>
  <si>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</si>
  <si>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</si>
  <si>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</si>
  <si>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</si>
  <si>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</si>
  <si>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</si>
  <si>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</si>
  <si>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</si>
  <si>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</si>
  <si>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</si>
  <si>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</si>
  <si>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</si>
  <si>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</si>
  <si>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</si>
  <si>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</si>
  <si>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</si>
  <si>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</si>
  <si>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</si>
  <si>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</si>
  <si>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</si>
  <si>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</si>
  <si>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</si>
  <si>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</si>
  <si>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</si>
  <si>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</si>
  <si>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</si>
  <si>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</si>
  <si>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</si>
  <si>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</si>
  <si>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</si>
  <si>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</si>
  <si>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</si>
  <si>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</si>
  <si>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</si>
  <si>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</si>
  <si>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</si>
  <si>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</si>
  <si>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</si>
  <si>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</si>
  <si>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</si>
  <si>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</si>
  <si>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</si>
  <si>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</si>
  <si>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</si>
  <si>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</si>
  <si>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</si>
  <si>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</si>
  <si>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</si>
  <si>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</si>
  <si>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</si>
  <si>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</si>
  <si>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</si>
  <si>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</si>
  <si>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</si>
  <si>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</si>
  <si>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</si>
  <si>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</si>
  <si>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</si>
  <si>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</si>
  <si>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</si>
  <si>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</si>
  <si>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</si>
  <si>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</si>
  <si>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تجليدة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</si>
  <si>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</si>
  <si>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</si>
  <si>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</si>
  <si>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</si>
  <si>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</si>
  <si>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</si>
  <si>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</si>
  <si>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</si>
  <si>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</si>
  <si>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قعر درج  A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</si>
  <si>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</si>
  <si>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</si>
  <si>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</si>
  <si>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</si>
  <si>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</si>
  <si>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</si>
  <si>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</si>
  <si>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</si>
  <si>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</si>
  <si>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</si>
  <si>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</si>
  <si>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</si>
  <si>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</si>
  <si>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</si>
  <si>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</si>
  <si>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</si>
  <si>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</si>
  <si>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</si>
  <si>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</si>
  <si>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</si>
  <si>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</si>
  <si>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</si>
  <si>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</si>
  <si>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</si>
  <si>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</si>
  <si>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</si>
  <si>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</si>
  <si>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</si>
  <si>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</si>
  <si>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</si>
  <si>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</si>
  <si>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وحدة سفلية دلفة/ دلفتين</t>
  </si>
  <si>
    <t>إظهار</t>
  </si>
  <si>
    <t>درج داخلي A</t>
  </si>
  <si>
    <t>أربع ادراج متساوية / مختلفة (1,0)</t>
  </si>
  <si>
    <t>وحدة سفلية تلبيسة دلفة/ دلفتين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</si>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</sst>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21" fillId="9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/>
    </xf>
    <xf numFmtId="0" fontId="19" fillId="4" borderId="0" xfId="0" applyFont="1" applyFill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5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9</xdr:row>
          <xdr:rowOff>152400</xdr:rowOff>
        </xdr:from>
        <xdr:to>
          <xdr:col>7</xdr:col>
          <xdr:colOff>502920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9</xdr:row>
          <xdr:rowOff>167640</xdr:rowOff>
        </xdr:from>
        <xdr:to>
          <xdr:col>10</xdr:col>
          <xdr:colOff>548640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396240</xdr:colOff>
          <xdr:row>9</xdr:row>
          <xdr:rowOff>167640</xdr:rowOff>
        </xdr:from>
        <xdr:to>
          <xdr:col>10</xdr:col>
          <xdr:colOff>53340</xdr:colOff>
          <xdr:row>11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9</xdr:row>
          <xdr:rowOff>167640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9</xdr:row>
          <xdr:rowOff>167640</xdr:rowOff>
        </xdr:from>
        <xdr:to>
          <xdr:col>6</xdr:col>
          <xdr:colOff>708660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9</xdr:row>
          <xdr:rowOff>144780</xdr:rowOff>
        </xdr:from>
        <xdr:to>
          <xdr:col>13</xdr:col>
          <xdr:colOff>342900</xdr:colOff>
          <xdr:row>11</xdr:row>
          <xdr:rowOff>137160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99060</xdr:colOff>
          <xdr:row>10</xdr:row>
          <xdr:rowOff>0</xdr:rowOff>
        </xdr:from>
        <xdr:to>
          <xdr:col>10</xdr:col>
          <xdr:colOff>579120</xdr:colOff>
          <xdr:row>11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2156460</xdr:colOff>
          <xdr:row>10</xdr:row>
          <xdr:rowOff>22860</xdr:rowOff>
        </xdr:from>
        <xdr:to>
          <xdr:col>4</xdr:col>
          <xdr:colOff>685800</xdr:colOff>
          <xdr:row>11</xdr:row>
          <xdr:rowOff>213360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213360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10</xdr:row>
          <xdr:rowOff>22860</xdr:rowOff>
        </xdr:from>
        <xdr:to>
          <xdr:col>14</xdr:col>
          <xdr:colOff>365760</xdr:colOff>
          <xdr:row>11</xdr:row>
          <xdr:rowOff>213360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10</xdr:row>
          <xdr:rowOff>76200</xdr:rowOff>
        </xdr:from>
        <xdr:to>
          <xdr:col>11</xdr:col>
          <xdr:colOff>45720</xdr:colOff>
          <xdr:row>11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76200</xdr:rowOff>
        </xdr:from>
        <xdr:to>
          <xdr:col>4</xdr:col>
          <xdr:colOff>754380</xdr:colOff>
          <xdr:row>11</xdr:row>
          <xdr:rowOff>198120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891540</xdr:colOff>
          <xdr:row>10</xdr:row>
          <xdr:rowOff>76200</xdr:rowOff>
        </xdr:from>
        <xdr:to>
          <xdr:col>7</xdr:col>
          <xdr:colOff>601980</xdr:colOff>
          <xdr:row>11</xdr:row>
          <xdr:rowOff>198120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251460</xdr:colOff>
          <xdr:row>10</xdr:row>
          <xdr:rowOff>76200</xdr:rowOff>
        </xdr:from>
        <xdr:to>
          <xdr:col>14</xdr:col>
          <xdr:colOff>289560</xdr:colOff>
          <xdr:row>11</xdr:row>
          <xdr:rowOff>190500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10</xdr:row>
          <xdr:rowOff>7620</xdr:rowOff>
        </xdr:from>
        <xdr:to>
          <xdr:col>10</xdr:col>
          <xdr:colOff>434340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91440</xdr:colOff>
          <xdr:row>9</xdr:row>
          <xdr:rowOff>213360</xdr:rowOff>
        </xdr:from>
        <xdr:to>
          <xdr:col>14</xdr:col>
          <xdr:colOff>259080</xdr:colOff>
          <xdr:row>11</xdr:row>
          <xdr:rowOff>129540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29:D41" headerRowCount="0" totalsRowShown="0" headerRowDxfId="154" dataDxfId="152" headerRowBorderDxfId="153" tableBorderDxfId="151" totalsRowBorderDxfId="150">
  <tableColumns count="2">
    <tableColumn id="1" xr3:uid="{00000000-0010-0000-0200-000001000000}" name="Column1" headerRowDxfId="149" dataDxfId="148"/>
    <tableColumn id="2" xr3:uid="{00000000-0010-0000-0200-000002000000}" name="Column2" headerRowDxfId="147" dataDxfId="14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29:G41" headerRowCount="0" totalsRowShown="0" headerRowDxfId="145" dataDxfId="143" headerRowBorderDxfId="144" tableBorderDxfId="142" totalsRowBorderDxfId="141">
  <tableColumns count="2">
    <tableColumn id="1" xr3:uid="{CD0B7C1C-6074-4B03-92D4-BC81F2EBB19C}" name="Column1" headerRowDxfId="140" dataDxfId="139">
      <calculatedColumnFormula array="1">defaultValue(G29,1)</calculatedColumnFormula>
    </tableColumn>
    <tableColumn id="2" xr3:uid="{EB8B2C46-B6A3-497A-AC36-E0E0DE2EA54A}" name="Column2" headerRowDxfId="138" dataDxfId="13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L29:M41" headerRowCount="0" totalsRowShown="0" headerRowDxfId="136" dataDxfId="134" headerRowBorderDxfId="135" tableBorderDxfId="133" totalsRowBorderDxfId="132">
  <tableColumns count="2">
    <tableColumn id="1" xr3:uid="{250C44D2-47B1-42C2-8D2B-CAA1432FDA56}" name="Column1" headerRowDxfId="131" dataDxfId="130">
      <calculatedColumnFormula array="1">defaultValue(M29,$C$28)</calculatedColumnFormula>
    </tableColumn>
    <tableColumn id="2" xr3:uid="{E5D458B6-4695-4151-8C3A-36078280174C}" name="Column2" headerRowDxfId="129" dataDxfId="12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I29:J41" headerRowCount="0" totalsRowShown="0" headerRowDxfId="127" dataDxfId="125" headerRowBorderDxfId="126" tableBorderDxfId="124" totalsRowBorderDxfId="123">
  <tableColumns count="2">
    <tableColumn id="1" xr3:uid="{CDCD5A84-7D20-4E65-9944-DF64AFBDCF15}" name="Column1" headerRowDxfId="122" dataDxfId="121">
      <calculatedColumnFormula>INDEX(global[[#All],[Column1]],MATCH(J29,global[[#All],[Column2]],0))</calculatedColumnFormula>
    </tableColumn>
    <tableColumn id="2" xr3:uid="{6A1D9F36-66CC-4BFA-B363-3C22327FB984}" name="Column2" headerRowDxfId="120" dataDxfId="11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O29:P41" headerRowCount="0" totalsRowShown="0" headerRowDxfId="118" dataDxfId="116" headerRowBorderDxfId="117" tableBorderDxfId="115" totalsRowBorderDxfId="114">
  <tableColumns count="2">
    <tableColumn id="1" xr3:uid="{3DB08154-ACD6-41BF-8D18-EE97F412E9D9}" name="Column1" headerRowDxfId="113" dataDxfId="112">
      <calculatedColumnFormula array="1">defaultValue(P29,$C$28)</calculatedColumnFormula>
    </tableColumn>
    <tableColumn id="2" xr3:uid="{E148ED46-BA14-4105-9B99-1191A0BF50F8}" name="Column2" headerRowDxfId="111" dataDxfId="11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26996F-1E46-43C3-BB2A-0EDEAA929D1B}" name="woodMaterials" displayName="woodMaterials" ref="C16:N17" headerRowCount="0" totalsRowShown="0" headerRowDxfId="109" dataDxfId="107" headerRowBorderDxfId="108" tableBorderDxfId="106" totalsRowBorderDxfId="105">
  <tableColumns count="12">
    <tableColumn id="1" xr3:uid="{CE2C31BA-3509-47B9-BEDC-D6CD8F1ED9E6}" name="Column1" headerRowDxfId="104" dataDxfId="103"/>
    <tableColumn id="6" xr3:uid="{E1784E39-EDAC-4DAB-9B14-E397D730A51B}" name="Column6" headerRowDxfId="102" dataDxfId="101"/>
    <tableColumn id="2" xr3:uid="{116E8920-189E-4510-B8D2-2248ABC4622F}" name="Column2" headerRowDxfId="100" dataDxfId="99"/>
    <tableColumn id="3" xr3:uid="{1094FCDB-CFA9-4F01-94DB-17ACAB9F5A42}" name="Column3" headerRowDxfId="98" dataDxfId="97"/>
    <tableColumn id="4" xr3:uid="{A8E09EA9-1A49-489E-B2AD-7D53572D176F}" name="Column4" headerRowDxfId="96" dataDxfId="95"/>
    <tableColumn id="5" xr3:uid="{DE04D9ED-421A-4D96-B9EA-ECC81533BCB2}" name="Column5" headerRowDxfId="94" dataDxfId="93"/>
    <tableColumn id="7" xr3:uid="{FADB0994-C461-4954-9FD5-E16D46BE3A5F}" name="Column7" headerRowDxfId="92" dataDxfId="91"/>
    <tableColumn id="8" xr3:uid="{E738693D-6EF6-49AE-99D0-6F48F90B87D0}" name="Column8" headerRowDxfId="90" dataDxfId="89"/>
    <tableColumn id="9" xr3:uid="{B3707C24-AE47-495B-BD3C-8B594D592AEB}" name="Column9" headerRowDxfId="88" dataDxfId="87"/>
    <tableColumn id="10" xr3:uid="{DDFBB51B-A3C0-4A82-8656-FD1DC7CCB2AA}" name="Column10" headerRowDxfId="86" dataDxfId="85"/>
    <tableColumn id="11" xr3:uid="{C5D6EE06-82A1-460C-B4DE-5903CA74C822}" name="Column11" headerRowDxfId="84" dataDxfId="83"/>
    <tableColumn id="12" xr3:uid="{BE5A8FE7-70A2-4509-82CE-4DF5DF20BF01}" name="Column12" headerRowDxfId="82" dataDxfId="81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B1239-128E-452F-B35C-1142AA5E6B9C}" name="blankMaterials" displayName="blankMaterials" ref="C21:N22" headerRowCount="0" totalsRowShown="0" headerRowDxfId="80" dataDxfId="78" headerRowBorderDxfId="79" tableBorderDxfId="77" totalsRowBorderDxfId="76">
  <tableColumns count="12">
    <tableColumn id="1" xr3:uid="{E451C9D8-9377-4078-BCC6-BCBD4A39AA29}" name="Column1" headerRowDxfId="75" dataDxfId="74"/>
    <tableColumn id="6" xr3:uid="{DF70B173-01BE-40C3-AD0E-3D8AC3B1CB93}" name="Column6" headerRowDxfId="73" dataDxfId="72"/>
    <tableColumn id="2" xr3:uid="{842F4306-1C00-4A82-9AD7-B532D5CD07A6}" name="Column2" headerRowDxfId="71" dataDxfId="70"/>
    <tableColumn id="3" xr3:uid="{75EE3CAD-D9A3-4A31-91AB-E2D1D55DFBDA}" name="Column3" headerRowDxfId="69" dataDxfId="68"/>
    <tableColumn id="4" xr3:uid="{0F56D11B-B8A8-49AE-ADFC-9ED4A9D53437}" name="Column4" headerRowDxfId="67" dataDxfId="66"/>
    <tableColumn id="5" xr3:uid="{DA35ED00-D6D2-45F8-A24B-A49DC445A0F3}" name="Column5" headerRowDxfId="65" dataDxfId="64"/>
    <tableColumn id="7" xr3:uid="{0E7970F5-77D6-4B90-A2D3-15569615C62A}" name="Column7" headerRowDxfId="63" dataDxfId="62"/>
    <tableColumn id="8" xr3:uid="{B858F225-F05B-4C4F-9BFC-D01ADF4399DA}" name="Column8" headerRowDxfId="61" dataDxfId="60"/>
    <tableColumn id="9" xr3:uid="{7DA4BD4B-21C5-41B6-A23D-FB53BA3E2833}" name="Column9" headerRowDxfId="59" dataDxfId="58"/>
    <tableColumn id="10" xr3:uid="{E7B259EC-2C79-41C8-95AA-DF38A7AB3CF2}" name="Column10" headerRowDxfId="57" dataDxfId="56"/>
    <tableColumn id="11" xr3:uid="{337CDD83-6618-4E8E-B556-75FE8B1091B2}" name="Column11" headerRowDxfId="55" dataDxfId="54"/>
    <tableColumn id="12" xr3:uid="{19E9C219-D893-49CC-B1F4-0DD3FD793856}" name="Column12" headerRowDxfId="53" dataDxfId="5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C2" sqref="C2:P2"/>
    </sheetView>
  </sheetViews>
  <sheetFormatPr defaultRowHeight="21" customHeight="1" x14ac:dyDescent="0.3"/>
  <cols>
    <col min="1" max="1" width="8.88671875" style="68" hidden="1" customWidth="1"/>
    <col min="2" max="2" width="31.88671875" style="46" customWidth="1"/>
    <col min="3" max="3" width="12.33203125" style="46" customWidth="1"/>
    <col min="4" max="4" width="17.6640625" style="46" customWidth="1"/>
    <col min="5" max="6" width="12.5546875" style="46" customWidth="1"/>
    <col min="7" max="7" width="15.77734375" style="46" customWidth="1"/>
    <col min="8" max="8" width="17.109375" style="62" bestFit="1" customWidth="1"/>
    <col min="9" max="10" width="15.77734375" style="46" customWidth="1"/>
    <col min="11" max="11" width="17.109375" style="62" bestFit="1" customWidth="1"/>
    <col min="12" max="13" width="15.77734375" style="46" customWidth="1"/>
    <col min="14" max="14" width="17.109375" style="62" bestFit="1" customWidth="1"/>
    <col min="15" max="16" width="15.77734375" style="46" customWidth="1"/>
    <col min="17" max="17" width="17.109375" style="62" bestFit="1" customWidth="1"/>
    <col min="18" max="19" width="15.77734375" style="46" customWidth="1"/>
    <col min="20" max="20" width="15.77734375" style="62" customWidth="1"/>
    <col min="21" max="22" width="15.77734375" style="46" customWidth="1"/>
    <col min="23" max="23" width="15.77734375" style="62" customWidth="1"/>
    <col min="24" max="28" width="15.77734375" style="46" customWidth="1"/>
    <col min="29" max="16384" width="8.88671875" style="46"/>
  </cols>
  <sheetData>
    <row r="1" spans="1:23" s="79" customFormat="1" ht="21" customHeight="1" x14ac:dyDescent="0.3">
      <c r="H1" s="80"/>
      <c r="K1" s="80"/>
      <c r="N1" s="80"/>
      <c r="Q1" s="80"/>
      <c r="T1" s="80"/>
      <c r="W1" s="80"/>
    </row>
    <row r="2" spans="1:23" s="79" customFormat="1" ht="31.2" x14ac:dyDescent="0.3">
      <c r="C2" s="92" t="s">
        <v>177</v>
      </c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80"/>
      <c r="T2" s="80"/>
      <c r="W2" s="80"/>
    </row>
    <row r="3" spans="1:23" s="81" customFormat="1" ht="16.8" customHeight="1" x14ac:dyDescent="0.3">
      <c r="B3" s="79" t="s">
        <v>149</v>
      </c>
    </row>
    <row r="4" spans="1:23" s="79" customFormat="1" ht="21" hidden="1" customHeight="1" x14ac:dyDescent="0.3">
      <c r="H4" s="80"/>
      <c r="K4" s="80"/>
      <c r="N4" s="80"/>
      <c r="Q4" s="80"/>
      <c r="T4" s="80"/>
      <c r="W4" s="80"/>
    </row>
    <row r="5" spans="1:23" s="79" customFormat="1" ht="21" hidden="1" customHeight="1" x14ac:dyDescent="0.3">
      <c r="H5" s="80"/>
      <c r="K5" s="80"/>
      <c r="N5" s="80"/>
      <c r="Q5" s="80"/>
      <c r="T5" s="80"/>
      <c r="W5" s="80"/>
    </row>
    <row r="6" spans="1:23" s="79" customFormat="1" ht="21" hidden="1" customHeight="1" x14ac:dyDescent="0.3">
      <c r="H6" s="80"/>
      <c r="K6" s="80"/>
      <c r="N6" s="80"/>
      <c r="Q6" s="80"/>
      <c r="T6" s="80"/>
      <c r="W6" s="80"/>
    </row>
    <row r="7" spans="1:23" s="79" customFormat="1" ht="21" hidden="1" customHeight="1" x14ac:dyDescent="0.3">
      <c r="H7" s="80"/>
      <c r="K7" s="80"/>
      <c r="N7" s="80"/>
      <c r="Q7" s="80"/>
      <c r="T7" s="80"/>
      <c r="W7" s="80"/>
    </row>
    <row r="8" spans="1:23" s="79" customFormat="1" ht="21" hidden="1" customHeight="1" x14ac:dyDescent="0.3">
      <c r="H8" s="80"/>
      <c r="K8" s="80"/>
      <c r="N8" s="80"/>
      <c r="Q8" s="80"/>
      <c r="T8" s="80"/>
      <c r="W8" s="80"/>
    </row>
    <row r="9" spans="1:23" s="79" customFormat="1" ht="21" hidden="1" customHeight="1" x14ac:dyDescent="0.3">
      <c r="H9" s="80"/>
      <c r="K9" s="80"/>
      <c r="N9" s="80"/>
      <c r="Q9" s="80"/>
      <c r="T9" s="80"/>
      <c r="W9" s="80"/>
    </row>
    <row r="10" spans="1:23" s="79" customFormat="1" ht="21" hidden="1" customHeight="1" x14ac:dyDescent="0.3">
      <c r="H10" s="80"/>
      <c r="K10" s="80"/>
      <c r="N10" s="80"/>
      <c r="Q10" s="80"/>
      <c r="T10" s="80"/>
      <c r="W10" s="80"/>
    </row>
    <row r="11" spans="1:23" s="79" customFormat="1" ht="21" hidden="1" customHeight="1" x14ac:dyDescent="0.3">
      <c r="H11" s="80"/>
      <c r="K11" s="80"/>
      <c r="N11" s="80"/>
      <c r="Q11" s="80"/>
      <c r="T11" s="80"/>
      <c r="W11" s="80"/>
    </row>
    <row r="12" spans="1:23" s="79" customFormat="1" hidden="1" x14ac:dyDescent="0.3">
      <c r="H12" s="80"/>
      <c r="K12" s="80"/>
      <c r="N12" s="80"/>
      <c r="Q12" s="80"/>
      <c r="T12" s="80"/>
      <c r="W12" s="80"/>
    </row>
    <row r="13" spans="1:23" customFormat="1" ht="21" customHeight="1" x14ac:dyDescent="0.3">
      <c r="A13" s="78"/>
    </row>
    <row r="14" spans="1:23" s="63" customFormat="1" ht="31.2" x14ac:dyDescent="0.3">
      <c r="A14" s="69"/>
    </row>
    <row r="15" spans="1:23" ht="31.2" x14ac:dyDescent="0.3">
      <c r="B15" s="49"/>
      <c r="C15" s="97" t="s">
        <v>159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63"/>
      <c r="P15" s="62"/>
      <c r="Q15" s="63"/>
      <c r="R15" s="63"/>
      <c r="S15" s="62"/>
    </row>
    <row r="16" spans="1:23" ht="21" customHeight="1" x14ac:dyDescent="0.3">
      <c r="B16" s="49"/>
      <c r="C16" s="47"/>
      <c r="D16" s="47" t="s">
        <v>33</v>
      </c>
      <c r="E16" s="47" t="s">
        <v>39</v>
      </c>
      <c r="F16" s="47" t="s">
        <v>37</v>
      </c>
      <c r="G16" s="47" t="s">
        <v>36</v>
      </c>
      <c r="H16" s="47" t="s">
        <v>35</v>
      </c>
      <c r="I16" s="47" t="s">
        <v>101</v>
      </c>
      <c r="J16" s="47" t="s">
        <v>34</v>
      </c>
      <c r="K16" s="47" t="s">
        <v>20</v>
      </c>
      <c r="L16" s="47" t="s">
        <v>38</v>
      </c>
      <c r="M16" s="47" t="s">
        <v>57</v>
      </c>
      <c r="N16" s="47"/>
      <c r="O16" s="63"/>
      <c r="P16" s="62"/>
      <c r="Q16" s="63"/>
      <c r="R16" s="63"/>
      <c r="S16" s="62"/>
    </row>
    <row r="17" spans="1:19" ht="21" customHeight="1" x14ac:dyDescent="0.3">
      <c r="B17" s="49"/>
      <c r="C17" s="47"/>
      <c r="D17" s="47">
        <v>6</v>
      </c>
      <c r="E17" s="47">
        <v>4</v>
      </c>
      <c r="F17" s="47">
        <v>4</v>
      </c>
      <c r="G17" s="47">
        <v>4</v>
      </c>
      <c r="H17" s="47">
        <v>4</v>
      </c>
      <c r="I17" s="47">
        <v>2</v>
      </c>
      <c r="J17" s="47">
        <v>2</v>
      </c>
      <c r="K17" s="47">
        <v>2</v>
      </c>
      <c r="L17" s="47">
        <v>2</v>
      </c>
      <c r="M17" s="47">
        <v>2</v>
      </c>
      <c r="N17" s="47" t="s">
        <v>171</v>
      </c>
      <c r="O17" s="63"/>
      <c r="P17" s="62"/>
      <c r="Q17" s="63"/>
      <c r="R17" s="63"/>
      <c r="S17" s="62"/>
    </row>
    <row r="18" spans="1:19" ht="21" customHeight="1" x14ac:dyDescent="0.3"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63"/>
      <c r="P18" s="62"/>
      <c r="Q18" s="63"/>
      <c r="R18" s="63"/>
      <c r="S18" s="62"/>
    </row>
    <row r="19" spans="1:19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2"/>
      <c r="Q19" s="46"/>
      <c r="S19" s="62"/>
    </row>
    <row r="20" spans="1:19" ht="31.2" x14ac:dyDescent="0.3">
      <c r="A20" s="43"/>
      <c r="B20"/>
      <c r="C20" s="97" t="s">
        <v>160</v>
      </c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P20" s="62"/>
      <c r="Q20" s="46"/>
      <c r="S20" s="62"/>
    </row>
    <row r="21" spans="1:19" ht="21" customHeight="1" x14ac:dyDescent="0.3">
      <c r="A21" s="42"/>
      <c r="B21"/>
      <c r="C21" s="47"/>
      <c r="D21" s="47" t="s">
        <v>165</v>
      </c>
      <c r="E21" s="47" t="s">
        <v>161</v>
      </c>
      <c r="F21" s="47" t="s">
        <v>162</v>
      </c>
      <c r="G21" s="47" t="s">
        <v>163</v>
      </c>
      <c r="H21" s="47" t="s">
        <v>164</v>
      </c>
      <c r="I21" s="47" t="s">
        <v>166</v>
      </c>
      <c r="J21" s="47" t="s">
        <v>167</v>
      </c>
      <c r="K21" s="47" t="s">
        <v>168</v>
      </c>
      <c r="L21" s="47" t="s">
        <v>169</v>
      </c>
      <c r="M21" s="47" t="s">
        <v>170</v>
      </c>
      <c r="N21" s="47"/>
      <c r="P21" s="62"/>
      <c r="Q21" s="46"/>
      <c r="S21" s="62"/>
    </row>
    <row r="22" spans="1:19" ht="21" customHeight="1" x14ac:dyDescent="0.3">
      <c r="A22" s="42"/>
      <c r="B22"/>
      <c r="C22" s="47"/>
      <c r="D22" s="48">
        <v>5</v>
      </c>
      <c r="E22" s="48">
        <v>3</v>
      </c>
      <c r="F22" s="48">
        <v>3</v>
      </c>
      <c r="G22" s="48">
        <v>3</v>
      </c>
      <c r="H22" s="48">
        <v>3</v>
      </c>
      <c r="I22" s="48">
        <v>1</v>
      </c>
      <c r="J22" s="48">
        <v>1</v>
      </c>
      <c r="K22" s="48">
        <v>1</v>
      </c>
      <c r="L22" s="48">
        <v>1</v>
      </c>
      <c r="M22" s="48">
        <v>1</v>
      </c>
      <c r="N22" s="47" t="s">
        <v>171</v>
      </c>
      <c r="P22" s="62"/>
      <c r="Q22" s="46"/>
      <c r="S22" s="62"/>
    </row>
    <row r="23" spans="1:19" ht="21" customHeight="1" x14ac:dyDescent="0.3">
      <c r="A23" s="42"/>
      <c r="B23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P23" s="62"/>
      <c r="Q23" s="46"/>
      <c r="S23" s="62"/>
    </row>
    <row r="24" spans="1:19" ht="21" customHeight="1" x14ac:dyDescent="0.3">
      <c r="A24" s="42"/>
      <c r="B24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P24" s="62"/>
      <c r="Q24" s="46"/>
      <c r="S24" s="62"/>
    </row>
    <row r="25" spans="1:19" ht="21" customHeight="1" x14ac:dyDescent="0.3">
      <c r="A25" s="42"/>
      <c r="B25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P25" s="62"/>
      <c r="Q25" s="46"/>
      <c r="S25" s="62"/>
    </row>
    <row r="26" spans="1:19" ht="21" customHeight="1" x14ac:dyDescent="0.3">
      <c r="A26" s="42"/>
      <c r="B26"/>
      <c r="D26" s="62"/>
      <c r="G26" s="62"/>
      <c r="H26" s="46"/>
      <c r="J26" s="62"/>
      <c r="K26" s="46"/>
      <c r="M26" s="62"/>
      <c r="N26" s="46"/>
      <c r="P26" s="62"/>
      <c r="Q26" s="46"/>
      <c r="S26" s="62"/>
    </row>
    <row r="27" spans="1:19" ht="31.2" customHeight="1" x14ac:dyDescent="0.3">
      <c r="A27" s="42"/>
      <c r="B27"/>
      <c r="C27" s="95" t="s">
        <v>144</v>
      </c>
      <c r="D27" s="96"/>
      <c r="E27" s="63"/>
      <c r="F27" s="95" t="s">
        <v>0</v>
      </c>
      <c r="G27" s="96"/>
      <c r="H27" s="63"/>
      <c r="I27" s="95" t="s">
        <v>42</v>
      </c>
      <c r="J27" s="96"/>
      <c r="K27" s="63"/>
      <c r="L27" s="95" t="s">
        <v>61</v>
      </c>
      <c r="M27" s="96"/>
      <c r="N27" s="63"/>
      <c r="O27" s="95" t="s">
        <v>100</v>
      </c>
      <c r="P27" s="96"/>
    </row>
    <row r="28" spans="1:19" ht="21" customHeight="1" x14ac:dyDescent="0.3">
      <c r="A28" s="42"/>
      <c r="B28"/>
      <c r="C28" s="93">
        <f ca="1">_xlfn.SHEET("إعدادات")</f>
        <v>1</v>
      </c>
      <c r="D28" s="94"/>
      <c r="F28" s="93">
        <f ca="1">_xlfn.SHEET("وحدات سفلية")</f>
        <v>4</v>
      </c>
      <c r="G28" s="94"/>
      <c r="H28" s="46"/>
      <c r="I28" s="93">
        <f ca="1">_xlfn.SHEET("وحدات علوية")</f>
        <v>5</v>
      </c>
      <c r="J28" s="94"/>
      <c r="K28" s="46"/>
      <c r="L28" s="93">
        <f ca="1">_xlfn.SHEET("دواليب")</f>
        <v>6</v>
      </c>
      <c r="M28" s="94"/>
      <c r="N28" s="46"/>
      <c r="O28" s="93">
        <f ca="1">_xlfn.SHEET("تجاليد")</f>
        <v>7</v>
      </c>
      <c r="P28" s="94"/>
    </row>
    <row r="29" spans="1:19" ht="21" customHeight="1" x14ac:dyDescent="0.3">
      <c r="A29" s="42"/>
      <c r="B29"/>
      <c r="C29" s="50" t="str">
        <f>K16</f>
        <v>HPL</v>
      </c>
      <c r="D29" s="51" t="s">
        <v>30</v>
      </c>
      <c r="F29" s="50" t="str" cm="1">
        <f t="array" aca="1" ref="F29" ca="1">defaultValue(G29,$C$28)</f>
        <v>HPL</v>
      </c>
      <c r="G29" s="51" t="s">
        <v>30</v>
      </c>
      <c r="H29" s="46"/>
      <c r="I29" s="50" t="str" cm="1">
        <f t="array" aca="1" ref="I29" ca="1">defaultValue(J29,$C$28)</f>
        <v>HPL</v>
      </c>
      <c r="J29" s="51" t="s">
        <v>30</v>
      </c>
      <c r="K29" s="46"/>
      <c r="L29" s="50" t="str" cm="1">
        <f t="array" aca="1" ref="L29" ca="1">defaultValue(M29,$C$28)</f>
        <v>HPL</v>
      </c>
      <c r="M29" s="51" t="s">
        <v>30</v>
      </c>
      <c r="N29" s="46"/>
      <c r="O29" s="54" t="str" cm="1">
        <f t="array" aca="1" ref="O29" ca="1">defaultValue("دلف المطبخ",$C$28)</f>
        <v>يوفيلاك</v>
      </c>
      <c r="P29" s="54" t="s">
        <v>9</v>
      </c>
    </row>
    <row r="30" spans="1:19" ht="21" customHeight="1" x14ac:dyDescent="0.3">
      <c r="A30" s="42"/>
      <c r="B30"/>
      <c r="C30" s="52" t="str">
        <f>D16</f>
        <v>يوفيلاك</v>
      </c>
      <c r="D30" s="53" t="s">
        <v>31</v>
      </c>
      <c r="F30" s="52" t="str" cm="1">
        <f t="array" aca="1" ref="F30" ca="1">defaultValue(G30,$C$28)</f>
        <v>يوفيلاك</v>
      </c>
      <c r="G30" s="53" t="s">
        <v>31</v>
      </c>
      <c r="H30" s="46"/>
      <c r="I30" s="52" t="str" cm="1">
        <f t="array" aca="1" ref="I30" ca="1">defaultValue(J30,$C$28)</f>
        <v>يوفيلاك</v>
      </c>
      <c r="J30" s="53" t="s">
        <v>31</v>
      </c>
      <c r="K30" s="46"/>
      <c r="L30" s="52" t="str" cm="1">
        <f t="array" aca="1" ref="L30" ca="1">defaultValue(M30,$C$28)</f>
        <v>يوفيلاك</v>
      </c>
      <c r="M30" s="53" t="s">
        <v>31</v>
      </c>
      <c r="N30" s="46"/>
      <c r="O30" s="58" t="e" cm="1">
        <f t="array" aca="1" ref="O30" ca="1">defaultValue(P30,$C$28)</f>
        <v>#N/A</v>
      </c>
      <c r="P30" s="60"/>
    </row>
    <row r="31" spans="1:19" ht="21" customHeight="1" x14ac:dyDescent="0.3">
      <c r="A31" s="42"/>
      <c r="B31"/>
      <c r="C31" s="55" t="str">
        <f>M16</f>
        <v>ظهر</v>
      </c>
      <c r="D31" s="56" t="s">
        <v>57</v>
      </c>
      <c r="F31" s="55" t="str" cm="1">
        <f t="array" aca="1" ref="F31" ca="1">defaultValue(G31,$C$28)</f>
        <v>ظهر</v>
      </c>
      <c r="G31" s="56" t="s">
        <v>57</v>
      </c>
      <c r="H31" s="46"/>
      <c r="I31" s="66" t="str" cm="1">
        <f t="array" aca="1" ref="I31" ca="1">defaultValue(J31,$C$28)</f>
        <v>ظهر</v>
      </c>
      <c r="J31" s="67" t="s">
        <v>57</v>
      </c>
      <c r="K31" s="46"/>
      <c r="L31" s="66" t="str" cm="1">
        <f t="array" aca="1" ref="L31" ca="1">defaultValue(M31,$C$28)</f>
        <v>ظهر</v>
      </c>
      <c r="M31" s="67" t="s">
        <v>57</v>
      </c>
      <c r="N31" s="46"/>
      <c r="O31" s="58" t="e" cm="1">
        <f t="array" aca="1" ref="O31" ca="1">defaultValue(P31,$C$28)</f>
        <v>#N/A</v>
      </c>
      <c r="P31" s="60"/>
    </row>
    <row r="32" spans="1:19" ht="21" customHeight="1" x14ac:dyDescent="0.3">
      <c r="A32" s="42"/>
      <c r="B32"/>
      <c r="C32" s="58">
        <v>45</v>
      </c>
      <c r="D32" s="60" t="s">
        <v>19</v>
      </c>
      <c r="F32" s="58">
        <v>56</v>
      </c>
      <c r="G32" s="60" t="s">
        <v>109</v>
      </c>
      <c r="H32" s="57"/>
      <c r="I32" s="58">
        <v>30</v>
      </c>
      <c r="J32" s="60" t="s">
        <v>109</v>
      </c>
      <c r="K32" s="46"/>
      <c r="L32" s="58" t="e" cm="1">
        <f t="array" aca="1" ref="L32" ca="1">defaultValue(M32,$C$28)</f>
        <v>#N/A</v>
      </c>
      <c r="M32" s="60"/>
      <c r="N32" s="46"/>
      <c r="O32" s="58" t="e" cm="1">
        <f t="array" aca="1" ref="O32" ca="1">defaultValue(P32,$C$28)</f>
        <v>#N/A</v>
      </c>
      <c r="P32" s="60"/>
    </row>
    <row r="33" spans="1:27" ht="21" customHeight="1" x14ac:dyDescent="0.3">
      <c r="A33" s="42"/>
      <c r="B33"/>
      <c r="C33" s="59">
        <v>3.5</v>
      </c>
      <c r="D33" s="61" t="s">
        <v>16</v>
      </c>
      <c r="F33" s="58">
        <v>78</v>
      </c>
      <c r="G33" s="60" t="s">
        <v>3</v>
      </c>
      <c r="H33" s="46"/>
      <c r="I33" s="58">
        <v>70</v>
      </c>
      <c r="J33" s="60" t="s">
        <v>3</v>
      </c>
      <c r="K33" s="46"/>
      <c r="L33" s="58" t="e" cm="1">
        <f t="array" aca="1" ref="L33" ca="1">defaultValue(M33,$C$28)</f>
        <v>#N/A</v>
      </c>
      <c r="M33" s="60"/>
      <c r="N33" s="46"/>
      <c r="O33" s="58" t="e" cm="1">
        <f t="array" aca="1" ref="O33" ca="1">defaultValue(P33,$C$28)</f>
        <v>#N/A</v>
      </c>
      <c r="P33" s="60"/>
    </row>
    <row r="34" spans="1:27" ht="21" customHeight="1" x14ac:dyDescent="0.3">
      <c r="A34" s="42"/>
      <c r="B34"/>
      <c r="C34" s="64" t="b">
        <v>1</v>
      </c>
      <c r="D34" s="60" t="s">
        <v>110</v>
      </c>
      <c r="F34" s="58" cm="1">
        <f t="array" aca="1" ref="F34" ca="1">defaultValue(G34,$C$28)</f>
        <v>45</v>
      </c>
      <c r="G34" s="60" t="s">
        <v>19</v>
      </c>
      <c r="H34" s="46"/>
      <c r="I34" s="58" cm="1">
        <f t="array" aca="1" ref="I34" ca="1">defaultValue(J34,$C$28)</f>
        <v>45</v>
      </c>
      <c r="J34" s="60" t="s">
        <v>19</v>
      </c>
      <c r="K34" s="46"/>
      <c r="L34" s="58" t="e" cm="1">
        <f t="array" aca="1" ref="L34" ca="1">defaultValue(M34,$C$28)</f>
        <v>#N/A</v>
      </c>
      <c r="M34" s="60"/>
      <c r="N34" s="46"/>
      <c r="O34" s="58" t="e" cm="1">
        <f t="array" aca="1" ref="O34" ca="1">defaultValue(P34,$C$28)</f>
        <v>#N/A</v>
      </c>
      <c r="P34" s="60"/>
    </row>
    <row r="35" spans="1:27" ht="21" customHeight="1" x14ac:dyDescent="0.3">
      <c r="A35" s="42"/>
      <c r="B35"/>
      <c r="C35" s="64"/>
      <c r="D35" s="60"/>
      <c r="F35" s="58" cm="1">
        <f t="array" aca="1" ref="F35" ca="1">defaultValue(G35,$C$28)</f>
        <v>3.5</v>
      </c>
      <c r="G35" s="60" t="s">
        <v>16</v>
      </c>
      <c r="H35" s="46"/>
      <c r="I35" s="58" cm="1">
        <f t="array" aca="1" ref="I35" ca="1">defaultValue(J35,$C$28)</f>
        <v>3.5</v>
      </c>
      <c r="J35" s="60" t="s">
        <v>16</v>
      </c>
      <c r="K35" s="46"/>
      <c r="L35" s="58" t="e" cm="1">
        <f t="array" aca="1" ref="L35" ca="1">defaultValue(M35,$C$28)</f>
        <v>#N/A</v>
      </c>
      <c r="M35" s="60"/>
      <c r="N35" s="46"/>
      <c r="O35" s="58" t="e" cm="1">
        <f t="array" aca="1" ref="O35" ca="1">defaultValue(P35,$C$28)</f>
        <v>#N/A</v>
      </c>
      <c r="P35" s="60"/>
    </row>
    <row r="36" spans="1:27" ht="21" customHeight="1" x14ac:dyDescent="0.3">
      <c r="A36" s="42"/>
      <c r="B36"/>
      <c r="C36" s="64"/>
      <c r="D36" s="60"/>
      <c r="F36" s="58" t="b" cm="1">
        <f t="array" aca="1" ref="F36" ca="1">defaultValue(G36,$C$28)</f>
        <v>1</v>
      </c>
      <c r="G36" s="60" t="s">
        <v>110</v>
      </c>
      <c r="H36" s="46"/>
      <c r="I36" s="58">
        <v>0</v>
      </c>
      <c r="J36" s="60" t="s">
        <v>111</v>
      </c>
      <c r="K36" s="46"/>
      <c r="L36" s="58" t="e" cm="1">
        <f t="array" aca="1" ref="L36" ca="1">defaultValue(M36,$C$28)</f>
        <v>#N/A</v>
      </c>
      <c r="M36" s="60"/>
      <c r="N36" s="46"/>
      <c r="O36" s="58" t="e" cm="1">
        <f t="array" aca="1" ref="O36" ca="1">defaultValue(P36,$C$28)</f>
        <v>#N/A</v>
      </c>
      <c r="P36" s="61"/>
    </row>
    <row r="37" spans="1:27" ht="21" customHeight="1" x14ac:dyDescent="0.3">
      <c r="A37" s="42"/>
      <c r="B37"/>
      <c r="C37" s="65"/>
      <c r="D37" s="61"/>
      <c r="F37" s="59" t="e" cm="1">
        <f t="array" aca="1" ref="F37" ca="1">defaultValue(G37,$C$28)</f>
        <v>#N/A</v>
      </c>
      <c r="G37" s="61"/>
      <c r="H37" s="46"/>
      <c r="I37" s="59" t="e" cm="1">
        <f t="array" aca="1" ref="I37" ca="1">defaultValue(J37,$C$28)</f>
        <v>#N/A</v>
      </c>
      <c r="J37" s="61"/>
      <c r="K37" s="46"/>
      <c r="L37" s="59" t="e" cm="1">
        <f t="array" aca="1" ref="L37" ca="1">defaultValue(M37,$C$28)</f>
        <v>#N/A</v>
      </c>
      <c r="M37" s="61"/>
      <c r="N37" s="46"/>
      <c r="O37" s="58" t="e" cm="1">
        <f t="array" aca="1" ref="O37" ca="1">defaultValue(P37,$C$28)</f>
        <v>#N/A</v>
      </c>
      <c r="P37" s="60"/>
    </row>
    <row r="38" spans="1:27" ht="21" customHeight="1" x14ac:dyDescent="0.3">
      <c r="A38" s="42"/>
      <c r="B38"/>
      <c r="C38" s="64"/>
      <c r="D38" s="60"/>
      <c r="F38" s="58" t="e" cm="1">
        <f t="array" aca="1" ref="F38" ca="1">defaultValue(G38,$C$28)</f>
        <v>#N/A</v>
      </c>
      <c r="G38" s="60"/>
      <c r="H38" s="46"/>
      <c r="I38" s="58" t="e" cm="1">
        <f t="array" aca="1" ref="I38" ca="1">defaultValue(J38,$C$28)</f>
        <v>#N/A</v>
      </c>
      <c r="J38" s="60"/>
      <c r="K38" s="46"/>
      <c r="L38" s="58" t="e" cm="1">
        <f t="array" aca="1" ref="L38" ca="1">defaultValue(M38,$C$28)</f>
        <v>#N/A</v>
      </c>
      <c r="M38" s="60"/>
      <c r="N38" s="46"/>
      <c r="O38" s="58" t="e" cm="1">
        <f t="array" aca="1" ref="O38" ca="1">defaultValue(P38,$C$28)</f>
        <v>#N/A</v>
      </c>
      <c r="P38" s="60"/>
    </row>
    <row r="39" spans="1:27" ht="21" customHeight="1" x14ac:dyDescent="0.3">
      <c r="A39" s="42"/>
      <c r="B39"/>
      <c r="C39" s="64"/>
      <c r="D39" s="60"/>
      <c r="F39" s="58" t="e" cm="1">
        <f t="array" aca="1" ref="F39" ca="1">defaultValue(G39,$C$28)</f>
        <v>#N/A</v>
      </c>
      <c r="G39" s="60"/>
      <c r="H39" s="46"/>
      <c r="I39" s="58" t="e" cm="1">
        <f t="array" aca="1" ref="I39" ca="1">defaultValue(J39,$C$28)</f>
        <v>#N/A</v>
      </c>
      <c r="J39" s="60"/>
      <c r="K39" s="46"/>
      <c r="L39" s="58" t="e" cm="1">
        <f t="array" aca="1" ref="L39" ca="1">defaultValue(M39,$C$28)</f>
        <v>#N/A</v>
      </c>
      <c r="M39" s="60"/>
      <c r="N39" s="46"/>
      <c r="O39" s="58" t="e" cm="1">
        <f t="array" aca="1" ref="O39" ca="1">defaultValue(P39,$C$28)</f>
        <v>#N/A</v>
      </c>
      <c r="P39" s="60"/>
    </row>
    <row r="40" spans="1:27" ht="21" customHeight="1" x14ac:dyDescent="0.3">
      <c r="A40" s="42"/>
      <c r="B40"/>
      <c r="C40" s="64"/>
      <c r="D40" s="60"/>
      <c r="F40" s="58" t="e" cm="1">
        <f t="array" aca="1" ref="F40" ca="1">defaultValue(G40,$C$28)</f>
        <v>#N/A</v>
      </c>
      <c r="G40" s="60"/>
      <c r="H40" s="46"/>
      <c r="I40" s="58" t="e" cm="1">
        <f t="array" aca="1" ref="I40" ca="1">defaultValue(J40,$C$28)</f>
        <v>#N/A</v>
      </c>
      <c r="J40" s="60"/>
      <c r="K40" s="46"/>
      <c r="L40" s="58" t="e" cm="1">
        <f t="array" aca="1" ref="L40" ca="1">defaultValue(M40,$C$28)</f>
        <v>#N/A</v>
      </c>
      <c r="M40" s="60"/>
      <c r="N40" s="46"/>
      <c r="O40" s="58" t="e" cm="1">
        <f t="array" aca="1" ref="O40" ca="1">defaultValue(P40,$C$28)</f>
        <v>#N/A</v>
      </c>
      <c r="P40" s="61"/>
    </row>
    <row r="41" spans="1:27" ht="21" customHeight="1" x14ac:dyDescent="0.3">
      <c r="C41" s="65"/>
      <c r="D41" s="61"/>
      <c r="F41" s="59" t="e" cm="1">
        <f t="array" aca="1" ref="F41" ca="1">defaultValue(G41,$C$28)</f>
        <v>#N/A</v>
      </c>
      <c r="G41" s="61"/>
      <c r="H41" s="46"/>
      <c r="I41" s="58" t="e" cm="1">
        <f t="array" aca="1" ref="I41" ca="1">defaultValue(J41,$C$28)</f>
        <v>#N/A</v>
      </c>
      <c r="J41" s="61"/>
      <c r="K41" s="46"/>
      <c r="L41" s="58" t="e" cm="1">
        <f t="array" aca="1" ref="L41" ca="1">defaultValue(M41,$C$28)</f>
        <v>#N/A</v>
      </c>
      <c r="M41" s="61"/>
      <c r="N41" s="46"/>
      <c r="O41" s="58" t="e" cm="1">
        <f t="array" aca="1" ref="O41" ca="1">defaultValue(P41,$C$28)</f>
        <v>#N/A</v>
      </c>
      <c r="P41" s="61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C15:N15"/>
    <mergeCell ref="L28:M28"/>
  </mergeCells>
  <phoneticPr fontId="9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107"/>
  <sheetViews>
    <sheetView zoomScale="66" zoomScaleNormal="85" workbookViewId="0">
      <pane ySplit="12" topLeftCell="A49" activePane="bottomLeft" state="frozen"/>
      <selection pane="bottomLeft"/>
    </sheetView>
  </sheetViews>
  <sheetFormatPr defaultRowHeight="14.4" x14ac:dyDescent="0.3"/>
  <cols>
    <col min="1" max="1" width="8.88671875" style="33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5" s="83" customFormat="1" x14ac:dyDescent="0.3">
      <c r="B1" s="83">
        <v>4</v>
      </c>
    </row>
    <row r="2" spans="1:15" s="83" customFormat="1" ht="31.2" x14ac:dyDescent="0.3">
      <c r="B2" s="83" t="s">
        <v>150</v>
      </c>
      <c r="D2" s="100" t="s">
        <v>175</v>
      </c>
      <c r="E2" s="100"/>
      <c r="F2" s="100"/>
      <c r="G2" s="100"/>
      <c r="H2" s="100"/>
      <c r="I2" s="100"/>
      <c r="J2" s="100"/>
      <c r="K2" s="100"/>
    </row>
    <row r="3" spans="1:15" s="83" customFormat="1" x14ac:dyDescent="0.3">
      <c r="B3" s="83" t="s">
        <v>149</v>
      </c>
    </row>
    <row r="4" spans="1:15" s="83" customFormat="1" ht="21" x14ac:dyDescent="0.4">
      <c r="D4" s="98" t="s">
        <v>174</v>
      </c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</row>
    <row r="5" spans="1:15" s="83" customFormat="1" x14ac:dyDescent="0.3">
      <c r="D5" s="82" cm="1">
        <f t="array" ref="D5:O6">woodMaterials[]</f>
        <v>0</v>
      </c>
      <c r="E5" s="82" t="str">
        <v>يوفيلاك</v>
      </c>
      <c r="F5" s="82" t="str">
        <v>بوليلاك</v>
      </c>
      <c r="G5" s="82" t="str">
        <v>Lumber J</v>
      </c>
      <c r="H5" s="82" t="str">
        <v>بولى بلس</v>
      </c>
      <c r="I5" s="82" t="str">
        <v>PVC</v>
      </c>
      <c r="J5" s="82" t="str">
        <v>بورديوم</v>
      </c>
      <c r="K5" s="82" t="str">
        <v>كونتر ميلامين</v>
      </c>
      <c r="L5" s="82" t="str">
        <v>HPL</v>
      </c>
      <c r="M5" s="82" t="str">
        <v>CPL</v>
      </c>
      <c r="N5" s="82" t="str">
        <v>ظهر</v>
      </c>
      <c r="O5" s="82">
        <v>0</v>
      </c>
    </row>
    <row r="6" spans="1:15" s="83" customFormat="1" x14ac:dyDescent="0.3">
      <c r="D6" s="82">
        <v>0</v>
      </c>
      <c r="E6" s="82">
        <v>6</v>
      </c>
      <c r="F6" s="82">
        <v>4</v>
      </c>
      <c r="G6" s="82">
        <v>4</v>
      </c>
      <c r="H6" s="82">
        <v>4</v>
      </c>
      <c r="I6" s="82">
        <v>4</v>
      </c>
      <c r="J6" s="82">
        <v>2</v>
      </c>
      <c r="K6" s="82">
        <v>2</v>
      </c>
      <c r="L6" s="82">
        <v>2</v>
      </c>
      <c r="M6" s="82">
        <v>2</v>
      </c>
      <c r="N6" s="82">
        <v>2</v>
      </c>
      <c r="O6" s="82" t="str">
        <v>الرقم</v>
      </c>
    </row>
    <row r="7" spans="1:15" s="83" customFormat="1" x14ac:dyDescent="0.3"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1:15" s="83" customFormat="1" ht="23.4" x14ac:dyDescent="0.45">
      <c r="D8" s="99" t="s">
        <v>160</v>
      </c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</row>
    <row r="9" spans="1:15" s="83" customFormat="1" x14ac:dyDescent="0.3">
      <c r="D9" s="82" cm="1">
        <f t="array" ref="D9:O10">blankMaterials[]</f>
        <v>0</v>
      </c>
      <c r="E9" s="82" t="str">
        <v>يوفيلاك سادة</v>
      </c>
      <c r="F9" s="82" t="str">
        <v>بوليلاك سادة</v>
      </c>
      <c r="G9" s="82" t="str">
        <v>Lumber J سادة</v>
      </c>
      <c r="H9" s="82" t="str">
        <v>بولى بلس سادة</v>
      </c>
      <c r="I9" s="82" t="str">
        <v>PVC سادة</v>
      </c>
      <c r="J9" s="82" t="str">
        <v>بورديوم سادة</v>
      </c>
      <c r="K9" s="82" t="str">
        <v>كونتر ميلامين سادة</v>
      </c>
      <c r="L9" s="82" t="str">
        <v>HPL سادة</v>
      </c>
      <c r="M9" s="82" t="str">
        <v>CPL سادة</v>
      </c>
      <c r="N9" s="82" t="str">
        <v>ظهر سادة</v>
      </c>
      <c r="O9" s="82">
        <v>0</v>
      </c>
    </row>
    <row r="10" spans="1:15" s="83" customFormat="1" x14ac:dyDescent="0.3">
      <c r="D10" s="82">
        <v>0</v>
      </c>
      <c r="E10" s="82">
        <v>5</v>
      </c>
      <c r="F10" s="82">
        <v>3</v>
      </c>
      <c r="G10" s="82">
        <v>3</v>
      </c>
      <c r="H10" s="82">
        <v>3</v>
      </c>
      <c r="I10" s="82">
        <v>3</v>
      </c>
      <c r="J10" s="82">
        <v>1</v>
      </c>
      <c r="K10" s="82">
        <v>1</v>
      </c>
      <c r="L10" s="82">
        <v>1</v>
      </c>
      <c r="M10" s="82">
        <v>1</v>
      </c>
      <c r="N10" s="82">
        <v>1</v>
      </c>
      <c r="O10" s="82" t="str">
        <v>الرقم</v>
      </c>
    </row>
    <row r="11" spans="1:15" s="83" customFormat="1" x14ac:dyDescent="0.3"/>
    <row r="12" spans="1:15" s="83" customFormat="1" ht="26.4" customHeight="1" x14ac:dyDescent="0.3"/>
    <row r="13" spans="1:15" x14ac:dyDescent="0.3">
      <c r="A13" s="37"/>
    </row>
    <row r="17" spans="1:62" ht="34.799999999999997" customHeight="1" x14ac:dyDescent="0.3">
      <c r="A17" s="43" t="s">
        <v>126</v>
      </c>
      <c r="B17" s="14"/>
      <c r="C17" s="13">
        <v>1</v>
      </c>
      <c r="D17" s="21" t="s">
        <v>58</v>
      </c>
      <c r="E17" s="101" t="s">
        <v>151</v>
      </c>
      <c r="F17" s="102"/>
      <c r="G17" s="102"/>
      <c r="H17" s="103"/>
      <c r="I17" s="2" t="s">
        <v>29</v>
      </c>
      <c r="J17" s="2">
        <f>letterToNumber(A17)</f>
        <v>1</v>
      </c>
      <c r="K17" s="26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2">
        <v>1</v>
      </c>
      <c r="B18" s="14"/>
      <c r="C18" s="8"/>
      <c r="D18" s="7"/>
      <c r="E18" s="26" t="str" cm="1">
        <f t="array" aca="1" ref="E18" ca="1">defaultValue(F18,K17)</f>
        <v>ظهر</v>
      </c>
      <c r="F18" s="7" t="s">
        <v>57</v>
      </c>
      <c r="G18" s="26" t="str" cm="1">
        <f t="array" aca="1" ref="G18" ca="1">defaultValue(H18,K17)</f>
        <v>يوفيلاك</v>
      </c>
      <c r="H18" s="7" t="s">
        <v>31</v>
      </c>
      <c r="I18" s="26" t="str" cm="1">
        <f t="array" aca="1" ref="I18" ca="1">defaultValue(J18,K17)</f>
        <v>HPL</v>
      </c>
      <c r="J18" s="7" t="s">
        <v>30</v>
      </c>
      <c r="K18" s="24" t="s">
        <v>108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2">
        <v>1</v>
      </c>
      <c r="B19" s="14"/>
      <c r="C19" s="7"/>
      <c r="D19" s="17"/>
      <c r="E19" s="7"/>
      <c r="F19" s="7"/>
      <c r="G19" s="7" t="s">
        <v>16</v>
      </c>
      <c r="H19" s="7" t="s">
        <v>22</v>
      </c>
      <c r="I19" s="7" t="s">
        <v>3</v>
      </c>
      <c r="J19" s="7" t="s">
        <v>109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2">
        <v>1</v>
      </c>
      <c r="B20" s="14"/>
      <c r="C20" s="8"/>
      <c r="D20" s="8"/>
      <c r="E20" s="26"/>
      <c r="F20" s="7"/>
      <c r="G20" s="26" cm="1">
        <f t="array" aca="1" ref="G20" ca="1">defaultValue(G19,K17)</f>
        <v>3.5</v>
      </c>
      <c r="H20" s="8"/>
      <c r="I20" s="26"/>
      <c r="J20" s="26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2">
        <v>0</v>
      </c>
      <c r="B21" s="14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2">
        <v>2</v>
      </c>
      <c r="B22" s="14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32</v>
      </c>
      <c r="J22" s="6" t="s">
        <v>172</v>
      </c>
      <c r="K22" s="6" t="s">
        <v>155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2">
        <v>0</v>
      </c>
      <c r="B23" s="14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2">
        <v>3</v>
      </c>
      <c r="B24" s="14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2">
        <v>3</v>
      </c>
      <c r="B25" s="14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2">
        <v>3</v>
      </c>
      <c r="B26" s="14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2">
        <v>3</v>
      </c>
      <c r="B27" s="14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2">
        <v>0</v>
      </c>
      <c r="B28" s="14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2">
        <v>4</v>
      </c>
      <c r="B29" s="14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2">
        <v>4</v>
      </c>
      <c r="B30" s="14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2">
        <v>0</v>
      </c>
      <c r="B31" s="14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2">
        <v>5</v>
      </c>
      <c r="B32" s="14" t="str" cm="1">
        <f t="array" ref="B32">visible(E17, K32)</f>
        <v>وحدة عادية</v>
      </c>
      <c r="C32" s="18" cm="1">
        <f t="array" ref="C32">visible(7,K32)</f>
        <v>7</v>
      </c>
      <c r="D32" s="18" t="str" cm="1">
        <f t="array" aca="1" ref="D32" ca="1">visible((E18),K32)</f>
        <v>ظهر</v>
      </c>
      <c r="E32" s="18" t="str" cm="1">
        <f t="array" ref="E32">visible(("replace me"),K32)</f>
        <v>replace me</v>
      </c>
      <c r="F32" s="18" t="str" cm="1">
        <f t="array" ref="F32">visible(("replace me"),K32)</f>
        <v>replace me</v>
      </c>
      <c r="G32" s="18" t="str" cm="1">
        <f t="array" ref="G32">visible(("replace me"),K32)</f>
        <v>replace me</v>
      </c>
      <c r="H32" s="18" t="str" cm="1">
        <f t="array" ref="H32">visible(("replace me"),K32)</f>
        <v>replace me</v>
      </c>
      <c r="I32" s="18">
        <f ca="1">visible(materialNum(D32), K32)</f>
        <v>2</v>
      </c>
      <c r="J32" s="18">
        <f ca="1">visible(engraving(I32), K32)</f>
        <v>2</v>
      </c>
      <c r="K32" s="18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3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3" t="s">
        <v>131</v>
      </c>
      <c r="B35" s="14"/>
      <c r="C35" s="13">
        <v>1</v>
      </c>
      <c r="D35" s="21" t="s">
        <v>58</v>
      </c>
      <c r="E35" s="101" t="s">
        <v>152</v>
      </c>
      <c r="F35" s="102"/>
      <c r="G35" s="102"/>
      <c r="H35" s="103"/>
      <c r="I35" s="2" t="s">
        <v>29</v>
      </c>
      <c r="J35" s="2">
        <f>letterToNumber(A35)</f>
        <v>2</v>
      </c>
      <c r="K35" s="26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2">
        <v>1</v>
      </c>
      <c r="B36" s="14"/>
      <c r="C36" s="26" t="b" cm="1">
        <f t="array" aca="1" ref="C36" ca="1">defaultValue(D36,K35)</f>
        <v>1</v>
      </c>
      <c r="D36" s="70" t="s">
        <v>110</v>
      </c>
      <c r="E36" s="26" t="str" cm="1">
        <f t="array" aca="1" ref="E36" ca="1">defaultValue(F36,K35)</f>
        <v>ظهر</v>
      </c>
      <c r="F36" s="7" t="s">
        <v>57</v>
      </c>
      <c r="G36" s="26" t="str" cm="1">
        <f t="array" aca="1" ref="G36" ca="1">defaultValue(H36,K35)</f>
        <v>يوفيلاك</v>
      </c>
      <c r="H36" s="7" t="s">
        <v>31</v>
      </c>
      <c r="I36" s="26" t="str" cm="1">
        <f t="array" aca="1" ref="I36" ca="1">defaultValue(J36,K35)</f>
        <v>HPL</v>
      </c>
      <c r="J36" s="7" t="s">
        <v>30</v>
      </c>
      <c r="K36" s="24" t="s">
        <v>108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2">
        <v>1</v>
      </c>
      <c r="B37" s="14"/>
      <c r="C37" s="7" t="s">
        <v>12</v>
      </c>
      <c r="D37" s="7" t="s">
        <v>18</v>
      </c>
      <c r="E37" s="70"/>
      <c r="F37" s="7"/>
      <c r="G37" s="7" t="s">
        <v>16</v>
      </c>
      <c r="H37" s="7" t="s">
        <v>22</v>
      </c>
      <c r="I37" s="7" t="s">
        <v>3</v>
      </c>
      <c r="J37" s="7" t="s">
        <v>109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2">
        <v>1</v>
      </c>
      <c r="B38" s="14"/>
      <c r="C38" s="26">
        <v>1</v>
      </c>
      <c r="D38" s="26">
        <v>5</v>
      </c>
      <c r="E38" s="40"/>
      <c r="F38" s="7"/>
      <c r="G38" s="26" cm="1">
        <f t="array" aca="1" ref="G38" ca="1">defaultValue(G37,K35)</f>
        <v>3.5</v>
      </c>
      <c r="H38" s="8"/>
      <c r="I38" s="26" cm="1">
        <f t="array" aca="1" ref="I38" ca="1">defaultValue(I37,K35)</f>
        <v>78</v>
      </c>
      <c r="J38" s="26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2">
        <v>0</v>
      </c>
      <c r="B39" s="14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2">
        <v>2</v>
      </c>
      <c r="B40" s="14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32</v>
      </c>
      <c r="J40" s="6" t="s">
        <v>172</v>
      </c>
      <c r="K40" s="6" t="s">
        <v>155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2">
        <v>0</v>
      </c>
      <c r="B41" s="14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2">
        <v>3</v>
      </c>
      <c r="B42" s="14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2">
        <v>3</v>
      </c>
      <c r="B43" s="14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2">
        <v>3</v>
      </c>
      <c r="B44" s="14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2">
        <v>3</v>
      </c>
      <c r="B45" s="14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2">
        <v>3</v>
      </c>
      <c r="B46" s="14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2">
        <v>0</v>
      </c>
      <c r="B47" s="14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2">
        <v>4</v>
      </c>
      <c r="B48" s="14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2">
        <v>0</v>
      </c>
      <c r="B49" s="14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2">
        <v>5</v>
      </c>
      <c r="B50" s="14" t="str" cm="1">
        <f t="array" aca="1" ref="B50" ca="1">visible(E35, K50)</f>
        <v>وحدة سفلية</v>
      </c>
      <c r="C50" s="18" cm="1">
        <f t="array" aca="1" ref="C50" ca="1">visible(7,K50)</f>
        <v>7</v>
      </c>
      <c r="D50" s="18" t="str" cm="1">
        <f t="array" aca="1" ref="D50" ca="1">visible((E36),K50)</f>
        <v>ظهر</v>
      </c>
      <c r="E50" s="18" t="str" cm="1">
        <f t="array" aca="1" ref="E50" ca="1">visible(("ظهر"),K50)</f>
        <v>ظهر</v>
      </c>
      <c r="F50" s="18" cm="1">
        <f t="array" aca="1" ref="F50" ca="1">visible((I38-2),K50)</f>
        <v>76</v>
      </c>
      <c r="G50" s="18" cm="1">
        <f t="array" aca="1" ref="G50" ca="1">visible((H38-2),K50)</f>
        <v>-2</v>
      </c>
      <c r="H50" s="18" cm="1">
        <f t="array" aca="1" ref="H50" ca="1">visible((C35),K50)</f>
        <v>1</v>
      </c>
      <c r="I50" s="18">
        <f ca="1">visible(materialNum(D50), K50)</f>
        <v>2</v>
      </c>
      <c r="J50" s="18">
        <f ca="1">visible(engraving(I50), K50)</f>
        <v>2</v>
      </c>
      <c r="K50" s="18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2">
        <v>255</v>
      </c>
      <c r="B51" s="14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2">
        <v>255</v>
      </c>
      <c r="B52" s="14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  <row r="53" spans="1:62" ht="35.4" customHeight="1" x14ac:dyDescent="0.3">
      <c r="A53" s="43" t="s">
        <v>127</v>
      </c>
      <c r="B53" s="14"/>
      <c r="C53" s="13">
        <v>1</v>
      </c>
      <c r="D53" s="21" t="s">
        <v>58</v>
      </c>
      <c r="E53" s="101" t="s">
        <v>153</v>
      </c>
      <c r="F53" s="102"/>
      <c r="G53" s="102"/>
      <c r="H53" s="103"/>
      <c r="I53" s="2" t="s">
        <v>29</v>
      </c>
      <c r="J53" s="2">
        <f>letterToNumber(A53)</f>
        <v>3</v>
      </c>
      <c r="K53" s="26">
        <f ca="1">_xlfn.SHEET("وحدات سفلية")</f>
        <v>4</v>
      </c>
      <c r="BB53"/>
      <c r="BC53"/>
      <c r="BD53"/>
      <c r="BE53"/>
      <c r="BF53"/>
      <c r="BG53"/>
      <c r="BH53"/>
      <c r="BI53"/>
      <c r="BJ53"/>
    </row>
    <row r="54" spans="1:62" ht="21" x14ac:dyDescent="0.3">
      <c r="A54" s="42">
        <v>1</v>
      </c>
      <c r="B54" s="14"/>
      <c r="C54" s="26" t="b" cm="1">
        <f t="array" aca="1" ref="C54" ca="1">defaultValue(D54,K53)</f>
        <v>1</v>
      </c>
      <c r="D54" s="7" t="s">
        <v>110</v>
      </c>
      <c r="E54" s="26" t="str" cm="1">
        <f t="array" aca="1" ref="E54" ca="1">defaultValue(F54,K53)</f>
        <v>ظهر</v>
      </c>
      <c r="F54" s="7" t="s">
        <v>57</v>
      </c>
      <c r="G54" s="26" t="str" cm="1">
        <f t="array" aca="1" ref="G54" ca="1">defaultValue(H54,K53)</f>
        <v>يوفيلاك</v>
      </c>
      <c r="H54" s="7" t="s">
        <v>31</v>
      </c>
      <c r="I54" s="26" t="str" cm="1">
        <f t="array" aca="1" ref="I54" ca="1">defaultValue(J54,K53)</f>
        <v>HPL</v>
      </c>
      <c r="J54" s="7" t="s">
        <v>30</v>
      </c>
      <c r="K54" s="24" t="s">
        <v>108</v>
      </c>
      <c r="BB54"/>
      <c r="BC54"/>
      <c r="BD54"/>
      <c r="BE54"/>
      <c r="BF54"/>
      <c r="BG54"/>
      <c r="BH54"/>
      <c r="BI54"/>
      <c r="BJ54"/>
    </row>
    <row r="55" spans="1:62" ht="31.2" customHeight="1" x14ac:dyDescent="0.3">
      <c r="A55" s="42">
        <v>1</v>
      </c>
      <c r="B55" s="14"/>
      <c r="C55" s="7" t="s">
        <v>120</v>
      </c>
      <c r="D55" s="7" t="s">
        <v>119</v>
      </c>
      <c r="E55" s="70" t="s">
        <v>118</v>
      </c>
      <c r="F55" s="70" t="s">
        <v>156</v>
      </c>
      <c r="G55" s="7" t="s">
        <v>16</v>
      </c>
      <c r="H55" s="7" t="s">
        <v>22</v>
      </c>
      <c r="I55" s="7" t="s">
        <v>3</v>
      </c>
      <c r="J55" s="7" t="s">
        <v>109</v>
      </c>
      <c r="K55" s="7" t="s">
        <v>19</v>
      </c>
      <c r="BB55"/>
      <c r="BC55"/>
      <c r="BD55"/>
      <c r="BE55"/>
      <c r="BF55"/>
      <c r="BG55"/>
      <c r="BH55"/>
      <c r="BI55"/>
      <c r="BJ55"/>
    </row>
    <row r="56" spans="1:62" ht="15.6" x14ac:dyDescent="0.3">
      <c r="A56" s="42">
        <v>1</v>
      </c>
      <c r="B56" s="14"/>
      <c r="C56" s="26">
        <v>1</v>
      </c>
      <c r="D56" s="26">
        <v>1</v>
      </c>
      <c r="E56" s="8">
        <v>1</v>
      </c>
      <c r="F56" s="26">
        <v>1</v>
      </c>
      <c r="G56" s="26" cm="1">
        <f t="array" aca="1" ref="G56" ca="1">defaultValue(G55,K53)</f>
        <v>3.5</v>
      </c>
      <c r="H56" s="8">
        <v>80</v>
      </c>
      <c r="I56" s="26" cm="1">
        <f t="array" aca="1" ref="I56" ca="1">defaultValue(I55,K53)</f>
        <v>78</v>
      </c>
      <c r="J56" s="26" cm="1">
        <f t="array" aca="1" ref="J56" ca="1">defaultValue(J55,K53)</f>
        <v>56</v>
      </c>
      <c r="K56" s="8" cm="1">
        <f t="array" aca="1" ref="K56" ca="1">defaultValue(K55,K53)</f>
        <v>45</v>
      </c>
      <c r="BB56"/>
      <c r="BC56"/>
      <c r="BD56"/>
      <c r="BE56"/>
      <c r="BF56"/>
      <c r="BG56"/>
      <c r="BH56"/>
      <c r="BI56"/>
      <c r="BJ56"/>
    </row>
    <row r="57" spans="1:62" ht="36.6" customHeight="1" x14ac:dyDescent="0.3">
      <c r="A57" s="42">
        <v>1</v>
      </c>
      <c r="B57" s="14"/>
      <c r="C57" s="26">
        <v>30</v>
      </c>
      <c r="D57" s="26">
        <v>20</v>
      </c>
      <c r="E57" s="40">
        <v>7</v>
      </c>
      <c r="F57" s="26">
        <v>10</v>
      </c>
      <c r="G57" s="26">
        <v>3</v>
      </c>
      <c r="H57" s="28" t="s">
        <v>121</v>
      </c>
      <c r="I57" s="26">
        <v>0</v>
      </c>
      <c r="J57" s="104" t="s">
        <v>157</v>
      </c>
      <c r="K57" s="105"/>
      <c r="BB57"/>
      <c r="BC57"/>
      <c r="BD57"/>
      <c r="BE57"/>
      <c r="BF57"/>
      <c r="BG57"/>
      <c r="BH57"/>
      <c r="BI57"/>
      <c r="BJ57"/>
    </row>
    <row r="58" spans="1:62" ht="15.6" x14ac:dyDescent="0.3">
      <c r="A58" s="42">
        <v>0</v>
      </c>
      <c r="B58" s="14"/>
      <c r="C58" s="3"/>
      <c r="D58" s="3"/>
      <c r="E58" s="3"/>
      <c r="F58" s="3"/>
      <c r="G58" s="3"/>
      <c r="H58" s="3"/>
      <c r="I58" s="3"/>
      <c r="J58" s="3"/>
      <c r="K58" s="3"/>
      <c r="BB58"/>
      <c r="BC58"/>
      <c r="BD58"/>
      <c r="BE58"/>
      <c r="BF58"/>
      <c r="BG58"/>
      <c r="BH58"/>
      <c r="BI58"/>
      <c r="BJ58"/>
    </row>
    <row r="59" spans="1:62" ht="15.6" x14ac:dyDescent="0.3">
      <c r="A59" s="42">
        <v>2</v>
      </c>
      <c r="B59" s="14"/>
      <c r="C59" s="6" t="s">
        <v>4</v>
      </c>
      <c r="D59" s="6" t="s">
        <v>9</v>
      </c>
      <c r="E59" s="6" t="s">
        <v>5</v>
      </c>
      <c r="F59" s="6" t="s">
        <v>7</v>
      </c>
      <c r="G59" s="6" t="s">
        <v>1</v>
      </c>
      <c r="H59" s="6" t="s">
        <v>6</v>
      </c>
      <c r="I59" s="6" t="s">
        <v>32</v>
      </c>
      <c r="J59" s="6" t="s">
        <v>172</v>
      </c>
      <c r="K59" s="6" t="s">
        <v>155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42">
        <v>0</v>
      </c>
      <c r="B60" s="14"/>
      <c r="K60" s="3"/>
      <c r="BB60"/>
      <c r="BC60"/>
      <c r="BD60"/>
      <c r="BE60"/>
      <c r="BF60"/>
      <c r="BG60"/>
      <c r="BH60"/>
      <c r="BI60"/>
      <c r="BJ60"/>
    </row>
    <row r="61" spans="1:62" ht="15.6" x14ac:dyDescent="0.3">
      <c r="A61" s="42">
        <v>3</v>
      </c>
      <c r="B61" s="14" t="str" cm="1">
        <f t="array" ref="B61">visible(E53, K61)</f>
        <v>وحدة سفلية ادراج</v>
      </c>
      <c r="C61" s="6">
        <f>visible(1,K61)</f>
        <v>1</v>
      </c>
      <c r="D61" s="6" t="str" cm="1">
        <f t="array" aca="1" ref="D61" ca="1">visible((I54),K61)</f>
        <v>HPL</v>
      </c>
      <c r="E61" s="6" t="str" cm="1">
        <f t="array" ref="E61">visible(("قاعدة"),K61)</f>
        <v>قاعدة</v>
      </c>
      <c r="F61" s="6" cm="1">
        <f t="array" ref="F61">visible((H56 -3.6),K61)</f>
        <v>76.400000000000006</v>
      </c>
      <c r="G61" s="6" cm="1">
        <f t="array" aca="1" ref="G61" ca="1">visible((J56),K61)</f>
        <v>56</v>
      </c>
      <c r="H61" s="6" cm="1">
        <f t="array" ref="H61">visible((C53),K61)</f>
        <v>1</v>
      </c>
      <c r="I61" s="6">
        <f t="shared" ref="I61:I75" ca="1" si="0">visible(materialNum(D61), K61)</f>
        <v>2</v>
      </c>
      <c r="J61" s="6">
        <f ca="1">visible(engraving(I61), K61)</f>
        <v>2</v>
      </c>
      <c r="K61" s="6" t="b">
        <v>1</v>
      </c>
      <c r="BB61"/>
      <c r="BC61"/>
      <c r="BD61"/>
      <c r="BE61"/>
      <c r="BF61"/>
      <c r="BG61"/>
      <c r="BH61"/>
      <c r="BI61"/>
      <c r="BJ61"/>
    </row>
    <row r="62" spans="1:62" ht="15.6" x14ac:dyDescent="0.3">
      <c r="A62" s="42">
        <v>3</v>
      </c>
      <c r="B62" s="14" t="str" cm="1">
        <f t="array" ref="B62">visible(E53, K62)</f>
        <v>وحدة سفلية ادراج</v>
      </c>
      <c r="C62" s="6">
        <f>visible(2,K62)</f>
        <v>2</v>
      </c>
      <c r="D62" s="6" t="str" cm="1">
        <f t="array" aca="1" ref="D62" ca="1">visible((I54),K62)</f>
        <v>HPL</v>
      </c>
      <c r="E62" s="6" t="str" cm="1">
        <f t="array" ref="E62">visible(("أجناب"),K62)</f>
        <v>أجناب</v>
      </c>
      <c r="F62" s="6" cm="1">
        <f t="array" aca="1" ref="F62" ca="1">visible((I56),K62)</f>
        <v>78</v>
      </c>
      <c r="G62" s="6" cm="1">
        <f t="array" aca="1" ref="G62" ca="1">visible((J56),K62)</f>
        <v>56</v>
      </c>
      <c r="H62" s="6" cm="1">
        <f t="array" ref="H62">visible((2 *C53),K62)</f>
        <v>2</v>
      </c>
      <c r="I62" s="6">
        <f t="shared" ca="1" si="0"/>
        <v>2</v>
      </c>
      <c r="J62" s="6">
        <f ca="1">visible(engraving(I62), K62)</f>
        <v>2</v>
      </c>
      <c r="K62" s="6" t="b"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42">
        <v>3</v>
      </c>
      <c r="B63" s="14" t="str" cm="1">
        <f t="array" ref="B63">visible(E53, K63)</f>
        <v>وحدة سفلية ادراج</v>
      </c>
      <c r="C63" s="6">
        <f>visible(3,K63)</f>
        <v>3</v>
      </c>
      <c r="D63" s="6" t="str" cm="1">
        <f t="array" aca="1" ref="D63" ca="1">visible((I54),K63)</f>
        <v>HPL</v>
      </c>
      <c r="E63" s="6" t="str" cm="1">
        <f t="array" ref="E63">visible(("مرايا علوية 1"),K63)</f>
        <v>مرايا علوية 1</v>
      </c>
      <c r="F63" s="6" cm="1">
        <f t="array" ref="F63">visible((H56-3.6),K63)</f>
        <v>76.400000000000006</v>
      </c>
      <c r="G63" s="6" cm="1">
        <f t="array" ref="G63">visible((10),K63)</f>
        <v>10</v>
      </c>
      <c r="H63" s="6" cm="1">
        <f t="array" ref="H63">visible((C53),K63)</f>
        <v>1</v>
      </c>
      <c r="I63" s="6">
        <f t="shared" ca="1" si="0"/>
        <v>2</v>
      </c>
      <c r="J63" s="6">
        <f ca="1">visible(engraving(I63), K63)</f>
        <v>2</v>
      </c>
      <c r="K63" s="6" t="b">
        <v>1</v>
      </c>
      <c r="BB63"/>
      <c r="BC63"/>
      <c r="BD63"/>
      <c r="BE63"/>
      <c r="BF63"/>
      <c r="BG63"/>
      <c r="BH63"/>
      <c r="BI63"/>
      <c r="BJ63"/>
    </row>
    <row r="64" spans="1:62" ht="15.6" x14ac:dyDescent="0.3">
      <c r="A64" s="42">
        <v>3</v>
      </c>
      <c r="B64" s="14" t="str" cm="1">
        <f t="array" ref="B64">visible(E53, K64)</f>
        <v>وحدة سفلية ادراج</v>
      </c>
      <c r="C64" s="6">
        <f>visible(4,K64)</f>
        <v>4</v>
      </c>
      <c r="D64" s="6" t="str" cm="1">
        <f t="array" aca="1" ref="D64" ca="1">visible((I54),K64)</f>
        <v>HPL</v>
      </c>
      <c r="E64" s="6" t="str" cm="1">
        <f t="array" ref="E64">visible(("مرايا علوية 2"),K64)</f>
        <v>مرايا علوية 2</v>
      </c>
      <c r="F64" s="6" cm="1">
        <f t="array" ref="F64">visible((H56-3.6),K64)</f>
        <v>76.400000000000006</v>
      </c>
      <c r="G64" s="6" cm="1">
        <f t="array" ref="G64">visible((7),K64)</f>
        <v>7</v>
      </c>
      <c r="H64" s="6" cm="1">
        <f t="array" ref="H64">visible((C53),K64)</f>
        <v>1</v>
      </c>
      <c r="I64" s="6">
        <f t="shared" ca="1" si="0"/>
        <v>2</v>
      </c>
      <c r="J64" s="6">
        <f ca="1">visible(engraving(I64), K64)</f>
        <v>2</v>
      </c>
      <c r="K64" s="6" t="b"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42">
        <v>3</v>
      </c>
      <c r="B65" s="14" t="str" cm="1">
        <f t="array" ref="B65">visible(E53, K65)</f>
        <v>وحدة سفلية ادراج</v>
      </c>
      <c r="C65" s="10">
        <f>visible(5,K65)</f>
        <v>5</v>
      </c>
      <c r="D65" s="10" t="str" cm="1">
        <f t="array" aca="1" ref="D65" ca="1">visible((I54),K65)</f>
        <v>HPL</v>
      </c>
      <c r="E65" s="10" t="str" cm="1">
        <f t="array" ref="E65">visible(("وش درج داخلي A"),K65)</f>
        <v>وش درج داخلي A</v>
      </c>
      <c r="F65" s="10" cm="1">
        <f t="array" ref="F65">visible((H56-3.6-3.6-2.5),K65)</f>
        <v>70.3</v>
      </c>
      <c r="G65" s="10" cm="1">
        <f t="array" ref="G65">visible((F57),K65)</f>
        <v>10</v>
      </c>
      <c r="H65" s="10" cm="1">
        <f t="array" ref="H65">visible((F56*C53),K65)</f>
        <v>1</v>
      </c>
      <c r="I65" s="10">
        <f t="shared" ca="1" si="0"/>
        <v>2</v>
      </c>
      <c r="J65" s="10">
        <f ca="1">visible(engraving(I65), K65)</f>
        <v>2</v>
      </c>
      <c r="K65" s="10" t="b">
        <f>F56&gt;0</f>
        <v>1</v>
      </c>
      <c r="BB65"/>
      <c r="BC65"/>
      <c r="BD65"/>
      <c r="BE65"/>
      <c r="BF65"/>
      <c r="BG65"/>
      <c r="BH65"/>
      <c r="BI65"/>
      <c r="BJ65"/>
    </row>
    <row r="66" spans="1:62" ht="15.6" x14ac:dyDescent="0.3">
      <c r="A66" s="42">
        <v>3</v>
      </c>
      <c r="B66" s="14" t="str">
        <f>visible(E53, K66)</f>
        <v>وحدة سفلية ادراج</v>
      </c>
      <c r="C66" s="10">
        <f>visible(6,K66)</f>
        <v>6</v>
      </c>
      <c r="D66" s="10" t="str">
        <f ca="1">visible((I54),K66)</f>
        <v>HPL</v>
      </c>
      <c r="E66" s="10" t="str" cm="1">
        <f t="array" ref="E66">visible(("جنب درج داخلي A"),K66)</f>
        <v>جنب درج داخلي A</v>
      </c>
      <c r="F66" s="10" cm="1">
        <f t="array" aca="1" ref="F66" ca="1">visible((K56),K66)</f>
        <v>45</v>
      </c>
      <c r="G66" s="10" cm="1">
        <f t="array" ref="G66">visible((F57),K66)</f>
        <v>10</v>
      </c>
      <c r="H66" s="10" cm="1">
        <f t="array" ref="H66">visible((F56*C53*2),K66)</f>
        <v>2</v>
      </c>
      <c r="I66" s="10">
        <f t="shared" ca="1" si="0"/>
        <v>2</v>
      </c>
      <c r="J66" s="10">
        <f ca="1">visible(engraving(I66), K66)</f>
        <v>2</v>
      </c>
      <c r="K66" s="10" t="b">
        <f>F56&gt;0</f>
        <v>1</v>
      </c>
      <c r="BB66"/>
      <c r="BC66"/>
      <c r="BD66"/>
      <c r="BE66"/>
      <c r="BF66"/>
      <c r="BG66"/>
      <c r="BH66"/>
      <c r="BI66"/>
      <c r="BJ66"/>
    </row>
    <row r="67" spans="1:62" ht="15.6" x14ac:dyDescent="0.3">
      <c r="A67" s="42">
        <v>3</v>
      </c>
      <c r="B67" s="14" t="str">
        <f>visible(E53, K67)</f>
        <v>وحدة سفلية ادراج</v>
      </c>
      <c r="C67" s="10">
        <f>visible(7,K67)</f>
        <v>7</v>
      </c>
      <c r="D67" s="10" t="str">
        <f ca="1">visible((I54),K67)</f>
        <v>HPL</v>
      </c>
      <c r="E67" s="10" t="str" cm="1">
        <f t="array" ref="E67">visible(("ظهر درج داخلي A"),K67)</f>
        <v>ظهر درج داخلي A</v>
      </c>
      <c r="F67" s="10" cm="1">
        <f t="array" ref="F67">visible((H56-3.6-3.6-2.5),K67)</f>
        <v>70.3</v>
      </c>
      <c r="G67" s="10" cm="1">
        <f t="array" ref="G67">visible((F57-3),K67)</f>
        <v>7</v>
      </c>
      <c r="H67" s="10" cm="1">
        <f t="array" ref="H67">visible((F56*C53),K67)</f>
        <v>1</v>
      </c>
      <c r="I67" s="10">
        <f t="shared" ca="1" si="0"/>
        <v>2</v>
      </c>
      <c r="J67" s="10">
        <f ca="1">visible(engraving(I67), K67)</f>
        <v>2</v>
      </c>
      <c r="K67" s="10" t="b">
        <f>F56&gt;0</f>
        <v>1</v>
      </c>
      <c r="BB67"/>
      <c r="BC67"/>
      <c r="BD67"/>
      <c r="BE67"/>
      <c r="BF67"/>
      <c r="BG67"/>
      <c r="BH67"/>
      <c r="BI67"/>
      <c r="BJ67"/>
    </row>
    <row r="68" spans="1:62" ht="15.6" x14ac:dyDescent="0.3">
      <c r="A68" s="42">
        <v>3</v>
      </c>
      <c r="B68" s="14" t="str">
        <f>visible(E53, K68)</f>
        <v>وحدة سفلية ادراج</v>
      </c>
      <c r="C68" s="6">
        <f>visible(8,K68)</f>
        <v>8</v>
      </c>
      <c r="D68" s="6" t="str">
        <f ca="1">visible((I54),K68)</f>
        <v>HPL</v>
      </c>
      <c r="E68" s="6" t="str" cm="1">
        <f t="array" ref="E68">visible(("وش درج داخلي 20"),K68)</f>
        <v>وش درج داخلي 20</v>
      </c>
      <c r="F68" s="6" cm="1">
        <f t="array" ref="F68">visible((H56-3.6-3.6-2.5),K68)</f>
        <v>70.3</v>
      </c>
      <c r="G68" s="6" cm="1">
        <f t="array" ref="G68">visible((D57),K68)</f>
        <v>20</v>
      </c>
      <c r="H68" s="6" cm="1">
        <f t="array" ref="H68">visible((D56*C53),K68)</f>
        <v>1</v>
      </c>
      <c r="I68" s="6">
        <f t="shared" ca="1" si="0"/>
        <v>2</v>
      </c>
      <c r="J68" s="6">
        <f ca="1">visible(engraving(I68), K68)</f>
        <v>2</v>
      </c>
      <c r="K68" s="6" t="b">
        <f>D56&gt;0</f>
        <v>1</v>
      </c>
      <c r="BB68"/>
      <c r="BC68"/>
      <c r="BD68"/>
      <c r="BE68"/>
      <c r="BF68"/>
      <c r="BG68"/>
      <c r="BH68"/>
      <c r="BI68"/>
      <c r="BJ68"/>
    </row>
    <row r="69" spans="1:62" ht="15.6" x14ac:dyDescent="0.3">
      <c r="A69" s="42">
        <v>3</v>
      </c>
      <c r="B69" s="14" t="str">
        <f>visible(E53, K69)</f>
        <v>وحدة سفلية ادراج</v>
      </c>
      <c r="C69" s="6">
        <f>visible(9,K69)</f>
        <v>9</v>
      </c>
      <c r="D69" s="6" t="str">
        <f ca="1">visible((I54),K69)</f>
        <v>HPL</v>
      </c>
      <c r="E69" s="6" t="str" cm="1">
        <f t="array" ref="E69">visible(("جنب درج داخلي 20"),K69)</f>
        <v>جنب درج داخلي 20</v>
      </c>
      <c r="F69" s="6" cm="1">
        <f t="array" aca="1" ref="F69" ca="1">visible((K56),K69)</f>
        <v>45</v>
      </c>
      <c r="G69" s="6" cm="1">
        <f t="array" ref="G69">visible((D57),K69)</f>
        <v>20</v>
      </c>
      <c r="H69" s="6" cm="1">
        <f t="array" ref="H69">visible((D56*C53*2),K69)</f>
        <v>2</v>
      </c>
      <c r="I69" s="6">
        <f t="shared" ca="1" si="0"/>
        <v>2</v>
      </c>
      <c r="J69" s="6">
        <f ca="1">visible(engraving(I69), K69)</f>
        <v>2</v>
      </c>
      <c r="K69" s="6" t="b">
        <f>D56&gt;0</f>
        <v>1</v>
      </c>
      <c r="BB69"/>
      <c r="BC69"/>
      <c r="BD69"/>
      <c r="BE69"/>
      <c r="BF69"/>
      <c r="BG69"/>
      <c r="BH69"/>
      <c r="BI69"/>
      <c r="BJ69"/>
    </row>
    <row r="70" spans="1:62" ht="15.6" x14ac:dyDescent="0.3">
      <c r="A70" s="42">
        <v>3</v>
      </c>
      <c r="B70" s="14" t="str">
        <f>visible(E53, K70)</f>
        <v>وحدة سفلية ادراج</v>
      </c>
      <c r="C70" s="6">
        <f>visible(10,K70)</f>
        <v>10</v>
      </c>
      <c r="D70" s="6" t="str">
        <f ca="1">visible((I54),K70)</f>
        <v>HPL</v>
      </c>
      <c r="E70" s="6" t="str" cm="1">
        <f t="array" ref="E70">visible(("ظهر درج داخلي 20"),K70)</f>
        <v>ظهر درج داخلي 20</v>
      </c>
      <c r="F70" s="6" cm="1">
        <f t="array" ref="F70">visible((H56-3.6-3.6-2.5),K70)</f>
        <v>70.3</v>
      </c>
      <c r="G70" s="6" cm="1">
        <f t="array" ref="G70">visible((D57-3),K70)</f>
        <v>17</v>
      </c>
      <c r="H70" s="6" cm="1">
        <f t="array" ref="H70">visible((D56*C53),K70)</f>
        <v>1</v>
      </c>
      <c r="I70" s="6">
        <f t="shared" ca="1" si="0"/>
        <v>2</v>
      </c>
      <c r="J70" s="6">
        <f ca="1">visible(engraving(I70), K70)</f>
        <v>2</v>
      </c>
      <c r="K70" s="6" t="b">
        <f>D56&gt;0</f>
        <v>1</v>
      </c>
      <c r="BB70"/>
      <c r="BC70"/>
      <c r="BD70"/>
      <c r="BE70"/>
      <c r="BF70"/>
      <c r="BG70"/>
      <c r="BH70"/>
      <c r="BI70"/>
      <c r="BJ70"/>
    </row>
    <row r="71" spans="1:62" ht="15.6" x14ac:dyDescent="0.3">
      <c r="A71" s="42">
        <v>3</v>
      </c>
      <c r="B71" s="14" t="str">
        <f>visible(E53, K71)</f>
        <v>وحدة سفلية ادراج</v>
      </c>
      <c r="C71" s="10">
        <f>visible(11,K71)</f>
        <v>11</v>
      </c>
      <c r="D71" s="10" t="str">
        <f ca="1">visible((I54),K71)</f>
        <v>HPL</v>
      </c>
      <c r="E71" s="10" t="str" cm="1">
        <f t="array" ref="E71">visible(("وش درج داخلي 30"),K71)</f>
        <v>وش درج داخلي 30</v>
      </c>
      <c r="F71" s="10" cm="1">
        <f t="array" ref="F71">visible((H56-3.6-3.6-2.5),K71)</f>
        <v>70.3</v>
      </c>
      <c r="G71" s="10" cm="1">
        <f t="array" ref="G71">visible((C57),K71)</f>
        <v>30</v>
      </c>
      <c r="H71" s="10" cm="1">
        <f t="array" ref="H71">visible((C56*C53),K71)</f>
        <v>1</v>
      </c>
      <c r="I71" s="10">
        <f t="shared" ca="1" si="0"/>
        <v>2</v>
      </c>
      <c r="J71" s="10">
        <f ca="1">visible(engraving(I71), K71)</f>
        <v>2</v>
      </c>
      <c r="K71" s="10" t="b">
        <f>C56&gt;0</f>
        <v>1</v>
      </c>
      <c r="BB71"/>
      <c r="BC71"/>
      <c r="BD71"/>
      <c r="BE71"/>
      <c r="BF71"/>
      <c r="BG71"/>
      <c r="BH71"/>
      <c r="BI71"/>
      <c r="BJ71"/>
    </row>
    <row r="72" spans="1:62" ht="15.6" x14ac:dyDescent="0.3">
      <c r="A72" s="42">
        <v>3</v>
      </c>
      <c r="B72" s="14" t="str">
        <f>visible(E53, K72)</f>
        <v>وحدة سفلية ادراج</v>
      </c>
      <c r="C72" s="10">
        <f>visible(12,K72)</f>
        <v>12</v>
      </c>
      <c r="D72" s="10" t="str">
        <f ca="1">visible((I54),K72)</f>
        <v>HPL</v>
      </c>
      <c r="E72" s="10" t="str" cm="1">
        <f t="array" ref="E72">visible(("جنب درج داخلي 30"),K72)</f>
        <v>جنب درج داخلي 30</v>
      </c>
      <c r="F72" s="10" cm="1">
        <f t="array" aca="1" ref="F72" ca="1">visible((K56),K72)</f>
        <v>45</v>
      </c>
      <c r="G72" s="10" cm="1">
        <f t="array" ref="G72">visible((C57),K72)</f>
        <v>30</v>
      </c>
      <c r="H72" s="10" cm="1">
        <f t="array" ref="H72">visible((C56*C53*2),K72)</f>
        <v>2</v>
      </c>
      <c r="I72" s="10">
        <f t="shared" ca="1" si="0"/>
        <v>2</v>
      </c>
      <c r="J72" s="10">
        <f ca="1">visible(engraving(I72), K72)</f>
        <v>2</v>
      </c>
      <c r="K72" s="10" t="b">
        <f>C56&gt;0</f>
        <v>1</v>
      </c>
      <c r="BB72"/>
      <c r="BC72"/>
      <c r="BD72"/>
      <c r="BE72"/>
      <c r="BF72"/>
      <c r="BG72"/>
      <c r="BH72"/>
      <c r="BI72"/>
      <c r="BJ72"/>
    </row>
    <row r="73" spans="1:62" ht="15.6" x14ac:dyDescent="0.3">
      <c r="A73" s="42">
        <v>3</v>
      </c>
      <c r="B73" s="14" t="str">
        <f>visible(E53, K73)</f>
        <v>وحدة سفلية ادراج</v>
      </c>
      <c r="C73" s="10">
        <f>visible(13,K73)</f>
        <v>13</v>
      </c>
      <c r="D73" s="10" t="str">
        <f ca="1">visible((I54),K73)</f>
        <v>HPL</v>
      </c>
      <c r="E73" s="10" t="str" cm="1">
        <f t="array" ref="E73">visible(("ظهر درج داخلي 30"),K73)</f>
        <v>ظهر درج داخلي 30</v>
      </c>
      <c r="F73" s="10" cm="1">
        <f t="array" ref="F73">visible((H56-3.6-3.6-2.5),K73)</f>
        <v>70.3</v>
      </c>
      <c r="G73" s="10" cm="1">
        <f t="array" ref="G73">visible((C57-3),K73)</f>
        <v>27</v>
      </c>
      <c r="H73" s="10" cm="1">
        <f t="array" ref="H73">visible((C56*C53),K73)</f>
        <v>1</v>
      </c>
      <c r="I73" s="10">
        <f t="shared" ca="1" si="0"/>
        <v>2</v>
      </c>
      <c r="J73" s="10">
        <f ca="1">visible(engraving(I73), K73)</f>
        <v>2</v>
      </c>
      <c r="K73" s="10" t="b">
        <f>C56&gt;0</f>
        <v>1</v>
      </c>
      <c r="BB73"/>
      <c r="BC73"/>
      <c r="BD73"/>
      <c r="BE73"/>
      <c r="BF73"/>
      <c r="BG73"/>
      <c r="BH73"/>
      <c r="BI73"/>
      <c r="BJ73"/>
    </row>
    <row r="74" spans="1:62" ht="15.6" x14ac:dyDescent="0.3">
      <c r="A74" s="42">
        <v>3</v>
      </c>
      <c r="B74" s="14" t="str">
        <f>visible(E53, K74)</f>
        <v>وحدة سفلية ادراج</v>
      </c>
      <c r="C74" s="6">
        <f>visible(14,K74)</f>
        <v>14</v>
      </c>
      <c r="D74" s="6" t="str">
        <f ca="1">visible((I54),K74)</f>
        <v>HPL</v>
      </c>
      <c r="E74" s="6" t="str" cm="1">
        <f t="array" ref="E74">visible(("وش / ظهر درج تربو"),K74)</f>
        <v>وش / ظهر درج تربو</v>
      </c>
      <c r="F74" s="6" cm="1">
        <f t="array" ref="F74">visible((H56-3.6-3.6-2.5),K74)</f>
        <v>70.3</v>
      </c>
      <c r="G74" s="6" cm="1">
        <f t="array" ref="G74">visible((E57),K74)</f>
        <v>7</v>
      </c>
      <c r="H74" s="6" cm="1">
        <f t="array" ref="H74">visible((E56*C53*2),K74)</f>
        <v>2</v>
      </c>
      <c r="I74" s="6">
        <f t="shared" ca="1" si="0"/>
        <v>2</v>
      </c>
      <c r="J74" s="6">
        <f ca="1">visible(engraving(I74), K74)</f>
        <v>2</v>
      </c>
      <c r="K74" s="6" t="b">
        <f>E56&gt;0</f>
        <v>1</v>
      </c>
      <c r="BB74"/>
      <c r="BC74"/>
      <c r="BD74"/>
      <c r="BE74"/>
      <c r="BF74"/>
      <c r="BG74"/>
      <c r="BH74"/>
      <c r="BI74"/>
      <c r="BJ74"/>
    </row>
    <row r="75" spans="1:62" ht="15.6" x14ac:dyDescent="0.3">
      <c r="A75" s="42">
        <v>3</v>
      </c>
      <c r="B75" s="14" t="str">
        <f>visible(E53, K75)</f>
        <v>وحدة سفلية ادراج</v>
      </c>
      <c r="C75" s="6">
        <f>visible(15,K75)</f>
        <v>15</v>
      </c>
      <c r="D75" s="6" t="str">
        <f ca="1">visible((I54),K75)</f>
        <v>HPL</v>
      </c>
      <c r="E75" s="6" t="str" cm="1">
        <f t="array" ref="E75">visible(("جنب درج تربو"),K75)</f>
        <v>جنب درج تربو</v>
      </c>
      <c r="F75" s="6" cm="1">
        <f t="array" aca="1" ref="F75" ca="1">visible((K56),K75)</f>
        <v>45</v>
      </c>
      <c r="G75" s="6" cm="1">
        <f t="array" ref="G75">visible((E57),K75)</f>
        <v>7</v>
      </c>
      <c r="H75" s="6" cm="1">
        <f t="array" ref="H75">visible((E56*C53*2),K75)</f>
        <v>2</v>
      </c>
      <c r="I75" s="6">
        <f t="shared" ca="1" si="0"/>
        <v>2</v>
      </c>
      <c r="J75" s="6">
        <f ca="1">visible(engraving(I75), K75)</f>
        <v>2</v>
      </c>
      <c r="K75" s="6" t="b">
        <f>E56&gt;0</f>
        <v>1</v>
      </c>
      <c r="BB75"/>
      <c r="BC75"/>
      <c r="BD75"/>
      <c r="BE75"/>
      <c r="BF75"/>
      <c r="BG75"/>
      <c r="BH75"/>
      <c r="BI75"/>
      <c r="BJ75"/>
    </row>
    <row r="76" spans="1:62" ht="15.6" x14ac:dyDescent="0.3">
      <c r="A76" s="42">
        <v>0</v>
      </c>
      <c r="B76" s="14"/>
      <c r="C76" s="3"/>
      <c r="D76" s="3"/>
      <c r="E76" s="3"/>
      <c r="F76" s="3"/>
      <c r="G76" s="3"/>
      <c r="H76" s="3"/>
      <c r="I76" s="3"/>
      <c r="J76" s="3"/>
      <c r="K76" s="3"/>
      <c r="BB76"/>
      <c r="BC76"/>
      <c r="BD76"/>
      <c r="BE76"/>
      <c r="BF76"/>
      <c r="BG76"/>
      <c r="BH76"/>
      <c r="BI76"/>
      <c r="BJ76"/>
    </row>
    <row r="77" spans="1:62" ht="15.6" x14ac:dyDescent="0.3">
      <c r="A77" s="42">
        <v>4</v>
      </c>
      <c r="B77" s="14" t="str" cm="1">
        <f t="array" ref="B77">visible(E53, K77)</f>
        <v>وحدة سفلية ادراج</v>
      </c>
      <c r="C77" s="9">
        <f>visible(16,K77)</f>
        <v>16</v>
      </c>
      <c r="D77" s="9" t="str" cm="1">
        <f t="array" aca="1" ref="D77" ca="1">visible((G54),K77)</f>
        <v>يوفيلاك</v>
      </c>
      <c r="E77" s="9" t="str" cm="1">
        <f t="array" ref="E77">visible(("وش درج خارجى2/3  متساوية"),K77)</f>
        <v>وش درج خارجى2/3  متساوية</v>
      </c>
      <c r="F77" s="9" cm="1">
        <f t="array" aca="1" ref="F77" ca="1">visible(((I56/G57)-0.5-G56),K77)</f>
        <v>22</v>
      </c>
      <c r="G77" s="9" cm="1">
        <f t="array" ref="G77">visible((H56-0.5),K77)</f>
        <v>79.5</v>
      </c>
      <c r="H77" s="9" cm="1">
        <f t="array" ref="H77">visible((C53*G57),K77)</f>
        <v>3</v>
      </c>
      <c r="I77" s="9">
        <f ca="1">visible(materialNum(D77), K77)</f>
        <v>6</v>
      </c>
      <c r="J77" s="9">
        <f ca="1">visible(engraving(I77), K77)</f>
        <v>2</v>
      </c>
      <c r="K77" s="9" t="b">
        <f>G57&lt;=3</f>
        <v>1</v>
      </c>
      <c r="BB77"/>
      <c r="BC77"/>
      <c r="BD77"/>
      <c r="BE77"/>
      <c r="BF77"/>
      <c r="BG77"/>
      <c r="BH77"/>
      <c r="BI77"/>
      <c r="BJ77"/>
    </row>
    <row r="78" spans="1:62" ht="15.6" x14ac:dyDescent="0.3">
      <c r="A78" s="42">
        <v>4</v>
      </c>
      <c r="B78" s="14" t="str">
        <f>visible(E53, K78)</f>
        <v/>
      </c>
      <c r="C78" s="9" t="str">
        <f>visible(17,K78)</f>
        <v/>
      </c>
      <c r="D78" s="9" t="str">
        <f ca="1">visible((G54),K78)</f>
        <v/>
      </c>
      <c r="E78" s="9" t="str" cm="1">
        <f t="array" ref="E78">visible(("وش درج خارجى 4 متساوية"),K78)</f>
        <v/>
      </c>
      <c r="F78" s="9" t="str" cm="1">
        <f t="array" aca="1" ref="F78" ca="1">visible(((I56/G57)-0.5-G56),K78)</f>
        <v/>
      </c>
      <c r="G78" s="9" t="str" cm="1">
        <f t="array" ref="G78">visible((H56-0.5),K78)</f>
        <v/>
      </c>
      <c r="H78" s="9" t="str">
        <f>visible(G57*I57,K78)</f>
        <v/>
      </c>
      <c r="I78" s="9" t="str">
        <f ca="1">visible(materialNum(D78), K78)</f>
        <v/>
      </c>
      <c r="J78" s="9" t="str">
        <f ca="1">visible(engraving(I78), K78)</f>
        <v/>
      </c>
      <c r="K78" s="9" t="b">
        <f>AND(G57=4,I57)</f>
        <v>0</v>
      </c>
      <c r="BB78"/>
      <c r="BC78"/>
      <c r="BD78"/>
      <c r="BE78"/>
      <c r="BF78"/>
      <c r="BG78"/>
      <c r="BH78"/>
      <c r="BI78"/>
      <c r="BJ78"/>
    </row>
    <row r="79" spans="1:62" ht="15.6" x14ac:dyDescent="0.3">
      <c r="A79" s="42">
        <v>4</v>
      </c>
      <c r="B79" s="14" t="str">
        <f>visible(E53, K79)</f>
        <v/>
      </c>
      <c r="C79" s="9" t="str">
        <f>visible(18,K79)</f>
        <v/>
      </c>
      <c r="D79" s="9" t="str">
        <f ca="1">visible((G54),K79)</f>
        <v/>
      </c>
      <c r="E79" s="9" t="str" cm="1">
        <f t="array" ref="E79">visible(("وش درج خارجى صغير- 3 مختلفة"),K79)</f>
        <v/>
      </c>
      <c r="F79" s="9" t="str" cm="1">
        <f t="array" aca="1" ref="F79" ca="1">visible(((I56/G57)-0.5-G56),K79)</f>
        <v/>
      </c>
      <c r="G79" s="9" t="str" cm="1">
        <f t="array" ref="G79">visible((H56-0.5),K79)</f>
        <v/>
      </c>
      <c r="H79" s="9" t="str">
        <f>visible(G57*I57,K79)</f>
        <v/>
      </c>
      <c r="I79" s="9" t="str">
        <f ca="1">visible(materialNum(D79), K79)</f>
        <v/>
      </c>
      <c r="J79" s="9" t="str">
        <f ca="1">visible(engraving(I79), K79)</f>
        <v/>
      </c>
      <c r="K79" s="9" t="b">
        <f>AND(G57=4,NOT(I57))</f>
        <v>0</v>
      </c>
      <c r="BB79"/>
      <c r="BC79"/>
      <c r="BD79"/>
      <c r="BE79"/>
      <c r="BF79"/>
      <c r="BG79"/>
      <c r="BH79"/>
      <c r="BI79"/>
      <c r="BJ79"/>
    </row>
    <row r="80" spans="1:62" ht="15.6" x14ac:dyDescent="0.3">
      <c r="A80" s="42">
        <v>4</v>
      </c>
      <c r="B80" s="14" t="str">
        <f>visible(E53, K80)</f>
        <v/>
      </c>
      <c r="C80" s="9" t="str">
        <f>visible(19,K80)</f>
        <v/>
      </c>
      <c r="D80" s="9" t="str">
        <f ca="1">visible((G54),K80)</f>
        <v/>
      </c>
      <c r="E80" s="9" t="str" cm="1">
        <f t="array" ref="E80">visible(("وش درج خارجى كبير- 3 مختلفة"),K80)</f>
        <v/>
      </c>
      <c r="F80" s="9" t="str" cm="1">
        <f t="array" aca="1" ref="F80" ca="1">visible((((I56/G57)*2)-0.5-G56),K80)</f>
        <v/>
      </c>
      <c r="G80" s="9" t="str" cm="1">
        <f t="array" ref="G80">visible((H56-0.5),K80)</f>
        <v/>
      </c>
      <c r="H80" s="9" t="str">
        <f>visible(G57*I57,K80)</f>
        <v/>
      </c>
      <c r="I80" s="9" t="str">
        <f ca="1">visible(materialNum(D80), K80)</f>
        <v/>
      </c>
      <c r="J80" s="9" t="str">
        <f ca="1">visible(engraving(I80), K80)</f>
        <v/>
      </c>
      <c r="K80" s="9" t="b">
        <f>AND(G57=4,NOT(I57))</f>
        <v>0</v>
      </c>
      <c r="BB80"/>
      <c r="BC80"/>
      <c r="BD80"/>
      <c r="BE80"/>
      <c r="BF80"/>
      <c r="BG80"/>
      <c r="BH80"/>
      <c r="BI80"/>
      <c r="BJ80"/>
    </row>
    <row r="81" spans="1:62" ht="15.6" x14ac:dyDescent="0.3">
      <c r="A81" s="42">
        <v>0</v>
      </c>
      <c r="B81" s="14"/>
      <c r="K81" s="3"/>
      <c r="BB81"/>
      <c r="BC81"/>
      <c r="BD81"/>
      <c r="BE81"/>
      <c r="BF81"/>
      <c r="BG81"/>
      <c r="BH81"/>
      <c r="BI81"/>
      <c r="BJ81"/>
    </row>
    <row r="82" spans="1:62" ht="15.6" x14ac:dyDescent="0.3">
      <c r="A82" s="42">
        <v>5</v>
      </c>
      <c r="B82" s="14" t="str" cm="1">
        <f t="array" aca="1" ref="B82" ca="1">visible(E53, K82)</f>
        <v>وحدة سفلية ادراج</v>
      </c>
      <c r="C82" s="18">
        <f ca="1">visible(20,K82)</f>
        <v>20</v>
      </c>
      <c r="D82" s="18" t="str" cm="1">
        <f t="array" aca="1" ref="D82" ca="1">visible((E54),K82)</f>
        <v>ظهر</v>
      </c>
      <c r="E82" s="18" t="str" cm="1">
        <f t="array" aca="1" ref="E82" ca="1">visible(("ظهر"),K82)</f>
        <v>ظهر</v>
      </c>
      <c r="F82" s="18" cm="1">
        <f t="array" aca="1" ref="F82" ca="1">visible((I56-2),K82)</f>
        <v>76</v>
      </c>
      <c r="G82" s="18" cm="1">
        <f t="array" aca="1" ref="G82" ca="1">visible((H56-2),K82)</f>
        <v>78</v>
      </c>
      <c r="H82" s="18" cm="1">
        <f t="array" aca="1" ref="H82" ca="1">visible((C53),K82)</f>
        <v>1</v>
      </c>
      <c r="I82" s="18">
        <f ca="1">visible(materialNum(D82), K82)</f>
        <v>2</v>
      </c>
      <c r="J82" s="18">
        <f ca="1">visible(engraving(I82), K82)</f>
        <v>2</v>
      </c>
      <c r="K82" s="18" t="b">
        <f ca="1">C54</f>
        <v>1</v>
      </c>
      <c r="BB82"/>
      <c r="BC82"/>
      <c r="BD82"/>
      <c r="BE82"/>
      <c r="BF82"/>
      <c r="BG82"/>
      <c r="BH82"/>
      <c r="BI82"/>
      <c r="BJ82"/>
    </row>
    <row r="83" spans="1:62" ht="15.6" x14ac:dyDescent="0.3">
      <c r="A83" s="42">
        <v>5</v>
      </c>
      <c r="B83" s="14" t="str">
        <f>visible(E53, K83)</f>
        <v>وحدة سفلية ادراج</v>
      </c>
      <c r="C83" s="18">
        <f>visible(21,K83)</f>
        <v>21</v>
      </c>
      <c r="D83" s="18" t="str">
        <f ca="1">visible((E54),K83)</f>
        <v>ظهر</v>
      </c>
      <c r="E83" s="18" t="str" cm="1">
        <f t="array" ref="E83">visible(("قعر درج داخلي"),K83)</f>
        <v>قعر درج داخلي</v>
      </c>
      <c r="F83" s="18" cm="1">
        <f t="array" ref="F83">visible((H56-3.6-3.6-2.5+2),K83)</f>
        <v>72.3</v>
      </c>
      <c r="G83" s="18" cm="1">
        <f t="array" aca="1" ref="G83" ca="1">visible((K56-1),K83)</f>
        <v>44</v>
      </c>
      <c r="H83" s="18">
        <f>visible(C53*F56,K83)</f>
        <v>1</v>
      </c>
      <c r="I83" s="18">
        <f ca="1">visible(materialNum(D83), K83)</f>
        <v>2</v>
      </c>
      <c r="J83" s="18">
        <f ca="1">visible(engraving(I83), K83)</f>
        <v>2</v>
      </c>
      <c r="K83" s="18" t="b">
        <f>F56&gt;0</f>
        <v>1</v>
      </c>
      <c r="BB83"/>
      <c r="BC83"/>
      <c r="BD83"/>
      <c r="BE83"/>
      <c r="BF83"/>
      <c r="BG83"/>
      <c r="BH83"/>
      <c r="BI83"/>
      <c r="BJ83"/>
    </row>
    <row r="84" spans="1:62" ht="15.6" x14ac:dyDescent="0.3">
      <c r="A84" s="42">
        <v>5</v>
      </c>
      <c r="B84" s="14" t="str">
        <f>visible(E53, K84)</f>
        <v>وحدة سفلية ادراج</v>
      </c>
      <c r="C84" s="18">
        <f>visible(22,K84)</f>
        <v>22</v>
      </c>
      <c r="D84" s="18" t="str">
        <f ca="1">visible((E54),K84)</f>
        <v>ظهر</v>
      </c>
      <c r="E84" s="18" t="str" cm="1">
        <f t="array" ref="E84">visible(("قعر درج 30"),K84)</f>
        <v>قعر درج 30</v>
      </c>
      <c r="F84" s="18" cm="1">
        <f t="array" ref="F84">visible((H56-3.6-3.6-2.5+2),K84)</f>
        <v>72.3</v>
      </c>
      <c r="G84" s="18" cm="1">
        <f t="array" aca="1" ref="G84" ca="1">visible((K56-1),K84)</f>
        <v>44</v>
      </c>
      <c r="H84" s="18">
        <f>visible(C53*C56,K84)</f>
        <v>1</v>
      </c>
      <c r="I84" s="18">
        <f ca="1">visible(materialNum(D84), K84)</f>
        <v>2</v>
      </c>
      <c r="J84" s="18">
        <f ca="1">visible(engraving(I84), K84)</f>
        <v>2</v>
      </c>
      <c r="K84" s="18" t="b">
        <f>C56&gt;0</f>
        <v>1</v>
      </c>
      <c r="BB84"/>
      <c r="BC84"/>
      <c r="BD84"/>
      <c r="BE84"/>
      <c r="BF84"/>
      <c r="BG84"/>
      <c r="BH84"/>
      <c r="BI84"/>
      <c r="BJ84"/>
    </row>
    <row r="85" spans="1:62" ht="15.6" x14ac:dyDescent="0.3">
      <c r="A85" s="42">
        <v>5</v>
      </c>
      <c r="B85" s="14" t="str">
        <f>visible(E53, K85)</f>
        <v>وحدة سفلية ادراج</v>
      </c>
      <c r="C85" s="18">
        <f>visible(23,K85)</f>
        <v>23</v>
      </c>
      <c r="D85" s="18" t="str">
        <f ca="1">visible((E54),K85)</f>
        <v>ظهر</v>
      </c>
      <c r="E85" s="18" t="str" cm="1">
        <f t="array" ref="E85">visible(("قعر درج 20"),K85)</f>
        <v>قعر درج 20</v>
      </c>
      <c r="F85" s="18" cm="1">
        <f t="array" ref="F85">visible((H56-3.6-3.6-2.5+2),K85)</f>
        <v>72.3</v>
      </c>
      <c r="G85" s="18" cm="1">
        <f t="array" aca="1" ref="G85" ca="1">visible((K56-1),K85)</f>
        <v>44</v>
      </c>
      <c r="H85" s="18">
        <f>visible(C53*D56,K85)</f>
        <v>1</v>
      </c>
      <c r="I85" s="18">
        <f ca="1">visible(materialNum(D85), K85)</f>
        <v>2</v>
      </c>
      <c r="J85" s="18">
        <f ca="1">visible(engraving(I85), K85)</f>
        <v>2</v>
      </c>
      <c r="K85" s="18" t="b">
        <f>D56&gt;0</f>
        <v>1</v>
      </c>
      <c r="BB85"/>
      <c r="BC85"/>
      <c r="BD85"/>
      <c r="BE85"/>
      <c r="BF85"/>
      <c r="BG85"/>
      <c r="BH85"/>
      <c r="BI85"/>
      <c r="BJ85"/>
    </row>
    <row r="86" spans="1:62" ht="15.6" x14ac:dyDescent="0.3">
      <c r="A86" s="42">
        <v>255</v>
      </c>
      <c r="B86" s="14"/>
      <c r="C86"/>
      <c r="D86"/>
      <c r="E86"/>
      <c r="F86"/>
      <c r="G86"/>
      <c r="H86"/>
      <c r="I86"/>
      <c r="J86"/>
      <c r="K86"/>
      <c r="BB86"/>
      <c r="BC86"/>
      <c r="BD86"/>
      <c r="BE86"/>
      <c r="BF86"/>
      <c r="BG86"/>
      <c r="BH86"/>
      <c r="BI86"/>
      <c r="BJ86"/>
    </row>
    <row r="87" spans="1:62" ht="15.6" x14ac:dyDescent="0.3">
      <c r="A87" s="42">
        <v>255</v>
      </c>
      <c r="B87" s="14"/>
      <c r="C87"/>
      <c r="D87"/>
      <c r="E87"/>
      <c r="F87"/>
      <c r="G87"/>
      <c r="H87"/>
      <c r="I87"/>
      <c r="J87"/>
      <c r="K87"/>
      <c r="BB87"/>
      <c r="BC87"/>
      <c r="BD87"/>
      <c r="BE87"/>
      <c r="BF87"/>
      <c r="BG87"/>
      <c r="BH87"/>
      <c r="BI87"/>
      <c r="BJ87"/>
    </row>
    <row r="88" spans="1:62" ht="39" customHeight="1" x14ac:dyDescent="0.3">
      <c r="A88" s="43" t="s">
        <v>132</v>
      </c>
      <c r="B88" s="14"/>
      <c r="C88" s="13">
        <v>1</v>
      </c>
      <c r="D88" s="21" t="s">
        <v>58</v>
      </c>
      <c r="E88" s="101" t="s">
        <v>158</v>
      </c>
      <c r="F88" s="102"/>
      <c r="G88" s="102"/>
      <c r="H88" s="103"/>
      <c r="I88" s="2" t="s">
        <v>29</v>
      </c>
      <c r="J88" s="2">
        <f>letterToNumber(A88)</f>
        <v>4</v>
      </c>
      <c r="K88" s="26">
        <f ca="1">_xlfn.SHEET("وحدات سفلية")</f>
        <v>4</v>
      </c>
      <c r="BB88"/>
      <c r="BC88"/>
      <c r="BD88"/>
      <c r="BE88"/>
      <c r="BF88"/>
      <c r="BG88"/>
      <c r="BH88"/>
      <c r="BI88"/>
      <c r="BJ88"/>
    </row>
    <row r="89" spans="1:62" ht="21" x14ac:dyDescent="0.3">
      <c r="A89" s="42">
        <v>1</v>
      </c>
      <c r="B89" s="14"/>
      <c r="C89" s="26" t="b" cm="1">
        <f t="array" aca="1" ref="C89" ca="1">defaultValue(D89,K88)</f>
        <v>1</v>
      </c>
      <c r="D89" s="70" t="s">
        <v>110</v>
      </c>
      <c r="E89" s="26" t="str" cm="1">
        <f t="array" aca="1" ref="E89" ca="1">defaultValue(F89,K88)</f>
        <v>ظهر</v>
      </c>
      <c r="F89" s="7" t="s">
        <v>57</v>
      </c>
      <c r="G89" s="26" t="str" cm="1">
        <f t="array" aca="1" ref="G89" ca="1">defaultValue(H89,K88)</f>
        <v>يوفيلاك</v>
      </c>
      <c r="H89" s="7" t="s">
        <v>31</v>
      </c>
      <c r="I89" s="26" t="str" cm="1">
        <f t="array" aca="1" ref="I89" ca="1">defaultValue(J89,K88)</f>
        <v>HPL</v>
      </c>
      <c r="J89" s="7" t="s">
        <v>30</v>
      </c>
      <c r="K89" s="24" t="s">
        <v>108</v>
      </c>
    </row>
    <row r="90" spans="1:62" ht="15.6" x14ac:dyDescent="0.3">
      <c r="A90" s="42">
        <v>1</v>
      </c>
      <c r="B90" s="14"/>
      <c r="C90" s="7" t="s">
        <v>12</v>
      </c>
      <c r="D90" s="7" t="s">
        <v>18</v>
      </c>
      <c r="E90" s="70" t="s">
        <v>23</v>
      </c>
      <c r="F90" s="7"/>
      <c r="G90" s="7" t="s">
        <v>16</v>
      </c>
      <c r="H90" s="7" t="s">
        <v>22</v>
      </c>
      <c r="I90" s="7" t="s">
        <v>3</v>
      </c>
      <c r="J90" s="7" t="s">
        <v>109</v>
      </c>
      <c r="K90" s="7"/>
    </row>
    <row r="91" spans="1:62" ht="15.6" x14ac:dyDescent="0.3">
      <c r="A91" s="42">
        <v>1</v>
      </c>
      <c r="B91" s="14"/>
      <c r="C91" s="26">
        <v>1</v>
      </c>
      <c r="D91" s="26">
        <v>1</v>
      </c>
      <c r="E91" s="40">
        <f ca="1">J91</f>
        <v>56</v>
      </c>
      <c r="F91" s="7"/>
      <c r="G91" s="26" cm="1">
        <f t="array" aca="1" ref="G91" ca="1">defaultValue(G90,K88)</f>
        <v>3.5</v>
      </c>
      <c r="H91" s="8">
        <v>100</v>
      </c>
      <c r="I91" s="26" cm="1">
        <f t="array" aca="1" ref="I91" ca="1">defaultValue(I90,K88)</f>
        <v>78</v>
      </c>
      <c r="J91" s="26" cm="1">
        <f t="array" aca="1" ref="J91" ca="1">defaultValue(J90,K88)</f>
        <v>56</v>
      </c>
      <c r="K91" s="7"/>
    </row>
    <row r="92" spans="1:62" ht="15.6" x14ac:dyDescent="0.3">
      <c r="A92" s="42">
        <v>0</v>
      </c>
      <c r="B92" s="14"/>
      <c r="C92" s="3"/>
      <c r="D92" s="3"/>
      <c r="E92" s="3"/>
      <c r="F92" s="3"/>
      <c r="G92" s="3"/>
      <c r="H92" s="3"/>
      <c r="I92" s="3"/>
      <c r="J92" s="3"/>
      <c r="K92" s="3"/>
    </row>
    <row r="93" spans="1:62" ht="15.6" x14ac:dyDescent="0.3">
      <c r="A93" s="42">
        <v>2</v>
      </c>
      <c r="B93" s="14"/>
      <c r="C93" s="6" t="s">
        <v>4</v>
      </c>
      <c r="D93" s="6" t="s">
        <v>9</v>
      </c>
      <c r="E93" s="6" t="s">
        <v>5</v>
      </c>
      <c r="F93" s="6" t="s">
        <v>7</v>
      </c>
      <c r="G93" s="6" t="s">
        <v>1</v>
      </c>
      <c r="H93" s="6" t="s">
        <v>6</v>
      </c>
      <c r="I93" s="6" t="s">
        <v>32</v>
      </c>
      <c r="J93" s="6" t="s">
        <v>172</v>
      </c>
      <c r="K93" s="6" t="s">
        <v>155</v>
      </c>
    </row>
    <row r="94" spans="1:62" ht="15.6" x14ac:dyDescent="0.3">
      <c r="A94" s="42">
        <v>0</v>
      </c>
      <c r="B94" s="14"/>
      <c r="K94" s="3"/>
    </row>
    <row r="95" spans="1:62" ht="15.6" x14ac:dyDescent="0.3">
      <c r="A95" s="42">
        <v>3</v>
      </c>
      <c r="B95" s="14" t="str" cm="1">
        <f t="array" ref="B95">visible(E88, K95)</f>
        <v>وحدة سفلية تلبيسة دلفة/ دلفتين</v>
      </c>
      <c r="C95" s="6">
        <f>visible(1,K95)</f>
        <v>1</v>
      </c>
      <c r="D95" s="6" t="str" cm="1">
        <f t="array" aca="1" ref="D95" ca="1">visible((I89),K95)</f>
        <v>HPL</v>
      </c>
      <c r="E95" s="6" t="str" cm="1">
        <f t="array" ref="E95">visible(("قاعدة"),K95)</f>
        <v>قاعدة</v>
      </c>
      <c r="F95" s="6" cm="1">
        <f t="array" ref="F95">visible((H91 -3.6),K95)</f>
        <v>96.4</v>
      </c>
      <c r="G95" s="6" cm="1">
        <f t="array" aca="1" ref="G95" ca="1">visible((J91),K95)</f>
        <v>56</v>
      </c>
      <c r="H95" s="6" cm="1">
        <f t="array" ref="H95">visible((C88),K95)</f>
        <v>1</v>
      </c>
      <c r="I95" s="6">
        <f t="shared" ref="I95:I100" ca="1" si="1">visible(materialNum(D95), K95)</f>
        <v>2</v>
      </c>
      <c r="J95" s="6">
        <f ca="1">visible(engraving(I95), K95)</f>
        <v>2</v>
      </c>
      <c r="K95" s="6" t="b">
        <v>1</v>
      </c>
    </row>
    <row r="96" spans="1:62" ht="15.6" x14ac:dyDescent="0.3">
      <c r="A96" s="42">
        <v>3</v>
      </c>
      <c r="B96" s="14" t="str" cm="1">
        <f t="array" ref="B96">visible(E88, K96)</f>
        <v>وحدة سفلية تلبيسة دلفة/ دلفتين</v>
      </c>
      <c r="C96" s="6">
        <f>visible(2,K96)</f>
        <v>2</v>
      </c>
      <c r="D96" s="6" t="str" cm="1">
        <f t="array" aca="1" ref="D96" ca="1">visible((I89),K96)</f>
        <v>HPL</v>
      </c>
      <c r="E96" s="6" t="str" cm="1">
        <f t="array" ref="E96">visible(("أجناب"),K96)</f>
        <v>أجناب</v>
      </c>
      <c r="F96" s="6" cm="1">
        <f t="array" aca="1" ref="F96" ca="1">visible((I91),K96)</f>
        <v>78</v>
      </c>
      <c r="G96" s="6" cm="1">
        <f t="array" aca="1" ref="G96" ca="1">visible((J91),K96)</f>
        <v>56</v>
      </c>
      <c r="H96" s="6" cm="1">
        <f t="array" ref="H96">visible((2 *C88),K96)</f>
        <v>2</v>
      </c>
      <c r="I96" s="6">
        <f t="shared" ca="1" si="1"/>
        <v>2</v>
      </c>
      <c r="J96" s="6">
        <f ca="1">visible(engraving(I96), K96)</f>
        <v>2</v>
      </c>
      <c r="K96" s="6" t="b">
        <v>1</v>
      </c>
    </row>
    <row r="97" spans="1:11" ht="15.6" x14ac:dyDescent="0.3">
      <c r="A97" s="42">
        <v>3</v>
      </c>
      <c r="B97" s="14" t="str" cm="1">
        <f t="array" ref="B97">visible(E88, K97)</f>
        <v>وحدة سفلية تلبيسة دلفة/ دلفتين</v>
      </c>
      <c r="C97" s="6">
        <f>visible(3,K97)</f>
        <v>3</v>
      </c>
      <c r="D97" s="6" t="str" cm="1">
        <f t="array" aca="1" ref="D97" ca="1">visible((I89),K97)</f>
        <v>HPL</v>
      </c>
      <c r="E97" s="6" t="str" cm="1">
        <f t="array" ref="E97">visible(("مرايا علوية 1"),K97)</f>
        <v>مرايا علوية 1</v>
      </c>
      <c r="F97" s="6" cm="1">
        <f t="array" ref="F97">visible((H91-3.6),K97)</f>
        <v>96.4</v>
      </c>
      <c r="G97" s="6" cm="1">
        <f t="array" ref="G97">visible((10),K97)</f>
        <v>10</v>
      </c>
      <c r="H97" s="6" cm="1">
        <f t="array" ref="H97">visible((C88),K97)</f>
        <v>1</v>
      </c>
      <c r="I97" s="6">
        <f t="shared" ca="1" si="1"/>
        <v>2</v>
      </c>
      <c r="J97" s="6">
        <f ca="1">visible(engraving(I97), K97)</f>
        <v>2</v>
      </c>
      <c r="K97" s="6" t="b">
        <v>1</v>
      </c>
    </row>
    <row r="98" spans="1:11" ht="15.6" x14ac:dyDescent="0.3">
      <c r="A98" s="42">
        <v>3</v>
      </c>
      <c r="B98" s="14" t="str" cm="1">
        <f t="array" ref="B98">visible(E88, K98)</f>
        <v>وحدة سفلية تلبيسة دلفة/ دلفتين</v>
      </c>
      <c r="C98" s="6">
        <f>visible(4,K98)</f>
        <v>4</v>
      </c>
      <c r="D98" s="6" t="str" cm="1">
        <f t="array" aca="1" ref="D98" ca="1">visible((I89),K98)</f>
        <v>HPL</v>
      </c>
      <c r="E98" s="6" t="str" cm="1">
        <f t="array" ref="E98">visible(("مرايا علوية 2"),K98)</f>
        <v>مرايا علوية 2</v>
      </c>
      <c r="F98" s="6" cm="1">
        <f t="array" ref="F98">visible((H91-3.6),K98)</f>
        <v>96.4</v>
      </c>
      <c r="G98" s="6" cm="1">
        <f t="array" ref="G98">visible((7),K98)</f>
        <v>7</v>
      </c>
      <c r="H98" s="6" cm="1">
        <f t="array" ref="H98">visible((C88),K98)</f>
        <v>1</v>
      </c>
      <c r="I98" s="6">
        <f t="shared" ca="1" si="1"/>
        <v>2</v>
      </c>
      <c r="J98" s="6">
        <f ca="1">visible(engraving(I98), K98)</f>
        <v>2</v>
      </c>
      <c r="K98" s="6" t="b">
        <v>1</v>
      </c>
    </row>
    <row r="99" spans="1:11" ht="15.6" x14ac:dyDescent="0.3">
      <c r="A99" s="42">
        <v>3</v>
      </c>
      <c r="B99" s="14" t="str" cm="1">
        <f t="array" ref="B99">visible(E88, K99)</f>
        <v>وحدة سفلية تلبيسة دلفة/ دلفتين</v>
      </c>
      <c r="C99" s="6">
        <f>visible(5,K99)</f>
        <v>5</v>
      </c>
      <c r="D99" s="6" t="str" cm="1">
        <f t="array" aca="1" ref="D99" ca="1">visible((I89),K99)</f>
        <v>HPL</v>
      </c>
      <c r="E99" s="6" t="str" cm="1">
        <f t="array" ref="E99">visible(("رف"),K99)</f>
        <v>رف</v>
      </c>
      <c r="F99" s="6" cm="1">
        <f t="array" ref="F99">visible((H91-3.8),K99)</f>
        <v>96.2</v>
      </c>
      <c r="G99" s="6" cm="1">
        <f t="array" aca="1" ref="G99" ca="1">visible((J91-6),K99)</f>
        <v>50</v>
      </c>
      <c r="H99" s="6" cm="1">
        <f t="array" ref="H99">visible((D91*C88),K99)</f>
        <v>1</v>
      </c>
      <c r="I99" s="6">
        <f t="shared" ca="1" si="1"/>
        <v>2</v>
      </c>
      <c r="J99" s="6">
        <f ca="1">visible(engraving(I99), K99)</f>
        <v>2</v>
      </c>
      <c r="K99" s="6" t="b">
        <v>1</v>
      </c>
    </row>
    <row r="100" spans="1:11" ht="15.6" x14ac:dyDescent="0.3">
      <c r="A100" s="42">
        <v>3</v>
      </c>
      <c r="B100" s="14" t="str">
        <f>visible(E88, K100)</f>
        <v>وحدة سفلية تلبيسة دلفة/ دلفتين</v>
      </c>
      <c r="C100" s="6">
        <f>visible(6,K100)</f>
        <v>6</v>
      </c>
      <c r="D100" s="6" t="str">
        <f ca="1">visible((I89),K100)</f>
        <v>HPL</v>
      </c>
      <c r="E100" s="6" t="str" cm="1">
        <f t="array" ref="E100">visible(("تلبيسة"),K100)</f>
        <v>تلبيسة</v>
      </c>
      <c r="F100" s="6" cm="1">
        <f t="array" aca="1" ref="F100" ca="1">visible((I91),K100)</f>
        <v>78</v>
      </c>
      <c r="G100" s="6" cm="1">
        <f t="array" aca="1" ref="G100" ca="1">visible((E91),K100)</f>
        <v>56</v>
      </c>
      <c r="H100" s="6">
        <f>visible(C88,K100)</f>
        <v>1</v>
      </c>
      <c r="I100" s="6">
        <f t="shared" ca="1" si="1"/>
        <v>2</v>
      </c>
      <c r="J100" s="6">
        <f ca="1">visible(engraving(I100), K100)</f>
        <v>2</v>
      </c>
      <c r="K100" s="6" t="b">
        <v>1</v>
      </c>
    </row>
    <row r="101" spans="1:11" ht="15.6" x14ac:dyDescent="0.3">
      <c r="A101" s="42">
        <v>0</v>
      </c>
      <c r="B101" s="14"/>
      <c r="C101" s="3"/>
      <c r="D101" s="3"/>
      <c r="E101" s="3"/>
      <c r="F101" s="3"/>
      <c r="G101" s="3"/>
      <c r="H101" s="3"/>
      <c r="I101" s="3"/>
      <c r="J101" s="3"/>
      <c r="K101" s="3"/>
    </row>
    <row r="102" spans="1:11" ht="15.6" x14ac:dyDescent="0.3">
      <c r="A102" s="42">
        <v>4</v>
      </c>
      <c r="B102" s="14" t="str" cm="1">
        <f t="array" ref="B102">visible(E88, K102)</f>
        <v>وحدة سفلية تلبيسة دلفة/ دلفتين</v>
      </c>
      <c r="C102" s="9">
        <f>visible(7,K102)</f>
        <v>7</v>
      </c>
      <c r="D102" s="9" t="str" cm="1">
        <f t="array" aca="1" ref="D102" ca="1">visible((G89),K102)</f>
        <v>يوفيلاك</v>
      </c>
      <c r="E102" s="9" t="str" cm="1">
        <f t="array" ref="E102">visible(("دلف"),K102)</f>
        <v>دلف</v>
      </c>
      <c r="F102" s="9" cm="1">
        <f t="array" aca="1" ref="F102" ca="1">visible((I91-0.5-G91),K102)</f>
        <v>74</v>
      </c>
      <c r="G102" s="9" cm="1">
        <f t="array" aca="1" ref="G102" ca="1">visible(((H91-E91-G103)/C91-0.5),K102)</f>
        <v>39.5</v>
      </c>
      <c r="H102" s="9" cm="1">
        <f t="array" ref="H102">visible((C91*C88),K102)</f>
        <v>1</v>
      </c>
      <c r="I102" s="9">
        <f ca="1">visible(materialNum(D102), K102)</f>
        <v>6</v>
      </c>
      <c r="J102" s="9">
        <f ca="1">visible(engraving(I102), K102)</f>
        <v>2</v>
      </c>
      <c r="K102" s="9" t="b">
        <v>1</v>
      </c>
    </row>
    <row r="103" spans="1:11" ht="15.6" x14ac:dyDescent="0.3">
      <c r="A103" s="42">
        <v>4</v>
      </c>
      <c r="B103" s="14" t="str">
        <f>visible(E88, K103)</f>
        <v>وحدة سفلية تلبيسة دلفة/ دلفتين</v>
      </c>
      <c r="C103" s="9">
        <f>visible(8,K103)</f>
        <v>8</v>
      </c>
      <c r="D103" s="9" t="str">
        <f ca="1">visible((G89),K103)</f>
        <v>يوفيلاك</v>
      </c>
      <c r="E103" s="9" t="str" cm="1">
        <f t="array" ref="E103">visible(("تلبيسة ثابتة"),K103)</f>
        <v>تلبيسة ثابتة</v>
      </c>
      <c r="F103" s="9" cm="1">
        <f t="array" aca="1" ref="F103" ca="1">visible((I91),K103)</f>
        <v>78</v>
      </c>
      <c r="G103" s="9" cm="1">
        <f t="array" ref="G103">visible(4,K103)</f>
        <v>4</v>
      </c>
      <c r="H103" s="9">
        <f>visible(C88,K103)</f>
        <v>1</v>
      </c>
      <c r="I103" s="9">
        <f ca="1">visible(materialNum(D103), K103)</f>
        <v>6</v>
      </c>
      <c r="J103" s="9">
        <f ca="1">visible(engraving(I103), K103)</f>
        <v>2</v>
      </c>
      <c r="K103" s="9" t="b">
        <v>1</v>
      </c>
    </row>
    <row r="104" spans="1:11" ht="15.6" x14ac:dyDescent="0.3">
      <c r="A104" s="42">
        <v>0</v>
      </c>
      <c r="B104" s="14"/>
      <c r="K104" s="3"/>
    </row>
    <row r="105" spans="1:11" ht="15.6" x14ac:dyDescent="0.3">
      <c r="A105" s="42">
        <v>5</v>
      </c>
      <c r="B105" s="14" t="str" cm="1">
        <f t="array" aca="1" ref="B105" ca="1">visible(E88, K105)</f>
        <v>وحدة سفلية تلبيسة دلفة/ دلفتين</v>
      </c>
      <c r="C105" s="18">
        <f ca="1">visible(9,K105)</f>
        <v>9</v>
      </c>
      <c r="D105" s="18" t="str" cm="1">
        <f t="array" aca="1" ref="D105" ca="1">visible((E89),K105)</f>
        <v>ظهر</v>
      </c>
      <c r="E105" s="18" t="str" cm="1">
        <f t="array" aca="1" ref="E105" ca="1">visible(("ظهر"),K105)</f>
        <v>ظهر</v>
      </c>
      <c r="F105" s="18" cm="1">
        <f t="array" aca="1" ref="F105" ca="1">visible((I91-2),K105)</f>
        <v>76</v>
      </c>
      <c r="G105" s="18" cm="1">
        <f t="array" aca="1" ref="G105" ca="1">visible((H91-2),K105)</f>
        <v>98</v>
      </c>
      <c r="H105" s="18" cm="1">
        <f t="array" aca="1" ref="H105" ca="1">visible((C88),K105)</f>
        <v>1</v>
      </c>
      <c r="I105" s="18">
        <f ca="1">visible(materialNum(D105), K105)</f>
        <v>2</v>
      </c>
      <c r="J105" s="18">
        <f ca="1">visible(engraving(I105), K105)</f>
        <v>2</v>
      </c>
      <c r="K105" s="18" t="b">
        <f ca="1">C89</f>
        <v>1</v>
      </c>
    </row>
    <row r="106" spans="1:11" ht="15.6" x14ac:dyDescent="0.3">
      <c r="A106" s="42">
        <v>255</v>
      </c>
      <c r="B106" s="14"/>
      <c r="C106"/>
      <c r="D106"/>
      <c r="E106"/>
      <c r="F106"/>
      <c r="G106"/>
      <c r="H106"/>
      <c r="I106"/>
      <c r="J106"/>
      <c r="K106"/>
    </row>
    <row r="107" spans="1:11" ht="15.6" x14ac:dyDescent="0.3">
      <c r="A107" s="42">
        <v>255</v>
      </c>
      <c r="B107" s="14"/>
      <c r="C107"/>
      <c r="D107"/>
      <c r="E107"/>
      <c r="F107"/>
      <c r="G107"/>
      <c r="H107"/>
      <c r="I107"/>
      <c r="J107"/>
      <c r="K107"/>
    </row>
  </sheetData>
  <mergeCells count="8">
    <mergeCell ref="E53:H53"/>
    <mergeCell ref="J57:K57"/>
    <mergeCell ref="E88:H88"/>
    <mergeCell ref="D4:O4"/>
    <mergeCell ref="D8:O8"/>
    <mergeCell ref="D2:K2"/>
    <mergeCell ref="E17:H17"/>
    <mergeCell ref="E35:H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3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12" topLeftCell="A13" activePane="bottomLeft" state="frozen"/>
      <selection pane="bottomLeft"/>
    </sheetView>
  </sheetViews>
  <sheetFormatPr defaultRowHeight="14.4" x14ac:dyDescent="0.3"/>
  <cols>
    <col min="1" max="1" width="10.77734375" style="71" hidden="1" customWidth="1"/>
    <col min="2" max="2" width="34.44140625" style="38" customWidth="1"/>
    <col min="3" max="3" width="8.88671875" style="38" customWidth="1"/>
    <col min="4" max="4" width="11.6640625" style="38" customWidth="1"/>
    <col min="5" max="5" width="27.6640625" style="38" customWidth="1"/>
    <col min="6" max="6" width="8.88671875" style="38" customWidth="1"/>
    <col min="7" max="7" width="12.5546875" style="38" customWidth="1"/>
    <col min="8" max="8" width="10.109375" style="38" customWidth="1"/>
    <col min="9" max="9" width="13.109375" style="38" customWidth="1"/>
    <col min="10" max="10" width="11.21875" style="38" customWidth="1"/>
    <col min="11" max="11" width="8.88671875" style="38"/>
    <col min="12" max="12" width="12.33203125" style="38" customWidth="1"/>
    <col min="13" max="13" width="10.21875" style="38" customWidth="1"/>
    <col min="14" max="14" width="8.88671875" style="38" customWidth="1"/>
    <col min="15" max="17" width="8.88671875" style="38"/>
    <col min="18" max="22" width="10.6640625" style="38" hidden="1" customWidth="1"/>
    <col min="23" max="52" width="0" style="38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8"/>
  </cols>
  <sheetData>
    <row r="1" spans="2:63" s="72" customFormat="1" x14ac:dyDescent="0.3">
      <c r="B1" s="72">
        <v>1</v>
      </c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</row>
    <row r="2" spans="2:63" s="72" customFormat="1" ht="31.2" x14ac:dyDescent="0.6">
      <c r="B2" s="72" t="s">
        <v>117</v>
      </c>
      <c r="C2" s="108" t="s">
        <v>176</v>
      </c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</row>
    <row r="3" spans="2:63" s="72" customFormat="1" x14ac:dyDescent="0.3">
      <c r="R3" s="72" t="s">
        <v>0</v>
      </c>
      <c r="S3" s="72" t="s">
        <v>101</v>
      </c>
      <c r="T3" s="72" t="s">
        <v>42</v>
      </c>
      <c r="U3" s="72" t="s">
        <v>61</v>
      </c>
      <c r="V3" s="72" t="s">
        <v>100</v>
      </c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</row>
    <row r="4" spans="2:63" s="72" customFormat="1" ht="21" x14ac:dyDescent="0.4">
      <c r="E4" s="106" t="s">
        <v>174</v>
      </c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R4" s="72">
        <v>1</v>
      </c>
      <c r="S4" s="72">
        <v>2</v>
      </c>
      <c r="T4" s="72">
        <v>3</v>
      </c>
      <c r="U4" s="72">
        <v>4</v>
      </c>
      <c r="V4" s="72">
        <v>5</v>
      </c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</row>
    <row r="5" spans="2:63" s="72" customFormat="1" x14ac:dyDescent="0.3">
      <c r="E5" s="74" cm="1">
        <f t="array" ref="E5:P6">woodMaterials[]</f>
        <v>0</v>
      </c>
      <c r="F5" s="74" t="str">
        <v>يوفيلاك</v>
      </c>
      <c r="G5" s="74" t="str">
        <v>بوليلاك</v>
      </c>
      <c r="H5" s="74" t="str">
        <v>Lumber J</v>
      </c>
      <c r="I5" s="74" t="str">
        <v>بولى بلس</v>
      </c>
      <c r="J5" s="74" t="str">
        <v>PVC</v>
      </c>
      <c r="K5" s="74" t="str">
        <v>بورديوم</v>
      </c>
      <c r="L5" s="74" t="str">
        <v>كونتر ميلامين</v>
      </c>
      <c r="M5" s="74" t="str">
        <v>HPL</v>
      </c>
      <c r="N5" s="74" t="str">
        <v>CPL</v>
      </c>
      <c r="O5" s="74" t="str">
        <v>ظهر</v>
      </c>
      <c r="P5" s="74">
        <v>0</v>
      </c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</row>
    <row r="6" spans="2:63" s="72" customFormat="1" x14ac:dyDescent="0.3">
      <c r="E6" s="74">
        <v>0</v>
      </c>
      <c r="F6" s="74">
        <v>6</v>
      </c>
      <c r="G6" s="74">
        <v>4</v>
      </c>
      <c r="H6" s="74">
        <v>4</v>
      </c>
      <c r="I6" s="74">
        <v>4</v>
      </c>
      <c r="J6" s="74">
        <v>4</v>
      </c>
      <c r="K6" s="74">
        <v>2</v>
      </c>
      <c r="L6" s="74">
        <v>2</v>
      </c>
      <c r="M6" s="74">
        <v>2</v>
      </c>
      <c r="N6" s="74">
        <v>2</v>
      </c>
      <c r="O6" s="74">
        <v>2</v>
      </c>
      <c r="P6" s="74" t="str">
        <v>الرقم</v>
      </c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</row>
    <row r="7" spans="2:63" s="72" customFormat="1" ht="23.4" x14ac:dyDescent="0.45">
      <c r="E7" s="107" t="s">
        <v>160</v>
      </c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</row>
    <row r="8" spans="2:63" s="72" customFormat="1" x14ac:dyDescent="0.3">
      <c r="E8" s="74" cm="1">
        <f t="array" ref="E8:P9">blankMaterials[]</f>
        <v>0</v>
      </c>
      <c r="F8" s="74" t="str">
        <v>يوفيلاك سادة</v>
      </c>
      <c r="G8" s="74" t="str">
        <v>بوليلاك سادة</v>
      </c>
      <c r="H8" s="74" t="str">
        <v>Lumber J سادة</v>
      </c>
      <c r="I8" s="74" t="str">
        <v>بولى بلس سادة</v>
      </c>
      <c r="J8" s="74" t="str">
        <v>PVC سادة</v>
      </c>
      <c r="K8" s="74" t="str">
        <v>بورديوم سادة</v>
      </c>
      <c r="L8" s="74" t="str">
        <v>كونتر ميلامين سادة</v>
      </c>
      <c r="M8" s="74" t="str">
        <v>HPL سادة</v>
      </c>
      <c r="N8" s="74" t="str">
        <v>CPL سادة</v>
      </c>
      <c r="O8" s="74" t="str">
        <v>ظهر سادة</v>
      </c>
      <c r="P8" s="74">
        <v>0</v>
      </c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</row>
    <row r="9" spans="2:63" s="72" customFormat="1" x14ac:dyDescent="0.3">
      <c r="E9" s="74">
        <v>0</v>
      </c>
      <c r="F9" s="74">
        <v>5</v>
      </c>
      <c r="G9" s="74">
        <v>3</v>
      </c>
      <c r="H9" s="74">
        <v>3</v>
      </c>
      <c r="I9" s="74">
        <v>3</v>
      </c>
      <c r="J9" s="74">
        <v>3</v>
      </c>
      <c r="K9" s="74">
        <v>1</v>
      </c>
      <c r="L9" s="74">
        <v>1</v>
      </c>
      <c r="M9" s="74">
        <v>1</v>
      </c>
      <c r="N9" s="74">
        <v>1</v>
      </c>
      <c r="O9" s="74">
        <v>1</v>
      </c>
      <c r="P9" s="74" t="str">
        <v>الرقم</v>
      </c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</row>
    <row r="10" spans="2:63" s="72" customFormat="1" x14ac:dyDescent="0.3"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</row>
    <row r="11" spans="2:63" s="72" customFormat="1" x14ac:dyDescent="0.3"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</row>
    <row r="12" spans="2:63" s="72" customFormat="1" x14ac:dyDescent="0.3"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</row>
    <row r="13" spans="2:63" x14ac:dyDescent="0.3">
      <c r="BD13"/>
    </row>
  </sheetData>
  <mergeCells count="3">
    <mergeCell ref="E4:P4"/>
    <mergeCell ref="E7:P7"/>
    <mergeCell ref="C2:Q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274320</xdr:colOff>
                    <xdr:row>9</xdr:row>
                    <xdr:rowOff>152400</xdr:rowOff>
                  </from>
                  <to>
                    <xdr:col>7</xdr:col>
                    <xdr:colOff>502920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220980</xdr:colOff>
                    <xdr:row>9</xdr:row>
                    <xdr:rowOff>167640</xdr:rowOff>
                  </from>
                  <to>
                    <xdr:col>10</xdr:col>
                    <xdr:colOff>548640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6"/>
  <sheetViews>
    <sheetView tabSelected="1" topLeftCell="B1" zoomScale="68" zoomScaleNormal="85" workbookViewId="0">
      <pane ySplit="12" topLeftCell="A79" activePane="bottomLeft" state="frozen"/>
      <selection activeCell="B1" sqref="B1"/>
      <selection pane="bottomLeft" activeCell="I89" sqref="I89"/>
    </sheetView>
  </sheetViews>
  <sheetFormatPr defaultRowHeight="15.6" x14ac:dyDescent="0.3"/>
  <cols>
    <col min="1" max="1" width="8.21875" style="42" hidden="1" customWidth="1"/>
    <col min="2" max="2" width="28.33203125" style="14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7" customFormat="1" x14ac:dyDescent="0.3">
      <c r="A1" s="87">
        <v>13</v>
      </c>
      <c r="B1" s="86">
        <v>7</v>
      </c>
    </row>
    <row r="2" spans="1:75" s="87" customFormat="1" ht="37.200000000000003" customHeight="1" x14ac:dyDescent="0.3">
      <c r="A2" s="87">
        <v>30</v>
      </c>
      <c r="B2" s="88" t="s">
        <v>113</v>
      </c>
      <c r="C2" s="111" t="s">
        <v>0</v>
      </c>
      <c r="D2" s="111"/>
      <c r="E2" s="111"/>
      <c r="F2" s="111"/>
      <c r="G2" s="111"/>
      <c r="H2" s="111"/>
      <c r="I2" s="111"/>
      <c r="J2" s="111"/>
      <c r="K2" s="111"/>
      <c r="Q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</row>
    <row r="3" spans="1:75" s="87" customFormat="1" ht="18" customHeight="1" x14ac:dyDescent="0.3">
      <c r="B3" s="88" t="s">
        <v>145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</row>
    <row r="4" spans="1:75" s="87" customFormat="1" ht="21" x14ac:dyDescent="0.4">
      <c r="B4" s="88"/>
      <c r="C4" s="110" t="s">
        <v>174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</row>
    <row r="5" spans="1:75" s="87" customFormat="1" ht="14.4" x14ac:dyDescent="0.3">
      <c r="B5" s="88"/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</row>
    <row r="6" spans="1:75" s="87" customFormat="1" ht="14.4" x14ac:dyDescent="0.3">
      <c r="B6" s="88"/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</row>
    <row r="7" spans="1:75" s="89" customFormat="1" ht="21" x14ac:dyDescent="0.4">
      <c r="A7" s="87"/>
      <c r="B7" s="88"/>
      <c r="C7" s="110" t="s">
        <v>160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</row>
    <row r="8" spans="1:75" s="89" customFormat="1" ht="18" x14ac:dyDescent="0.3">
      <c r="A8" s="87"/>
      <c r="B8" s="88"/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</row>
    <row r="9" spans="1:75" s="89" customFormat="1" ht="18" x14ac:dyDescent="0.3">
      <c r="A9" s="87"/>
      <c r="B9" s="88"/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8"/>
      <c r="BL9" s="88"/>
      <c r="BM9" s="88"/>
      <c r="BN9" s="88"/>
      <c r="BO9" s="88"/>
      <c r="BP9" s="88"/>
      <c r="BQ9" s="88"/>
      <c r="BR9" s="88"/>
      <c r="BS9" s="88"/>
      <c r="BT9" s="88"/>
      <c r="BU9" s="88"/>
      <c r="BV9" s="88"/>
      <c r="BW9" s="88"/>
    </row>
    <row r="10" spans="1:75" s="89" customFormat="1" ht="18" x14ac:dyDescent="0.3">
      <c r="A10" s="87"/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</row>
    <row r="11" spans="1:75" s="89" customFormat="1" ht="18" x14ac:dyDescent="0.3">
      <c r="A11" s="87"/>
      <c r="B11" s="88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</row>
    <row r="12" spans="1:75" s="90" customFormat="1" ht="18" x14ac:dyDescent="0.3">
      <c r="A12" s="87"/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</row>
    <row r="13" spans="1:75" customFormat="1" ht="14.4" x14ac:dyDescent="0.3">
      <c r="A13" s="75"/>
      <c r="K13" s="1"/>
    </row>
    <row r="14" spans="1:75" customFormat="1" ht="14.4" x14ac:dyDescent="0.3">
      <c r="A14" s="42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1.2" x14ac:dyDescent="0.3">
      <c r="A17" s="42" t="s">
        <v>126</v>
      </c>
      <c r="C17" s="13">
        <v>1</v>
      </c>
      <c r="D17" s="21" t="s">
        <v>58</v>
      </c>
      <c r="E17" s="101" t="s">
        <v>25</v>
      </c>
      <c r="F17" s="102"/>
      <c r="G17" s="102"/>
      <c r="H17" s="103"/>
      <c r="I17" s="2" t="s">
        <v>29</v>
      </c>
      <c r="J17" s="2">
        <f>letterToNumber(A17)</f>
        <v>1</v>
      </c>
      <c r="K17" s="7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42">
        <v>1</v>
      </c>
      <c r="C18" s="7"/>
      <c r="D18" s="7" t="s">
        <v>18</v>
      </c>
      <c r="E18" s="7" t="s">
        <v>16</v>
      </c>
      <c r="F18" s="109"/>
      <c r="G18" s="7"/>
      <c r="H18" s="7" t="s">
        <v>22</v>
      </c>
      <c r="I18" s="7" t="s">
        <v>3</v>
      </c>
      <c r="J18" s="7" t="s">
        <v>109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42">
        <v>1</v>
      </c>
      <c r="C19" s="8"/>
      <c r="D19" s="8">
        <v>1</v>
      </c>
      <c r="E19" s="26" cm="1">
        <f t="array" aca="1" ref="E19" ca="1">defaultValue(E18,K17)</f>
        <v>3.5</v>
      </c>
      <c r="F19" s="109"/>
      <c r="G19" s="7"/>
      <c r="H19" s="8"/>
      <c r="I19" s="26" cm="1">
        <f t="array" aca="1" ref="I19" ca="1">defaultValue(I18,K17)</f>
        <v>78</v>
      </c>
      <c r="J19" s="26" cm="1">
        <f t="array" aca="1" ref="J19" ca="1">defaultValue(J18,K17)</f>
        <v>56</v>
      </c>
      <c r="K19" s="7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2">
        <v>1</v>
      </c>
      <c r="C20" s="27"/>
      <c r="D20" s="11"/>
      <c r="E20" s="11"/>
      <c r="F20" s="12"/>
      <c r="G20" s="7"/>
      <c r="H20" s="8"/>
      <c r="I20" s="26" cm="1">
        <f t="array" aca="1" ref="I20" ca="1">defaultValue(I18,K17)</f>
        <v>78</v>
      </c>
      <c r="J20" s="26" cm="1">
        <f t="array" aca="1" ref="J20" ca="1">defaultValue(J18,K17)</f>
        <v>56</v>
      </c>
      <c r="K20" s="7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ht="31.2" x14ac:dyDescent="0.3">
      <c r="A21" s="42">
        <v>1</v>
      </c>
      <c r="C21" s="8"/>
      <c r="D21" s="26" t="str" cm="1">
        <f t="array" aca="1" ref="D21" ca="1">defaultValue(E21,K17)</f>
        <v>ظهر</v>
      </c>
      <c r="E21" s="7" t="s">
        <v>57</v>
      </c>
      <c r="F21" s="26" t="str" cm="1">
        <f t="array" aca="1" ref="F21" ca="1">defaultValue(G21,K17)</f>
        <v>يوفيلاك</v>
      </c>
      <c r="G21" s="7" t="s">
        <v>31</v>
      </c>
      <c r="H21" s="26" t="str" cm="1">
        <f t="array" aca="1" ref="H21" ca="1">defaultValue(I21,K17)</f>
        <v>HPL</v>
      </c>
      <c r="I21" s="7" t="s">
        <v>30</v>
      </c>
      <c r="J21" s="24" t="s">
        <v>108</v>
      </c>
      <c r="K21" s="7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ht="14.4" x14ac:dyDescent="0.3">
      <c r="A22" s="42">
        <v>0</v>
      </c>
      <c r="B22"/>
      <c r="C22"/>
      <c r="D22"/>
      <c r="E22"/>
      <c r="F22"/>
      <c r="G22"/>
      <c r="H22"/>
      <c r="I22"/>
      <c r="J22"/>
      <c r="K22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2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32</v>
      </c>
      <c r="J23" s="6" t="s">
        <v>172</v>
      </c>
      <c r="K23" s="6" t="s">
        <v>155</v>
      </c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ht="14.4" x14ac:dyDescent="0.3">
      <c r="A24" s="42">
        <v>0</v>
      </c>
      <c r="B24"/>
      <c r="C24"/>
      <c r="D24"/>
      <c r="E24"/>
      <c r="F24"/>
      <c r="G24"/>
      <c r="H24"/>
      <c r="I24"/>
      <c r="J24"/>
      <c r="K24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2">
        <v>3</v>
      </c>
      <c r="B25" s="14" t="str">
        <f>visible(E17, K25)</f>
        <v>وحدة سفلية  زاوية 90</v>
      </c>
      <c r="C25" s="6">
        <v>1</v>
      </c>
      <c r="D25" s="6" t="str">
        <f ca="1">H21</f>
        <v>HPL</v>
      </c>
      <c r="E25" s="6" t="s">
        <v>10</v>
      </c>
      <c r="F25" s="6">
        <f>H19-1.8</f>
        <v>-1.8</v>
      </c>
      <c r="G25" s="6">
        <f>H20-1.8</f>
        <v>-1.8</v>
      </c>
      <c r="H25" s="6">
        <f>1*C17</f>
        <v>1</v>
      </c>
      <c r="I25" s="6">
        <f t="shared" ref="I25:I30" ca="1" si="0">visible(materialNum(D25), K25)</f>
        <v>2</v>
      </c>
      <c r="J25" s="6">
        <f ca="1">visible(engraving(I25), K25)</f>
        <v>2</v>
      </c>
      <c r="K25" s="6" t="b">
        <v>1</v>
      </c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2">
        <v>3</v>
      </c>
      <c r="B26" s="14" t="str">
        <f>visible(E17, K26)</f>
        <v>وحدة سفلية  زاوية 90</v>
      </c>
      <c r="C26" s="6">
        <f>C25+1</f>
        <v>2</v>
      </c>
      <c r="D26" s="6" t="str">
        <f ca="1">H21</f>
        <v>HPL</v>
      </c>
      <c r="E26" s="6" t="s">
        <v>11</v>
      </c>
      <c r="F26" s="6">
        <f ca="1">I19</f>
        <v>78</v>
      </c>
      <c r="G26" s="6">
        <f ca="1">J19</f>
        <v>56</v>
      </c>
      <c r="H26" s="6">
        <f>2*C17</f>
        <v>2</v>
      </c>
      <c r="I26" s="6">
        <f t="shared" ca="1" si="0"/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2">
        <v>3</v>
      </c>
      <c r="B27" s="14" t="str">
        <f>visible(E17, K27)</f>
        <v>وحدة سفلية  زاوية 90</v>
      </c>
      <c r="C27" s="6">
        <f t="shared" ref="C27:C30" si="1">C26+1</f>
        <v>3</v>
      </c>
      <c r="D27" s="6" t="str">
        <f ca="1">H21</f>
        <v>HPL</v>
      </c>
      <c r="E27" s="6" t="s">
        <v>13</v>
      </c>
      <c r="F27" s="6">
        <f>H19-1.8</f>
        <v>-1.8</v>
      </c>
      <c r="G27" s="6">
        <v>10</v>
      </c>
      <c r="H27" s="6">
        <f>2*C17</f>
        <v>2</v>
      </c>
      <c r="I27" s="6">
        <f t="shared" ca="1" si="0"/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2">
        <v>3</v>
      </c>
      <c r="B28" s="14" t="str">
        <f>visible(E17, K28)</f>
        <v>وحدة سفلية  زاوية 90</v>
      </c>
      <c r="C28" s="6">
        <f t="shared" si="1"/>
        <v>4</v>
      </c>
      <c r="D28" s="6" t="str">
        <f ca="1">H21</f>
        <v>HPL</v>
      </c>
      <c r="E28" s="6" t="s">
        <v>14</v>
      </c>
      <c r="F28" s="6">
        <f>H19-1.8</f>
        <v>-1.8</v>
      </c>
      <c r="G28" s="6">
        <v>7</v>
      </c>
      <c r="H28" s="6">
        <f>2*C17</f>
        <v>2</v>
      </c>
      <c r="I28" s="6">
        <f t="shared" ca="1" si="0"/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2">
        <v>3</v>
      </c>
      <c r="B29" s="14" t="str">
        <f>visible(E17, K29)</f>
        <v>وحدة سفلية  زاوية 90</v>
      </c>
      <c r="C29" s="6">
        <f t="shared" si="1"/>
        <v>5</v>
      </c>
      <c r="D29" s="6" t="str">
        <f ca="1">H21</f>
        <v>HPL</v>
      </c>
      <c r="E29" s="6" t="s">
        <v>26</v>
      </c>
      <c r="F29" s="6">
        <f ca="1">I19</f>
        <v>78</v>
      </c>
      <c r="G29" s="6">
        <v>10</v>
      </c>
      <c r="H29" s="6">
        <f>1*C17</f>
        <v>1</v>
      </c>
      <c r="I29" s="6">
        <f t="shared" ca="1" si="0"/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2">
        <v>3</v>
      </c>
      <c r="B30" s="14" t="str">
        <f>visible(E17, K30)</f>
        <v>وحدة سفلية  زاوية 90</v>
      </c>
      <c r="C30" s="6">
        <f t="shared" si="1"/>
        <v>6</v>
      </c>
      <c r="D30" s="6" t="str">
        <f ca="1">H21</f>
        <v>HPL</v>
      </c>
      <c r="E30" s="6" t="s">
        <v>17</v>
      </c>
      <c r="F30" s="6">
        <f>H19-3.8</f>
        <v>-3.8</v>
      </c>
      <c r="G30" s="6">
        <f>H20-3.8</f>
        <v>-3.8</v>
      </c>
      <c r="H30" s="6">
        <f>D19*C17</f>
        <v>1</v>
      </c>
      <c r="I30" s="6">
        <f t="shared" ca="1" si="0"/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14.4" x14ac:dyDescent="0.3">
      <c r="A31" s="4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2">
        <v>4</v>
      </c>
      <c r="B32" s="14" t="str">
        <f>visible(E17, K32)</f>
        <v>وحدة سفلية  زاوية 90</v>
      </c>
      <c r="C32" s="9">
        <f>C30+1</f>
        <v>7</v>
      </c>
      <c r="D32" s="9" t="str">
        <f ca="1">F21</f>
        <v>يوفيلاك</v>
      </c>
      <c r="E32" s="9" t="s">
        <v>27</v>
      </c>
      <c r="F32" s="9">
        <f ca="1">I19-0.5-E19</f>
        <v>74</v>
      </c>
      <c r="G32" s="9">
        <f>H19-56-3</f>
        <v>-59</v>
      </c>
      <c r="H32" s="9">
        <f>1*C17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9" x14ac:dyDescent="0.3">
      <c r="A33" s="42">
        <v>4</v>
      </c>
      <c r="B33" s="14" t="str">
        <f>visible(E17, K33)</f>
        <v>وحدة سفلية  زاوية 90</v>
      </c>
      <c r="C33" s="9">
        <f t="shared" ref="C33" si="2">C32+1</f>
        <v>8</v>
      </c>
      <c r="D33" s="9" t="str">
        <f ca="1">F21</f>
        <v>يوفيلاك</v>
      </c>
      <c r="E33" s="9" t="s">
        <v>40</v>
      </c>
      <c r="F33" s="9">
        <f ca="1">I20-0.5-E19</f>
        <v>74</v>
      </c>
      <c r="G33" s="9">
        <f>H20-56-3</f>
        <v>-59</v>
      </c>
      <c r="H33" s="9">
        <f>1*C17</f>
        <v>1</v>
      </c>
      <c r="I33" s="9">
        <f ca="1">visible(materialNum(D33), K33)</f>
        <v>6</v>
      </c>
      <c r="J33" s="9">
        <f ca="1">visible(engraving(I33), K33)</f>
        <v>2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9" ht="14.4" x14ac:dyDescent="0.3">
      <c r="A34" s="4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9" x14ac:dyDescent="0.3">
      <c r="A35" s="42">
        <v>5</v>
      </c>
      <c r="B35" s="14" t="str">
        <f>visible(E17, K35)</f>
        <v>وحدة سفلية  زاوية 90</v>
      </c>
      <c r="C35" s="18">
        <f>C33+1</f>
        <v>9</v>
      </c>
      <c r="D35" s="18" t="str">
        <f ca="1">D21</f>
        <v>ظهر</v>
      </c>
      <c r="E35" s="18" t="s">
        <v>57</v>
      </c>
      <c r="F35" s="18">
        <f ca="1">I20-1</f>
        <v>77</v>
      </c>
      <c r="G35" s="18">
        <f>H20-1</f>
        <v>-1</v>
      </c>
      <c r="H35" s="18">
        <f>2*C17</f>
        <v>2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9" x14ac:dyDescent="0.3">
      <c r="A36" s="4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9" x14ac:dyDescent="0.3">
      <c r="A37" s="4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9" ht="31.2" x14ac:dyDescent="0.3">
      <c r="A38" s="42" t="s">
        <v>131</v>
      </c>
      <c r="C38" s="13">
        <v>1</v>
      </c>
      <c r="D38" s="21" t="s">
        <v>58</v>
      </c>
      <c r="E38" s="101" t="s">
        <v>28</v>
      </c>
      <c r="F38" s="102"/>
      <c r="G38" s="102"/>
      <c r="H38" s="103"/>
      <c r="I38" s="2" t="s">
        <v>29</v>
      </c>
      <c r="J38" s="2">
        <f>letterToNumber(A38)</f>
        <v>2</v>
      </c>
      <c r="K38" s="7">
        <f ca="1">_xlfn.SHEET("وحدات سفلية")</f>
        <v>4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9" x14ac:dyDescent="0.3">
      <c r="A39" s="42">
        <v>1</v>
      </c>
      <c r="C39" s="7"/>
      <c r="D39" s="7" t="s">
        <v>18</v>
      </c>
      <c r="E39" s="7" t="s">
        <v>16</v>
      </c>
      <c r="F39" s="109"/>
      <c r="G39" s="7"/>
      <c r="H39" s="7" t="s">
        <v>22</v>
      </c>
      <c r="I39" s="7" t="s">
        <v>3</v>
      </c>
      <c r="J39" s="7" t="s">
        <v>109</v>
      </c>
      <c r="K39" s="7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9" x14ac:dyDescent="0.3">
      <c r="A40" s="42">
        <v>1</v>
      </c>
      <c r="C40" s="8"/>
      <c r="D40" s="8">
        <v>1</v>
      </c>
      <c r="E40" s="26" cm="1">
        <f t="array" aca="1" ref="E40" ca="1">defaultValue(E39,K38)</f>
        <v>3.5</v>
      </c>
      <c r="F40" s="109"/>
      <c r="G40" s="7"/>
      <c r="H40" s="8"/>
      <c r="I40" s="26" cm="1">
        <f t="array" aca="1" ref="I40" ca="1">defaultValue(I39,K38)</f>
        <v>78</v>
      </c>
      <c r="J40" s="26" cm="1">
        <f t="array" aca="1" ref="J40" ca="1">defaultValue(J39,K38)</f>
        <v>56</v>
      </c>
      <c r="K40" s="7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9" x14ac:dyDescent="0.3">
      <c r="A41" s="42">
        <v>1</v>
      </c>
      <c r="C41" s="27"/>
      <c r="D41" s="11"/>
      <c r="E41" s="11"/>
      <c r="F41" s="12"/>
      <c r="G41" s="7"/>
      <c r="H41" s="8"/>
      <c r="I41" s="26" cm="1">
        <f t="array" aca="1" ref="I41" ca="1">defaultValue(I39,K38)</f>
        <v>78</v>
      </c>
      <c r="J41" s="26" cm="1">
        <f t="array" aca="1" ref="J41" ca="1">defaultValue(J39,K38)</f>
        <v>56</v>
      </c>
      <c r="K41" s="7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9" ht="31.2" x14ac:dyDescent="0.3">
      <c r="A42" s="42">
        <v>1</v>
      </c>
      <c r="C42" s="8"/>
      <c r="D42" s="26" t="str" cm="1">
        <f t="array" aca="1" ref="D42" ca="1">defaultValue(E42,K38)</f>
        <v>ظهر</v>
      </c>
      <c r="E42" s="7" t="s">
        <v>57</v>
      </c>
      <c r="F42" s="26" t="str" cm="1">
        <f t="array" aca="1" ref="F42" ca="1">defaultValue(G42,K38)</f>
        <v>يوفيلاك</v>
      </c>
      <c r="G42" s="7" t="s">
        <v>31</v>
      </c>
      <c r="H42" s="26" t="str" cm="1">
        <f t="array" aca="1" ref="H42" ca="1">defaultValue(I42,K38)</f>
        <v>HPL</v>
      </c>
      <c r="I42" s="7" t="s">
        <v>30</v>
      </c>
      <c r="J42" s="24" t="s">
        <v>108</v>
      </c>
      <c r="K42" s="7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9" ht="14.4" x14ac:dyDescent="0.3">
      <c r="A43" s="42">
        <v>0</v>
      </c>
      <c r="B43"/>
      <c r="C43"/>
      <c r="D43"/>
      <c r="E43"/>
      <c r="F43"/>
      <c r="G43"/>
      <c r="H43"/>
      <c r="I43"/>
      <c r="J43"/>
      <c r="K43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9" x14ac:dyDescent="0.3">
      <c r="A44" s="42">
        <v>2</v>
      </c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32</v>
      </c>
      <c r="J44" s="6" t="s">
        <v>172</v>
      </c>
      <c r="K44" s="6" t="s">
        <v>155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9" ht="14.4" x14ac:dyDescent="0.3">
      <c r="A45" s="42">
        <v>0</v>
      </c>
      <c r="B45"/>
      <c r="C45"/>
      <c r="D45"/>
      <c r="E45"/>
      <c r="F45"/>
      <c r="G45"/>
      <c r="H45"/>
      <c r="I45"/>
      <c r="J45"/>
      <c r="K45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9" x14ac:dyDescent="0.3">
      <c r="A46" s="42">
        <v>3</v>
      </c>
      <c r="B46" s="14" t="str">
        <f>visible(E38, K46)</f>
        <v>وحدة سفلية  ركنة 45</v>
      </c>
      <c r="C46" s="6">
        <v>1</v>
      </c>
      <c r="D46" s="6" t="str">
        <f ca="1">H42</f>
        <v>HPL</v>
      </c>
      <c r="E46" s="6" t="s">
        <v>10</v>
      </c>
      <c r="F46" s="6">
        <f>H40-1.8</f>
        <v>-1.8</v>
      </c>
      <c r="G46" s="6">
        <f>H41-1.8</f>
        <v>-1.8</v>
      </c>
      <c r="H46" s="6">
        <f>1*C38</f>
        <v>1</v>
      </c>
      <c r="I46" s="6">
        <f t="shared" ref="I46:I51" ca="1" si="3">visible(materialNum(D46), K46)</f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9" x14ac:dyDescent="0.3">
      <c r="A47" s="42">
        <v>3</v>
      </c>
      <c r="B47" s="14" t="str">
        <f>visible(E38, K47)</f>
        <v>وحدة سفلية  ركنة 45</v>
      </c>
      <c r="C47" s="6">
        <f>C46+1</f>
        <v>2</v>
      </c>
      <c r="D47" s="6" t="str">
        <f ca="1">H42</f>
        <v>HPL</v>
      </c>
      <c r="E47" s="6" t="s">
        <v>11</v>
      </c>
      <c r="F47" s="6">
        <f ca="1">I40</f>
        <v>78</v>
      </c>
      <c r="G47" s="6">
        <f ca="1">J40</f>
        <v>56</v>
      </c>
      <c r="H47" s="6">
        <f>2*C38</f>
        <v>2</v>
      </c>
      <c r="I47" s="6">
        <f t="shared" ca="1" si="3"/>
        <v>2</v>
      </c>
      <c r="J47" s="6">
        <f ca="1">visible(engraving(I47), K47)</f>
        <v>2</v>
      </c>
      <c r="K47" s="6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9" x14ac:dyDescent="0.3">
      <c r="A48" s="42">
        <v>3</v>
      </c>
      <c r="B48" s="14" t="str">
        <f>visible(E38, K48)</f>
        <v>وحدة سفلية  ركنة 45</v>
      </c>
      <c r="C48" s="6">
        <f t="shared" ref="C48:C51" si="4">C47+1</f>
        <v>3</v>
      </c>
      <c r="D48" s="6" t="str">
        <f ca="1">H42</f>
        <v>HPL</v>
      </c>
      <c r="E48" s="6" t="s">
        <v>13</v>
      </c>
      <c r="F48" s="6">
        <f>H40-1.8</f>
        <v>-1.8</v>
      </c>
      <c r="G48" s="6">
        <v>10</v>
      </c>
      <c r="H48" s="6">
        <f>3*C38</f>
        <v>3</v>
      </c>
      <c r="I48" s="6">
        <f t="shared" ca="1" si="3"/>
        <v>2</v>
      </c>
      <c r="J48" s="6">
        <f ca="1">visible(engraving(I48), K48)</f>
        <v>2</v>
      </c>
      <c r="K48" s="6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</row>
    <row r="49" spans="1:79" x14ac:dyDescent="0.3">
      <c r="A49" s="42">
        <v>3</v>
      </c>
      <c r="B49" s="14" t="str">
        <f>visible(E38, K49)</f>
        <v>وحدة سفلية  ركنة 45</v>
      </c>
      <c r="C49" s="6">
        <f t="shared" si="4"/>
        <v>4</v>
      </c>
      <c r="D49" s="6" t="str">
        <f ca="1">H42</f>
        <v>HPL</v>
      </c>
      <c r="E49" s="6" t="s">
        <v>14</v>
      </c>
      <c r="F49" s="6">
        <f>H40-1.8</f>
        <v>-1.8</v>
      </c>
      <c r="G49" s="6">
        <v>7</v>
      </c>
      <c r="H49" s="6">
        <f>2*C38</f>
        <v>2</v>
      </c>
      <c r="I49" s="6">
        <f t="shared" ca="1" si="3"/>
        <v>2</v>
      </c>
      <c r="J49" s="6">
        <f ca="1">visible(engraving(I49), K49)</f>
        <v>2</v>
      </c>
      <c r="K49" s="6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</row>
    <row r="50" spans="1:79" x14ac:dyDescent="0.3">
      <c r="A50" s="42">
        <v>3</v>
      </c>
      <c r="B50" s="14" t="str">
        <f>visible(E38, K50)</f>
        <v>وحدة سفلية  ركنة 45</v>
      </c>
      <c r="C50" s="6">
        <f t="shared" si="4"/>
        <v>5</v>
      </c>
      <c r="D50" s="6" t="str">
        <f ca="1">H42</f>
        <v>HPL</v>
      </c>
      <c r="E50" s="6" t="s">
        <v>26</v>
      </c>
      <c r="F50" s="6">
        <v>70</v>
      </c>
      <c r="G50" s="6">
        <v>10</v>
      </c>
      <c r="H50" s="6">
        <f>1*C38</f>
        <v>1</v>
      </c>
      <c r="I50" s="6">
        <f t="shared" ca="1" si="3"/>
        <v>2</v>
      </c>
      <c r="J50" s="6">
        <f ca="1">visible(engraving(I50), K50)</f>
        <v>2</v>
      </c>
      <c r="K50" s="6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</row>
    <row r="51" spans="1:79" x14ac:dyDescent="0.3">
      <c r="A51" s="42">
        <v>3</v>
      </c>
      <c r="B51" s="14" t="str">
        <f>visible(E38, K51)</f>
        <v>وحدة سفلية  ركنة 45</v>
      </c>
      <c r="C51" s="6">
        <f t="shared" si="4"/>
        <v>6</v>
      </c>
      <c r="D51" s="6" t="str">
        <f ca="1">H42</f>
        <v>HPL</v>
      </c>
      <c r="E51" s="6" t="s">
        <v>17</v>
      </c>
      <c r="F51" s="6">
        <f>H40-3.8</f>
        <v>-3.8</v>
      </c>
      <c r="G51" s="6">
        <f>H41-3.8</f>
        <v>-3.8</v>
      </c>
      <c r="H51" s="6">
        <f>D40*C38</f>
        <v>1</v>
      </c>
      <c r="I51" s="6">
        <f t="shared" ca="1" si="3"/>
        <v>2</v>
      </c>
      <c r="J51" s="6">
        <f ca="1">visible(engraving(I51), K51)</f>
        <v>2</v>
      </c>
      <c r="K51" s="6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</row>
    <row r="52" spans="1:79" ht="14.4" x14ac:dyDescent="0.3">
      <c r="A52" s="42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</row>
    <row r="53" spans="1:79" x14ac:dyDescent="0.3">
      <c r="A53" s="42">
        <v>4</v>
      </c>
      <c r="B53" s="14" t="str">
        <f>visible(E38, K53)</f>
        <v>وحدة سفلية  ركنة 45</v>
      </c>
      <c r="C53" s="9">
        <f>C51+1</f>
        <v>7</v>
      </c>
      <c r="D53" s="9" t="str">
        <f ca="1">F42</f>
        <v>يوفيلاك</v>
      </c>
      <c r="E53" s="9" t="s">
        <v>27</v>
      </c>
      <c r="F53" s="9">
        <f ca="1">I40-0.5-E40</f>
        <v>74</v>
      </c>
      <c r="G53" s="16">
        <f ca="1">(SQRT((H40-J40)^2+(H41-J41)^2))-2</f>
        <v>77.195959492893323</v>
      </c>
      <c r="H53" s="9">
        <f>1*C38</f>
        <v>1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</row>
    <row r="54" spans="1:79" ht="14.4" x14ac:dyDescent="0.3">
      <c r="A54" s="42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</row>
    <row r="55" spans="1:79" x14ac:dyDescent="0.3">
      <c r="A55" s="42">
        <v>5</v>
      </c>
      <c r="B55" s="14" t="str">
        <f>visible(E38, K55)</f>
        <v>وحدة سفلية  ركنة 45</v>
      </c>
      <c r="C55" s="18">
        <f>C53+1</f>
        <v>8</v>
      </c>
      <c r="D55" s="18" t="str">
        <f ca="1">D42</f>
        <v>ظهر</v>
      </c>
      <c r="E55" s="18" t="s">
        <v>57</v>
      </c>
      <c r="F55" s="18">
        <f ca="1">I40-1</f>
        <v>77</v>
      </c>
      <c r="G55" s="18">
        <f>H40-1</f>
        <v>-1</v>
      </c>
      <c r="H55" s="18">
        <f>1*C38</f>
        <v>1</v>
      </c>
      <c r="I55" s="18">
        <f ca="1">visible(materialNum(D55), K55)</f>
        <v>2</v>
      </c>
      <c r="J55" s="18">
        <f ca="1">visible(engraving(I55), K55)</f>
        <v>2</v>
      </c>
      <c r="K55" s="18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</row>
    <row r="56" spans="1:79" x14ac:dyDescent="0.3">
      <c r="A56" s="42">
        <v>255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</row>
    <row r="57" spans="1:79" x14ac:dyDescent="0.3">
      <c r="A57" s="4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</row>
    <row r="58" spans="1:79" ht="31.2" x14ac:dyDescent="0.3">
      <c r="A58" s="42" t="s">
        <v>127</v>
      </c>
      <c r="B58" s="3"/>
      <c r="C58" s="13">
        <v>1</v>
      </c>
      <c r="D58" s="21" t="s">
        <v>58</v>
      </c>
      <c r="E58" s="101" t="s">
        <v>102</v>
      </c>
      <c r="F58" s="102"/>
      <c r="G58" s="102"/>
      <c r="H58" s="103"/>
      <c r="I58" s="2" t="s">
        <v>29</v>
      </c>
      <c r="J58" s="2">
        <f>letterToNumber(A58)</f>
        <v>3</v>
      </c>
      <c r="K58" s="7">
        <f ca="1">_xlfn.SHEET("وحدات سفلية")</f>
        <v>4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</row>
    <row r="59" spans="1:79" ht="31.2" x14ac:dyDescent="0.3">
      <c r="A59" s="42">
        <v>1</v>
      </c>
      <c r="B59" s="20"/>
      <c r="C59" s="7" t="s">
        <v>12</v>
      </c>
      <c r="D59" s="7" t="s">
        <v>18</v>
      </c>
      <c r="E59" s="7" t="s">
        <v>16</v>
      </c>
      <c r="F59" s="109"/>
      <c r="G59" s="15" t="s">
        <v>19</v>
      </c>
      <c r="H59" s="7" t="s">
        <v>22</v>
      </c>
      <c r="I59" s="7" t="s">
        <v>3</v>
      </c>
      <c r="J59" s="7" t="s">
        <v>109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</row>
    <row r="60" spans="1:79" x14ac:dyDescent="0.3">
      <c r="A60" s="42">
        <v>1</v>
      </c>
      <c r="B60" s="20"/>
      <c r="C60" s="8"/>
      <c r="D60" s="8">
        <v>0</v>
      </c>
      <c r="E60" s="26" cm="1">
        <f t="array" aca="1" ref="E60" ca="1">defaultValue(E59,K58)</f>
        <v>3.5</v>
      </c>
      <c r="F60" s="109"/>
      <c r="G60" s="26" cm="1">
        <f t="array" aca="1" ref="G60" ca="1">defaultValue(G59,K58)</f>
        <v>45</v>
      </c>
      <c r="H60" s="8">
        <v>60</v>
      </c>
      <c r="I60" s="26" cm="1">
        <f t="array" aca="1" ref="I60" ca="1">defaultValue(I59,K58)</f>
        <v>78</v>
      </c>
      <c r="J60" s="26" cm="1">
        <f t="array" aca="1" ref="J60" ca="1">defaultValue(J59,K58)</f>
        <v>56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</row>
    <row r="61" spans="1:79" ht="31.2" x14ac:dyDescent="0.3">
      <c r="A61" s="42">
        <v>1</v>
      </c>
      <c r="B61" s="20"/>
      <c r="C61" s="8"/>
      <c r="D61" s="26" t="str" cm="1">
        <f t="array" aca="1" ref="D61" ca="1">defaultValue(E61,K58)</f>
        <v>ظهر</v>
      </c>
      <c r="E61" s="7" t="s">
        <v>57</v>
      </c>
      <c r="F61" s="26" t="str" cm="1">
        <f t="array" aca="1" ref="F61" ca="1">defaultValue(G61,K58)</f>
        <v>يوفيلاك</v>
      </c>
      <c r="G61" s="7" t="s">
        <v>31</v>
      </c>
      <c r="H61" s="26" t="str" cm="1">
        <f t="array" aca="1" ref="H61" ca="1">defaultValue(I61,K58)</f>
        <v>HPL</v>
      </c>
      <c r="I61" s="7" t="s">
        <v>30</v>
      </c>
      <c r="J61" s="24" t="s">
        <v>108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</row>
    <row r="62" spans="1:79" ht="14.4" x14ac:dyDescent="0.3">
      <c r="A62" s="42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</row>
    <row r="63" spans="1:79" ht="14.4" x14ac:dyDescent="0.3">
      <c r="A63" s="42">
        <v>2</v>
      </c>
      <c r="B63" s="20"/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32</v>
      </c>
      <c r="J63" s="6" t="s">
        <v>172</v>
      </c>
      <c r="K63" s="6" t="s">
        <v>155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</row>
    <row r="64" spans="1:79" ht="14.4" x14ac:dyDescent="0.3">
      <c r="A64" s="42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</row>
    <row r="65" spans="1:79" x14ac:dyDescent="0.3">
      <c r="A65" s="42">
        <v>3</v>
      </c>
      <c r="B65" s="14" t="str">
        <f>visible(E58, K65)</f>
        <v xml:space="preserve">وحدة سفلية  فرن </v>
      </c>
      <c r="C65" s="6">
        <v>1</v>
      </c>
      <c r="D65" s="6" t="str">
        <f ca="1">H61</f>
        <v>HPL</v>
      </c>
      <c r="E65" s="6" t="s">
        <v>10</v>
      </c>
      <c r="F65" s="6">
        <f>H60-3.6</f>
        <v>56.4</v>
      </c>
      <c r="G65" s="6">
        <f ca="1">J60</f>
        <v>56</v>
      </c>
      <c r="H65" s="6">
        <f>2*C58</f>
        <v>2</v>
      </c>
      <c r="I65" s="6">
        <f t="shared" ref="I65:I72" ca="1" si="5">visible(materialNum(D65), K65)</f>
        <v>2</v>
      </c>
      <c r="J65" s="6">
        <f ca="1">visible(engraving(I65), K65)</f>
        <v>2</v>
      </c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</row>
    <row r="66" spans="1:79" x14ac:dyDescent="0.3">
      <c r="A66" s="42">
        <v>3</v>
      </c>
      <c r="B66" s="14" t="str">
        <f>visible(E58, K66)</f>
        <v xml:space="preserve">وحدة سفلية  فرن </v>
      </c>
      <c r="C66" s="6">
        <f>C65+1</f>
        <v>2</v>
      </c>
      <c r="D66" s="6" t="str">
        <f ca="1">H61</f>
        <v>HPL</v>
      </c>
      <c r="E66" s="6" t="s">
        <v>11</v>
      </c>
      <c r="F66" s="6">
        <f ca="1">I60</f>
        <v>78</v>
      </c>
      <c r="G66" s="6">
        <f ca="1">J60</f>
        <v>56</v>
      </c>
      <c r="H66" s="6">
        <f>2*C58</f>
        <v>2</v>
      </c>
      <c r="I66" s="6">
        <f t="shared" ca="1" si="5"/>
        <v>2</v>
      </c>
      <c r="J66" s="6">
        <f ca="1">visible(engraving(I66), K66)</f>
        <v>2</v>
      </c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</row>
    <row r="67" spans="1:79" x14ac:dyDescent="0.3">
      <c r="A67" s="42">
        <v>3</v>
      </c>
      <c r="B67" s="14" t="str">
        <f>visible(E58, K67)</f>
        <v xml:space="preserve">وحدة سفلية  فرن </v>
      </c>
      <c r="C67" s="6">
        <f t="shared" ref="C67:C72" si="6">C66+1</f>
        <v>3</v>
      </c>
      <c r="D67" s="6" t="str">
        <f ca="1">H61</f>
        <v>HPL</v>
      </c>
      <c r="E67" s="6" t="s">
        <v>13</v>
      </c>
      <c r="F67" s="6">
        <f>H60-3.6</f>
        <v>56.4</v>
      </c>
      <c r="G67" s="6">
        <v>10</v>
      </c>
      <c r="H67" s="6">
        <f>2*C58</f>
        <v>2</v>
      </c>
      <c r="I67" s="6">
        <f t="shared" ca="1" si="5"/>
        <v>2</v>
      </c>
      <c r="J67" s="6">
        <f ca="1">visible(engraving(I67), K67)</f>
        <v>2</v>
      </c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</row>
    <row r="68" spans="1:79" x14ac:dyDescent="0.3">
      <c r="A68" s="42">
        <v>3</v>
      </c>
      <c r="B68" s="14" t="str">
        <f>visible(E58, K68)</f>
        <v xml:space="preserve">وحدة سفلية  فرن </v>
      </c>
      <c r="C68" s="6">
        <f t="shared" si="6"/>
        <v>4</v>
      </c>
      <c r="D68" s="6" t="str">
        <f ca="1">H61</f>
        <v>HPL</v>
      </c>
      <c r="E68" s="6" t="s">
        <v>14</v>
      </c>
      <c r="F68" s="6">
        <f>H60-3.6</f>
        <v>56.4</v>
      </c>
      <c r="G68" s="6">
        <v>7</v>
      </c>
      <c r="H68" s="6">
        <f>2*C58</f>
        <v>2</v>
      </c>
      <c r="I68" s="6">
        <f t="shared" ca="1" si="5"/>
        <v>2</v>
      </c>
      <c r="J68" s="6">
        <f ca="1">visible(engraving(I68), K68)</f>
        <v>2</v>
      </c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</row>
    <row r="69" spans="1:79" x14ac:dyDescent="0.3">
      <c r="A69" s="42">
        <v>3</v>
      </c>
      <c r="B69" s="14" t="str">
        <f>visible(E58, K69)</f>
        <v xml:space="preserve">وحدة سفلية  فرن </v>
      </c>
      <c r="C69" s="6">
        <f t="shared" si="6"/>
        <v>5</v>
      </c>
      <c r="D69" s="6" t="str">
        <f ca="1">H61</f>
        <v>HPL</v>
      </c>
      <c r="E69" s="6" t="s">
        <v>17</v>
      </c>
      <c r="F69" s="6">
        <f>H60-3.8</f>
        <v>56.2</v>
      </c>
      <c r="G69" s="6">
        <f ca="1">J60-6</f>
        <v>50</v>
      </c>
      <c r="H69" s="6">
        <f>D60*C58</f>
        <v>0</v>
      </c>
      <c r="I69" s="6">
        <f t="shared" ca="1" si="5"/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</row>
    <row r="70" spans="1:79" x14ac:dyDescent="0.3">
      <c r="A70" s="42">
        <v>3</v>
      </c>
      <c r="B70" s="14" t="str">
        <f>visible(E58, K70)</f>
        <v xml:space="preserve">وحدة سفلية  فرن </v>
      </c>
      <c r="C70" s="10">
        <f t="shared" si="6"/>
        <v>6</v>
      </c>
      <c r="D70" s="10" t="str">
        <f ca="1">H61</f>
        <v>HPL</v>
      </c>
      <c r="E70" s="10" t="s">
        <v>21</v>
      </c>
      <c r="F70" s="10">
        <f>H60-3.6-3.6-2.5</f>
        <v>50.3</v>
      </c>
      <c r="G70" s="10">
        <v>10</v>
      </c>
      <c r="H70" s="10">
        <f>1*C58</f>
        <v>1</v>
      </c>
      <c r="I70" s="10">
        <f t="shared" ca="1" si="5"/>
        <v>2</v>
      </c>
      <c r="J70" s="10">
        <f ca="1">visible(engraving(I70), K70)</f>
        <v>2</v>
      </c>
      <c r="K70" s="10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</row>
    <row r="71" spans="1:79" x14ac:dyDescent="0.3">
      <c r="A71" s="42">
        <v>3</v>
      </c>
      <c r="B71" s="14" t="str">
        <f>visible(E58, K71)</f>
        <v xml:space="preserve">وحدة سفلية  فرن </v>
      </c>
      <c r="C71" s="10">
        <f t="shared" si="6"/>
        <v>7</v>
      </c>
      <c r="D71" s="10" t="str">
        <f ca="1">H61</f>
        <v>HPL</v>
      </c>
      <c r="E71" s="10" t="s">
        <v>124</v>
      </c>
      <c r="F71" s="10">
        <f ca="1">G60</f>
        <v>45</v>
      </c>
      <c r="G71" s="10">
        <v>10</v>
      </c>
      <c r="H71" s="10">
        <f>2*C58</f>
        <v>2</v>
      </c>
      <c r="I71" s="10">
        <f t="shared" ca="1" si="5"/>
        <v>2</v>
      </c>
      <c r="J71" s="10">
        <f ca="1">visible(engraving(I71), K71)</f>
        <v>2</v>
      </c>
      <c r="K71" s="10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</row>
    <row r="72" spans="1:79" x14ac:dyDescent="0.3">
      <c r="A72" s="42">
        <v>3</v>
      </c>
      <c r="B72" s="14" t="str">
        <f>visible(E58, K72)</f>
        <v xml:space="preserve">وحدة سفلية  فرن </v>
      </c>
      <c r="C72" s="10">
        <f t="shared" si="6"/>
        <v>8</v>
      </c>
      <c r="D72" s="10" t="str">
        <f ca="1">H61</f>
        <v>HPL</v>
      </c>
      <c r="E72" s="10" t="s">
        <v>125</v>
      </c>
      <c r="F72" s="10">
        <f>H60-3.6-3.6-2.5</f>
        <v>50.3</v>
      </c>
      <c r="G72" s="10">
        <f>10-3</f>
        <v>7</v>
      </c>
      <c r="H72" s="10">
        <f>1*C58</f>
        <v>1</v>
      </c>
      <c r="I72" s="10">
        <f t="shared" ca="1" si="5"/>
        <v>2</v>
      </c>
      <c r="J72" s="10">
        <f ca="1">visible(engraving(I72), K72)</f>
        <v>2</v>
      </c>
      <c r="K72" s="10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</row>
    <row r="73" spans="1:79" ht="14.4" x14ac:dyDescent="0.3">
      <c r="A73" s="42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</row>
    <row r="74" spans="1:79" x14ac:dyDescent="0.3">
      <c r="A74" s="42">
        <v>4</v>
      </c>
      <c r="B74" s="14" t="str">
        <f>visible(E58, K74)</f>
        <v xml:space="preserve">وحدة سفلية  فرن </v>
      </c>
      <c r="C74" s="9">
        <f>C72+1</f>
        <v>9</v>
      </c>
      <c r="D74" s="9" t="str">
        <f ca="1">F61</f>
        <v>يوفيلاك</v>
      </c>
      <c r="E74" s="9" t="s">
        <v>15</v>
      </c>
      <c r="F74" s="9" t="str">
        <f>IF(H74=0,"",(I60-0.5-E60))</f>
        <v/>
      </c>
      <c r="G74" s="9" t="str">
        <f>IF(H74=0, "",(H60/C60)-0.5)</f>
        <v/>
      </c>
      <c r="H74" s="9">
        <f>C60*C58</f>
        <v>0</v>
      </c>
      <c r="I74" s="9">
        <f ca="1">visible(materialNum(D74), K74)</f>
        <v>6</v>
      </c>
      <c r="J74" s="9">
        <f ca="1">visible(engraving(I74), K74)</f>
        <v>2</v>
      </c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</row>
    <row r="75" spans="1:79" x14ac:dyDescent="0.3">
      <c r="A75" s="42">
        <v>4</v>
      </c>
      <c r="B75" s="14" t="str">
        <f>visible(E58, K75)</f>
        <v xml:space="preserve">وحدة سفلية  فرن </v>
      </c>
      <c r="C75" s="9">
        <f>C74+1</f>
        <v>10</v>
      </c>
      <c r="D75" s="9" t="str">
        <f ca="1">F61</f>
        <v>يوفيلاك</v>
      </c>
      <c r="E75" s="9" t="s">
        <v>123</v>
      </c>
      <c r="F75" s="9">
        <f>H60-0.5</f>
        <v>59.5</v>
      </c>
      <c r="G75" s="9">
        <f ca="1">I60-E60-60.5</f>
        <v>14</v>
      </c>
      <c r="H75" s="9">
        <f>1*C58</f>
        <v>1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</row>
    <row r="76" spans="1:79" ht="14.4" x14ac:dyDescent="0.3">
      <c r="A76" s="42">
        <v>0</v>
      </c>
      <c r="B76"/>
      <c r="C76"/>
      <c r="D76"/>
      <c r="E76"/>
      <c r="F76"/>
      <c r="G76"/>
      <c r="H76"/>
      <c r="I76"/>
      <c r="J76"/>
      <c r="K76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</row>
    <row r="77" spans="1:79" x14ac:dyDescent="0.3">
      <c r="A77" s="42">
        <v>5</v>
      </c>
      <c r="B77" s="14" t="str">
        <f>visible(E58, K77)</f>
        <v xml:space="preserve">وحدة سفلية  فرن </v>
      </c>
      <c r="C77" s="18">
        <f>C75+1</f>
        <v>11</v>
      </c>
      <c r="D77" s="18" t="str">
        <f ca="1">D61</f>
        <v>ظهر</v>
      </c>
      <c r="E77" s="18" t="s">
        <v>57</v>
      </c>
      <c r="F77" s="18">
        <f ca="1">I60-2</f>
        <v>76</v>
      </c>
      <c r="G77" s="18">
        <f>H60-2</f>
        <v>58</v>
      </c>
      <c r="H77" s="18">
        <f>1*C58</f>
        <v>1</v>
      </c>
      <c r="I77" s="18">
        <f ca="1">visible(materialNum(D77), K77)</f>
        <v>2</v>
      </c>
      <c r="J77" s="18">
        <f ca="1">visible(engraving(I77), K77)</f>
        <v>2</v>
      </c>
      <c r="K77" s="18" t="b">
        <v>1</v>
      </c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</row>
    <row r="78" spans="1:79" x14ac:dyDescent="0.3">
      <c r="A78" s="42">
        <v>5</v>
      </c>
      <c r="B78" s="14" t="str">
        <f>visible(E58, K78)</f>
        <v xml:space="preserve">وحدة سفلية  فرن </v>
      </c>
      <c r="C78" s="18">
        <f>C77+1</f>
        <v>12</v>
      </c>
      <c r="D78" s="18" t="str">
        <f ca="1">D61</f>
        <v>ظهر</v>
      </c>
      <c r="E78" s="18" t="s">
        <v>122</v>
      </c>
      <c r="F78" s="18">
        <f>H60-3.6-3.6-2.5+2</f>
        <v>52.3</v>
      </c>
      <c r="G78" s="18">
        <f ca="1">G60-1</f>
        <v>44</v>
      </c>
      <c r="H78" s="18">
        <f>1*C58</f>
        <v>1</v>
      </c>
      <c r="I78" s="18">
        <f ca="1">visible(materialNum(D78), K78)</f>
        <v>2</v>
      </c>
      <c r="J78" s="18">
        <f ca="1">visible(engraving(I78), K78)</f>
        <v>2</v>
      </c>
      <c r="K78" s="18" t="b">
        <v>1</v>
      </c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</row>
    <row r="79" spans="1:79" x14ac:dyDescent="0.3">
      <c r="A79" s="42">
        <v>255</v>
      </c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</row>
    <row r="80" spans="1:79" x14ac:dyDescent="0.3">
      <c r="A80" s="42">
        <v>255</v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</row>
    <row r="81" spans="1:79" ht="31.2" x14ac:dyDescent="0.3">
      <c r="A81" s="43" t="s">
        <v>132</v>
      </c>
      <c r="C81" s="13">
        <v>1</v>
      </c>
      <c r="D81" s="21" t="s">
        <v>58</v>
      </c>
      <c r="E81" s="101" t="s">
        <v>133</v>
      </c>
      <c r="F81" s="102"/>
      <c r="G81" s="102"/>
      <c r="H81" s="103"/>
      <c r="I81" s="2" t="s">
        <v>29</v>
      </c>
      <c r="J81" s="2">
        <f>letterToNumber(A81)</f>
        <v>4</v>
      </c>
      <c r="K81" s="7">
        <f ca="1">_xlfn.SHEET("وحدات سفلية")</f>
        <v>4</v>
      </c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</row>
    <row r="82" spans="1:79" ht="31.2" x14ac:dyDescent="0.3">
      <c r="A82" s="42">
        <v>1</v>
      </c>
      <c r="C82" s="7" t="s">
        <v>12</v>
      </c>
      <c r="D82" s="17" t="s">
        <v>18</v>
      </c>
      <c r="E82" s="7" t="s">
        <v>16</v>
      </c>
      <c r="F82" s="17" t="s">
        <v>134</v>
      </c>
      <c r="G82" s="15" t="s">
        <v>19</v>
      </c>
      <c r="H82" s="7" t="s">
        <v>22</v>
      </c>
      <c r="I82" s="7" t="s">
        <v>3</v>
      </c>
      <c r="J82" s="7" t="s">
        <v>109</v>
      </c>
      <c r="K82" s="7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</row>
    <row r="83" spans="1:79" x14ac:dyDescent="0.3">
      <c r="A83" s="42">
        <v>1</v>
      </c>
      <c r="C83" s="8">
        <v>2</v>
      </c>
      <c r="D83" s="8">
        <v>1</v>
      </c>
      <c r="E83" s="26" cm="1">
        <f t="array" aca="1" ref="E83" ca="1">defaultValue(E82,K81)</f>
        <v>3.5</v>
      </c>
      <c r="F83" s="8">
        <v>1</v>
      </c>
      <c r="G83" s="26" cm="1">
        <f t="array" aca="1" ref="G83" ca="1">defaultValue(G82,K81)</f>
        <v>45</v>
      </c>
      <c r="H83" s="8">
        <v>60</v>
      </c>
      <c r="I83" s="26" cm="1">
        <f t="array" aca="1" ref="I83" ca="1">defaultValue(I82,K81)</f>
        <v>78</v>
      </c>
      <c r="J83" s="26" cm="1">
        <f t="array" aca="1" ref="J83" ca="1">defaultValue(J82,K81)</f>
        <v>56</v>
      </c>
      <c r="K83" s="7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</row>
    <row r="84" spans="1:79" ht="31.2" x14ac:dyDescent="0.3">
      <c r="A84" s="42">
        <v>1</v>
      </c>
      <c r="C84" s="8"/>
      <c r="D84" s="26" t="str" cm="1">
        <f t="array" aca="1" ref="D84" ca="1">defaultValue(E84,K81)</f>
        <v>ظهر</v>
      </c>
      <c r="E84" s="7" t="s">
        <v>57</v>
      </c>
      <c r="F84" s="26" t="str" cm="1">
        <f t="array" aca="1" ref="F84" ca="1">defaultValue(G84,K81)</f>
        <v>يوفيلاك</v>
      </c>
      <c r="G84" s="7" t="s">
        <v>31</v>
      </c>
      <c r="H84" s="26" t="str" cm="1">
        <f t="array" aca="1" ref="H84" ca="1">defaultValue(I84,K81)</f>
        <v>HPL</v>
      </c>
      <c r="I84" s="7" t="s">
        <v>30</v>
      </c>
      <c r="J84" s="24" t="s">
        <v>108</v>
      </c>
      <c r="K84" s="7"/>
      <c r="BB84"/>
      <c r="BC84"/>
      <c r="BD84"/>
      <c r="BE84"/>
      <c r="BF84"/>
      <c r="BG84"/>
      <c r="BH84"/>
      <c r="BI84"/>
      <c r="BJ84"/>
    </row>
    <row r="85" spans="1:79" ht="14.4" x14ac:dyDescent="0.3">
      <c r="A85" s="42">
        <v>0</v>
      </c>
      <c r="B85"/>
      <c r="C85"/>
      <c r="D85"/>
      <c r="E85"/>
      <c r="F85"/>
      <c r="G85"/>
      <c r="H85"/>
      <c r="I85"/>
      <c r="J85"/>
      <c r="K85"/>
      <c r="BB85"/>
      <c r="BC85"/>
      <c r="BD85"/>
      <c r="BE85"/>
      <c r="BF85"/>
      <c r="BG85"/>
      <c r="BH85"/>
      <c r="BI85"/>
      <c r="BJ85"/>
    </row>
    <row r="86" spans="1:79" x14ac:dyDescent="0.3">
      <c r="A86" s="42">
        <v>2</v>
      </c>
      <c r="C86" s="6" t="s">
        <v>4</v>
      </c>
      <c r="D86" s="6" t="s">
        <v>9</v>
      </c>
      <c r="E86" s="6" t="s">
        <v>5</v>
      </c>
      <c r="F86" s="6" t="s">
        <v>7</v>
      </c>
      <c r="G86" s="6" t="s">
        <v>1</v>
      </c>
      <c r="H86" s="6" t="s">
        <v>6</v>
      </c>
      <c r="I86" s="6" t="s">
        <v>32</v>
      </c>
      <c r="J86" s="6" t="s">
        <v>172</v>
      </c>
      <c r="K86" s="6" t="s">
        <v>155</v>
      </c>
      <c r="BB86"/>
      <c r="BC86"/>
      <c r="BD86"/>
      <c r="BE86"/>
      <c r="BF86"/>
      <c r="BG86"/>
      <c r="BH86"/>
      <c r="BI86"/>
      <c r="BJ86"/>
    </row>
    <row r="87" spans="1:79" ht="14.4" x14ac:dyDescent="0.3">
      <c r="A87" s="42">
        <v>0</v>
      </c>
      <c r="B87"/>
      <c r="C87"/>
      <c r="D87"/>
      <c r="E87"/>
      <c r="F87"/>
      <c r="G87"/>
      <c r="H87"/>
      <c r="I87"/>
      <c r="J87"/>
      <c r="K87"/>
      <c r="BB87"/>
      <c r="BC87"/>
      <c r="BD87"/>
      <c r="BE87"/>
      <c r="BF87"/>
      <c r="BG87"/>
      <c r="BH87"/>
      <c r="BI87"/>
      <c r="BJ87"/>
    </row>
    <row r="88" spans="1:79" x14ac:dyDescent="0.3">
      <c r="A88" s="42">
        <v>3</v>
      </c>
      <c r="B88" s="14" t="str">
        <f>visible(E81, K88)</f>
        <v>وحدة سفلية دلفة /دلفتين + درج</v>
      </c>
      <c r="C88" s="6">
        <v>1</v>
      </c>
      <c r="D88" s="6" t="str">
        <f ca="1">H84</f>
        <v>HPL</v>
      </c>
      <c r="E88" s="6" t="s">
        <v>10</v>
      </c>
      <c r="F88" s="6">
        <f>H83-3.6</f>
        <v>56.4</v>
      </c>
      <c r="G88" s="6">
        <f ca="1">J83</f>
        <v>56</v>
      </c>
      <c r="H88" s="6">
        <f>1*C81</f>
        <v>1</v>
      </c>
      <c r="I88" s="6">
        <f t="shared" ref="I88:I95" ca="1" si="7">visible(materialNum(D88), K88)</f>
        <v>2</v>
      </c>
      <c r="J88" s="6">
        <f ca="1">visible(engraving(I88), K88)</f>
        <v>2</v>
      </c>
      <c r="K88" s="6" t="b">
        <v>1</v>
      </c>
      <c r="BB88"/>
      <c r="BC88"/>
      <c r="BD88"/>
      <c r="BE88"/>
      <c r="BF88"/>
      <c r="BG88"/>
      <c r="BH88"/>
      <c r="BI88"/>
      <c r="BJ88"/>
    </row>
    <row r="89" spans="1:79" x14ac:dyDescent="0.3">
      <c r="A89" s="42">
        <v>3</v>
      </c>
      <c r="B89" s="14" t="str">
        <f>visible(E81, K89)</f>
        <v>وحدة سفلية دلفة /دلفتين + درج</v>
      </c>
      <c r="C89" s="6">
        <f>C88+1</f>
        <v>2</v>
      </c>
      <c r="D89" s="6" t="str">
        <f ca="1">H84</f>
        <v>HPL</v>
      </c>
      <c r="E89" s="6" t="s">
        <v>11</v>
      </c>
      <c r="F89" s="6">
        <f ca="1">I83</f>
        <v>78</v>
      </c>
      <c r="G89" s="6">
        <f ca="1">J83</f>
        <v>56</v>
      </c>
      <c r="H89" s="6">
        <f>2*C81</f>
        <v>2</v>
      </c>
      <c r="I89" s="6">
        <f t="shared" ca="1" si="7"/>
        <v>2</v>
      </c>
      <c r="J89" s="6">
        <f ca="1">visible(engraving(I89), K89)</f>
        <v>2</v>
      </c>
      <c r="K89" s="6" t="b">
        <v>1</v>
      </c>
      <c r="BB89"/>
      <c r="BC89"/>
      <c r="BD89"/>
      <c r="BE89"/>
      <c r="BF89"/>
      <c r="BG89"/>
      <c r="BH89"/>
      <c r="BI89"/>
      <c r="BJ89"/>
    </row>
    <row r="90" spans="1:79" x14ac:dyDescent="0.3">
      <c r="A90" s="42">
        <v>3</v>
      </c>
      <c r="B90" s="14" t="str">
        <f>visible(E81, K90)</f>
        <v>وحدة سفلية دلفة /دلفتين + درج</v>
      </c>
      <c r="C90" s="6">
        <f t="shared" ref="C90:C95" si="8">C89+1</f>
        <v>3</v>
      </c>
      <c r="D90" s="6" t="str">
        <f ca="1">H84</f>
        <v>HPL</v>
      </c>
      <c r="E90" s="6" t="s">
        <v>13</v>
      </c>
      <c r="F90" s="6">
        <f>H83-3.6</f>
        <v>56.4</v>
      </c>
      <c r="G90" s="6">
        <f>10</f>
        <v>10</v>
      </c>
      <c r="H90" s="6">
        <f>1*C81</f>
        <v>1</v>
      </c>
      <c r="I90" s="6">
        <f t="shared" ca="1" si="7"/>
        <v>2</v>
      </c>
      <c r="J90" s="6">
        <f ca="1">visible(engraving(I90), K90)</f>
        <v>2</v>
      </c>
      <c r="K90" s="6" t="b">
        <v>1</v>
      </c>
      <c r="BB90"/>
      <c r="BC90"/>
      <c r="BD90"/>
      <c r="BE90"/>
      <c r="BF90"/>
      <c r="BG90"/>
      <c r="BH90"/>
      <c r="BI90"/>
      <c r="BJ90"/>
    </row>
    <row r="91" spans="1:79" x14ac:dyDescent="0.3">
      <c r="A91" s="42">
        <v>3</v>
      </c>
      <c r="B91" s="14" t="str">
        <f>visible(E81, K91)</f>
        <v>وحدة سفلية دلفة /دلفتين + درج</v>
      </c>
      <c r="C91" s="6">
        <f t="shared" si="8"/>
        <v>4</v>
      </c>
      <c r="D91" s="6" t="str">
        <f ca="1">H84</f>
        <v>HPL</v>
      </c>
      <c r="E91" s="6" t="s">
        <v>14</v>
      </c>
      <c r="F91" s="6">
        <f>H83-3.6</f>
        <v>56.4</v>
      </c>
      <c r="G91" s="6">
        <f>7</f>
        <v>7</v>
      </c>
      <c r="H91" s="6">
        <f>1*C81</f>
        <v>1</v>
      </c>
      <c r="I91" s="6">
        <f t="shared" ca="1" si="7"/>
        <v>2</v>
      </c>
      <c r="J91" s="6">
        <f ca="1">visible(engraving(I91), K91)</f>
        <v>2</v>
      </c>
      <c r="K91" s="6" t="b">
        <v>1</v>
      </c>
      <c r="BB91"/>
      <c r="BC91"/>
      <c r="BD91"/>
      <c r="BE91"/>
      <c r="BF91"/>
      <c r="BG91"/>
      <c r="BH91"/>
      <c r="BI91"/>
      <c r="BJ91"/>
    </row>
    <row r="92" spans="1:79" x14ac:dyDescent="0.3">
      <c r="A92" s="42">
        <v>3</v>
      </c>
      <c r="B92" s="14" t="str">
        <f>visible(E81, K92)</f>
        <v>وحدة سفلية دلفة /دلفتين + درج</v>
      </c>
      <c r="C92" s="6">
        <f t="shared" si="8"/>
        <v>5</v>
      </c>
      <c r="D92" s="6" t="str">
        <f ca="1">H84</f>
        <v>HPL</v>
      </c>
      <c r="E92" s="6" t="s">
        <v>17</v>
      </c>
      <c r="F92" s="6">
        <f>H83-3.8</f>
        <v>56.2</v>
      </c>
      <c r="G92" s="6">
        <f ca="1">J83-6</f>
        <v>50</v>
      </c>
      <c r="H92" s="6">
        <f>D83*C81</f>
        <v>1</v>
      </c>
      <c r="I92" s="6">
        <f t="shared" ca="1" si="7"/>
        <v>2</v>
      </c>
      <c r="J92" s="6">
        <f ca="1">visible(engraving(I92), K92)</f>
        <v>2</v>
      </c>
      <c r="K92" s="6" t="b">
        <v>1</v>
      </c>
      <c r="BB92"/>
      <c r="BC92"/>
      <c r="BD92"/>
      <c r="BE92"/>
      <c r="BF92"/>
      <c r="BG92"/>
      <c r="BH92"/>
      <c r="BI92"/>
      <c r="BJ92"/>
    </row>
    <row r="93" spans="1:79" x14ac:dyDescent="0.3">
      <c r="A93" s="42">
        <v>3</v>
      </c>
      <c r="B93" s="14" t="str">
        <f>visible(E81, K93)</f>
        <v>وحدة سفلية دلفة /دلفتين + درج</v>
      </c>
      <c r="C93" s="10">
        <f t="shared" si="8"/>
        <v>6</v>
      </c>
      <c r="D93" s="10" t="str">
        <f ca="1">H84</f>
        <v>HPL</v>
      </c>
      <c r="E93" s="10" t="s">
        <v>21</v>
      </c>
      <c r="F93" s="10">
        <f>H83-3.6-3.6-2.5</f>
        <v>50.3</v>
      </c>
      <c r="G93" s="10">
        <v>10</v>
      </c>
      <c r="H93" s="10">
        <f>F83*C81</f>
        <v>1</v>
      </c>
      <c r="I93" s="10">
        <f t="shared" ca="1" si="7"/>
        <v>2</v>
      </c>
      <c r="J93" s="10">
        <f ca="1">visible(engraving(I93), K93)</f>
        <v>2</v>
      </c>
      <c r="K93" s="10" t="b">
        <v>1</v>
      </c>
      <c r="BB93"/>
      <c r="BC93"/>
      <c r="BD93"/>
      <c r="BE93"/>
      <c r="BF93"/>
      <c r="BG93"/>
      <c r="BH93"/>
      <c r="BI93"/>
      <c r="BJ93"/>
    </row>
    <row r="94" spans="1:79" x14ac:dyDescent="0.3">
      <c r="A94" s="42">
        <v>3</v>
      </c>
      <c r="B94" s="14" t="str">
        <f>visible(E81, K94)</f>
        <v>وحدة سفلية دلفة /دلفتين + درج</v>
      </c>
      <c r="C94" s="10">
        <f t="shared" si="8"/>
        <v>7</v>
      </c>
      <c r="D94" s="10" t="str">
        <f ca="1">H84</f>
        <v>HPL</v>
      </c>
      <c r="E94" s="10" t="s">
        <v>124</v>
      </c>
      <c r="F94" s="10">
        <f ca="1">G83</f>
        <v>45</v>
      </c>
      <c r="G94" s="10">
        <v>10</v>
      </c>
      <c r="H94" s="10">
        <f>2*C81*F83</f>
        <v>2</v>
      </c>
      <c r="I94" s="10">
        <f t="shared" ca="1" si="7"/>
        <v>2</v>
      </c>
      <c r="J94" s="10">
        <f ca="1">visible(engraving(I94), K94)</f>
        <v>2</v>
      </c>
      <c r="K94" s="10" t="b">
        <v>1</v>
      </c>
      <c r="BB94"/>
      <c r="BC94"/>
      <c r="BD94"/>
      <c r="BE94"/>
      <c r="BF94"/>
      <c r="BG94"/>
      <c r="BH94"/>
      <c r="BI94"/>
      <c r="BJ94"/>
    </row>
    <row r="95" spans="1:79" x14ac:dyDescent="0.3">
      <c r="A95" s="42">
        <v>3</v>
      </c>
      <c r="B95" s="14" t="str">
        <f>visible(E81, K95)</f>
        <v>وحدة سفلية دلفة /دلفتين + درج</v>
      </c>
      <c r="C95" s="10">
        <f t="shared" si="8"/>
        <v>8</v>
      </c>
      <c r="D95" s="10" t="str">
        <f ca="1">H84</f>
        <v>HPL</v>
      </c>
      <c r="E95" s="10" t="s">
        <v>125</v>
      </c>
      <c r="F95" s="10">
        <f>H83-3.6-3.6-2.5</f>
        <v>50.3</v>
      </c>
      <c r="G95" s="10">
        <f>10-3</f>
        <v>7</v>
      </c>
      <c r="H95" s="10">
        <f>F83*C81</f>
        <v>1</v>
      </c>
      <c r="I95" s="10">
        <f t="shared" ca="1" si="7"/>
        <v>2</v>
      </c>
      <c r="J95" s="10">
        <f ca="1">visible(engraving(I95), K95)</f>
        <v>2</v>
      </c>
      <c r="K95" s="10" t="b">
        <v>1</v>
      </c>
      <c r="BB95"/>
      <c r="BC95"/>
      <c r="BD95"/>
      <c r="BE95"/>
      <c r="BF95"/>
      <c r="BG95"/>
      <c r="BH95"/>
      <c r="BI95"/>
      <c r="BJ95"/>
    </row>
    <row r="96" spans="1:79" ht="14.4" x14ac:dyDescent="0.3">
      <c r="A96" s="42">
        <v>0</v>
      </c>
      <c r="B96"/>
      <c r="C96"/>
      <c r="D96"/>
      <c r="E96"/>
      <c r="F96"/>
      <c r="G96"/>
      <c r="H96"/>
      <c r="I96"/>
      <c r="J96"/>
      <c r="K96"/>
      <c r="BB96"/>
      <c r="BC96"/>
      <c r="BD96"/>
      <c r="BE96"/>
      <c r="BF96"/>
      <c r="BG96"/>
      <c r="BH96"/>
      <c r="BI96"/>
      <c r="BJ96"/>
    </row>
    <row r="97" spans="1:62" x14ac:dyDescent="0.3">
      <c r="A97" s="42">
        <v>4</v>
      </c>
      <c r="B97" s="14" t="str">
        <f>visible(E81, K97)</f>
        <v>وحدة سفلية دلفة /دلفتين + درج</v>
      </c>
      <c r="C97" s="9">
        <f>C95+1</f>
        <v>9</v>
      </c>
      <c r="D97" s="9" t="str">
        <f ca="1">F84</f>
        <v>يوفيلاك</v>
      </c>
      <c r="E97" s="9" t="s">
        <v>15</v>
      </c>
      <c r="F97" s="9">
        <f ca="1">I83-0.5-E83-G98</f>
        <v>59</v>
      </c>
      <c r="G97" s="9">
        <f>(H83/C83)-0.5</f>
        <v>29.5</v>
      </c>
      <c r="H97" s="9">
        <f>C83*C81</f>
        <v>2</v>
      </c>
      <c r="I97" s="9">
        <f ca="1">visible(materialNum(D97), K97)</f>
        <v>6</v>
      </c>
      <c r="J97" s="9">
        <f ca="1">visible(engraving(I97), K97)</f>
        <v>2</v>
      </c>
      <c r="K97" s="9" t="b">
        <v>1</v>
      </c>
      <c r="BB97"/>
      <c r="BC97"/>
      <c r="BD97"/>
      <c r="BE97"/>
      <c r="BF97"/>
      <c r="BG97"/>
      <c r="BH97"/>
      <c r="BI97"/>
      <c r="BJ97"/>
    </row>
    <row r="98" spans="1:62" x14ac:dyDescent="0.3">
      <c r="A98" s="42">
        <v>4</v>
      </c>
      <c r="B98" s="14" t="str">
        <f>visible(E81, K98)</f>
        <v>وحدة سفلية دلفة /دلفتين + درج</v>
      </c>
      <c r="C98" s="9">
        <f>C97+1</f>
        <v>10</v>
      </c>
      <c r="D98" s="9" t="str">
        <f ca="1">F84</f>
        <v>يوفيلاك</v>
      </c>
      <c r="E98" s="9" t="s">
        <v>136</v>
      </c>
      <c r="F98" s="9">
        <f>H83-0.5</f>
        <v>59.5</v>
      </c>
      <c r="G98" s="9">
        <f ca="1">I83-E83-59.5</f>
        <v>15</v>
      </c>
      <c r="H98" s="9">
        <f>F83*C81</f>
        <v>1</v>
      </c>
      <c r="I98" s="9">
        <f ca="1">visible(materialNum(D98), K98)</f>
        <v>6</v>
      </c>
      <c r="J98" s="9">
        <f ca="1">visible(engraving(I98), K98)</f>
        <v>2</v>
      </c>
      <c r="K98" s="9" t="b">
        <v>1</v>
      </c>
      <c r="BB98"/>
      <c r="BC98"/>
      <c r="BD98"/>
      <c r="BE98"/>
      <c r="BF98"/>
      <c r="BG98"/>
      <c r="BH98"/>
      <c r="BI98"/>
      <c r="BJ98"/>
    </row>
    <row r="99" spans="1:62" ht="14.4" x14ac:dyDescent="0.3">
      <c r="A99" s="42">
        <v>0</v>
      </c>
      <c r="B99"/>
      <c r="C99"/>
      <c r="D99"/>
      <c r="E99"/>
      <c r="F99"/>
      <c r="G99"/>
      <c r="H99"/>
      <c r="I99"/>
      <c r="J99"/>
      <c r="K99"/>
      <c r="BB99"/>
      <c r="BC99"/>
      <c r="BD99"/>
      <c r="BE99"/>
      <c r="BF99"/>
      <c r="BG99"/>
      <c r="BH99"/>
      <c r="BI99"/>
      <c r="BJ99"/>
    </row>
    <row r="100" spans="1:62" x14ac:dyDescent="0.3">
      <c r="A100" s="42">
        <v>5</v>
      </c>
      <c r="B100" s="14" t="str">
        <f>visible(E81, K100)</f>
        <v>وحدة سفلية دلفة /دلفتين + درج</v>
      </c>
      <c r="C100" s="18">
        <f>C97+1</f>
        <v>10</v>
      </c>
      <c r="D100" s="18" t="str">
        <f ca="1">D84</f>
        <v>ظهر</v>
      </c>
      <c r="E100" s="18" t="s">
        <v>57</v>
      </c>
      <c r="F100" s="18">
        <f ca="1">I83-2</f>
        <v>76</v>
      </c>
      <c r="G100" s="18">
        <f>H83-2</f>
        <v>58</v>
      </c>
      <c r="H100" s="18">
        <f>1*C81</f>
        <v>1</v>
      </c>
      <c r="I100" s="18">
        <f ca="1">visible(materialNum(D100), K100)</f>
        <v>2</v>
      </c>
      <c r="J100" s="18">
        <f ca="1">visible(engraving(I100), K100)</f>
        <v>2</v>
      </c>
      <c r="K100" s="18" t="b">
        <v>1</v>
      </c>
      <c r="BB100"/>
      <c r="BC100"/>
      <c r="BD100"/>
      <c r="BE100"/>
      <c r="BF100"/>
      <c r="BG100"/>
      <c r="BH100"/>
      <c r="BI100"/>
      <c r="BJ100"/>
    </row>
    <row r="101" spans="1:62" x14ac:dyDescent="0.3">
      <c r="A101" s="42">
        <v>5</v>
      </c>
      <c r="B101" s="14" t="str">
        <f>visible(E81, K101)</f>
        <v>وحدة سفلية دلفة /دلفتين + درج</v>
      </c>
      <c r="C101" s="18">
        <f>C100+1</f>
        <v>11</v>
      </c>
      <c r="D101" s="18" t="str">
        <f ca="1">D84</f>
        <v>ظهر</v>
      </c>
      <c r="E101" s="18" t="s">
        <v>135</v>
      </c>
      <c r="F101" s="18">
        <f>H83-3.6-3.6-2.5+2</f>
        <v>52.3</v>
      </c>
      <c r="G101" s="18">
        <f ca="1">G83-1</f>
        <v>44</v>
      </c>
      <c r="H101" s="18">
        <f>1*C81</f>
        <v>1</v>
      </c>
      <c r="I101" s="18">
        <f ca="1">visible(materialNum(D101), K101)</f>
        <v>2</v>
      </c>
      <c r="J101" s="18">
        <f ca="1">visible(engraving(I101), K101)</f>
        <v>2</v>
      </c>
      <c r="K101" s="18" t="b">
        <v>1</v>
      </c>
      <c r="BB101"/>
      <c r="BC101"/>
      <c r="BD101"/>
      <c r="BE101"/>
      <c r="BF101"/>
      <c r="BG101"/>
      <c r="BH101"/>
      <c r="BI101"/>
      <c r="BJ101"/>
    </row>
    <row r="102" spans="1:62" x14ac:dyDescent="0.3">
      <c r="A102" s="42">
        <v>255</v>
      </c>
      <c r="BB102"/>
      <c r="BC102"/>
      <c r="BD102"/>
      <c r="BE102"/>
      <c r="BF102"/>
      <c r="BG102"/>
      <c r="BH102"/>
      <c r="BI102"/>
      <c r="BJ102"/>
    </row>
    <row r="103" spans="1:62" x14ac:dyDescent="0.3">
      <c r="A103" s="42">
        <v>255</v>
      </c>
      <c r="BB103"/>
      <c r="BC103"/>
      <c r="BD103"/>
      <c r="BE103"/>
      <c r="BF103"/>
      <c r="BG103"/>
      <c r="BH103"/>
      <c r="BI103"/>
      <c r="BJ103"/>
    </row>
    <row r="104" spans="1:62" ht="31.2" x14ac:dyDescent="0.3">
      <c r="A104" s="43" t="s">
        <v>128</v>
      </c>
      <c r="C104" s="13">
        <v>1</v>
      </c>
      <c r="D104" s="21" t="s">
        <v>58</v>
      </c>
      <c r="E104" s="101" t="s">
        <v>154</v>
      </c>
      <c r="F104" s="102"/>
      <c r="G104" s="102"/>
      <c r="H104" s="103"/>
      <c r="I104" s="2" t="s">
        <v>29</v>
      </c>
      <c r="J104" s="2">
        <f>letterToNumber(A104)</f>
        <v>5</v>
      </c>
      <c r="K104" s="26">
        <f ca="1">_xlfn.SHEET("وحدات سفلية")</f>
        <v>4</v>
      </c>
      <c r="BB104"/>
      <c r="BC104"/>
      <c r="BD104"/>
      <c r="BE104"/>
      <c r="BF104"/>
      <c r="BG104"/>
      <c r="BH104"/>
      <c r="BI104"/>
      <c r="BJ104"/>
    </row>
    <row r="105" spans="1:62" ht="21" x14ac:dyDescent="0.3">
      <c r="A105" s="42">
        <v>1</v>
      </c>
      <c r="C105" s="8"/>
      <c r="D105" s="7"/>
      <c r="E105" s="26" t="str" cm="1">
        <f t="array" aca="1" ref="E105" ca="1">defaultValue(F105,K104)</f>
        <v>ظهر</v>
      </c>
      <c r="F105" s="7" t="s">
        <v>57</v>
      </c>
      <c r="G105" s="26" t="str" cm="1">
        <f t="array" aca="1" ref="G105" ca="1">defaultValue(H105,K104)</f>
        <v>يوفيلاك</v>
      </c>
      <c r="H105" s="7" t="s">
        <v>31</v>
      </c>
      <c r="I105" s="26" t="str" cm="1">
        <f t="array" aca="1" ref="I105" ca="1">defaultValue(J105,K104)</f>
        <v>HPL</v>
      </c>
      <c r="J105" s="7" t="s">
        <v>30</v>
      </c>
      <c r="K105" s="24" t="s">
        <v>108</v>
      </c>
      <c r="BB105"/>
      <c r="BC105"/>
      <c r="BD105"/>
      <c r="BE105"/>
      <c r="BF105"/>
      <c r="BG105"/>
      <c r="BH105"/>
      <c r="BI105"/>
      <c r="BJ105"/>
    </row>
    <row r="106" spans="1:62" ht="31.2" x14ac:dyDescent="0.3">
      <c r="A106" s="42">
        <v>1</v>
      </c>
      <c r="C106" s="7" t="s">
        <v>12</v>
      </c>
      <c r="D106" s="7" t="s">
        <v>18</v>
      </c>
      <c r="E106" s="70"/>
      <c r="F106" s="70" t="s">
        <v>110</v>
      </c>
      <c r="G106" s="7" t="s">
        <v>16</v>
      </c>
      <c r="H106" s="7" t="s">
        <v>22</v>
      </c>
      <c r="I106" s="7" t="s">
        <v>3</v>
      </c>
      <c r="J106" s="7" t="s">
        <v>109</v>
      </c>
      <c r="K106" s="7"/>
      <c r="BB106"/>
      <c r="BC106"/>
      <c r="BD106"/>
      <c r="BE106"/>
      <c r="BF106"/>
      <c r="BG106"/>
      <c r="BH106"/>
      <c r="BI106"/>
      <c r="BJ106"/>
    </row>
    <row r="107" spans="1:62" x14ac:dyDescent="0.3">
      <c r="A107" s="42">
        <v>1</v>
      </c>
      <c r="C107" s="26">
        <v>1</v>
      </c>
      <c r="D107" s="26">
        <v>5</v>
      </c>
      <c r="E107" s="40"/>
      <c r="F107" s="26" t="b" cm="1">
        <f t="array" aca="1" ref="F107" ca="1">defaultValue(F106,K104)</f>
        <v>1</v>
      </c>
      <c r="G107" s="26" cm="1">
        <f t="array" aca="1" ref="G107" ca="1">defaultValue(G106,K104)</f>
        <v>3.5</v>
      </c>
      <c r="H107" s="8"/>
      <c r="I107" s="26" cm="1">
        <f t="array" aca="1" ref="I107" ca="1">defaultValue(I106,K104)</f>
        <v>78</v>
      </c>
      <c r="J107" s="26" cm="1">
        <f t="array" aca="1" ref="J107" ca="1">defaultValue(J106,K104)</f>
        <v>56</v>
      </c>
      <c r="K107" s="7"/>
      <c r="BB107"/>
      <c r="BC107"/>
      <c r="BD107"/>
      <c r="BE107"/>
      <c r="BF107"/>
      <c r="BG107"/>
      <c r="BH107"/>
      <c r="BI107"/>
      <c r="BJ107"/>
    </row>
    <row r="108" spans="1:62" x14ac:dyDescent="0.3">
      <c r="A108" s="42">
        <v>0</v>
      </c>
      <c r="BB108"/>
      <c r="BC108"/>
      <c r="BD108"/>
      <c r="BE108"/>
      <c r="BF108"/>
      <c r="BG108"/>
      <c r="BH108"/>
      <c r="BI108"/>
      <c r="BJ108"/>
    </row>
    <row r="109" spans="1:62" x14ac:dyDescent="0.3">
      <c r="A109" s="42">
        <v>2</v>
      </c>
      <c r="C109" s="6" t="s">
        <v>4</v>
      </c>
      <c r="D109" s="6" t="s">
        <v>9</v>
      </c>
      <c r="E109" s="6" t="s">
        <v>5</v>
      </c>
      <c r="F109" s="6" t="s">
        <v>7</v>
      </c>
      <c r="G109" s="6" t="s">
        <v>1</v>
      </c>
      <c r="H109" s="6" t="s">
        <v>6</v>
      </c>
      <c r="I109" s="6" t="s">
        <v>32</v>
      </c>
      <c r="J109" s="6" t="s">
        <v>172</v>
      </c>
      <c r="K109" s="6" t="s">
        <v>155</v>
      </c>
      <c r="BB109"/>
      <c r="BC109"/>
      <c r="BD109"/>
      <c r="BE109"/>
      <c r="BF109"/>
      <c r="BG109"/>
      <c r="BH109"/>
      <c r="BI109"/>
      <c r="BJ109"/>
    </row>
    <row r="110" spans="1:62" x14ac:dyDescent="0.3">
      <c r="A110" s="42">
        <v>0</v>
      </c>
      <c r="C110" s="1"/>
      <c r="D110" s="1"/>
      <c r="E110" s="1"/>
      <c r="F110" s="1"/>
      <c r="G110" s="1"/>
      <c r="H110" s="1"/>
      <c r="I110" s="1"/>
      <c r="J110" s="1"/>
      <c r="BB110"/>
      <c r="BC110"/>
      <c r="BD110"/>
      <c r="BE110"/>
      <c r="BF110"/>
      <c r="BG110"/>
      <c r="BH110"/>
      <c r="BI110"/>
      <c r="BJ110"/>
    </row>
    <row r="111" spans="1:62" x14ac:dyDescent="0.3">
      <c r="A111" s="42">
        <v>3</v>
      </c>
      <c r="B111" s="14" t="str">
        <f>visible(E104, K111)</f>
        <v>وحدة سفلية دلفة/ دلفتين</v>
      </c>
      <c r="C111" s="6" cm="1">
        <f t="array" ref="C111">visible((1),K111)</f>
        <v>1</v>
      </c>
      <c r="D111" s="6" t="str" cm="1">
        <f t="array" aca="1" ref="D111" ca="1">visible((I105),K111)</f>
        <v>HPL</v>
      </c>
      <c r="E111" s="6" t="str" cm="1">
        <f t="array" ref="E111">visible(("قاعدة"),K111)</f>
        <v>قاعدة</v>
      </c>
      <c r="F111" s="6" cm="1">
        <f t="array" ref="F111">visible((H107 -3.6),K111)</f>
        <v>-3.6</v>
      </c>
      <c r="G111" s="6" cm="1">
        <f t="array" aca="1" ref="G111" ca="1">visible((J107),K111)</f>
        <v>56</v>
      </c>
      <c r="H111" s="6" cm="1">
        <f t="array" ref="H111">visible((C104),K111)</f>
        <v>1</v>
      </c>
      <c r="I111" s="6">
        <f ca="1">visible(materialNum(D111), K111)</f>
        <v>2</v>
      </c>
      <c r="J111" s="6">
        <f ca="1">visible(engraving(I111), K111)</f>
        <v>2</v>
      </c>
      <c r="K111" s="6" t="b">
        <v>1</v>
      </c>
      <c r="BB111"/>
      <c r="BC111"/>
      <c r="BD111"/>
      <c r="BE111"/>
      <c r="BF111"/>
      <c r="BG111"/>
      <c r="BH111"/>
      <c r="BI111"/>
      <c r="BJ111"/>
    </row>
    <row r="112" spans="1:62" x14ac:dyDescent="0.3">
      <c r="A112" s="42">
        <v>3</v>
      </c>
      <c r="B112" s="14" t="str">
        <f>visible(E104, K112)</f>
        <v>وحدة سفلية دلفة/ دلفتين</v>
      </c>
      <c r="C112" s="6" cm="1">
        <f t="array" ref="C112">visible(2,K112)</f>
        <v>2</v>
      </c>
      <c r="D112" s="6" t="str" cm="1">
        <f t="array" aca="1" ref="D112" ca="1">visible((I105),K112)</f>
        <v>HPL</v>
      </c>
      <c r="E112" s="6" t="str" cm="1">
        <f t="array" ref="E112">visible(("أجناب"),K112)</f>
        <v>أجناب</v>
      </c>
      <c r="F112" s="6" cm="1">
        <f t="array" aca="1" ref="F112" ca="1">visible((I107),K112)</f>
        <v>78</v>
      </c>
      <c r="G112" s="6" cm="1">
        <f t="array" aca="1" ref="G112" ca="1">visible((J107),K112)</f>
        <v>56</v>
      </c>
      <c r="H112" s="6" cm="1">
        <f t="array" ref="H112">visible((2 *C104),K112)</f>
        <v>2</v>
      </c>
      <c r="I112" s="6">
        <f ca="1">visible(materialNum(D112), K112)</f>
        <v>2</v>
      </c>
      <c r="J112" s="6">
        <f ca="1">visible(engraving(I112), K112)</f>
        <v>2</v>
      </c>
      <c r="K112" s="6" t="b">
        <v>1</v>
      </c>
      <c r="BB112"/>
      <c r="BC112"/>
      <c r="BD112"/>
      <c r="BE112"/>
      <c r="BF112"/>
      <c r="BG112"/>
      <c r="BH112"/>
      <c r="BI112"/>
      <c r="BJ112"/>
    </row>
    <row r="113" spans="1:62" x14ac:dyDescent="0.3">
      <c r="A113" s="42">
        <v>3</v>
      </c>
      <c r="B113" s="14" t="str">
        <f>visible(E104, K113)</f>
        <v>وحدة سفلية دلفة/ دلفتين</v>
      </c>
      <c r="C113" s="6" cm="1">
        <f t="array" ref="C113">visible(3,K113)</f>
        <v>3</v>
      </c>
      <c r="D113" s="6" t="str" cm="1">
        <f t="array" aca="1" ref="D113" ca="1">visible((I105),K113)</f>
        <v>HPL</v>
      </c>
      <c r="E113" s="6" t="str" cm="1">
        <f t="array" ref="E113">visible(("مرايا علوية 1"),K113)</f>
        <v>مرايا علوية 1</v>
      </c>
      <c r="F113" s="6" cm="1">
        <f t="array" ref="F113">visible((H107-3.6),K113)</f>
        <v>-3.6</v>
      </c>
      <c r="G113" s="6" cm="1">
        <f t="array" ref="G113">visible((10),K113)</f>
        <v>10</v>
      </c>
      <c r="H113" s="6" cm="1">
        <f t="array" ref="H113">visible((C104),K113)</f>
        <v>1</v>
      </c>
      <c r="I113" s="6">
        <f ca="1">visible(materialNum(D113), K113)</f>
        <v>2</v>
      </c>
      <c r="J113" s="6">
        <f ca="1">visible(engraving(I113), K113)</f>
        <v>2</v>
      </c>
      <c r="K113" s="6" t="b">
        <v>1</v>
      </c>
      <c r="BB113"/>
      <c r="BC113"/>
      <c r="BD113"/>
      <c r="BE113"/>
      <c r="BF113"/>
      <c r="BG113"/>
      <c r="BH113"/>
      <c r="BI113"/>
      <c r="BJ113"/>
    </row>
    <row r="114" spans="1:62" x14ac:dyDescent="0.3">
      <c r="A114" s="42">
        <v>3</v>
      </c>
      <c r="B114" s="14" t="str">
        <f>visible(E104, K114)</f>
        <v>وحدة سفلية دلفة/ دلفتين</v>
      </c>
      <c r="C114" s="6" cm="1">
        <f t="array" ref="C114">visible(4,K114)</f>
        <v>4</v>
      </c>
      <c r="D114" s="6" t="str" cm="1">
        <f t="array" aca="1" ref="D114" ca="1">visible((I105),K114)</f>
        <v>HPL</v>
      </c>
      <c r="E114" s="6" t="str" cm="1">
        <f t="array" ref="E114">visible(("مرايا علوية 2"),K114)</f>
        <v>مرايا علوية 2</v>
      </c>
      <c r="F114" s="6" cm="1">
        <f t="array" ref="F114">visible((H107-3.6),K114)</f>
        <v>-3.6</v>
      </c>
      <c r="G114" s="6" cm="1">
        <f t="array" ref="G114">visible((7),K114)</f>
        <v>7</v>
      </c>
      <c r="H114" s="6" cm="1">
        <f t="array" ref="H114">visible((C104),K114)</f>
        <v>1</v>
      </c>
      <c r="I114" s="6">
        <f ca="1">visible(materialNum(D114), K114)</f>
        <v>2</v>
      </c>
      <c r="J114" s="6">
        <f ca="1">visible(engraving(I114), K114)</f>
        <v>2</v>
      </c>
      <c r="K114" s="6" t="b">
        <v>1</v>
      </c>
      <c r="BB114"/>
      <c r="BC114"/>
      <c r="BD114"/>
      <c r="BE114"/>
      <c r="BF114"/>
      <c r="BG114"/>
      <c r="BH114"/>
      <c r="BI114"/>
      <c r="BJ114"/>
    </row>
    <row r="115" spans="1:62" x14ac:dyDescent="0.3">
      <c r="A115" s="42">
        <v>3</v>
      </c>
      <c r="B115" s="14" t="str">
        <f>visible(E104, K115)</f>
        <v>وحدة سفلية دلفة/ دلفتين</v>
      </c>
      <c r="C115" s="6" cm="1">
        <f t="array" ref="C115">visible(5,K115)</f>
        <v>5</v>
      </c>
      <c r="D115" s="6" t="str" cm="1">
        <f t="array" aca="1" ref="D115" ca="1">visible((I105),K115)</f>
        <v>HPL</v>
      </c>
      <c r="E115" s="6" t="str" cm="1">
        <f t="array" ref="E115">visible(("رف"),K115)</f>
        <v>رف</v>
      </c>
      <c r="F115" s="6" cm="1">
        <f t="array" ref="F115">visible((H108-3.8),K115)</f>
        <v>-3.8</v>
      </c>
      <c r="G115" s="6" cm="1">
        <f t="array" aca="1" ref="G115" ca="1">visible((J107-6),K115)</f>
        <v>50</v>
      </c>
      <c r="H115" s="6" cm="1">
        <f t="array" ref="H115">visible((D107*C104),K115)</f>
        <v>5</v>
      </c>
      <c r="I115" s="6">
        <f ca="1">visible(materialNum(D115), K115)</f>
        <v>2</v>
      </c>
      <c r="J115" s="6">
        <f ca="1">visible(engraving(I115), K115)</f>
        <v>2</v>
      </c>
      <c r="K115" s="6" t="b">
        <v>1</v>
      </c>
      <c r="BB115"/>
      <c r="BC115"/>
      <c r="BD115"/>
      <c r="BE115"/>
      <c r="BF115"/>
      <c r="BG115"/>
      <c r="BH115"/>
      <c r="BI115"/>
      <c r="BJ115"/>
    </row>
    <row r="116" spans="1:62" x14ac:dyDescent="0.3">
      <c r="A116" s="42">
        <v>0</v>
      </c>
      <c r="BB116"/>
      <c r="BC116"/>
      <c r="BD116"/>
      <c r="BE116"/>
      <c r="BF116"/>
      <c r="BG116"/>
      <c r="BH116"/>
      <c r="BI116"/>
      <c r="BJ116"/>
    </row>
    <row r="117" spans="1:62" x14ac:dyDescent="0.3">
      <c r="A117" s="42">
        <v>4</v>
      </c>
      <c r="B117" s="14" t="str">
        <f>visible(E104, K117)</f>
        <v>وحدة سفلية دلفة/ دلفتين</v>
      </c>
      <c r="C117" s="9" cm="1">
        <f t="array" ref="C117">visible(6,K117)</f>
        <v>6</v>
      </c>
      <c r="D117" s="9" t="str" cm="1">
        <f t="array" aca="1" ref="D117" ca="1">visible((G105),K117)</f>
        <v>يوفيلاك</v>
      </c>
      <c r="E117" s="9" t="str" cm="1">
        <f t="array" ref="E117">visible(("دلف"),K117)</f>
        <v>دلف</v>
      </c>
      <c r="F117" s="9" cm="1">
        <f t="array" aca="1" ref="F117" ca="1">visible((I107-0.5-G107),K117)</f>
        <v>74</v>
      </c>
      <c r="G117" s="9" cm="1">
        <f t="array" ref="G117">visible(((H107/C107)-0.5),K117)</f>
        <v>-0.5</v>
      </c>
      <c r="H117" s="9" cm="1">
        <f t="array" ref="H117">visible((C107*C104),K117)</f>
        <v>1</v>
      </c>
      <c r="I117" s="9">
        <f ca="1">visible(materialNum(D117), K117)</f>
        <v>6</v>
      </c>
      <c r="J117" s="9">
        <f ca="1">visible(engraving(I117), K117)</f>
        <v>2</v>
      </c>
      <c r="K117" s="9" t="b">
        <v>1</v>
      </c>
      <c r="BB117"/>
      <c r="BC117"/>
      <c r="BD117"/>
      <c r="BE117"/>
      <c r="BF117"/>
      <c r="BG117"/>
      <c r="BH117"/>
      <c r="BI117"/>
      <c r="BJ117"/>
    </row>
    <row r="118" spans="1:62" x14ac:dyDescent="0.3">
      <c r="A118" s="42">
        <v>0</v>
      </c>
      <c r="C118" s="1"/>
      <c r="D118" s="1"/>
      <c r="E118" s="1"/>
      <c r="F118" s="1"/>
      <c r="G118" s="1"/>
      <c r="H118" s="1"/>
      <c r="I118" s="1"/>
      <c r="J118" s="1"/>
      <c r="BB118"/>
      <c r="BC118"/>
      <c r="BD118"/>
      <c r="BE118"/>
      <c r="BF118"/>
      <c r="BG118"/>
      <c r="BH118"/>
      <c r="BI118"/>
      <c r="BJ118"/>
    </row>
    <row r="119" spans="1:62" x14ac:dyDescent="0.3">
      <c r="A119" s="42">
        <v>5</v>
      </c>
      <c r="B119" s="14" t="str">
        <f ca="1">visible(E104, K119)</f>
        <v>وحدة سفلية دلفة/ دلفتين</v>
      </c>
      <c r="C119" s="18" cm="1">
        <f t="array" aca="1" ref="C119" ca="1">visible(7,K119)</f>
        <v>7</v>
      </c>
      <c r="D119" s="18" t="str" cm="1">
        <f t="array" aca="1" ref="D119" ca="1">visible((E105),K119)</f>
        <v>ظهر</v>
      </c>
      <c r="E119" s="18" t="str" cm="1">
        <f t="array" aca="1" ref="E119" ca="1">visible(("ظهر"),K119)</f>
        <v>ظهر</v>
      </c>
      <c r="F119" s="18" cm="1">
        <f t="array" aca="1" ref="F119" ca="1">visible((I107-2),K119)</f>
        <v>76</v>
      </c>
      <c r="G119" s="18" cm="1">
        <f t="array" aca="1" ref="G119" ca="1">visible((H107-2),K119)</f>
        <v>-2</v>
      </c>
      <c r="H119" s="18" cm="1">
        <f t="array" aca="1" ref="H119" ca="1">visible((C104),K119)</f>
        <v>1</v>
      </c>
      <c r="I119" s="18">
        <f ca="1">visible(materialNum(D119), K119)</f>
        <v>2</v>
      </c>
      <c r="J119" s="18">
        <f ca="1">visible(engraving(I119), K119)</f>
        <v>2</v>
      </c>
      <c r="K119" s="18" t="b">
        <f ca="1">F107</f>
        <v>1</v>
      </c>
      <c r="BB119"/>
      <c r="BC119"/>
      <c r="BD119"/>
      <c r="BE119"/>
      <c r="BF119"/>
      <c r="BG119"/>
      <c r="BH119"/>
      <c r="BI119"/>
      <c r="BJ119"/>
    </row>
    <row r="120" spans="1:62" x14ac:dyDescent="0.3">
      <c r="A120" s="42">
        <v>255</v>
      </c>
      <c r="C120"/>
      <c r="D120"/>
      <c r="E120"/>
      <c r="F120"/>
      <c r="G120"/>
      <c r="H120"/>
      <c r="I120"/>
      <c r="J120"/>
      <c r="K120"/>
      <c r="BB120"/>
      <c r="BC120"/>
      <c r="BD120"/>
      <c r="BE120"/>
      <c r="BF120"/>
      <c r="BG120"/>
      <c r="BH120"/>
      <c r="BI120"/>
      <c r="BJ120"/>
    </row>
    <row r="121" spans="1:62" x14ac:dyDescent="0.3">
      <c r="A121" s="42">
        <v>255</v>
      </c>
      <c r="C121"/>
      <c r="D121"/>
      <c r="E121"/>
      <c r="F121"/>
      <c r="G121"/>
      <c r="H121"/>
      <c r="I121"/>
      <c r="J121"/>
      <c r="K121"/>
      <c r="BB121"/>
      <c r="BC121"/>
      <c r="BD121"/>
      <c r="BE121"/>
      <c r="BF121"/>
      <c r="BG121"/>
      <c r="BH121"/>
      <c r="BI121"/>
      <c r="BJ121"/>
    </row>
    <row r="122" spans="1:62" ht="31.2" x14ac:dyDescent="0.3">
      <c r="A122" s="43" t="s">
        <v>129</v>
      </c>
      <c r="C122" s="13">
        <v>1</v>
      </c>
      <c r="D122" s="21" t="s">
        <v>58</v>
      </c>
      <c r="E122" s="101" t="s">
        <v>153</v>
      </c>
      <c r="F122" s="102"/>
      <c r="G122" s="102"/>
      <c r="H122" s="103"/>
      <c r="I122" s="2" t="s">
        <v>29</v>
      </c>
      <c r="J122" s="2">
        <f>letterToNumber(A122)</f>
        <v>6</v>
      </c>
      <c r="K122" s="26">
        <f ca="1">_xlfn.SHEET("وحدات سفلية")</f>
        <v>4</v>
      </c>
      <c r="BB122"/>
      <c r="BC122"/>
      <c r="BD122"/>
      <c r="BE122"/>
      <c r="BF122"/>
      <c r="BG122"/>
      <c r="BH122"/>
      <c r="BI122"/>
      <c r="BJ122"/>
    </row>
    <row r="123" spans="1:62" ht="21" x14ac:dyDescent="0.3">
      <c r="A123" s="42">
        <v>1</v>
      </c>
      <c r="C123" s="8" cm="1">
        <f t="array" aca="1" ref="C123" ca="1">defaultValue(D123,K122)</f>
        <v>45</v>
      </c>
      <c r="D123" s="7" t="s">
        <v>19</v>
      </c>
      <c r="E123" s="26" t="str" cm="1">
        <f t="array" aca="1" ref="E123" ca="1">defaultValue(F123,K122)</f>
        <v>ظهر</v>
      </c>
      <c r="F123" s="7" t="s">
        <v>57</v>
      </c>
      <c r="G123" s="26" t="str" cm="1">
        <f t="array" aca="1" ref="G123" ca="1">defaultValue(H123,K122)</f>
        <v>يوفيلاك</v>
      </c>
      <c r="H123" s="7" t="s">
        <v>31</v>
      </c>
      <c r="I123" s="26" t="str" cm="1">
        <f t="array" aca="1" ref="I123" ca="1">defaultValue(J123,K122)</f>
        <v>HPL</v>
      </c>
      <c r="J123" s="7" t="s">
        <v>30</v>
      </c>
      <c r="K123" s="24" t="s">
        <v>108</v>
      </c>
    </row>
    <row r="124" spans="1:62" ht="31.2" x14ac:dyDescent="0.3">
      <c r="A124" s="42">
        <v>1</v>
      </c>
      <c r="C124" s="7" t="s">
        <v>120</v>
      </c>
      <c r="D124" s="7" t="s">
        <v>119</v>
      </c>
      <c r="E124" s="70" t="s">
        <v>118</v>
      </c>
      <c r="F124" s="70" t="s">
        <v>156</v>
      </c>
      <c r="G124" s="7" t="s">
        <v>16</v>
      </c>
      <c r="H124" s="7" t="s">
        <v>22</v>
      </c>
      <c r="I124" s="7" t="s">
        <v>3</v>
      </c>
      <c r="J124" s="7" t="s">
        <v>109</v>
      </c>
      <c r="K124" s="7" t="s">
        <v>110</v>
      </c>
    </row>
    <row r="125" spans="1:62" x14ac:dyDescent="0.3">
      <c r="A125" s="42">
        <v>1</v>
      </c>
      <c r="C125" s="26">
        <v>1</v>
      </c>
      <c r="D125" s="26">
        <v>1</v>
      </c>
      <c r="E125" s="8">
        <v>1</v>
      </c>
      <c r="F125" s="26">
        <v>1</v>
      </c>
      <c r="G125" s="26" cm="1">
        <f t="array" aca="1" ref="G125" ca="1">defaultValue(G124,K122)</f>
        <v>3.5</v>
      </c>
      <c r="H125" s="8">
        <v>80</v>
      </c>
      <c r="I125" s="26" cm="1">
        <f t="array" aca="1" ref="I125" ca="1">defaultValue(I124,K122)</f>
        <v>78</v>
      </c>
      <c r="J125" s="26" cm="1">
        <f t="array" aca="1" ref="J125" ca="1">defaultValue(J124,K122)</f>
        <v>56</v>
      </c>
      <c r="K125" s="26" t="b" cm="1">
        <f t="array" aca="1" ref="K125" ca="1">defaultValue(K124,K122)</f>
        <v>1</v>
      </c>
    </row>
    <row r="126" spans="1:62" x14ac:dyDescent="0.3">
      <c r="A126" s="42">
        <v>1</v>
      </c>
      <c r="C126" s="26">
        <v>30</v>
      </c>
      <c r="D126" s="26">
        <v>20</v>
      </c>
      <c r="E126" s="40">
        <v>7</v>
      </c>
      <c r="F126" s="26">
        <v>10</v>
      </c>
      <c r="G126" s="26">
        <v>3</v>
      </c>
      <c r="H126" s="28" t="s">
        <v>121</v>
      </c>
      <c r="I126" s="26">
        <v>0</v>
      </c>
      <c r="J126" s="104" t="s">
        <v>157</v>
      </c>
      <c r="K126" s="105"/>
    </row>
    <row r="127" spans="1:62" x14ac:dyDescent="0.3">
      <c r="A127" s="42">
        <v>0</v>
      </c>
    </row>
    <row r="128" spans="1:62" x14ac:dyDescent="0.3">
      <c r="A128" s="42">
        <v>2</v>
      </c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32</v>
      </c>
      <c r="J128" s="6" t="s">
        <v>172</v>
      </c>
      <c r="K128" s="6" t="s">
        <v>155</v>
      </c>
    </row>
    <row r="129" spans="1:11" x14ac:dyDescent="0.3">
      <c r="A129" s="42">
        <v>0</v>
      </c>
      <c r="C129" s="1"/>
      <c r="D129" s="1"/>
      <c r="E129" s="1"/>
      <c r="F129" s="1"/>
      <c r="G129" s="1"/>
      <c r="H129" s="1"/>
      <c r="I129" s="1"/>
      <c r="J129" s="1"/>
    </row>
    <row r="130" spans="1:11" x14ac:dyDescent="0.3">
      <c r="A130" s="42">
        <v>3</v>
      </c>
      <c r="B130" s="14" t="str">
        <f>visible(E122, K130)</f>
        <v>وحدة سفلية ادراج</v>
      </c>
      <c r="C130" s="6">
        <f>visible(1,K130)</f>
        <v>1</v>
      </c>
      <c r="D130" s="6" t="str" cm="1">
        <f t="array" aca="1" ref="D130" ca="1">visible((I123),K130)</f>
        <v>HPL</v>
      </c>
      <c r="E130" s="6" t="str" cm="1">
        <f t="array" ref="E130">visible(("قاعدة"),K130)</f>
        <v>قاعدة</v>
      </c>
      <c r="F130" s="6" cm="1">
        <f t="array" ref="F130">visible((H125 -3.6),K130)</f>
        <v>76.400000000000006</v>
      </c>
      <c r="G130" s="6" cm="1">
        <f t="array" aca="1" ref="G130" ca="1">visible((J125),K130)</f>
        <v>56</v>
      </c>
      <c r="H130" s="6" cm="1">
        <f t="array" ref="H130">visible((C122),K130)</f>
        <v>1</v>
      </c>
      <c r="I130" s="6">
        <f t="shared" ref="I130:I144" ca="1" si="9">visible(materialNum(D130), K130)</f>
        <v>2</v>
      </c>
      <c r="J130" s="6">
        <f ca="1">visible(engraving(I130), K130)</f>
        <v>2</v>
      </c>
      <c r="K130" s="6" t="b">
        <v>1</v>
      </c>
    </row>
    <row r="131" spans="1:11" x14ac:dyDescent="0.3">
      <c r="A131" s="42">
        <v>3</v>
      </c>
      <c r="B131" s="14" t="str">
        <f>visible(E122, K131)</f>
        <v>وحدة سفلية ادراج</v>
      </c>
      <c r="C131" s="6">
        <f>visible(2,K131)</f>
        <v>2</v>
      </c>
      <c r="D131" s="6" t="str" cm="1">
        <f t="array" aca="1" ref="D131" ca="1">visible((I123),K131)</f>
        <v>HPL</v>
      </c>
      <c r="E131" s="6" t="str" cm="1">
        <f t="array" ref="E131">visible(("أجناب"),K131)</f>
        <v>أجناب</v>
      </c>
      <c r="F131" s="6" cm="1">
        <f t="array" aca="1" ref="F131" ca="1">visible((I125),K131)</f>
        <v>78</v>
      </c>
      <c r="G131" s="6" cm="1">
        <f t="array" aca="1" ref="G131" ca="1">visible((J125),K131)</f>
        <v>56</v>
      </c>
      <c r="H131" s="6" cm="1">
        <f t="array" ref="H131">visible((2 *C122),K131)</f>
        <v>2</v>
      </c>
      <c r="I131" s="6">
        <f t="shared" ca="1" si="9"/>
        <v>2</v>
      </c>
      <c r="J131" s="6">
        <f ca="1">visible(engraving(I131), K131)</f>
        <v>2</v>
      </c>
      <c r="K131" s="6" t="b">
        <v>1</v>
      </c>
    </row>
    <row r="132" spans="1:11" x14ac:dyDescent="0.3">
      <c r="A132" s="42">
        <v>3</v>
      </c>
      <c r="B132" s="14" t="str">
        <f>visible(E122, K132)</f>
        <v>وحدة سفلية ادراج</v>
      </c>
      <c r="C132" s="6">
        <f>visible(3,K132)</f>
        <v>3</v>
      </c>
      <c r="D132" s="6" t="str" cm="1">
        <f t="array" aca="1" ref="D132" ca="1">visible((I123),K132)</f>
        <v>HPL</v>
      </c>
      <c r="E132" s="6" t="str" cm="1">
        <f t="array" ref="E132">visible(("مرايا علوية 1"),K132)</f>
        <v>مرايا علوية 1</v>
      </c>
      <c r="F132" s="6" cm="1">
        <f t="array" ref="F132">visible((H125-3.6),K132)</f>
        <v>76.400000000000006</v>
      </c>
      <c r="G132" s="6" cm="1">
        <f t="array" ref="G132">visible((10),K132)</f>
        <v>10</v>
      </c>
      <c r="H132" s="6" cm="1">
        <f t="array" ref="H132">visible((C122),K132)</f>
        <v>1</v>
      </c>
      <c r="I132" s="6">
        <f t="shared" ca="1" si="9"/>
        <v>2</v>
      </c>
      <c r="J132" s="6">
        <f ca="1">visible(engraving(I132), K132)</f>
        <v>2</v>
      </c>
      <c r="K132" s="6" t="b">
        <v>1</v>
      </c>
    </row>
    <row r="133" spans="1:11" x14ac:dyDescent="0.3">
      <c r="A133" s="42">
        <v>3</v>
      </c>
      <c r="B133" s="14" t="str">
        <f>visible(E122, K133)</f>
        <v>وحدة سفلية ادراج</v>
      </c>
      <c r="C133" s="6">
        <f>visible(4,K133)</f>
        <v>4</v>
      </c>
      <c r="D133" s="6" t="str" cm="1">
        <f t="array" aca="1" ref="D133" ca="1">visible((I123),K133)</f>
        <v>HPL</v>
      </c>
      <c r="E133" s="6" t="str" cm="1">
        <f t="array" ref="E133">visible(("مرايا علوية 2"),K133)</f>
        <v>مرايا علوية 2</v>
      </c>
      <c r="F133" s="6" cm="1">
        <f t="array" ref="F133">visible((H125-3.6),K133)</f>
        <v>76.400000000000006</v>
      </c>
      <c r="G133" s="6" cm="1">
        <f t="array" ref="G133">visible((7),K133)</f>
        <v>7</v>
      </c>
      <c r="H133" s="6" cm="1">
        <f t="array" ref="H133">visible((C122),K133)</f>
        <v>1</v>
      </c>
      <c r="I133" s="6">
        <f t="shared" ca="1" si="9"/>
        <v>2</v>
      </c>
      <c r="J133" s="6">
        <f ca="1">visible(engraving(I133), K133)</f>
        <v>2</v>
      </c>
      <c r="K133" s="6" t="b">
        <v>1</v>
      </c>
    </row>
    <row r="134" spans="1:11" x14ac:dyDescent="0.3">
      <c r="A134" s="42">
        <v>3</v>
      </c>
      <c r="B134" s="14" t="str">
        <f>visible(E122, K134)</f>
        <v>وحدة سفلية ادراج</v>
      </c>
      <c r="C134" s="10">
        <f>visible(5,K134)</f>
        <v>5</v>
      </c>
      <c r="D134" s="10" t="str" cm="1">
        <f t="array" aca="1" ref="D134" ca="1">visible((I123),K134)</f>
        <v>HPL</v>
      </c>
      <c r="E134" s="10" t="str" cm="1">
        <f t="array" ref="E134">visible(("وش درج داخلي A"),K134)</f>
        <v>وش درج داخلي A</v>
      </c>
      <c r="F134" s="10" cm="1">
        <f t="array" ref="F134">visible((H125-3.6-3.6-2.5),K134)</f>
        <v>70.3</v>
      </c>
      <c r="G134" s="10" cm="1">
        <f t="array" ref="G134">visible((F126),K134)</f>
        <v>10</v>
      </c>
      <c r="H134" s="10" cm="1">
        <f t="array" ref="H134">visible((F125*C122),K134)</f>
        <v>1</v>
      </c>
      <c r="I134" s="10">
        <f t="shared" ca="1" si="9"/>
        <v>2</v>
      </c>
      <c r="J134" s="10">
        <f ca="1">visible(engraving(I134), K134)</f>
        <v>2</v>
      </c>
      <c r="K134" s="10" t="b">
        <f>F125&gt;0</f>
        <v>1</v>
      </c>
    </row>
    <row r="135" spans="1:11" x14ac:dyDescent="0.3">
      <c r="A135" s="42">
        <v>3</v>
      </c>
      <c r="B135" s="14" t="str">
        <f>visible(E122, K135)</f>
        <v>وحدة سفلية ادراج</v>
      </c>
      <c r="C135" s="10">
        <f>visible(6,K135)</f>
        <v>6</v>
      </c>
      <c r="D135" s="10" t="str">
        <f ca="1">visible((I123),K135)</f>
        <v>HPL</v>
      </c>
      <c r="E135" s="10" t="str" cm="1">
        <f t="array" ref="E135">visible(("جنب درج داخلي A"),K135)</f>
        <v>جنب درج داخلي A</v>
      </c>
      <c r="F135" s="10" cm="1">
        <f t="array" aca="1" ref="F135" ca="1">visible((C123),K135)</f>
        <v>45</v>
      </c>
      <c r="G135" s="10" cm="1">
        <f t="array" ref="G135">visible((F126),K135)</f>
        <v>10</v>
      </c>
      <c r="H135" s="10" cm="1">
        <f t="array" ref="H135">visible((F125*C122*2),K135)</f>
        <v>2</v>
      </c>
      <c r="I135" s="10">
        <f t="shared" ca="1" si="9"/>
        <v>2</v>
      </c>
      <c r="J135" s="10">
        <f ca="1">visible(engraving(I135), K135)</f>
        <v>2</v>
      </c>
      <c r="K135" s="10" t="b">
        <f>F125&gt;0</f>
        <v>1</v>
      </c>
    </row>
    <row r="136" spans="1:11" x14ac:dyDescent="0.3">
      <c r="A136" s="42">
        <v>3</v>
      </c>
      <c r="B136" s="14" t="str">
        <f>visible(E122, K136)</f>
        <v>وحدة سفلية ادراج</v>
      </c>
      <c r="C136" s="10">
        <f>visible(7,K136)</f>
        <v>7</v>
      </c>
      <c r="D136" s="10" t="str">
        <f ca="1">visible((I123),K136)</f>
        <v>HPL</v>
      </c>
      <c r="E136" s="10" t="str" cm="1">
        <f t="array" ref="E136">visible(("ظهر درج داخلي A"),K136)</f>
        <v>ظهر درج داخلي A</v>
      </c>
      <c r="F136" s="10" cm="1">
        <f t="array" ref="F136">visible((H125-3.6-3.6-2.5),K136)</f>
        <v>70.3</v>
      </c>
      <c r="G136" s="10" cm="1">
        <f t="array" ref="G136">visible((F126-3),K136)</f>
        <v>7</v>
      </c>
      <c r="H136" s="10" cm="1">
        <f t="array" ref="H136">visible((F125*C122),K136)</f>
        <v>1</v>
      </c>
      <c r="I136" s="10">
        <f t="shared" ca="1" si="9"/>
        <v>2</v>
      </c>
      <c r="J136" s="10">
        <f ca="1">visible(engraving(I136), K136)</f>
        <v>2</v>
      </c>
      <c r="K136" s="10" t="b">
        <f>F125&gt;0</f>
        <v>1</v>
      </c>
    </row>
    <row r="137" spans="1:11" x14ac:dyDescent="0.3">
      <c r="A137" s="42">
        <v>3</v>
      </c>
      <c r="B137" s="14" t="str">
        <f>visible(E122, K137)</f>
        <v>وحدة سفلية ادراج</v>
      </c>
      <c r="C137" s="6">
        <f>visible(8,K137)</f>
        <v>8</v>
      </c>
      <c r="D137" s="6" t="str">
        <f ca="1">visible((I123),K137)</f>
        <v>HPL</v>
      </c>
      <c r="E137" s="6" t="str" cm="1">
        <f t="array" ref="E137">visible(("وش درج داخلي 20"),K137)</f>
        <v>وش درج داخلي 20</v>
      </c>
      <c r="F137" s="6" cm="1">
        <f t="array" ref="F137">visible((H125-3.6-3.6-2.5),K137)</f>
        <v>70.3</v>
      </c>
      <c r="G137" s="6" cm="1">
        <f t="array" ref="G137">visible((D126),K137)</f>
        <v>20</v>
      </c>
      <c r="H137" s="6" cm="1">
        <f t="array" ref="H137">visible((D125*C122),K137)</f>
        <v>1</v>
      </c>
      <c r="I137" s="6">
        <f t="shared" ca="1" si="9"/>
        <v>2</v>
      </c>
      <c r="J137" s="6">
        <f ca="1">visible(engraving(I137), K137)</f>
        <v>2</v>
      </c>
      <c r="K137" s="6" t="b">
        <f>D125&gt;0</f>
        <v>1</v>
      </c>
    </row>
    <row r="138" spans="1:11" x14ac:dyDescent="0.3">
      <c r="A138" s="42">
        <v>3</v>
      </c>
      <c r="B138" s="14" t="str">
        <f>visible(E122, K138)</f>
        <v>وحدة سفلية ادراج</v>
      </c>
      <c r="C138" s="6">
        <f>visible(9,K138)</f>
        <v>9</v>
      </c>
      <c r="D138" s="6" t="str">
        <f ca="1">visible((I123),K138)</f>
        <v>HPL</v>
      </c>
      <c r="E138" s="6" t="str" cm="1">
        <f t="array" ref="E138">visible(("جنب درج داخلي 20"),K138)</f>
        <v>جنب درج داخلي 20</v>
      </c>
      <c r="F138" s="6" cm="1">
        <f t="array" aca="1" ref="F138" ca="1">visible((C123),K138)</f>
        <v>45</v>
      </c>
      <c r="G138" s="6" cm="1">
        <f t="array" ref="G138">visible((D126),K138)</f>
        <v>20</v>
      </c>
      <c r="H138" s="6" cm="1">
        <f t="array" ref="H138">visible((D125*C122*2),K138)</f>
        <v>2</v>
      </c>
      <c r="I138" s="6">
        <f t="shared" ca="1" si="9"/>
        <v>2</v>
      </c>
      <c r="J138" s="6">
        <f ca="1">visible(engraving(I138), K138)</f>
        <v>2</v>
      </c>
      <c r="K138" s="6" t="b">
        <f>D125&gt;0</f>
        <v>1</v>
      </c>
    </row>
    <row r="139" spans="1:11" x14ac:dyDescent="0.3">
      <c r="A139" s="42">
        <v>3</v>
      </c>
      <c r="B139" s="14" t="str">
        <f>visible(E122, K139)</f>
        <v>وحدة سفلية ادراج</v>
      </c>
      <c r="C139" s="6">
        <f>visible(10,K139)</f>
        <v>10</v>
      </c>
      <c r="D139" s="6" t="str">
        <f ca="1">visible((I123),K139)</f>
        <v>HPL</v>
      </c>
      <c r="E139" s="6" t="str" cm="1">
        <f t="array" ref="E139">visible(("ظهر درج داخلي 20"),K139)</f>
        <v>ظهر درج داخلي 20</v>
      </c>
      <c r="F139" s="6" cm="1">
        <f t="array" ref="F139">visible((H125-3.6-3.6-2.5),K139)</f>
        <v>70.3</v>
      </c>
      <c r="G139" s="6" cm="1">
        <f t="array" ref="G139">visible((D126-3),K139)</f>
        <v>17</v>
      </c>
      <c r="H139" s="6" cm="1">
        <f t="array" ref="H139">visible((D125*C122),K139)</f>
        <v>1</v>
      </c>
      <c r="I139" s="6">
        <f t="shared" ca="1" si="9"/>
        <v>2</v>
      </c>
      <c r="J139" s="6">
        <f ca="1">visible(engraving(I139), K139)</f>
        <v>2</v>
      </c>
      <c r="K139" s="6" t="b">
        <f>D125&gt;0</f>
        <v>1</v>
      </c>
    </row>
    <row r="140" spans="1:11" x14ac:dyDescent="0.3">
      <c r="A140" s="42">
        <v>3</v>
      </c>
      <c r="B140" s="14" t="str">
        <f>visible(E122, K140)</f>
        <v>وحدة سفلية ادراج</v>
      </c>
      <c r="C140" s="10">
        <f>visible(11,K140)</f>
        <v>11</v>
      </c>
      <c r="D140" s="10" t="str">
        <f ca="1">visible((I123),K140)</f>
        <v>HPL</v>
      </c>
      <c r="E140" s="10" t="str" cm="1">
        <f t="array" ref="E140">visible(("وش درج داخلي 30"),K140)</f>
        <v>وش درج داخلي 30</v>
      </c>
      <c r="F140" s="10" cm="1">
        <f t="array" ref="F140">visible((H125-3.6-3.6-2.5),K140)</f>
        <v>70.3</v>
      </c>
      <c r="G140" s="10" cm="1">
        <f t="array" ref="G140">visible((C126),K140)</f>
        <v>30</v>
      </c>
      <c r="H140" s="10" cm="1">
        <f t="array" ref="H140">visible((C125*C122),K140)</f>
        <v>1</v>
      </c>
      <c r="I140" s="10">
        <f t="shared" ca="1" si="9"/>
        <v>2</v>
      </c>
      <c r="J140" s="10">
        <f ca="1">visible(engraving(I140), K140)</f>
        <v>2</v>
      </c>
      <c r="K140" s="10" t="b">
        <f>C125&gt;0</f>
        <v>1</v>
      </c>
    </row>
    <row r="141" spans="1:11" x14ac:dyDescent="0.3">
      <c r="A141" s="42">
        <v>3</v>
      </c>
      <c r="B141" s="14" t="str">
        <f>visible(E122, K141)</f>
        <v>وحدة سفلية ادراج</v>
      </c>
      <c r="C141" s="10">
        <f>visible(12,K141)</f>
        <v>12</v>
      </c>
      <c r="D141" s="10" t="str">
        <f ca="1">visible((I123),K141)</f>
        <v>HPL</v>
      </c>
      <c r="E141" s="10" t="str" cm="1">
        <f t="array" ref="E141">visible(("جنب درج داخلي 30"),K141)</f>
        <v>جنب درج داخلي 30</v>
      </c>
      <c r="F141" s="10" cm="1">
        <f t="array" aca="1" ref="F141" ca="1">visible((C123),K141)</f>
        <v>45</v>
      </c>
      <c r="G141" s="10" cm="1">
        <f t="array" ref="G141">visible((C126),K141)</f>
        <v>30</v>
      </c>
      <c r="H141" s="10" cm="1">
        <f t="array" ref="H141">visible((C125*C122*2),K141)</f>
        <v>2</v>
      </c>
      <c r="I141" s="10">
        <f t="shared" ca="1" si="9"/>
        <v>2</v>
      </c>
      <c r="J141" s="10">
        <f ca="1">visible(engraving(I141), K141)</f>
        <v>2</v>
      </c>
      <c r="K141" s="10" t="b">
        <f>C125&gt;0</f>
        <v>1</v>
      </c>
    </row>
    <row r="142" spans="1:11" x14ac:dyDescent="0.3">
      <c r="A142" s="42">
        <v>3</v>
      </c>
      <c r="B142" s="14" t="str">
        <f>visible(E122, K142)</f>
        <v>وحدة سفلية ادراج</v>
      </c>
      <c r="C142" s="10">
        <f>visible(13,K142)</f>
        <v>13</v>
      </c>
      <c r="D142" s="10" t="str">
        <f ca="1">visible((I123),K142)</f>
        <v>HPL</v>
      </c>
      <c r="E142" s="10" t="str" cm="1">
        <f t="array" ref="E142">visible(("ظهر درج داخلي 30"),K142)</f>
        <v>ظهر درج داخلي 30</v>
      </c>
      <c r="F142" s="10" cm="1">
        <f t="array" ref="F142">visible((H125-3.6-3.6-2.5),K142)</f>
        <v>70.3</v>
      </c>
      <c r="G142" s="10" cm="1">
        <f t="array" ref="G142">visible((C126-3),K142)</f>
        <v>27</v>
      </c>
      <c r="H142" s="10" cm="1">
        <f t="array" ref="H142">visible((C125*C122),K142)</f>
        <v>1</v>
      </c>
      <c r="I142" s="10">
        <f t="shared" ca="1" si="9"/>
        <v>2</v>
      </c>
      <c r="J142" s="10">
        <f ca="1">visible(engraving(I142), K142)</f>
        <v>2</v>
      </c>
      <c r="K142" s="10" t="b">
        <f>C125&gt;0</f>
        <v>1</v>
      </c>
    </row>
    <row r="143" spans="1:11" x14ac:dyDescent="0.3">
      <c r="A143" s="42">
        <v>3</v>
      </c>
      <c r="B143" s="14" t="str">
        <f>visible(E122, K143)</f>
        <v>وحدة سفلية ادراج</v>
      </c>
      <c r="C143" s="6">
        <f>visible(14,K143)</f>
        <v>14</v>
      </c>
      <c r="D143" s="6" t="str">
        <f ca="1">visible((I123),K143)</f>
        <v>HPL</v>
      </c>
      <c r="E143" s="6" t="str" cm="1">
        <f t="array" ref="E143">visible(("وش / ظهر درج تربو"),K143)</f>
        <v>وش / ظهر درج تربو</v>
      </c>
      <c r="F143" s="6" cm="1">
        <f t="array" ref="F143">visible((H125-3.6-3.6-2.5),K143)</f>
        <v>70.3</v>
      </c>
      <c r="G143" s="6" cm="1">
        <f t="array" ref="G143">visible((E126),K143)</f>
        <v>7</v>
      </c>
      <c r="H143" s="6" cm="1">
        <f t="array" ref="H143">visible((E125*C122*2),K143)</f>
        <v>2</v>
      </c>
      <c r="I143" s="6">
        <f t="shared" ca="1" si="9"/>
        <v>2</v>
      </c>
      <c r="J143" s="6">
        <f ca="1">visible(engraving(I143), K143)</f>
        <v>2</v>
      </c>
      <c r="K143" s="6" t="b">
        <f>E125&gt;0</f>
        <v>1</v>
      </c>
    </row>
    <row r="144" spans="1:11" x14ac:dyDescent="0.3">
      <c r="A144" s="42">
        <v>3</v>
      </c>
      <c r="B144" s="14" t="str">
        <f>visible(E122, K144)</f>
        <v>وحدة سفلية ادراج</v>
      </c>
      <c r="C144" s="6">
        <f>visible(15,K144)</f>
        <v>15</v>
      </c>
      <c r="D144" s="6" t="str">
        <f ca="1">visible((I123),K144)</f>
        <v>HPL</v>
      </c>
      <c r="E144" s="6" t="str" cm="1">
        <f t="array" ref="E144">visible(("جنب درج تربو"),K144)</f>
        <v>جنب درج تربو</v>
      </c>
      <c r="F144" s="6" cm="1">
        <f t="array" aca="1" ref="F144" ca="1">visible((C123),K144)</f>
        <v>45</v>
      </c>
      <c r="G144" s="6" cm="1">
        <f t="array" ref="G144">visible((E126),K144)</f>
        <v>7</v>
      </c>
      <c r="H144" s="6" cm="1">
        <f t="array" ref="H144">visible((E125*C122*2),K144)</f>
        <v>2</v>
      </c>
      <c r="I144" s="6">
        <f t="shared" ca="1" si="9"/>
        <v>2</v>
      </c>
      <c r="J144" s="6">
        <f ca="1">visible(engraving(I144), K144)</f>
        <v>2</v>
      </c>
      <c r="K144" s="6" t="b">
        <f>E125&gt;0</f>
        <v>1</v>
      </c>
    </row>
    <row r="145" spans="1:11" x14ac:dyDescent="0.3">
      <c r="A145" s="42">
        <v>0</v>
      </c>
    </row>
    <row r="146" spans="1:11" x14ac:dyDescent="0.3">
      <c r="A146" s="42">
        <v>4</v>
      </c>
      <c r="B146" s="14" t="str">
        <f>visible(E122, K146)</f>
        <v>وحدة سفلية ادراج</v>
      </c>
      <c r="C146" s="9">
        <f>visible(16,K146)</f>
        <v>16</v>
      </c>
      <c r="D146" s="9" t="str" cm="1">
        <f t="array" aca="1" ref="D146" ca="1">visible((G123),K146)</f>
        <v>يوفيلاك</v>
      </c>
      <c r="E146" s="9" t="str" cm="1">
        <f t="array" ref="E146">visible(("وش درج خارجى2/3  متساوية"),K146)</f>
        <v>وش درج خارجى2/3  متساوية</v>
      </c>
      <c r="F146" s="9" cm="1">
        <f t="array" aca="1" ref="F146" ca="1">visible(((I125/G126)-0.5-G125),K146)</f>
        <v>22</v>
      </c>
      <c r="G146" s="9" cm="1">
        <f t="array" ref="G146">visible((H125-0.5),K146)</f>
        <v>79.5</v>
      </c>
      <c r="H146" s="9" cm="1">
        <f t="array" ref="H146">visible((C122*G126),K146)</f>
        <v>3</v>
      </c>
      <c r="I146" s="9">
        <f ca="1">visible(materialNum(D146), K146)</f>
        <v>6</v>
      </c>
      <c r="J146" s="9">
        <f ca="1">visible(engraving(I146), K146)</f>
        <v>2</v>
      </c>
      <c r="K146" s="9" t="b">
        <f>G126&lt;=3</f>
        <v>1</v>
      </c>
    </row>
    <row r="147" spans="1:11" x14ac:dyDescent="0.3">
      <c r="A147" s="42">
        <v>4</v>
      </c>
      <c r="B147" s="14" t="str">
        <f>visible(E122, K147)</f>
        <v/>
      </c>
      <c r="C147" s="9" t="str">
        <f>visible(17,K147)</f>
        <v/>
      </c>
      <c r="D147" s="9" t="str">
        <f ca="1">visible((G123),K147)</f>
        <v/>
      </c>
      <c r="E147" s="9" t="str" cm="1">
        <f t="array" ref="E147">visible(("وش درج خارجى 4 متساوية"),K147)</f>
        <v/>
      </c>
      <c r="F147" s="9" t="str" cm="1">
        <f t="array" aca="1" ref="F147" ca="1">visible(((I125/G126)-0.5-G125),K147)</f>
        <v/>
      </c>
      <c r="G147" s="9" t="str" cm="1">
        <f t="array" ref="G147">visible((H125-0.5),K147)</f>
        <v/>
      </c>
      <c r="H147" s="9" t="str">
        <f>visible(G126*I126,K147)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AND(G126=4,I126)</f>
        <v>0</v>
      </c>
    </row>
    <row r="148" spans="1:11" x14ac:dyDescent="0.3">
      <c r="A148" s="42">
        <v>4</v>
      </c>
      <c r="B148" s="14" t="str">
        <f>visible(E122, K148)</f>
        <v/>
      </c>
      <c r="C148" s="9" t="str">
        <f>visible(18,K148)</f>
        <v/>
      </c>
      <c r="D148" s="9" t="str">
        <f ca="1">visible((G123),K148)</f>
        <v/>
      </c>
      <c r="E148" s="9" t="str" cm="1">
        <f t="array" ref="E148">visible(("وش درج خارجى صغير- 3 مختلفة"),K148)</f>
        <v/>
      </c>
      <c r="F148" s="9" t="str" cm="1">
        <f t="array" aca="1" ref="F148" ca="1">visible(((I125/G126)-0.5-G125),K148)</f>
        <v/>
      </c>
      <c r="G148" s="9" t="str" cm="1">
        <f t="array" ref="G148">visible((H125-0.5),K148)</f>
        <v/>
      </c>
      <c r="H148" s="9" t="str">
        <f>visible(G126*I126,K148)</f>
        <v/>
      </c>
      <c r="I148" s="9" t="str">
        <f ca="1">visible(materialNum(D148), K148)</f>
        <v/>
      </c>
      <c r="J148" s="9" t="str">
        <f ca="1">visible(engraving(I148), K148)</f>
        <v/>
      </c>
      <c r="K148" s="9" t="b">
        <f>AND(G126=4,NOT(I126))</f>
        <v>0</v>
      </c>
    </row>
    <row r="149" spans="1:11" x14ac:dyDescent="0.3">
      <c r="A149" s="42">
        <v>4</v>
      </c>
      <c r="B149" s="14" t="str">
        <f>visible(E122, K149)</f>
        <v/>
      </c>
      <c r="C149" s="9" t="str">
        <f>visible(19,K149)</f>
        <v/>
      </c>
      <c r="D149" s="9" t="str">
        <f ca="1">visible((G123),K149)</f>
        <v/>
      </c>
      <c r="E149" s="9" t="str" cm="1">
        <f t="array" ref="E149">visible(("وش درج خارجى كبير- 3 مختلفة"),K149)</f>
        <v/>
      </c>
      <c r="F149" s="9" t="str" cm="1">
        <f t="array" aca="1" ref="F149" ca="1">visible((((I125/G126)*2)-0.5-G125),K149)</f>
        <v/>
      </c>
      <c r="G149" s="9" t="str" cm="1">
        <f t="array" ref="G149">visible((H125-0.5),K149)</f>
        <v/>
      </c>
      <c r="H149" s="9" t="str">
        <f>visible(G126*I126,K149)</f>
        <v/>
      </c>
      <c r="I149" s="9" t="str">
        <f ca="1">visible(materialNum(D149), K149)</f>
        <v/>
      </c>
      <c r="J149" s="9" t="str">
        <f ca="1">visible(engraving(I149), K149)</f>
        <v/>
      </c>
      <c r="K149" s="9" t="b">
        <f>AND(G126=4,NOT(I126))</f>
        <v>0</v>
      </c>
    </row>
    <row r="150" spans="1:11" x14ac:dyDescent="0.3">
      <c r="A150" s="42">
        <v>0</v>
      </c>
      <c r="C150" s="1"/>
      <c r="D150" s="1"/>
      <c r="E150" s="1"/>
      <c r="F150" s="1"/>
      <c r="G150" s="1"/>
      <c r="H150" s="1"/>
      <c r="I150" s="1"/>
      <c r="J150" s="1"/>
    </row>
    <row r="151" spans="1:11" x14ac:dyDescent="0.3">
      <c r="A151" s="42">
        <v>5</v>
      </c>
      <c r="B151" s="14" t="str">
        <f ca="1">visible(E122, K151)</f>
        <v>وحدة سفلية ادراج</v>
      </c>
      <c r="C151" s="18">
        <f ca="1">visible(20,K151)</f>
        <v>20</v>
      </c>
      <c r="D151" s="18" t="str" cm="1">
        <f t="array" aca="1" ref="D151" ca="1">visible((E123),K151)</f>
        <v>ظهر</v>
      </c>
      <c r="E151" s="18" t="str" cm="1">
        <f t="array" aca="1" ref="E151" ca="1">visible(("ظهر"),K151)</f>
        <v>ظهر</v>
      </c>
      <c r="F151" s="18" cm="1">
        <f t="array" aca="1" ref="F151" ca="1">visible((I125-2),K151)</f>
        <v>76</v>
      </c>
      <c r="G151" s="18" cm="1">
        <f t="array" aca="1" ref="G151" ca="1">visible((H125-2),K151)</f>
        <v>78</v>
      </c>
      <c r="H151" s="18" cm="1">
        <f t="array" aca="1" ref="H151" ca="1">visible((C122),K151)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f ca="1">K125</f>
        <v>1</v>
      </c>
    </row>
    <row r="152" spans="1:11" x14ac:dyDescent="0.3">
      <c r="A152" s="42">
        <v>5</v>
      </c>
      <c r="B152" s="14" t="str">
        <f>visible(E122, K152)</f>
        <v>وحدة سفلية ادراج</v>
      </c>
      <c r="C152" s="18">
        <f>visible(21,K152)</f>
        <v>21</v>
      </c>
      <c r="D152" s="18" t="str">
        <f ca="1">visible((E123),K152)</f>
        <v>ظهر</v>
      </c>
      <c r="E152" s="18" t="str" cm="1">
        <f t="array" ref="E152">visible(("قعر درج داخلي"),K152)</f>
        <v>قعر درج داخلي</v>
      </c>
      <c r="F152" s="18" cm="1">
        <f t="array" ref="F152">visible((H125-3.6-3.6-2.5+2),K152)</f>
        <v>72.3</v>
      </c>
      <c r="G152" s="18" cm="1">
        <f t="array" aca="1" ref="G152" ca="1">visible((C123-1),K152)</f>
        <v>44</v>
      </c>
      <c r="H152" s="18">
        <f>visible(C122*F125,K152)</f>
        <v>1</v>
      </c>
      <c r="I152" s="18">
        <f ca="1">visible(materialNum(D152), K152)</f>
        <v>2</v>
      </c>
      <c r="J152" s="18">
        <f ca="1">visible(engraving(I152), K152)</f>
        <v>2</v>
      </c>
      <c r="K152" s="18" t="b">
        <f>F125&gt;0</f>
        <v>1</v>
      </c>
    </row>
    <row r="153" spans="1:11" x14ac:dyDescent="0.3">
      <c r="A153" s="42">
        <v>5</v>
      </c>
      <c r="B153" s="14" t="str">
        <f>visible(E122, K153)</f>
        <v>وحدة سفلية ادراج</v>
      </c>
      <c r="C153" s="18">
        <f>visible(22,K153)</f>
        <v>22</v>
      </c>
      <c r="D153" s="18" t="str">
        <f ca="1">visible((E123),K153)</f>
        <v>ظهر</v>
      </c>
      <c r="E153" s="18" t="str" cm="1">
        <f t="array" ref="E153">visible(("قعر درج 30"),K153)</f>
        <v>قعر درج 30</v>
      </c>
      <c r="F153" s="18" cm="1">
        <f t="array" ref="F153">visible((H125-3.6-3.6-2.5+2),K153)</f>
        <v>72.3</v>
      </c>
      <c r="G153" s="18" cm="1">
        <f t="array" aca="1" ref="G153" ca="1">visible((C123-1),K153)</f>
        <v>44</v>
      </c>
      <c r="H153" s="18">
        <f>visible(C122*C125,K153)</f>
        <v>1</v>
      </c>
      <c r="I153" s="18">
        <f ca="1">visible(materialNum(D153), K153)</f>
        <v>2</v>
      </c>
      <c r="J153" s="18">
        <f ca="1">visible(engraving(I153), K153)</f>
        <v>2</v>
      </c>
      <c r="K153" s="18" t="b">
        <f>C125&gt;0</f>
        <v>1</v>
      </c>
    </row>
    <row r="154" spans="1:11" x14ac:dyDescent="0.3">
      <c r="A154" s="42">
        <v>5</v>
      </c>
      <c r="B154" s="14" t="str">
        <f>visible(E122, K154)</f>
        <v>وحدة سفلية ادراج</v>
      </c>
      <c r="C154" s="18">
        <f>visible(23,K154)</f>
        <v>23</v>
      </c>
      <c r="D154" s="18" t="str">
        <f ca="1">visible((E123),K154)</f>
        <v>ظهر</v>
      </c>
      <c r="E154" s="18" t="str" cm="1">
        <f t="array" ref="E154">visible(("قعر درج 20"),K154)</f>
        <v>قعر درج 20</v>
      </c>
      <c r="F154" s="18" cm="1">
        <f t="array" ref="F154">visible((H125-3.6-3.6-2.5+2),K154)</f>
        <v>72.3</v>
      </c>
      <c r="G154" s="18" cm="1">
        <f t="array" aca="1" ref="G154" ca="1">visible((C123-1),K154)</f>
        <v>44</v>
      </c>
      <c r="H154" s="18">
        <f>visible(C122*D125,K154)</f>
        <v>1</v>
      </c>
      <c r="I154" s="18">
        <f ca="1">visible(materialNum(D154), K154)</f>
        <v>2</v>
      </c>
      <c r="J154" s="18">
        <f ca="1">visible(engraving(I154), K154)</f>
        <v>2</v>
      </c>
      <c r="K154" s="18" t="b">
        <f>D125&gt;0</f>
        <v>1</v>
      </c>
    </row>
    <row r="155" spans="1:11" x14ac:dyDescent="0.3">
      <c r="A155" s="42">
        <v>255</v>
      </c>
      <c r="C155"/>
      <c r="D155"/>
      <c r="E155"/>
      <c r="F155"/>
      <c r="G155"/>
      <c r="H155"/>
      <c r="I155"/>
      <c r="J155"/>
      <c r="K155"/>
    </row>
    <row r="156" spans="1:11" x14ac:dyDescent="0.3">
      <c r="A156" s="42">
        <v>255</v>
      </c>
      <c r="C156"/>
      <c r="D156"/>
      <c r="E156"/>
      <c r="F156"/>
      <c r="G156"/>
      <c r="H156"/>
      <c r="I156"/>
      <c r="J156"/>
      <c r="K156"/>
    </row>
    <row r="157" spans="1:11" ht="31.2" x14ac:dyDescent="0.3">
      <c r="A157" s="43" t="s">
        <v>130</v>
      </c>
      <c r="C157" s="13">
        <v>1</v>
      </c>
      <c r="D157" s="21" t="s">
        <v>58</v>
      </c>
      <c r="E157" s="101" t="s">
        <v>173</v>
      </c>
      <c r="F157" s="102"/>
      <c r="G157" s="102"/>
      <c r="H157" s="103"/>
      <c r="I157" s="2" t="s">
        <v>29</v>
      </c>
      <c r="J157" s="2">
        <f>letterToNumber(A157)</f>
        <v>7</v>
      </c>
      <c r="K157" s="26">
        <f ca="1">_xlfn.SHEET("وحدات سفلية")</f>
        <v>4</v>
      </c>
    </row>
    <row r="158" spans="1:11" ht="21" x14ac:dyDescent="0.3">
      <c r="A158" s="42">
        <v>1</v>
      </c>
      <c r="C158" s="8"/>
      <c r="D158" s="7"/>
      <c r="E158" s="26" t="str" cm="1">
        <f t="array" aca="1" ref="E158" ca="1">defaultValue(F158,K157)</f>
        <v>ظهر</v>
      </c>
      <c r="F158" s="7" t="s">
        <v>57</v>
      </c>
      <c r="G158" s="26" t="str" cm="1">
        <f t="array" aca="1" ref="G158" ca="1">defaultValue(H158,K157)</f>
        <v>يوفيلاك</v>
      </c>
      <c r="H158" s="7" t="s">
        <v>31</v>
      </c>
      <c r="I158" s="26" t="str" cm="1">
        <f t="array" aca="1" ref="I158" ca="1">defaultValue(J158,K157)</f>
        <v>HPL</v>
      </c>
      <c r="J158" s="7" t="s">
        <v>30</v>
      </c>
      <c r="K158" s="24" t="s">
        <v>108</v>
      </c>
    </row>
    <row r="159" spans="1:11" ht="31.2" x14ac:dyDescent="0.3">
      <c r="A159" s="42">
        <v>1</v>
      </c>
      <c r="C159" s="7" t="s">
        <v>12</v>
      </c>
      <c r="D159" s="7" t="s">
        <v>18</v>
      </c>
      <c r="E159" s="70" t="s">
        <v>23</v>
      </c>
      <c r="F159" s="70" t="s">
        <v>110</v>
      </c>
      <c r="G159" s="7" t="s">
        <v>16</v>
      </c>
      <c r="H159" s="7" t="s">
        <v>22</v>
      </c>
      <c r="I159" s="7" t="s">
        <v>3</v>
      </c>
      <c r="J159" s="7" t="s">
        <v>109</v>
      </c>
      <c r="K159" s="7"/>
    </row>
    <row r="160" spans="1:11" x14ac:dyDescent="0.3">
      <c r="A160" s="42">
        <v>1</v>
      </c>
      <c r="C160" s="26">
        <v>1</v>
      </c>
      <c r="D160" s="26">
        <v>1</v>
      </c>
      <c r="E160" s="40">
        <f ca="1">J160</f>
        <v>56</v>
      </c>
      <c r="F160" s="26" t="b" cm="1">
        <f t="array" aca="1" ref="F160" ca="1">defaultValue(F159,K157)</f>
        <v>1</v>
      </c>
      <c r="G160" s="26" cm="1">
        <f t="array" aca="1" ref="G160" ca="1">defaultValue(G159,K157)</f>
        <v>3.5</v>
      </c>
      <c r="H160" s="8">
        <v>100</v>
      </c>
      <c r="I160" s="26" cm="1">
        <f t="array" aca="1" ref="I160" ca="1">defaultValue(I159,K157)</f>
        <v>78</v>
      </c>
      <c r="J160" s="26" cm="1">
        <f t="array" aca="1" ref="J160" ca="1">defaultValue(J159,K157)</f>
        <v>56</v>
      </c>
      <c r="K160" s="7"/>
    </row>
    <row r="161" spans="1:11" x14ac:dyDescent="0.3">
      <c r="A161" s="42">
        <v>0</v>
      </c>
    </row>
    <row r="162" spans="1:11" x14ac:dyDescent="0.3">
      <c r="A162" s="4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32</v>
      </c>
      <c r="J162" s="6" t="s">
        <v>172</v>
      </c>
      <c r="K162" s="6" t="s">
        <v>155</v>
      </c>
    </row>
    <row r="163" spans="1:11" x14ac:dyDescent="0.3">
      <c r="A163" s="42">
        <v>0</v>
      </c>
      <c r="C163" s="1"/>
      <c r="D163" s="1"/>
      <c r="E163" s="1"/>
      <c r="F163" s="1"/>
      <c r="G163" s="1"/>
      <c r="H163" s="1"/>
      <c r="I163" s="1"/>
      <c r="J163" s="1"/>
    </row>
    <row r="164" spans="1:11" x14ac:dyDescent="0.3">
      <c r="A164" s="42">
        <v>3</v>
      </c>
      <c r="B164" s="14" t="str">
        <f>visible(E157, K164)</f>
        <v>وحدة سفلية تلبيسة دلفة / دلفتين</v>
      </c>
      <c r="C164" s="6">
        <f>visible(1,K164)</f>
        <v>1</v>
      </c>
      <c r="D164" s="6" t="str" cm="1">
        <f t="array" aca="1" ref="D164" ca="1">visible((I158),K164)</f>
        <v>HPL</v>
      </c>
      <c r="E164" s="6" t="str" cm="1">
        <f t="array" ref="E164">visible(("قاعدة"),K164)</f>
        <v>قاعدة</v>
      </c>
      <c r="F164" s="6" cm="1">
        <f t="array" ref="F164">visible((H160 -3.6),K164)</f>
        <v>96.4</v>
      </c>
      <c r="G164" s="6" cm="1">
        <f t="array" aca="1" ref="G164" ca="1">visible((J160),K164)</f>
        <v>56</v>
      </c>
      <c r="H164" s="6" cm="1">
        <f t="array" ref="H164">visible((C157),K164)</f>
        <v>1</v>
      </c>
      <c r="I164" s="6">
        <f t="shared" ref="I164:I169" ca="1" si="10">visible(materialNum(D164), K164)</f>
        <v>2</v>
      </c>
      <c r="J164" s="6">
        <f ca="1">visible(engraving(I164), K164)</f>
        <v>2</v>
      </c>
      <c r="K164" s="6" t="b">
        <v>1</v>
      </c>
    </row>
    <row r="165" spans="1:11" x14ac:dyDescent="0.3">
      <c r="A165" s="42">
        <v>3</v>
      </c>
      <c r="B165" s="14" t="str">
        <f>visible(E157, K165)</f>
        <v>وحدة سفلية تلبيسة دلفة / دلفتين</v>
      </c>
      <c r="C165" s="6">
        <f>visible(2,K165)</f>
        <v>2</v>
      </c>
      <c r="D165" s="6" t="str" cm="1">
        <f t="array" aca="1" ref="D165" ca="1">visible((I158),K165)</f>
        <v>HPL</v>
      </c>
      <c r="E165" s="6" t="str" cm="1">
        <f t="array" ref="E165">visible(("أجناب"),K165)</f>
        <v>أجناب</v>
      </c>
      <c r="F165" s="6" cm="1">
        <f t="array" aca="1" ref="F165" ca="1">visible((I160),K165)</f>
        <v>78</v>
      </c>
      <c r="G165" s="6" cm="1">
        <f t="array" aca="1" ref="G165" ca="1">visible((J160),K165)</f>
        <v>56</v>
      </c>
      <c r="H165" s="6" cm="1">
        <f t="array" ref="H165">visible((2 *C157),K165)</f>
        <v>2</v>
      </c>
      <c r="I165" s="6">
        <f t="shared" ca="1" si="10"/>
        <v>2</v>
      </c>
      <c r="J165" s="6">
        <f ca="1">visible(engraving(I165), K165)</f>
        <v>2</v>
      </c>
      <c r="K165" s="6" t="b">
        <v>1</v>
      </c>
    </row>
    <row r="166" spans="1:11" x14ac:dyDescent="0.3">
      <c r="A166" s="42">
        <v>3</v>
      </c>
      <c r="B166" s="14" t="str">
        <f>visible(E157, K166)</f>
        <v>وحدة سفلية تلبيسة دلفة / دلفتين</v>
      </c>
      <c r="C166" s="6">
        <f>visible(3,K166)</f>
        <v>3</v>
      </c>
      <c r="D166" s="6" t="str" cm="1">
        <f t="array" aca="1" ref="D166" ca="1">visible((I158),K166)</f>
        <v>HPL</v>
      </c>
      <c r="E166" s="6" t="str" cm="1">
        <f t="array" ref="E166">visible(("مرايا علوية 1"),K166)</f>
        <v>مرايا علوية 1</v>
      </c>
      <c r="F166" s="6" cm="1">
        <f t="array" ref="F166">visible((H160-3.6),K166)</f>
        <v>96.4</v>
      </c>
      <c r="G166" s="6" cm="1">
        <f t="array" ref="G166">visible((10),K166)</f>
        <v>10</v>
      </c>
      <c r="H166" s="6" cm="1">
        <f t="array" ref="H166">visible((C157),K166)</f>
        <v>1</v>
      </c>
      <c r="I166" s="6">
        <f t="shared" ca="1" si="10"/>
        <v>2</v>
      </c>
      <c r="J166" s="6">
        <f ca="1">visible(engraving(I166), K166)</f>
        <v>2</v>
      </c>
      <c r="K166" s="6" t="b">
        <v>1</v>
      </c>
    </row>
    <row r="167" spans="1:11" x14ac:dyDescent="0.3">
      <c r="A167" s="42">
        <v>3</v>
      </c>
      <c r="B167" s="14" t="str">
        <f>visible(E157, K167)</f>
        <v>وحدة سفلية تلبيسة دلفة / دلفتين</v>
      </c>
      <c r="C167" s="6">
        <f>visible(4,K167)</f>
        <v>4</v>
      </c>
      <c r="D167" s="6" t="str" cm="1">
        <f t="array" aca="1" ref="D167" ca="1">visible((I158),K167)</f>
        <v>HPL</v>
      </c>
      <c r="E167" s="6" t="str" cm="1">
        <f t="array" ref="E167">visible(("مرايا علوية 2"),K167)</f>
        <v>مرايا علوية 2</v>
      </c>
      <c r="F167" s="6" cm="1">
        <f t="array" ref="F167">visible((H160-3.6),K167)</f>
        <v>96.4</v>
      </c>
      <c r="G167" s="6" cm="1">
        <f t="array" ref="G167">visible((7),K167)</f>
        <v>7</v>
      </c>
      <c r="H167" s="6" cm="1">
        <f t="array" ref="H167">visible((C157),K167)</f>
        <v>1</v>
      </c>
      <c r="I167" s="6">
        <f t="shared" ca="1" si="10"/>
        <v>2</v>
      </c>
      <c r="J167" s="6">
        <f ca="1">visible(engraving(I167), K167)</f>
        <v>2</v>
      </c>
      <c r="K167" s="6" t="b">
        <v>1</v>
      </c>
    </row>
    <row r="168" spans="1:11" x14ac:dyDescent="0.3">
      <c r="A168" s="42">
        <v>3</v>
      </c>
      <c r="B168" s="14" t="str">
        <f>visible(E157, K168)</f>
        <v>وحدة سفلية تلبيسة دلفة / دلفتين</v>
      </c>
      <c r="C168" s="6">
        <f>visible(5,K168)</f>
        <v>5</v>
      </c>
      <c r="D168" s="6" t="str" cm="1">
        <f t="array" aca="1" ref="D168" ca="1">visible((I158),K168)</f>
        <v>HPL</v>
      </c>
      <c r="E168" s="6" t="str" cm="1">
        <f t="array" ref="E168">visible(("رف"),K168)</f>
        <v>رف</v>
      </c>
      <c r="F168" s="6" cm="1">
        <f t="array" ref="F168">visible((H160-3.8),K168)</f>
        <v>96.2</v>
      </c>
      <c r="G168" s="6" cm="1">
        <f t="array" aca="1" ref="G168" ca="1">visible((J160-6),K168)</f>
        <v>50</v>
      </c>
      <c r="H168" s="6" cm="1">
        <f t="array" ref="H168">visible((D160*C157),K168)</f>
        <v>1</v>
      </c>
      <c r="I168" s="6">
        <f t="shared" ca="1" si="10"/>
        <v>2</v>
      </c>
      <c r="J168" s="6">
        <f ca="1">visible(engraving(I168), K168)</f>
        <v>2</v>
      </c>
      <c r="K168" s="6" t="b">
        <v>1</v>
      </c>
    </row>
    <row r="169" spans="1:11" x14ac:dyDescent="0.3">
      <c r="A169" s="42">
        <v>3</v>
      </c>
      <c r="B169" s="14" t="str">
        <f>visible(E157, K169)</f>
        <v>وحدة سفلية تلبيسة دلفة / دلفتين</v>
      </c>
      <c r="C169" s="6">
        <f>visible(6,K169)</f>
        <v>6</v>
      </c>
      <c r="D169" s="6" t="str">
        <f ca="1">visible((I158),K169)</f>
        <v>HPL</v>
      </c>
      <c r="E169" s="6" t="str" cm="1">
        <f t="array" ref="E169">visible(("تلبيسة"),K169)</f>
        <v>تلبيسة</v>
      </c>
      <c r="F169" s="6" cm="1">
        <f t="array" aca="1" ref="F169" ca="1">visible((I160),K169)</f>
        <v>78</v>
      </c>
      <c r="G169" s="6" cm="1">
        <f t="array" aca="1" ref="G169" ca="1">visible((E160),K169)</f>
        <v>56</v>
      </c>
      <c r="H169" s="6">
        <f>visible(C157,K169)</f>
        <v>1</v>
      </c>
      <c r="I169" s="6">
        <f t="shared" ca="1" si="10"/>
        <v>2</v>
      </c>
      <c r="J169" s="6">
        <f ca="1">visible(engraving(I169), K169)</f>
        <v>2</v>
      </c>
      <c r="K169" s="6" t="b">
        <v>1</v>
      </c>
    </row>
    <row r="170" spans="1:11" x14ac:dyDescent="0.3">
      <c r="A170" s="42">
        <v>0</v>
      </c>
    </row>
    <row r="171" spans="1:11" x14ac:dyDescent="0.3">
      <c r="A171" s="42">
        <v>4</v>
      </c>
      <c r="B171" s="14" t="str">
        <f>visible(E157, K171)</f>
        <v>وحدة سفلية تلبيسة دلفة / دلفتين</v>
      </c>
      <c r="C171" s="9">
        <f>visible(7,K171)</f>
        <v>7</v>
      </c>
      <c r="D171" s="9" t="str" cm="1">
        <f t="array" aca="1" ref="D171" ca="1">visible((G158),K171)</f>
        <v>يوفيلاك</v>
      </c>
      <c r="E171" s="9" t="str" cm="1">
        <f t="array" ref="E171">visible(("دلف"),K171)</f>
        <v>دلف</v>
      </c>
      <c r="F171" s="9" cm="1">
        <f t="array" aca="1" ref="F171" ca="1">visible((I160-0.5-G160),K171)</f>
        <v>74</v>
      </c>
      <c r="G171" s="9" cm="1">
        <f t="array" aca="1" ref="G171" ca="1">visible(((H160-E160-G172)/C160-0.5),K171)</f>
        <v>39.5</v>
      </c>
      <c r="H171" s="9" cm="1">
        <f t="array" ref="H171">visible((C160*C157),K171)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</row>
    <row r="172" spans="1:11" x14ac:dyDescent="0.3">
      <c r="A172" s="42">
        <v>4</v>
      </c>
      <c r="B172" s="14" t="str">
        <f>visible(E157, K172)</f>
        <v>وحدة سفلية تلبيسة دلفة / دلفتين</v>
      </c>
      <c r="C172" s="9">
        <f>visible(8,K172)</f>
        <v>8</v>
      </c>
      <c r="D172" s="9" t="str">
        <f ca="1">visible((G158),K172)</f>
        <v>يوفيلاك</v>
      </c>
      <c r="E172" s="9" t="str" cm="1">
        <f t="array" ref="E172">visible(("تلبيسة ثابتة"),K172)</f>
        <v>تلبيسة ثابتة</v>
      </c>
      <c r="F172" s="9" cm="1">
        <f t="array" aca="1" ref="F172" ca="1">visible((I160),K172)</f>
        <v>78</v>
      </c>
      <c r="G172" s="9" cm="1">
        <f t="array" ref="G172">visible(4,K172)</f>
        <v>4</v>
      </c>
      <c r="H172" s="9">
        <f>visible(C157,K172)</f>
        <v>1</v>
      </c>
      <c r="I172" s="9">
        <f ca="1">visible(materialNum(D172), K172)</f>
        <v>6</v>
      </c>
      <c r="J172" s="9">
        <f ca="1">visible(engraving(I172), K172)</f>
        <v>2</v>
      </c>
      <c r="K172" s="9" t="b">
        <v>1</v>
      </c>
    </row>
    <row r="173" spans="1:11" x14ac:dyDescent="0.3">
      <c r="A173" s="42">
        <v>0</v>
      </c>
      <c r="C173" s="1"/>
      <c r="D173" s="1"/>
      <c r="E173" s="1"/>
      <c r="F173" s="1"/>
      <c r="G173" s="1"/>
      <c r="H173" s="1"/>
      <c r="I173" s="1"/>
      <c r="J173" s="1"/>
    </row>
    <row r="174" spans="1:11" x14ac:dyDescent="0.3">
      <c r="A174" s="42">
        <v>5</v>
      </c>
      <c r="B174" s="14" t="str">
        <f ca="1">visible(E157, K174)</f>
        <v>وحدة سفلية تلبيسة دلفة / دلفتين</v>
      </c>
      <c r="C174" s="18">
        <f ca="1">visible(9,K174)</f>
        <v>9</v>
      </c>
      <c r="D174" s="18" t="str" cm="1">
        <f t="array" aca="1" ref="D174" ca="1">visible((E158),K174)</f>
        <v>ظهر</v>
      </c>
      <c r="E174" s="18" t="str" cm="1">
        <f t="array" aca="1" ref="E174" ca="1">visible(("ظهر"),K174)</f>
        <v>ظهر</v>
      </c>
      <c r="F174" s="18" cm="1">
        <f t="array" aca="1" ref="F174" ca="1">visible((I160-2),K174)</f>
        <v>76</v>
      </c>
      <c r="G174" s="18" cm="1">
        <f t="array" aca="1" ref="G174" ca="1">visible((H160-2),K174)</f>
        <v>98</v>
      </c>
      <c r="H174" s="18" cm="1">
        <f t="array" aca="1" ref="H174" ca="1">visible((C157),K174)</f>
        <v>1</v>
      </c>
      <c r="I174" s="18">
        <f ca="1">visible(materialNum(D174), K174)</f>
        <v>2</v>
      </c>
      <c r="J174" s="18">
        <f ca="1">visible(engraving(I174), K174)</f>
        <v>2</v>
      </c>
      <c r="K174" s="18" t="b">
        <f ca="1">F160</f>
        <v>1</v>
      </c>
    </row>
    <row r="175" spans="1:11" x14ac:dyDescent="0.3">
      <c r="A175" s="42">
        <v>255</v>
      </c>
      <c r="C175"/>
      <c r="D175"/>
      <c r="E175"/>
      <c r="F175"/>
      <c r="G175"/>
      <c r="H175"/>
      <c r="I175"/>
      <c r="J175"/>
      <c r="K175"/>
    </row>
    <row r="176" spans="1:11" x14ac:dyDescent="0.3">
      <c r="A176" s="42">
        <v>255</v>
      </c>
      <c r="C176"/>
      <c r="D176"/>
      <c r="E176"/>
      <c r="F176"/>
      <c r="G176"/>
      <c r="H176"/>
      <c r="I176"/>
      <c r="J176"/>
      <c r="K176"/>
    </row>
  </sheetData>
  <mergeCells count="14">
    <mergeCell ref="C4:N4"/>
    <mergeCell ref="C7:N7"/>
    <mergeCell ref="C2:K2"/>
    <mergeCell ref="E157:H157"/>
    <mergeCell ref="E122:H122"/>
    <mergeCell ref="J126:K126"/>
    <mergeCell ref="F39:F40"/>
    <mergeCell ref="F18:F19"/>
    <mergeCell ref="E17:H17"/>
    <mergeCell ref="E104:H104"/>
    <mergeCell ref="E81:H81"/>
    <mergeCell ref="E58:H58"/>
    <mergeCell ref="F59:F60"/>
    <mergeCell ref="E38:H38"/>
  </mergeCells>
  <phoneticPr fontId="9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396240</xdr:colOff>
                    <xdr:row>9</xdr:row>
                    <xdr:rowOff>167640</xdr:rowOff>
                  </from>
                  <to>
                    <xdr:col>10</xdr:col>
                    <xdr:colOff>53340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9</xdr:row>
                    <xdr:rowOff>167640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9</xdr:row>
                    <xdr:rowOff>167640</xdr:rowOff>
                  </from>
                  <to>
                    <xdr:col>6</xdr:col>
                    <xdr:colOff>708660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381000</xdr:colOff>
                    <xdr:row>9</xdr:row>
                    <xdr:rowOff>144780</xdr:rowOff>
                  </from>
                  <to>
                    <xdr:col>13</xdr:col>
                    <xdr:colOff>342900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171" activePane="bottomLeft" state="frozen"/>
      <selection activeCell="B1" sqref="B1"/>
      <selection pane="bottomLeft" activeCell="B166" sqref="B166"/>
    </sheetView>
  </sheetViews>
  <sheetFormatPr defaultRowHeight="14.4" x14ac:dyDescent="0.3"/>
  <cols>
    <col min="1" max="1" width="9" style="34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7" customFormat="1" x14ac:dyDescent="0.3">
      <c r="A1" s="87">
        <v>34</v>
      </c>
      <c r="B1" s="87">
        <v>7</v>
      </c>
      <c r="P1" s="88"/>
      <c r="Q1" s="88"/>
      <c r="R1" s="88"/>
      <c r="S1" s="88"/>
      <c r="T1" s="88"/>
      <c r="U1" s="88"/>
      <c r="V1" s="88"/>
      <c r="W1" s="88"/>
      <c r="X1" s="88"/>
    </row>
    <row r="2" spans="1:81" s="87" customFormat="1" ht="31.2" customHeight="1" x14ac:dyDescent="0.3">
      <c r="A2" s="87">
        <v>54</v>
      </c>
      <c r="B2" s="88" t="s">
        <v>114</v>
      </c>
      <c r="C2" s="111" t="s">
        <v>42</v>
      </c>
      <c r="D2" s="111"/>
      <c r="E2" s="111"/>
      <c r="F2" s="111"/>
      <c r="G2" s="111"/>
      <c r="H2" s="111"/>
      <c r="I2" s="111"/>
      <c r="J2" s="111"/>
      <c r="K2" s="111"/>
      <c r="P2" s="88"/>
      <c r="Q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  <c r="BX2" s="88"/>
      <c r="BY2" s="88"/>
      <c r="BZ2" s="88"/>
      <c r="CA2" s="88"/>
      <c r="CB2" s="88"/>
      <c r="CC2" s="88"/>
    </row>
    <row r="3" spans="1:81" s="87" customFormat="1" x14ac:dyDescent="0.3">
      <c r="B3" s="87" t="s">
        <v>146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8"/>
      <c r="BZ3" s="88"/>
      <c r="CA3" s="88"/>
      <c r="CB3" s="88"/>
      <c r="CC3" s="88"/>
    </row>
    <row r="4" spans="1:81" s="87" customFormat="1" ht="21" x14ac:dyDescent="0.4">
      <c r="C4" s="110" t="s">
        <v>174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88"/>
    </row>
    <row r="5" spans="1:81" s="87" customFormat="1" x14ac:dyDescent="0.3"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  <c r="BX5" s="88"/>
      <c r="BY5" s="88"/>
      <c r="BZ5" s="88"/>
      <c r="CA5" s="88"/>
      <c r="CB5" s="88"/>
      <c r="CC5" s="88"/>
    </row>
    <row r="6" spans="1:81" s="87" customFormat="1" x14ac:dyDescent="0.3"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  <c r="BX6" s="88"/>
      <c r="BY6" s="88"/>
      <c r="BZ6" s="88"/>
      <c r="CA6" s="88"/>
      <c r="CB6" s="88"/>
      <c r="CC6" s="88"/>
    </row>
    <row r="7" spans="1:81" s="87" customFormat="1" ht="21" x14ac:dyDescent="0.4">
      <c r="C7" s="110" t="s">
        <v>160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  <c r="BX7" s="88"/>
      <c r="BY7" s="88"/>
      <c r="BZ7" s="88"/>
      <c r="CA7" s="88"/>
      <c r="CB7" s="88"/>
      <c r="CC7" s="88"/>
    </row>
    <row r="8" spans="1:81" s="87" customFormat="1" x14ac:dyDescent="0.3"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  <c r="BX8" s="88"/>
      <c r="BY8" s="88"/>
      <c r="BZ8" s="88"/>
      <c r="CA8" s="88"/>
      <c r="CB8" s="88"/>
      <c r="CC8" s="88"/>
    </row>
    <row r="9" spans="1:81" s="87" customFormat="1" x14ac:dyDescent="0.3"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8"/>
      <c r="BL9" s="88"/>
      <c r="BM9" s="88"/>
      <c r="BN9" s="88"/>
      <c r="BO9" s="88"/>
      <c r="BP9" s="88"/>
      <c r="BQ9" s="88"/>
      <c r="BR9" s="88"/>
      <c r="BS9" s="88"/>
      <c r="BT9" s="88"/>
      <c r="BU9" s="88"/>
      <c r="BV9" s="88"/>
      <c r="BW9" s="88"/>
      <c r="BX9" s="88"/>
      <c r="BY9" s="88"/>
      <c r="BZ9" s="88"/>
      <c r="CA9" s="88"/>
      <c r="CB9" s="88"/>
      <c r="CC9" s="88"/>
    </row>
    <row r="10" spans="1:81" s="87" customFormat="1" x14ac:dyDescent="0.3"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  <c r="BX10" s="88"/>
      <c r="BY10" s="88"/>
      <c r="BZ10" s="88"/>
      <c r="CA10" s="88"/>
      <c r="CB10" s="88"/>
      <c r="CC10" s="88"/>
    </row>
    <row r="11" spans="1:81" s="87" customFormat="1" x14ac:dyDescent="0.3"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8"/>
      <c r="CC11" s="88"/>
    </row>
    <row r="12" spans="1:81" s="90" customFormat="1" ht="18" x14ac:dyDescent="0.3">
      <c r="A12" s="87"/>
      <c r="B12" s="87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  <c r="BX12" s="88"/>
      <c r="BY12" s="88"/>
      <c r="BZ12" s="88"/>
      <c r="CA12" s="88"/>
      <c r="CB12" s="88"/>
      <c r="CC12" s="88"/>
    </row>
    <row r="13" spans="1:81" customFormat="1" x14ac:dyDescent="0.3">
      <c r="A13" s="76"/>
    </row>
    <row r="14" spans="1:81" customFormat="1" x14ac:dyDescent="0.3">
      <c r="A14" s="34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4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4" t="s">
        <v>126</v>
      </c>
      <c r="B17" s="3"/>
      <c r="C17" s="13">
        <v>1</v>
      </c>
      <c r="D17" s="21" t="s">
        <v>58</v>
      </c>
      <c r="E17" s="101" t="s">
        <v>43</v>
      </c>
      <c r="F17" s="102"/>
      <c r="G17" s="102"/>
      <c r="H17" s="103"/>
      <c r="I17" s="2" t="s">
        <v>29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31.2" x14ac:dyDescent="0.3">
      <c r="A18" s="34">
        <v>1</v>
      </c>
      <c r="C18" s="7" t="s">
        <v>53</v>
      </c>
      <c r="D18" s="7" t="s">
        <v>54</v>
      </c>
      <c r="E18" s="17" t="s">
        <v>18</v>
      </c>
      <c r="F18" s="7" t="s">
        <v>16</v>
      </c>
      <c r="G18" s="7" t="s">
        <v>111</v>
      </c>
      <c r="H18" s="7" t="s">
        <v>22</v>
      </c>
      <c r="I18" s="7" t="s">
        <v>3</v>
      </c>
      <c r="J18" s="7" t="s">
        <v>109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15.6" x14ac:dyDescent="0.3">
      <c r="A19" s="34">
        <v>1</v>
      </c>
      <c r="C19" s="8">
        <v>1</v>
      </c>
      <c r="D19" s="8">
        <v>0</v>
      </c>
      <c r="E19" s="8">
        <v>1</v>
      </c>
      <c r="F19" s="26" cm="1">
        <f t="array" aca="1" ref="F19" ca="1">defaultValue(F18,K17)</f>
        <v>3.5</v>
      </c>
      <c r="G19" s="26" cm="1">
        <f t="array" aca="1" ref="G19" ca="1">defaultValue(G18,K17)</f>
        <v>0</v>
      </c>
      <c r="H19" s="8"/>
      <c r="I19" s="26" cm="1">
        <f t="array" aca="1" ref="I19" ca="1">defaultValue(I18,K17)</f>
        <v>70</v>
      </c>
      <c r="J19" s="26" cm="1">
        <f t="array" aca="1" ref="J19" ca="1">defaultValue(J18,K17)</f>
        <v>30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4">
        <v>1</v>
      </c>
      <c r="C20" s="9" t="b">
        <f>C19=0</f>
        <v>0</v>
      </c>
      <c r="D20" s="9" t="b">
        <f>D19=0</f>
        <v>1</v>
      </c>
      <c r="E20" s="7" t="s">
        <v>103</v>
      </c>
      <c r="F20" s="117" t="b">
        <f ca="1">NOT(AND(F19&gt;0,G19&gt;0))</f>
        <v>1</v>
      </c>
      <c r="G20" s="117"/>
      <c r="H20" s="3" t="b">
        <f>_xlfn.XOR(H19&lt;=50,C21=2)</f>
        <v>1</v>
      </c>
      <c r="I20" s="40"/>
      <c r="J20" s="8"/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4">
        <v>1</v>
      </c>
      <c r="C21" s="116">
        <f>C19+D19</f>
        <v>1</v>
      </c>
      <c r="D21" s="116"/>
      <c r="E21" s="25">
        <v>10</v>
      </c>
      <c r="F21" s="118" t="str">
        <f ca="1">IF(F20,"المقابض مظبوطة","مينفعش مقبض مخفي مع بيلت ان")</f>
        <v>المقابض مظبوطة</v>
      </c>
      <c r="G21" s="118"/>
      <c r="H21" s="117" t="str">
        <f>IF(H20,"عدد الدلف صحيح","عدد الدلف غير صحيح")</f>
        <v>عدد الدلف صحيح</v>
      </c>
      <c r="I21" s="117"/>
      <c r="J21" s="117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4">
        <v>1</v>
      </c>
      <c r="C22" s="117" t="b">
        <f>C21&lt;=2</f>
        <v>1</v>
      </c>
      <c r="D22" s="117"/>
      <c r="E22" s="8"/>
      <c r="F22" s="8"/>
      <c r="G22" s="8"/>
      <c r="H22" s="8"/>
      <c r="I22" s="8"/>
      <c r="J22" s="8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31.2" x14ac:dyDescent="0.3">
      <c r="A23" s="34">
        <v>1</v>
      </c>
      <c r="C23" s="8"/>
      <c r="D23" s="26" t="str" cm="1">
        <f t="array" aca="1" ref="D23" ca="1">defaultValue(E23,K17)</f>
        <v>ظهر</v>
      </c>
      <c r="E23" s="7" t="s">
        <v>57</v>
      </c>
      <c r="F23" s="26" t="str" cm="1">
        <f t="array" aca="1" ref="F23" ca="1">defaultValue(G23,K17)</f>
        <v>يوفيلاك</v>
      </c>
      <c r="G23" s="7" t="s">
        <v>31</v>
      </c>
      <c r="H23" s="26" t="str" cm="1">
        <f t="array" aca="1" ref="H23" ca="1">defaultValue(I23,K17)</f>
        <v>HPL</v>
      </c>
      <c r="I23" s="7" t="s">
        <v>30</v>
      </c>
      <c r="J23" s="24" t="s">
        <v>108</v>
      </c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4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4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32</v>
      </c>
      <c r="J25" s="6" t="s">
        <v>172</v>
      </c>
      <c r="K25" s="6" t="s">
        <v>155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4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4">
        <v>3</v>
      </c>
      <c r="B27" s="3" t="str">
        <f>visible(E17, K27)</f>
        <v xml:space="preserve">وحدة علوية دلفة /دلفتين </v>
      </c>
      <c r="C27" s="6">
        <v>1</v>
      </c>
      <c r="D27" s="6" t="str">
        <f ca="1">H23</f>
        <v>HPL</v>
      </c>
      <c r="E27" s="6" t="s">
        <v>48</v>
      </c>
      <c r="F27" s="6">
        <f>H19-3.6</f>
        <v>-3.6</v>
      </c>
      <c r="G27" s="6">
        <f ca="1">J19-E21</f>
        <v>20</v>
      </c>
      <c r="H27" s="6">
        <f>1*C17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4">
        <v>3</v>
      </c>
      <c r="B28" s="3" t="str">
        <f>visible(E17, K28)</f>
        <v xml:space="preserve">وحدة علوية دلفة /دلفتين </v>
      </c>
      <c r="C28" s="6">
        <f>C27+1</f>
        <v>2</v>
      </c>
      <c r="D28" s="6" t="str">
        <f ca="1">H23</f>
        <v>HPL</v>
      </c>
      <c r="E28" s="6" t="s">
        <v>10</v>
      </c>
      <c r="F28" s="6">
        <f>H19-3.6</f>
        <v>-3.6</v>
      </c>
      <c r="G28" s="6">
        <f ca="1">J19-G19-E21</f>
        <v>20</v>
      </c>
      <c r="H28" s="6">
        <f>1*C17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4">
        <v>3</v>
      </c>
      <c r="B29" s="3" t="str">
        <f>visible(E17, K29)</f>
        <v xml:space="preserve">وحدة علوية دلفة /دلفتين </v>
      </c>
      <c r="C29" s="6">
        <f t="shared" ref="C29:C30" si="0">C28+1</f>
        <v>3</v>
      </c>
      <c r="D29" s="6" t="str">
        <f ca="1">H23</f>
        <v>HPL</v>
      </c>
      <c r="E29" s="6" t="s">
        <v>11</v>
      </c>
      <c r="F29" s="6">
        <f ca="1">I19</f>
        <v>70</v>
      </c>
      <c r="G29" s="6">
        <f ca="1">J19</f>
        <v>30</v>
      </c>
      <c r="H29" s="6">
        <f>2*C17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4">
        <v>3</v>
      </c>
      <c r="B30" s="3" t="str">
        <f>visible(E17, K30)</f>
        <v xml:space="preserve">وحدة علوية دلفة /دلفتين </v>
      </c>
      <c r="C30" s="6">
        <f t="shared" si="0"/>
        <v>4</v>
      </c>
      <c r="D30" s="6" t="str">
        <f ca="1">H23</f>
        <v>HPL</v>
      </c>
      <c r="E30" s="6" t="s">
        <v>17</v>
      </c>
      <c r="F30" s="6">
        <f>H19-3.8</f>
        <v>-3.8</v>
      </c>
      <c r="G30" s="6">
        <f ca="1">J19-5-E21</f>
        <v>15</v>
      </c>
      <c r="H30" s="6">
        <f>E19*C17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4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4">
        <v>4</v>
      </c>
      <c r="B32" s="3" t="str">
        <f>visible(E17, K32)</f>
        <v xml:space="preserve">وحدة علوية دلفة /دلفتين </v>
      </c>
      <c r="C32" s="9">
        <f>C30+1</f>
        <v>5</v>
      </c>
      <c r="D32" s="9" t="str">
        <f ca="1">F23</f>
        <v>يوفيلاك</v>
      </c>
      <c r="E32" s="9" t="s">
        <v>51</v>
      </c>
      <c r="F32" s="9">
        <f ca="1">IF(C20,"",I19-0.5-F19)</f>
        <v>66</v>
      </c>
      <c r="G32" s="9">
        <f>IF(C20,"",(H19/C21)-0.5)</f>
        <v>-0.5</v>
      </c>
      <c r="H32" s="9">
        <f>C19*C17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4">
        <v>4</v>
      </c>
      <c r="B33" s="3" t="str">
        <f>visible(E17, K33)</f>
        <v xml:space="preserve">وحدة علوية دلفة /دلفتين </v>
      </c>
      <c r="C33" s="9">
        <f>C32+1</f>
        <v>6</v>
      </c>
      <c r="D33" s="9" t="s">
        <v>52</v>
      </c>
      <c r="E33" s="9" t="s">
        <v>68</v>
      </c>
      <c r="F33" s="9">
        <f ca="1">I19-0.5</f>
        <v>69.5</v>
      </c>
      <c r="G33" s="9">
        <f>(H19/C21)-0.7</f>
        <v>-0.7</v>
      </c>
      <c r="H33" s="9">
        <f>C17*D19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4">
        <v>5</v>
      </c>
      <c r="B35" s="3" t="str">
        <f>visible(E17, K35)</f>
        <v xml:space="preserve">وحدة علوية دلفة /دلفتين </v>
      </c>
      <c r="C35" s="18">
        <f>C33+1</f>
        <v>7</v>
      </c>
      <c r="D35" s="18" t="str">
        <f ca="1">D23</f>
        <v>ظهر</v>
      </c>
      <c r="E35" s="18" t="s">
        <v>57</v>
      </c>
      <c r="F35" s="18">
        <f ca="1">I19-2</f>
        <v>68</v>
      </c>
      <c r="G35" s="18">
        <f>H19-2</f>
        <v>-2</v>
      </c>
      <c r="H35" s="18">
        <f>1*C17</f>
        <v>1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4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4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4" t="s">
        <v>131</v>
      </c>
      <c r="C38" s="13">
        <v>1</v>
      </c>
      <c r="D38" s="21" t="s">
        <v>58</v>
      </c>
      <c r="E38" s="101" t="s">
        <v>49</v>
      </c>
      <c r="F38" s="102"/>
      <c r="G38" s="102"/>
      <c r="H38" s="103"/>
      <c r="I38" s="2" t="s">
        <v>29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31.2" x14ac:dyDescent="0.3">
      <c r="A39" s="34">
        <v>1</v>
      </c>
      <c r="C39" s="7" t="s">
        <v>53</v>
      </c>
      <c r="D39" s="7" t="s">
        <v>54</v>
      </c>
      <c r="E39" s="7" t="s">
        <v>50</v>
      </c>
      <c r="F39" s="7" t="s">
        <v>16</v>
      </c>
      <c r="G39" s="7" t="s">
        <v>111</v>
      </c>
      <c r="H39" s="7" t="s">
        <v>22</v>
      </c>
      <c r="I39" s="7" t="s">
        <v>3</v>
      </c>
      <c r="J39" s="7" t="s">
        <v>109</v>
      </c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15.6" x14ac:dyDescent="0.3">
      <c r="A40" s="34">
        <v>1</v>
      </c>
      <c r="C40" s="8">
        <v>2</v>
      </c>
      <c r="D40" s="8">
        <v>0</v>
      </c>
      <c r="E40" s="7">
        <v>1</v>
      </c>
      <c r="F40" s="26" cm="1">
        <f t="array" aca="1" ref="F40" ca="1">defaultValue(F39,K38)</f>
        <v>3.5</v>
      </c>
      <c r="G40" s="26" cm="1">
        <f t="array" aca="1" ref="G40" ca="1">defaultValue(G39,K38)</f>
        <v>0</v>
      </c>
      <c r="H40" s="8"/>
      <c r="I40" s="26" cm="1">
        <f t="array" aca="1" ref="I40" ca="1">defaultValue(I39,K38)</f>
        <v>70</v>
      </c>
      <c r="J40" s="26" cm="1">
        <f t="array" aca="1" ref="J40" ca="1">defaultValue(J39,K38)</f>
        <v>30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4">
        <v>1</v>
      </c>
      <c r="C41" s="9" t="b">
        <f>C40=0</f>
        <v>0</v>
      </c>
      <c r="D41" s="9" t="b">
        <f>D40=0</f>
        <v>1</v>
      </c>
      <c r="E41" s="7" t="s">
        <v>103</v>
      </c>
      <c r="F41" s="119" t="b">
        <f ca="1">NOT(AND(F40&gt;0,G40&gt;0))</f>
        <v>1</v>
      </c>
      <c r="G41" s="119"/>
      <c r="H41" s="8"/>
      <c r="I41" s="3" t="b">
        <f ca="1">_xlfn.XOR(I40&lt;=50,C42=2)</f>
        <v>1</v>
      </c>
      <c r="J41" s="8"/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24" x14ac:dyDescent="0.3">
      <c r="A42" s="34">
        <v>1</v>
      </c>
      <c r="C42" s="116">
        <f>C40+D40</f>
        <v>2</v>
      </c>
      <c r="D42" s="116"/>
      <c r="E42" s="7">
        <v>0</v>
      </c>
      <c r="F42" s="120" t="str">
        <f ca="1">IF(F41,"المقابض مظبوطة","مينفعش مقبض مخفي مع بيلت ان")</f>
        <v>المقابض مظبوطة</v>
      </c>
      <c r="G42" s="120"/>
      <c r="H42" s="29"/>
      <c r="I42" s="31" t="str">
        <f ca="1">IF(I41,"عدد الدلف صحيح","عدد الدلف غير صحيح")</f>
        <v>عدد الدلف صحيح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x14ac:dyDescent="0.3">
      <c r="A43" s="34">
        <v>1</v>
      </c>
      <c r="C43" s="117" t="b">
        <f>C42&lt;=2</f>
        <v>1</v>
      </c>
      <c r="D43" s="117"/>
      <c r="E43" s="40"/>
      <c r="F43" s="8"/>
      <c r="G43" s="8"/>
      <c r="H43" s="8"/>
      <c r="I43" s="8"/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31.2" x14ac:dyDescent="0.3">
      <c r="A44" s="34">
        <v>1</v>
      </c>
      <c r="C44" s="8"/>
      <c r="D44" s="26" t="str" cm="1">
        <f t="array" aca="1" ref="D44" ca="1">defaultValue(E44,K38)</f>
        <v>ظهر</v>
      </c>
      <c r="E44" s="7" t="s">
        <v>57</v>
      </c>
      <c r="F44" s="26" t="str" cm="1">
        <f t="array" aca="1" ref="F44" ca="1">defaultValue(G44,K38)</f>
        <v>يوفيلاك</v>
      </c>
      <c r="G44" s="7" t="s">
        <v>31</v>
      </c>
      <c r="H44" s="26" t="str" cm="1">
        <f t="array" aca="1" ref="H44" ca="1">defaultValue(I44,K38)</f>
        <v>HPL</v>
      </c>
      <c r="I44" s="7" t="s">
        <v>30</v>
      </c>
      <c r="J44" s="24" t="s">
        <v>108</v>
      </c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4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4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32</v>
      </c>
      <c r="J46" s="6" t="s">
        <v>172</v>
      </c>
      <c r="K46" s="6" t="s">
        <v>155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4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4">
        <v>3</v>
      </c>
      <c r="B48" s="3" t="str">
        <f>visible(E38, K48)</f>
        <v>وحدة علوية  قلاب / 2 قلاب</v>
      </c>
      <c r="C48" s="6">
        <v>1</v>
      </c>
      <c r="D48" s="6" t="str">
        <f ca="1">H44</f>
        <v>HPL</v>
      </c>
      <c r="E48" s="6" t="s">
        <v>48</v>
      </c>
      <c r="F48" s="6">
        <f>H40-3.6</f>
        <v>-3.6</v>
      </c>
      <c r="G48" s="6">
        <f ca="1">J40-E42</f>
        <v>30</v>
      </c>
      <c r="H48" s="6">
        <f>1*C38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4">
        <v>3</v>
      </c>
      <c r="B49" s="3" t="str">
        <f>visible(E38, K49)</f>
        <v>وحدة علوية  قلاب / 2 قلاب</v>
      </c>
      <c r="C49" s="6">
        <f>C48+1</f>
        <v>2</v>
      </c>
      <c r="D49" s="6" t="str">
        <f ca="1">H44</f>
        <v>HPL</v>
      </c>
      <c r="E49" s="6" t="s">
        <v>10</v>
      </c>
      <c r="F49" s="6">
        <f>H40-3.6</f>
        <v>-3.6</v>
      </c>
      <c r="G49" s="6">
        <f ca="1">J40-G40-E42</f>
        <v>30</v>
      </c>
      <c r="H49" s="6">
        <f>1*C38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4">
        <v>3</v>
      </c>
      <c r="B50" s="3" t="str">
        <f>visible(E38, K50)</f>
        <v>وحدة علوية  قلاب / 2 قلاب</v>
      </c>
      <c r="C50" s="6">
        <f t="shared" ref="C50:C51" si="1">C49+1</f>
        <v>3</v>
      </c>
      <c r="D50" s="6" t="str">
        <f ca="1">H44</f>
        <v>HPL</v>
      </c>
      <c r="E50" s="6" t="s">
        <v>11</v>
      </c>
      <c r="F50" s="6">
        <f ca="1">I40</f>
        <v>70</v>
      </c>
      <c r="G50" s="6">
        <f ca="1">J40</f>
        <v>30</v>
      </c>
      <c r="H50" s="6">
        <f>2*C38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4">
        <v>3</v>
      </c>
      <c r="B51" s="3" t="str">
        <f>visible(E38, K51)</f>
        <v>وحدة علوية  قلاب / 2 قلاب</v>
      </c>
      <c r="C51" s="6">
        <f t="shared" si="1"/>
        <v>4</v>
      </c>
      <c r="D51" s="6" t="str">
        <f ca="1">H44</f>
        <v>HPL</v>
      </c>
      <c r="E51" s="6" t="s">
        <v>50</v>
      </c>
      <c r="F51" s="6">
        <f>(H40-3.6)*E40</f>
        <v>-3.6</v>
      </c>
      <c r="G51" s="6">
        <f ca="1">(J40-2.5-E42)*E40</f>
        <v>27.5</v>
      </c>
      <c r="H51" s="6">
        <f>E40*C38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4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4">
        <v>4</v>
      </c>
      <c r="B53" s="3" t="str">
        <f>visible(E38, K53)</f>
        <v>وحدة علوية  قلاب / 2 قلاب</v>
      </c>
      <c r="C53" s="9">
        <f>C51+1</f>
        <v>5</v>
      </c>
      <c r="D53" s="9" t="str">
        <f ca="1">F44</f>
        <v>يوفيلاك</v>
      </c>
      <c r="E53" s="9" t="s">
        <v>55</v>
      </c>
      <c r="F53" s="9">
        <f ca="1">(I40/C42)-0.5-F40</f>
        <v>31</v>
      </c>
      <c r="G53" s="9">
        <f>H40-0.5</f>
        <v>-0.5</v>
      </c>
      <c r="H53" s="9">
        <f>C40*C38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4">
        <v>4</v>
      </c>
      <c r="B54" s="3" t="str">
        <f>visible(E38, K54)</f>
        <v>وحدة علوية  قلاب / 2 قلاب</v>
      </c>
      <c r="C54" s="9">
        <f>C53+1</f>
        <v>6</v>
      </c>
      <c r="D54" s="9" t="s">
        <v>52</v>
      </c>
      <c r="E54" s="9" t="s">
        <v>56</v>
      </c>
      <c r="F54" s="9">
        <f ca="1">(I40/C42)-0.5</f>
        <v>34.5</v>
      </c>
      <c r="G54" s="9">
        <f>H40-0.7</f>
        <v>-0.7</v>
      </c>
      <c r="H54" s="9">
        <f>C38*D40</f>
        <v>0</v>
      </c>
      <c r="I54" s="9">
        <f>visible(materialNum(D54), K54)</f>
        <v>-1</v>
      </c>
      <c r="J54" s="9">
        <f>visible(engraving(I54), K54)</f>
        <v>0</v>
      </c>
      <c r="K54" s="9" t="b"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4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4">
        <v>5</v>
      </c>
      <c r="B56" s="3" t="str">
        <f>visible(E38, K56)</f>
        <v>وحدة علوية  قلاب / 2 قلاب</v>
      </c>
      <c r="C56" s="18">
        <f>C54+1</f>
        <v>7</v>
      </c>
      <c r="D56" s="18" t="str">
        <f ca="1">D44</f>
        <v>ظهر</v>
      </c>
      <c r="E56" s="18" t="s">
        <v>57</v>
      </c>
      <c r="F56" s="18">
        <f ca="1">I40-2</f>
        <v>68</v>
      </c>
      <c r="G56" s="18">
        <f>H40-2</f>
        <v>-2</v>
      </c>
      <c r="H56" s="18">
        <f>1*C38</f>
        <v>1</v>
      </c>
      <c r="I56" s="18">
        <f ca="1">visible(materialNum(D56), K56)</f>
        <v>2</v>
      </c>
      <c r="J56" s="18">
        <f ca="1">visible(engraving(I56), K56)</f>
        <v>2</v>
      </c>
      <c r="K56" s="18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4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4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4" t="s">
        <v>127</v>
      </c>
      <c r="C59" s="13">
        <v>1</v>
      </c>
      <c r="D59" s="21" t="s">
        <v>58</v>
      </c>
      <c r="E59" s="101" t="s">
        <v>44</v>
      </c>
      <c r="F59" s="102"/>
      <c r="G59" s="102"/>
      <c r="H59" s="103"/>
      <c r="I59" s="2" t="s">
        <v>29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31.2" x14ac:dyDescent="0.3">
      <c r="A60" s="34">
        <v>1</v>
      </c>
      <c r="C60" s="7" t="s">
        <v>12</v>
      </c>
      <c r="D60" s="7" t="s">
        <v>54</v>
      </c>
      <c r="E60" s="7" t="s">
        <v>18</v>
      </c>
      <c r="F60" s="7" t="s">
        <v>16</v>
      </c>
      <c r="G60" s="7" t="s">
        <v>111</v>
      </c>
      <c r="H60" s="7" t="s">
        <v>22</v>
      </c>
      <c r="I60" s="7" t="s">
        <v>3</v>
      </c>
      <c r="J60" s="7" t="s">
        <v>109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15.6" x14ac:dyDescent="0.3">
      <c r="A61" s="34">
        <v>1</v>
      </c>
      <c r="C61" s="8">
        <v>2</v>
      </c>
      <c r="D61" s="8"/>
      <c r="E61" s="8">
        <v>1</v>
      </c>
      <c r="F61" s="26" cm="1">
        <f t="array" aca="1" ref="F61" ca="1">defaultValue(F60,K59)</f>
        <v>3.5</v>
      </c>
      <c r="G61" s="26" cm="1">
        <f t="array" aca="1" ref="G61" ca="1">defaultValue(G60,K59)</f>
        <v>0</v>
      </c>
      <c r="H61" s="8"/>
      <c r="I61" s="26" cm="1">
        <f t="array" aca="1" ref="I61" ca="1">defaultValue(I60,K59)</f>
        <v>70</v>
      </c>
      <c r="J61" s="26" cm="1">
        <f t="array" aca="1" ref="J61" ca="1">defaultValue(J60,K59)</f>
        <v>30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4">
        <v>1</v>
      </c>
      <c r="C62" s="9" t="b">
        <f>C61=0</f>
        <v>0</v>
      </c>
      <c r="D62" s="9" t="b">
        <f>E61=0</f>
        <v>0</v>
      </c>
      <c r="E62" s="3" t="b">
        <f ca="1">_xlfn.XOR(I61&lt;=50,E61=1)</f>
        <v>1</v>
      </c>
      <c r="F62" s="117" t="b">
        <f ca="1">NOT(AND(F61&gt;0,G61&gt;0))</f>
        <v>1</v>
      </c>
      <c r="G62" s="114"/>
      <c r="H62" s="3" t="b">
        <f>_xlfn.XOR(H61&lt;=50,C63=2)</f>
        <v>0</v>
      </c>
      <c r="I62" s="44" t="s">
        <v>137</v>
      </c>
      <c r="J62" s="45" t="s">
        <v>138</v>
      </c>
      <c r="K62" s="7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24" x14ac:dyDescent="0.3">
      <c r="A63" s="34">
        <v>1</v>
      </c>
      <c r="C63" s="116">
        <f>C61+D61</f>
        <v>2</v>
      </c>
      <c r="D63" s="116"/>
      <c r="E63" s="7" t="s">
        <v>103</v>
      </c>
      <c r="F63" s="121" t="str">
        <f ca="1">IF(F62,"المقابض مظبوطة","مينفعش مقبض مخفي مع بيلت ان")</f>
        <v>المقابض مظبوطة</v>
      </c>
      <c r="G63" s="121"/>
      <c r="H63" s="32" t="str">
        <f>IF(H62,"عدد الدلف صحيح","عدد الدلف غير صحيح")</f>
        <v>عدد الدلف غير صحيح</v>
      </c>
      <c r="I63" s="44">
        <v>30</v>
      </c>
      <c r="J63" s="45">
        <v>4</v>
      </c>
      <c r="K63" s="7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x14ac:dyDescent="0.3">
      <c r="A64" s="34">
        <v>1</v>
      </c>
      <c r="C64" s="117" t="b">
        <f>C63&lt;=2</f>
        <v>1</v>
      </c>
      <c r="D64" s="117"/>
      <c r="E64" s="7">
        <v>0</v>
      </c>
      <c r="F64" s="8"/>
      <c r="G64" s="8"/>
      <c r="H64" s="8"/>
      <c r="I64" s="8"/>
      <c r="J64" s="8"/>
      <c r="K64" s="7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31.2" x14ac:dyDescent="0.3">
      <c r="A65" s="34">
        <v>1</v>
      </c>
      <c r="B65" s="1"/>
      <c r="C65" s="8"/>
      <c r="D65" s="26" t="str" cm="1">
        <f t="array" aca="1" ref="D65" ca="1">defaultValue(E65,K59)</f>
        <v>ظهر</v>
      </c>
      <c r="E65" s="7" t="s">
        <v>57</v>
      </c>
      <c r="F65" s="26" t="str" cm="1">
        <f t="array" aca="1" ref="F65" ca="1">defaultValue(G65,K59)</f>
        <v>يوفيلاك</v>
      </c>
      <c r="G65" s="7" t="s">
        <v>31</v>
      </c>
      <c r="H65" s="26" t="str" cm="1">
        <f t="array" aca="1" ref="H65" ca="1">defaultValue(I65,K59)</f>
        <v>HPL</v>
      </c>
      <c r="I65" s="7" t="s">
        <v>30</v>
      </c>
      <c r="J65" s="24" t="s">
        <v>108</v>
      </c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4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4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32</v>
      </c>
      <c r="J67" s="6" t="s">
        <v>172</v>
      </c>
      <c r="K67" s="6" t="s">
        <v>155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4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4">
        <v>3</v>
      </c>
      <c r="B69" s="3" t="str">
        <f>visible(E59, K69)</f>
        <v xml:space="preserve">وحدة علوية  تلبيسة دلفة /دلفتين </v>
      </c>
      <c r="C69" s="6">
        <v>1</v>
      </c>
      <c r="D69" s="6" t="str">
        <f ca="1">H65</f>
        <v>HPL</v>
      </c>
      <c r="E69" s="6" t="s">
        <v>48</v>
      </c>
      <c r="F69" s="6">
        <f>H61-3.6</f>
        <v>-3.6</v>
      </c>
      <c r="G69" s="6">
        <f ca="1">J61-E64</f>
        <v>30</v>
      </c>
      <c r="H69" s="6">
        <f>1*C59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4">
        <v>3</v>
      </c>
      <c r="B70" s="3" t="str">
        <f>visible(E59, K70)</f>
        <v xml:space="preserve">وحدة علوية  تلبيسة دلفة /دلفتين </v>
      </c>
      <c r="C70" s="6">
        <f t="shared" ref="C70:C73" si="2">C69+1</f>
        <v>2</v>
      </c>
      <c r="D70" s="6" t="str">
        <f ca="1">H65</f>
        <v>HPL</v>
      </c>
      <c r="E70" s="6" t="s">
        <v>10</v>
      </c>
      <c r="F70" s="6">
        <f>H61-3.6</f>
        <v>-3.6</v>
      </c>
      <c r="G70" s="6">
        <f ca="1">J61-G61-E64</f>
        <v>30</v>
      </c>
      <c r="H70" s="6">
        <f>1*C59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4">
        <v>3</v>
      </c>
      <c r="B71" s="3" t="str">
        <f>visible(E59, K71)</f>
        <v xml:space="preserve">وحدة علوية  تلبيسة دلفة /دلفتين </v>
      </c>
      <c r="C71" s="6">
        <f t="shared" si="2"/>
        <v>3</v>
      </c>
      <c r="D71" s="6" t="str">
        <f ca="1">H65</f>
        <v>HPL</v>
      </c>
      <c r="E71" s="6" t="s">
        <v>11</v>
      </c>
      <c r="F71" s="6">
        <f ca="1">I61</f>
        <v>70</v>
      </c>
      <c r="G71" s="6">
        <f ca="1">J61</f>
        <v>30</v>
      </c>
      <c r="H71" s="6">
        <f>2*C59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4">
        <v>3</v>
      </c>
      <c r="B72" s="3" t="str">
        <f>visible(E59, K72)</f>
        <v xml:space="preserve">وحدة علوية  تلبيسة دلفة /دلفتين </v>
      </c>
      <c r="C72" s="6">
        <f t="shared" si="2"/>
        <v>4</v>
      </c>
      <c r="D72" s="6" t="str">
        <f ca="1">H65</f>
        <v>HPL</v>
      </c>
      <c r="E72" s="6" t="s">
        <v>17</v>
      </c>
      <c r="F72" s="6">
        <f>H61-3.8</f>
        <v>-3.8</v>
      </c>
      <c r="G72" s="6">
        <f ca="1">J61-6-E64</f>
        <v>24</v>
      </c>
      <c r="H72" s="6">
        <f>E61*C59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4">
        <v>3</v>
      </c>
      <c r="B73" s="3" t="str">
        <f>visible(E59, K73)</f>
        <v xml:space="preserve">وحدة علوية  تلبيسة دلفة /دلفتين </v>
      </c>
      <c r="C73" s="6">
        <f t="shared" si="2"/>
        <v>5</v>
      </c>
      <c r="D73" s="6" t="str">
        <f ca="1">H65</f>
        <v>HPL</v>
      </c>
      <c r="E73" s="6" t="s">
        <v>23</v>
      </c>
      <c r="F73" s="6">
        <f ca="1">I61</f>
        <v>70</v>
      </c>
      <c r="G73" s="6">
        <f>I63</f>
        <v>30</v>
      </c>
      <c r="H73" s="6">
        <f>1*C59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4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4">
        <v>4</v>
      </c>
      <c r="B75" s="3" t="str">
        <f>visible(E59, K75)</f>
        <v xml:space="preserve">وحدة علوية  تلبيسة دلفة /دلفتين </v>
      </c>
      <c r="C75" s="9">
        <f>C73+1</f>
        <v>6</v>
      </c>
      <c r="D75" s="9" t="str">
        <f ca="1">F65</f>
        <v>يوفيلاك</v>
      </c>
      <c r="E75" s="9" t="s">
        <v>15</v>
      </c>
      <c r="F75" s="9">
        <f ca="1">I61-0.5-F61</f>
        <v>66</v>
      </c>
      <c r="G75" s="9">
        <f>(H61-I63-J63)/C61-0.5</f>
        <v>-17.5</v>
      </c>
      <c r="H75" s="9">
        <f>C61*C59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4">
        <v>4</v>
      </c>
      <c r="B76" s="3" t="str">
        <f>visible(E59, K76)</f>
        <v xml:space="preserve">وحدة علوية  تلبيسة دلفة /دلفتين </v>
      </c>
      <c r="C76" s="9">
        <f t="shared" ref="C76" si="3">C75+1</f>
        <v>7</v>
      </c>
      <c r="D76" s="9" t="str">
        <f ca="1">F65</f>
        <v>يوفيلاك</v>
      </c>
      <c r="E76" s="9" t="s">
        <v>24</v>
      </c>
      <c r="F76" s="9">
        <f ca="1">I61</f>
        <v>70</v>
      </c>
      <c r="G76" s="9">
        <f>J63</f>
        <v>4</v>
      </c>
      <c r="H76" s="9">
        <f>1*C59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4">
        <v>4</v>
      </c>
      <c r="B78" s="3" t="str">
        <f>visible(E59, K78)</f>
        <v xml:space="preserve">وحدة علوية  تلبيسة دلفة /دلفتين </v>
      </c>
      <c r="C78" s="9">
        <f>C76+1</f>
        <v>8</v>
      </c>
      <c r="D78" s="9" t="s">
        <v>52</v>
      </c>
      <c r="E78" s="9" t="s">
        <v>68</v>
      </c>
      <c r="F78" s="9">
        <f ca="1">I61-0.5</f>
        <v>69.5</v>
      </c>
      <c r="G78" s="9" t="e">
        <f>(H61-I63-J63)/D61-0.7</f>
        <v>#DIV/0!</v>
      </c>
      <c r="H78" s="9">
        <f>C59*D61</f>
        <v>0</v>
      </c>
      <c r="I78" s="9">
        <f>visible(materialNum(D78), K78)</f>
        <v>-1</v>
      </c>
      <c r="J78" s="9">
        <f>visible(engraving(I78), K78)</f>
        <v>0</v>
      </c>
      <c r="K78" s="9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4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4">
        <v>5</v>
      </c>
      <c r="B80" s="3" t="str">
        <f>visible(E59, K80)</f>
        <v xml:space="preserve">وحدة علوية  تلبيسة دلفة /دلفتين </v>
      </c>
      <c r="C80" s="18">
        <f>C78+1</f>
        <v>9</v>
      </c>
      <c r="D80" s="18" t="str">
        <f ca="1">D65</f>
        <v>ظهر</v>
      </c>
      <c r="E80" s="18" t="s">
        <v>57</v>
      </c>
      <c r="F80" s="18">
        <f ca="1">I61-2</f>
        <v>68</v>
      </c>
      <c r="G80" s="18">
        <f>H61-2</f>
        <v>-2</v>
      </c>
      <c r="H80" s="18">
        <f>1*C59</f>
        <v>1</v>
      </c>
      <c r="I80" s="18">
        <f ca="1">visible(materialNum(D80), K80)</f>
        <v>2</v>
      </c>
      <c r="J80" s="18">
        <f ca="1">visible(engraving(I80), K80)</f>
        <v>2</v>
      </c>
      <c r="K80" s="18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4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4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4" t="s">
        <v>132</v>
      </c>
      <c r="C83" s="13">
        <v>1</v>
      </c>
      <c r="D83" s="21" t="s">
        <v>58</v>
      </c>
      <c r="E83" s="101" t="s">
        <v>139</v>
      </c>
      <c r="F83" s="102"/>
      <c r="G83" s="102"/>
      <c r="H83" s="103"/>
      <c r="I83" s="2" t="s">
        <v>29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31.2" x14ac:dyDescent="0.3">
      <c r="A84" s="34">
        <v>1</v>
      </c>
      <c r="C84" s="7" t="s">
        <v>12</v>
      </c>
      <c r="D84" s="7" t="s">
        <v>54</v>
      </c>
      <c r="E84" s="7" t="s">
        <v>50</v>
      </c>
      <c r="F84" s="7" t="s">
        <v>16</v>
      </c>
      <c r="G84" s="7" t="s">
        <v>111</v>
      </c>
      <c r="H84" s="7" t="s">
        <v>22</v>
      </c>
      <c r="I84" s="7" t="s">
        <v>3</v>
      </c>
      <c r="J84" s="7" t="s">
        <v>109</v>
      </c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15.6" x14ac:dyDescent="0.3">
      <c r="A85" s="34">
        <v>1</v>
      </c>
      <c r="C85" s="8">
        <v>1</v>
      </c>
      <c r="D85" s="8">
        <v>0</v>
      </c>
      <c r="E85" s="8">
        <v>0</v>
      </c>
      <c r="F85" s="26" cm="1">
        <f t="array" aca="1" ref="F85" ca="1">defaultValue(F84,K83)</f>
        <v>3.5</v>
      </c>
      <c r="G85" s="26" cm="1">
        <f t="array" aca="1" ref="G85" ca="1">defaultValue(G84,K83)</f>
        <v>0</v>
      </c>
      <c r="H85" s="8"/>
      <c r="I85" s="26" cm="1">
        <f t="array" aca="1" ref="I85" ca="1">defaultValue(I84,K83)</f>
        <v>70</v>
      </c>
      <c r="J85" s="26" cm="1">
        <f t="array" aca="1" ref="J85" ca="1">defaultValue(J84,K83)</f>
        <v>30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4">
        <v>1</v>
      </c>
      <c r="C86" s="9" t="b">
        <f>C85=0</f>
        <v>0</v>
      </c>
      <c r="D86" s="9" t="b">
        <f>E85=0</f>
        <v>1</v>
      </c>
      <c r="E86" s="3" t="b">
        <f ca="1">_xlfn.XOR(I85&lt;=50,E85=1)</f>
        <v>0</v>
      </c>
      <c r="F86" s="117" t="b">
        <f ca="1">NOT(AND(F85&gt;0,G85&gt;0))</f>
        <v>1</v>
      </c>
      <c r="G86" s="114"/>
      <c r="H86" s="3" t="b">
        <f ca="1">_xlfn.XOR(I85&lt;=50,C87=2)</f>
        <v>0</v>
      </c>
      <c r="I86" s="44" t="s">
        <v>137</v>
      </c>
      <c r="J86" s="45" t="s">
        <v>138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24" x14ac:dyDescent="0.3">
      <c r="A87" s="34">
        <v>1</v>
      </c>
      <c r="C87" s="116">
        <f>C85+D85</f>
        <v>1</v>
      </c>
      <c r="D87" s="116"/>
      <c r="E87" s="7" t="s">
        <v>103</v>
      </c>
      <c r="F87" s="121" t="str">
        <f ca="1">IF(F86,"المقابض مظبوطة","مينفعش مقبض مخفي مع بيلت ان")</f>
        <v>المقابض مظبوطة</v>
      </c>
      <c r="G87" s="121"/>
      <c r="H87" s="32" t="str">
        <f ca="1">IF(H86,"عدد الدلف صحيح","عدد الدلف غير صحيح")</f>
        <v>عدد الدلف غير صحيح</v>
      </c>
      <c r="I87" s="44">
        <v>0</v>
      </c>
      <c r="J87" s="45">
        <v>44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x14ac:dyDescent="0.3">
      <c r="A88" s="34">
        <v>1</v>
      </c>
      <c r="C88" s="117" t="b">
        <f>C87&lt;=2</f>
        <v>1</v>
      </c>
      <c r="D88" s="117"/>
      <c r="E88" s="7">
        <v>0</v>
      </c>
      <c r="F88" s="8"/>
      <c r="G88" s="8"/>
      <c r="H88" s="8"/>
      <c r="I88" s="8"/>
      <c r="J88" s="8"/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31.2" x14ac:dyDescent="0.3">
      <c r="A89" s="34">
        <v>1</v>
      </c>
      <c r="B89" s="1"/>
      <c r="C89" s="8"/>
      <c r="D89" s="26" t="str" cm="1">
        <f t="array" aca="1" ref="D89" ca="1">defaultValue(E89,K83)</f>
        <v>ظهر</v>
      </c>
      <c r="E89" s="7" t="s">
        <v>57</v>
      </c>
      <c r="F89" s="26" t="str" cm="1">
        <f t="array" aca="1" ref="F89" ca="1">defaultValue(G89,K83)</f>
        <v>يوفيلاك</v>
      </c>
      <c r="G89" s="7" t="s">
        <v>31</v>
      </c>
      <c r="H89" s="26" t="str" cm="1">
        <f t="array" aca="1" ref="H89" ca="1">defaultValue(I89,K83)</f>
        <v>HPL</v>
      </c>
      <c r="I89" s="7" t="s">
        <v>30</v>
      </c>
      <c r="J89" s="24" t="s">
        <v>108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4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4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32</v>
      </c>
      <c r="J91" s="6" t="s">
        <v>172</v>
      </c>
      <c r="K91" s="6" t="s">
        <v>155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4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4">
        <v>3</v>
      </c>
      <c r="B93" s="3" t="str">
        <f>visible(E83, K93)</f>
        <v>وحدة علوية  تلبيسة دلفة /دلفتين قلاب</v>
      </c>
      <c r="C93" s="6">
        <v>1</v>
      </c>
      <c r="D93" s="6" t="str">
        <f ca="1">H89</f>
        <v>HPL</v>
      </c>
      <c r="E93" s="6" t="s">
        <v>48</v>
      </c>
      <c r="F93" s="6">
        <f>H85-3.6</f>
        <v>-3.6</v>
      </c>
      <c r="G93" s="6">
        <f ca="1">J85-E88</f>
        <v>30</v>
      </c>
      <c r="H93" s="6">
        <f>1*C83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4">
        <v>3</v>
      </c>
      <c r="B94" s="3" t="str">
        <f>visible(E83, K94)</f>
        <v>وحدة علوية  تلبيسة دلفة /دلفتين قلاب</v>
      </c>
      <c r="C94" s="6">
        <f t="shared" ref="C94:C97" si="4">C93+1</f>
        <v>2</v>
      </c>
      <c r="D94" s="6" t="str">
        <f ca="1">H89</f>
        <v>HPL</v>
      </c>
      <c r="E94" s="6" t="s">
        <v>10</v>
      </c>
      <c r="F94" s="6">
        <f>H85-3.6</f>
        <v>-3.6</v>
      </c>
      <c r="G94" s="6">
        <f ca="1">J85-G85-E88</f>
        <v>30</v>
      </c>
      <c r="H94" s="6">
        <f>1*C83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4">
        <v>3</v>
      </c>
      <c r="B95" s="3" t="str">
        <f>visible(E83, K95)</f>
        <v>وحدة علوية  تلبيسة دلفة /دلفتين قلاب</v>
      </c>
      <c r="C95" s="6">
        <f t="shared" si="4"/>
        <v>3</v>
      </c>
      <c r="D95" s="6" t="str">
        <f ca="1">H89</f>
        <v>HPL</v>
      </c>
      <c r="E95" s="6" t="s">
        <v>11</v>
      </c>
      <c r="F95" s="6">
        <f ca="1">I85</f>
        <v>70</v>
      </c>
      <c r="G95" s="6">
        <f ca="1">J85</f>
        <v>30</v>
      </c>
      <c r="H95" s="6">
        <f>2*C83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4">
        <v>3</v>
      </c>
      <c r="B96" s="3" t="str">
        <f>visible(E83, K96)</f>
        <v>وحدة علوية  تلبيسة دلفة /دلفتين قلاب</v>
      </c>
      <c r="C96" s="6">
        <f t="shared" si="4"/>
        <v>4</v>
      </c>
      <c r="D96" s="6" t="str">
        <f ca="1">H89</f>
        <v>HPL</v>
      </c>
      <c r="E96" s="6" t="s">
        <v>50</v>
      </c>
      <c r="F96" s="6">
        <f>H85-3.6</f>
        <v>-3.6</v>
      </c>
      <c r="G96" s="6">
        <f ca="1">J85-6-E88</f>
        <v>24</v>
      </c>
      <c r="H96" s="6">
        <f>E85*C83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4">
        <v>3</v>
      </c>
      <c r="B97" s="3" t="str">
        <f>visible(E83, K97)</f>
        <v>وحدة علوية  تلبيسة دلفة /دلفتين قلاب</v>
      </c>
      <c r="C97" s="6">
        <f t="shared" si="4"/>
        <v>5</v>
      </c>
      <c r="D97" s="6" t="str">
        <f ca="1">H89</f>
        <v>HPL</v>
      </c>
      <c r="E97" s="6" t="s">
        <v>23</v>
      </c>
      <c r="F97" s="6">
        <f ca="1">I85</f>
        <v>70</v>
      </c>
      <c r="G97" s="6">
        <f>I87</f>
        <v>0</v>
      </c>
      <c r="H97" s="6">
        <f>1*C83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4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4">
        <v>4</v>
      </c>
      <c r="B99" s="3" t="str">
        <f>visible(E83, K99)</f>
        <v>وحدة علوية  تلبيسة دلفة /دلفتين قلاب</v>
      </c>
      <c r="C99" s="9">
        <f>C97+1</f>
        <v>6</v>
      </c>
      <c r="D99" s="9" t="str">
        <f ca="1">F89</f>
        <v>يوفيلاك</v>
      </c>
      <c r="E99" s="9" t="s">
        <v>140</v>
      </c>
      <c r="F99" s="9">
        <f ca="1">(I85/C87)-0.5-F85</f>
        <v>66</v>
      </c>
      <c r="G99" s="9">
        <f>H85-0.5-I87-J87</f>
        <v>-44.5</v>
      </c>
      <c r="H99" s="9">
        <f>C85*C83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4">
        <v>4</v>
      </c>
      <c r="B100" s="3" t="str">
        <f>visible(E83, K100)</f>
        <v>وحدة علوية  تلبيسة دلفة /دلفتين قلاب</v>
      </c>
      <c r="C100" s="9">
        <f t="shared" ref="C100" si="5">C99+1</f>
        <v>7</v>
      </c>
      <c r="D100" s="9" t="str">
        <f ca="1">F89</f>
        <v>يوفيلاك</v>
      </c>
      <c r="E100" s="9" t="s">
        <v>24</v>
      </c>
      <c r="F100" s="9">
        <f ca="1">I85</f>
        <v>70</v>
      </c>
      <c r="G100" s="9">
        <f>J87</f>
        <v>44</v>
      </c>
      <c r="H100" s="9">
        <f>1*C83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4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4">
        <v>4</v>
      </c>
      <c r="B102" s="3" t="str">
        <f>visible(E83, K102)</f>
        <v>وحدة علوية  تلبيسة دلفة /دلفتين قلاب</v>
      </c>
      <c r="C102" s="9">
        <f>C100+1</f>
        <v>8</v>
      </c>
      <c r="D102" s="9" t="s">
        <v>52</v>
      </c>
      <c r="E102" s="9" t="s">
        <v>68</v>
      </c>
      <c r="F102" s="9">
        <f ca="1">(I85/C87)-0.5</f>
        <v>69.5</v>
      </c>
      <c r="G102" s="9">
        <f>H85-0.7-I87-J87</f>
        <v>-44.7</v>
      </c>
      <c r="H102" s="9">
        <f>C83*D85</f>
        <v>0</v>
      </c>
      <c r="I102" s="9">
        <f>visible(materialNum(D102), K102)</f>
        <v>-1</v>
      </c>
      <c r="J102" s="9">
        <f>visible(engraving(I102), K102)</f>
        <v>0</v>
      </c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4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4">
        <v>5</v>
      </c>
      <c r="B104" s="3" t="str">
        <f>visible(E83, K104)</f>
        <v>وحدة علوية  تلبيسة دلفة /دلفتين قلاب</v>
      </c>
      <c r="C104" s="18">
        <f>C102+1</f>
        <v>9</v>
      </c>
      <c r="D104" s="18" t="str">
        <f ca="1">D89</f>
        <v>ظهر</v>
      </c>
      <c r="E104" s="18" t="s">
        <v>57</v>
      </c>
      <c r="F104" s="18">
        <f ca="1">I85-2</f>
        <v>68</v>
      </c>
      <c r="G104" s="18">
        <f>H85-2</f>
        <v>-2</v>
      </c>
      <c r="H104" s="18">
        <f>1*C83</f>
        <v>1</v>
      </c>
      <c r="I104" s="18">
        <f ca="1">visible(materialNum(D104), K104)</f>
        <v>2</v>
      </c>
      <c r="J104" s="18">
        <f ca="1">visible(engraving(I104), K104)</f>
        <v>2</v>
      </c>
      <c r="K104" s="18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4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4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4" t="s">
        <v>128</v>
      </c>
      <c r="C107" s="13">
        <v>1</v>
      </c>
      <c r="D107" s="21" t="s">
        <v>58</v>
      </c>
      <c r="E107" s="101" t="s">
        <v>45</v>
      </c>
      <c r="F107" s="102"/>
      <c r="G107" s="102"/>
      <c r="H107" s="103"/>
      <c r="I107" s="2" t="s">
        <v>29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4">
        <v>1</v>
      </c>
      <c r="C108" s="7"/>
      <c r="D108" s="7" t="s">
        <v>18</v>
      </c>
      <c r="E108" s="7"/>
      <c r="F108" s="7" t="s">
        <v>16</v>
      </c>
      <c r="G108" s="7" t="s">
        <v>111</v>
      </c>
      <c r="H108" s="7" t="s">
        <v>22</v>
      </c>
      <c r="I108" s="7" t="s">
        <v>3</v>
      </c>
      <c r="J108" s="7" t="s">
        <v>109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15.6" x14ac:dyDescent="0.3">
      <c r="A109" s="34">
        <v>1</v>
      </c>
      <c r="C109" s="8"/>
      <c r="D109" s="8">
        <v>2</v>
      </c>
      <c r="E109" s="8"/>
      <c r="F109" s="26" cm="1">
        <f t="array" aca="1" ref="F109" ca="1">defaultValue(F108,K107)</f>
        <v>3.5</v>
      </c>
      <c r="G109" s="26" cm="1">
        <f t="array" aca="1" ref="G109" ca="1">defaultValue(G108,K107)</f>
        <v>0</v>
      </c>
      <c r="H109" s="8"/>
      <c r="I109" s="26" cm="1">
        <f t="array" aca="1" ref="I109" ca="1">defaultValue(I108,K107)</f>
        <v>70</v>
      </c>
      <c r="J109" s="26" cm="1">
        <f t="array" aca="1" ref="J109" ca="1">defaultValue(J108,K107)</f>
        <v>30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4">
        <v>1</v>
      </c>
      <c r="C110" s="8"/>
      <c r="D110" s="8"/>
      <c r="E110" s="8"/>
      <c r="F110" s="117" t="b">
        <f ca="1">NOT(AND(F109&gt;0,G109&gt;0))</f>
        <v>1</v>
      </c>
      <c r="G110" s="117"/>
      <c r="H110" s="8">
        <v>60</v>
      </c>
      <c r="I110" s="26" cm="1">
        <f t="array" aca="1" ref="I110" ca="1">defaultValue(I108,K107)</f>
        <v>70</v>
      </c>
      <c r="J110" s="26" cm="1">
        <f t="array" aca="1" ref="J110" ca="1">defaultValue(J108,K107)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4">
        <v>1</v>
      </c>
      <c r="C111" s="8"/>
      <c r="D111" s="8"/>
      <c r="E111" s="8"/>
      <c r="F111" s="120" t="str">
        <f ca="1">IF(F110,"المقابض مظبوطة","مينفعش مقبض مخفي مع بيلت ان")</f>
        <v>المقابض مظبوطة</v>
      </c>
      <c r="G111" s="120"/>
      <c r="H111" s="8"/>
      <c r="I111" s="8"/>
      <c r="J111" s="8"/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31.2" x14ac:dyDescent="0.3">
      <c r="A112" s="34">
        <v>1</v>
      </c>
      <c r="C112" s="8"/>
      <c r="D112" s="26" t="str" cm="1">
        <f t="array" aca="1" ref="D112" ca="1">defaultValue(E112,K107)</f>
        <v>ظهر</v>
      </c>
      <c r="E112" s="7" t="s">
        <v>57</v>
      </c>
      <c r="F112" s="26" t="str" cm="1">
        <f t="array" aca="1" ref="F112" ca="1">defaultValue(G112,K107)</f>
        <v>يوفيلاك</v>
      </c>
      <c r="G112" s="7" t="s">
        <v>31</v>
      </c>
      <c r="H112" s="26" t="str" cm="1">
        <f t="array" aca="1" ref="H112" ca="1">defaultValue(I112,K107)</f>
        <v>HPL</v>
      </c>
      <c r="I112" s="7" t="s">
        <v>30</v>
      </c>
      <c r="J112" s="24" t="s">
        <v>108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4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4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32</v>
      </c>
      <c r="J114" s="6" t="s">
        <v>172</v>
      </c>
      <c r="K114" s="6" t="s">
        <v>155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4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4">
        <v>3</v>
      </c>
      <c r="B116" s="3" t="str">
        <f>visible(E107, K116)</f>
        <v>وحدة علوية  زاوية 90</v>
      </c>
      <c r="C116" s="6">
        <v>1</v>
      </c>
      <c r="D116" s="6" t="str">
        <f ca="1">H112</f>
        <v>HPL</v>
      </c>
      <c r="E116" s="6" t="s">
        <v>48</v>
      </c>
      <c r="F116" s="6">
        <f>H109-1.8</f>
        <v>-1.8</v>
      </c>
      <c r="G116" s="6">
        <f>H110-1.8</f>
        <v>58.2</v>
      </c>
      <c r="H116" s="6">
        <f>1*C107</f>
        <v>1</v>
      </c>
      <c r="I116" s="6">
        <f t="shared" ref="I116:I121" ca="1" si="6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4">
        <v>3</v>
      </c>
      <c r="B117" s="3" t="str">
        <f>visible(E107, K117)</f>
        <v>وحدة علوية  زاوية 90</v>
      </c>
      <c r="C117" s="6">
        <f>C116+1</f>
        <v>2</v>
      </c>
      <c r="D117" s="6" t="str">
        <f ca="1">H112</f>
        <v>HPL</v>
      </c>
      <c r="E117" s="6" t="s">
        <v>10</v>
      </c>
      <c r="F117" s="6">
        <f>H109-1.8</f>
        <v>-1.8</v>
      </c>
      <c r="G117" s="6">
        <f>H110-1.8</f>
        <v>58.2</v>
      </c>
      <c r="H117" s="6">
        <f>1*C107</f>
        <v>1</v>
      </c>
      <c r="I117" s="6">
        <f t="shared" ca="1" si="6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4">
        <v>3</v>
      </c>
      <c r="B118" s="3" t="str">
        <f>visible(E107, K118)</f>
        <v>وحدة علوية  زاوية 90</v>
      </c>
      <c r="C118" s="6">
        <f>C117+1</f>
        <v>3</v>
      </c>
      <c r="D118" s="6" t="str">
        <f ca="1">H112</f>
        <v>HPL</v>
      </c>
      <c r="E118" s="6" t="s">
        <v>59</v>
      </c>
      <c r="F118" s="6">
        <f ca="1">I109</f>
        <v>70</v>
      </c>
      <c r="G118" s="6">
        <f ca="1">J109</f>
        <v>30</v>
      </c>
      <c r="H118" s="6">
        <f>1*C107</f>
        <v>1</v>
      </c>
      <c r="I118" s="6">
        <f t="shared" ca="1" si="6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4">
        <v>3</v>
      </c>
      <c r="B119" s="3" t="str">
        <f>visible(E107, K119)</f>
        <v>وحدة علوية  زاوية 90</v>
      </c>
      <c r="C119" s="6">
        <f>C118+1</f>
        <v>4</v>
      </c>
      <c r="D119" s="6" t="str">
        <f ca="1">H112</f>
        <v>HPL</v>
      </c>
      <c r="E119" s="6" t="s">
        <v>60</v>
      </c>
      <c r="F119" s="6">
        <f ca="1">I110</f>
        <v>70</v>
      </c>
      <c r="G119" s="6">
        <f ca="1">J110</f>
        <v>30</v>
      </c>
      <c r="H119" s="6">
        <f>1*C107</f>
        <v>1</v>
      </c>
      <c r="I119" s="6">
        <f t="shared" ca="1" si="6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4">
        <v>3</v>
      </c>
      <c r="B120" s="3" t="str">
        <f>visible(E107, K120)</f>
        <v>وحدة علوية  زاوية 90</v>
      </c>
      <c r="C120" s="6">
        <f>C119+1</f>
        <v>5</v>
      </c>
      <c r="D120" s="6" t="str">
        <f ca="1">H112</f>
        <v>HPL</v>
      </c>
      <c r="E120" s="6" t="s">
        <v>26</v>
      </c>
      <c r="F120" s="6">
        <f ca="1">I109</f>
        <v>70</v>
      </c>
      <c r="G120" s="6">
        <v>10</v>
      </c>
      <c r="H120" s="6">
        <f>1*C107</f>
        <v>1</v>
      </c>
      <c r="I120" s="6">
        <f t="shared" ca="1" si="6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4">
        <v>3</v>
      </c>
      <c r="B121" s="3" t="str">
        <f>visible(E107, K121)</f>
        <v>وحدة علوية  زاوية 90</v>
      </c>
      <c r="C121" s="6">
        <f t="shared" ref="C121" si="7">C120+1</f>
        <v>6</v>
      </c>
      <c r="D121" s="6" t="str">
        <f ca="1">H112</f>
        <v>HPL</v>
      </c>
      <c r="E121" s="6" t="s">
        <v>17</v>
      </c>
      <c r="F121" s="6">
        <f>H109-3.8</f>
        <v>-3.8</v>
      </c>
      <c r="G121" s="6">
        <f>H110-3.8</f>
        <v>56.2</v>
      </c>
      <c r="H121" s="6">
        <f>D109*C107</f>
        <v>2</v>
      </c>
      <c r="I121" s="6">
        <f t="shared" ca="1" si="6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4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4">
        <v>4</v>
      </c>
      <c r="B123" s="3" t="str">
        <f>visible(E107, K123)</f>
        <v>وحدة علوية  زاوية 90</v>
      </c>
      <c r="C123" s="9">
        <f>C121+1</f>
        <v>7</v>
      </c>
      <c r="D123" s="9" t="str">
        <f ca="1">F112</f>
        <v>يوفيلاك</v>
      </c>
      <c r="E123" s="9" t="s">
        <v>27</v>
      </c>
      <c r="F123" s="9">
        <f ca="1">I109-0.5-F109</f>
        <v>66</v>
      </c>
      <c r="G123" s="9">
        <f ca="1">H109-J109-3</f>
        <v>-33</v>
      </c>
      <c r="H123" s="9">
        <f>1*C107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4">
        <v>4</v>
      </c>
      <c r="B124" s="3" t="str">
        <f>visible(E107, K124)</f>
        <v>وحدة علوية  زاوية 90</v>
      </c>
      <c r="C124" s="9">
        <f t="shared" ref="C124" si="8">C123+1</f>
        <v>8</v>
      </c>
      <c r="D124" s="9" t="str">
        <f ca="1">F112</f>
        <v>يوفيلاك</v>
      </c>
      <c r="E124" s="9" t="s">
        <v>40</v>
      </c>
      <c r="F124" s="9">
        <f ca="1">I110-0.5-F109</f>
        <v>66</v>
      </c>
      <c r="G124" s="9">
        <f ca="1">H110-J110-3</f>
        <v>27</v>
      </c>
      <c r="H124" s="9">
        <f>1*C107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4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4">
        <v>4</v>
      </c>
      <c r="B126" s="3" t="str">
        <f>visible(E107, K126)</f>
        <v>وحدة علوية  زاوية 90</v>
      </c>
      <c r="C126" s="9">
        <f>C124+1</f>
        <v>9</v>
      </c>
      <c r="D126" s="9" t="s">
        <v>52</v>
      </c>
      <c r="E126" s="9" t="s">
        <v>68</v>
      </c>
      <c r="F126" s="9">
        <f ca="1">I109-0.5</f>
        <v>69.5</v>
      </c>
      <c r="G126" s="9">
        <f ca="1">H109-J109-3.3</f>
        <v>-33.299999999999997</v>
      </c>
      <c r="H126" s="9">
        <f>C107*1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4">
        <v>4</v>
      </c>
      <c r="B127" s="3" t="str">
        <f>visible(E107, K127)</f>
        <v>وحدة علوية  زاوية 90</v>
      </c>
      <c r="C127" s="9">
        <f>C126+1</f>
        <v>10</v>
      </c>
      <c r="D127" s="9" t="s">
        <v>52</v>
      </c>
      <c r="E127" s="9" t="s">
        <v>68</v>
      </c>
      <c r="F127" s="9">
        <f ca="1">I110-0.5</f>
        <v>69.5</v>
      </c>
      <c r="G127" s="9">
        <f ca="1">H109-J109-3.3</f>
        <v>-33.299999999999997</v>
      </c>
      <c r="H127" s="9">
        <f>C107*1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4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4">
        <v>5</v>
      </c>
      <c r="B129" s="3" t="str">
        <f>visible(E107, K129)</f>
        <v>وحدة علوية  زاوية 90</v>
      </c>
      <c r="C129" s="18">
        <f>C127+1</f>
        <v>11</v>
      </c>
      <c r="D129" s="18" t="str">
        <f ca="1">D112</f>
        <v>ظهر</v>
      </c>
      <c r="E129" s="18" t="s">
        <v>104</v>
      </c>
      <c r="F129" s="18">
        <f ca="1">I109-2</f>
        <v>68</v>
      </c>
      <c r="G129" s="18">
        <f>H109-1</f>
        <v>-1</v>
      </c>
      <c r="H129" s="18">
        <f>1*C107</f>
        <v>1</v>
      </c>
      <c r="I129" s="18">
        <f ca="1">visible(materialNum(D129), K129)</f>
        <v>2</v>
      </c>
      <c r="J129" s="18">
        <f ca="1">visible(engraving(I129), K129)</f>
        <v>2</v>
      </c>
      <c r="K129" s="18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4">
        <v>5</v>
      </c>
      <c r="B130" s="3" t="str">
        <f>visible(E107, K130)</f>
        <v>وحدة علوية  زاوية 90</v>
      </c>
      <c r="C130" s="18">
        <f>C129+1</f>
        <v>12</v>
      </c>
      <c r="D130" s="18" t="str">
        <f ca="1">D112</f>
        <v>ظهر</v>
      </c>
      <c r="E130" s="18" t="s">
        <v>105</v>
      </c>
      <c r="F130" s="18">
        <f ca="1">I110-2</f>
        <v>68</v>
      </c>
      <c r="G130" s="18">
        <f>H110-1</f>
        <v>59</v>
      </c>
      <c r="H130" s="18">
        <f>1*C107</f>
        <v>1</v>
      </c>
      <c r="I130" s="18">
        <f ca="1">visible(materialNum(D130), K130)</f>
        <v>2</v>
      </c>
      <c r="J130" s="18">
        <f ca="1">visible(engraving(I130), K130)</f>
        <v>2</v>
      </c>
      <c r="K130" s="18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4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4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4" t="s">
        <v>129</v>
      </c>
      <c r="C133" s="13">
        <v>1</v>
      </c>
      <c r="D133" s="21" t="s">
        <v>58</v>
      </c>
      <c r="E133" s="101" t="s">
        <v>46</v>
      </c>
      <c r="F133" s="102"/>
      <c r="G133" s="102"/>
      <c r="H133" s="103"/>
      <c r="I133" s="2" t="s">
        <v>29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4">
        <v>1</v>
      </c>
      <c r="C134" s="7"/>
      <c r="D134" s="7" t="s">
        <v>18</v>
      </c>
      <c r="E134" s="7"/>
      <c r="F134" s="7" t="s">
        <v>16</v>
      </c>
      <c r="G134" s="7" t="s">
        <v>111</v>
      </c>
      <c r="H134" s="7" t="s">
        <v>22</v>
      </c>
      <c r="I134" s="7" t="s">
        <v>3</v>
      </c>
      <c r="J134" s="7" t="s">
        <v>109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15.6" x14ac:dyDescent="0.3">
      <c r="A135" s="34">
        <v>1</v>
      </c>
      <c r="C135" s="8"/>
      <c r="D135" s="8">
        <v>1</v>
      </c>
      <c r="E135" s="8"/>
      <c r="F135" s="26" cm="1">
        <f t="array" aca="1" ref="F135" ca="1">defaultValue(F134,K133)</f>
        <v>3.5</v>
      </c>
      <c r="G135" s="26" cm="1">
        <f t="array" aca="1" ref="G135" ca="1">defaultValue(G134,K133)</f>
        <v>0</v>
      </c>
      <c r="H135" s="8"/>
      <c r="I135" s="26" cm="1">
        <f t="array" aca="1" ref="I135" ca="1">defaultValue(I134,K133)</f>
        <v>70</v>
      </c>
      <c r="J135" s="26" cm="1">
        <f t="array" aca="1" ref="J135" ca="1">defaultValue(J134,K133)</f>
        <v>30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4">
        <v>1</v>
      </c>
      <c r="C136" s="8"/>
      <c r="D136" s="8"/>
      <c r="E136" s="8"/>
      <c r="F136" s="117" t="b">
        <f ca="1">NOT(AND(F135&gt;0,G135&gt;0))</f>
        <v>1</v>
      </c>
      <c r="G136" s="117"/>
      <c r="H136" s="8"/>
      <c r="I136" s="26" cm="1">
        <f t="array" aca="1" ref="I136" ca="1">defaultValue(I134,K133)</f>
        <v>70</v>
      </c>
      <c r="J136" s="26" cm="1">
        <f t="array" aca="1" ref="J136" ca="1">defaultValue(J134,K133)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4">
        <v>1</v>
      </c>
      <c r="C137" s="8"/>
      <c r="D137" s="8"/>
      <c r="E137" s="8"/>
      <c r="F137" s="120" t="str">
        <f ca="1">IF(F136,"المقابض مظبوطة","مينفعش مقبض مخفي مع بيلت ان")</f>
        <v>المقابض مظبوطة</v>
      </c>
      <c r="G137" s="120"/>
      <c r="H137" s="8"/>
      <c r="I137" s="8"/>
      <c r="J137" s="8"/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31.2" x14ac:dyDescent="0.3">
      <c r="A138" s="34">
        <v>1</v>
      </c>
      <c r="C138" s="8"/>
      <c r="D138" s="26" t="str" cm="1">
        <f t="array" aca="1" ref="D138" ca="1">defaultValue(E138,K133)</f>
        <v>ظهر</v>
      </c>
      <c r="E138" s="7" t="s">
        <v>57</v>
      </c>
      <c r="F138" s="26" t="str" cm="1">
        <f t="array" aca="1" ref="F138" ca="1">defaultValue(G138,K133)</f>
        <v>يوفيلاك</v>
      </c>
      <c r="G138" s="7" t="s">
        <v>31</v>
      </c>
      <c r="H138" s="26" t="str" cm="1">
        <f t="array" aca="1" ref="H138" ca="1">defaultValue(I138,K133)</f>
        <v>HPL</v>
      </c>
      <c r="I138" s="7" t="s">
        <v>30</v>
      </c>
      <c r="J138" s="24" t="s">
        <v>108</v>
      </c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4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4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32</v>
      </c>
      <c r="J140" s="6" t="s">
        <v>172</v>
      </c>
      <c r="K140" s="6" t="s">
        <v>155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4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4">
        <v>3</v>
      </c>
      <c r="B142" s="3" t="str">
        <f>visible(E133, K142)</f>
        <v>وحدة علوية  ركنة 45</v>
      </c>
      <c r="C142" s="6">
        <v>1</v>
      </c>
      <c r="D142" s="6" t="str">
        <f ca="1">H138</f>
        <v>HPL</v>
      </c>
      <c r="E142" s="6" t="s">
        <v>48</v>
      </c>
      <c r="F142" s="6">
        <f>H135-1.8</f>
        <v>-1.8</v>
      </c>
      <c r="G142" s="6">
        <f>H136-1.8</f>
        <v>-1.8</v>
      </c>
      <c r="H142" s="6">
        <f>1*C133</f>
        <v>1</v>
      </c>
      <c r="I142" s="6">
        <f t="shared" ref="I142:I147" ca="1" si="9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4">
        <v>3</v>
      </c>
      <c r="B143" s="3" t="str">
        <f>visible(E133, K143)</f>
        <v>وحدة علوية  ركنة 45</v>
      </c>
      <c r="C143" s="6">
        <f>C142+1</f>
        <v>2</v>
      </c>
      <c r="D143" s="6" t="str">
        <f ca="1">H138</f>
        <v>HPL</v>
      </c>
      <c r="E143" s="6" t="s">
        <v>10</v>
      </c>
      <c r="F143" s="6">
        <f>H135-1.8</f>
        <v>-1.8</v>
      </c>
      <c r="G143" s="6">
        <f>H136-1.8</f>
        <v>-1.8</v>
      </c>
      <c r="H143" s="6">
        <f>1*C133</f>
        <v>1</v>
      </c>
      <c r="I143" s="6">
        <f t="shared" ca="1" si="9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4">
        <v>3</v>
      </c>
      <c r="B144" s="3" t="str">
        <f>visible(E133, K144)</f>
        <v>وحدة علوية  ركنة 45</v>
      </c>
      <c r="C144" s="6">
        <f>C143+1</f>
        <v>3</v>
      </c>
      <c r="D144" s="6" t="str">
        <f ca="1">H138</f>
        <v>HPL</v>
      </c>
      <c r="E144" s="6" t="s">
        <v>59</v>
      </c>
      <c r="F144" s="6">
        <f ca="1">I135</f>
        <v>70</v>
      </c>
      <c r="G144" s="6">
        <f ca="1">J135</f>
        <v>30</v>
      </c>
      <c r="H144" s="6">
        <f>1*C133</f>
        <v>1</v>
      </c>
      <c r="I144" s="6">
        <f t="shared" ca="1" si="9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4">
        <v>3</v>
      </c>
      <c r="B145" s="3" t="str">
        <f>visible(E133, K145)</f>
        <v>وحدة علوية  ركنة 45</v>
      </c>
      <c r="C145" s="6">
        <f>C144+1</f>
        <v>4</v>
      </c>
      <c r="D145" s="6" t="str">
        <f ca="1">H138</f>
        <v>HPL</v>
      </c>
      <c r="E145" s="6" t="s">
        <v>60</v>
      </c>
      <c r="F145" s="6">
        <f ca="1">I136</f>
        <v>70</v>
      </c>
      <c r="G145" s="6">
        <f ca="1">J136</f>
        <v>30</v>
      </c>
      <c r="H145" s="6">
        <f>1*C133</f>
        <v>1</v>
      </c>
      <c r="I145" s="6">
        <f t="shared" ca="1" si="9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4">
        <v>3</v>
      </c>
      <c r="B146" s="3" t="str">
        <f>visible(E133, K146)</f>
        <v>وحدة علوية  ركنة 45</v>
      </c>
      <c r="C146" s="6">
        <f>C145+1</f>
        <v>5</v>
      </c>
      <c r="D146" s="6" t="str">
        <f ca="1">H138</f>
        <v>HPL</v>
      </c>
      <c r="E146" s="6" t="s">
        <v>26</v>
      </c>
      <c r="F146" s="6">
        <f ca="1">I135</f>
        <v>70</v>
      </c>
      <c r="G146" s="6">
        <v>10</v>
      </c>
      <c r="H146" s="6">
        <f>1*C133</f>
        <v>1</v>
      </c>
      <c r="I146" s="6">
        <f t="shared" ca="1" si="9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4">
        <v>3</v>
      </c>
      <c r="B147" s="3" t="str">
        <f>visible(E133, K147)</f>
        <v>وحدة علوية  ركنة 45</v>
      </c>
      <c r="C147" s="6">
        <f t="shared" ref="C147" si="10">C146+1</f>
        <v>6</v>
      </c>
      <c r="D147" s="6" t="str">
        <f ca="1">H138</f>
        <v>HPL</v>
      </c>
      <c r="E147" s="6" t="s">
        <v>17</v>
      </c>
      <c r="F147" s="6">
        <f>H135-3.8</f>
        <v>-3.8</v>
      </c>
      <c r="G147" s="6">
        <f>H136-3.8</f>
        <v>-3.8</v>
      </c>
      <c r="H147" s="6">
        <f>D135*C133</f>
        <v>1</v>
      </c>
      <c r="I147" s="6">
        <f t="shared" ca="1" si="9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4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4">
        <v>4</v>
      </c>
      <c r="B149" s="3" t="str">
        <f>visible(E133, K149)</f>
        <v>وحدة علوية  ركنة 45</v>
      </c>
      <c r="C149" s="9">
        <f>C147+1</f>
        <v>7</v>
      </c>
      <c r="D149" s="9" t="str">
        <f ca="1">F138</f>
        <v>يوفيلاك</v>
      </c>
      <c r="E149" s="9" t="s">
        <v>27</v>
      </c>
      <c r="F149" s="9">
        <f ca="1">I135-0.5-F135</f>
        <v>66</v>
      </c>
      <c r="G149" s="16">
        <f ca="1">(SQRT((H135-J135)^2+(H136-J136)^2))-2</f>
        <v>40.426406871192853</v>
      </c>
      <c r="H149" s="9">
        <f>1*C133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4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4">
        <v>5</v>
      </c>
      <c r="B151" s="3" t="str">
        <f>visible(E133, K151)</f>
        <v>وحدة علوية  ركنة 45</v>
      </c>
      <c r="C151" s="18">
        <f>C149+1</f>
        <v>8</v>
      </c>
      <c r="D151" s="18" t="str">
        <f ca="1">D138</f>
        <v>ظهر</v>
      </c>
      <c r="E151" s="18" t="s">
        <v>57</v>
      </c>
      <c r="F151" s="18">
        <f ca="1">I135-2</f>
        <v>68</v>
      </c>
      <c r="G151" s="18">
        <f>H135-1</f>
        <v>-1</v>
      </c>
      <c r="H151" s="18">
        <f>1*C133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4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4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4" t="s">
        <v>130</v>
      </c>
      <c r="C154" s="13">
        <v>1</v>
      </c>
      <c r="D154" s="21" t="s">
        <v>58</v>
      </c>
      <c r="E154" s="101" t="s">
        <v>106</v>
      </c>
      <c r="F154" s="102"/>
      <c r="G154" s="102"/>
      <c r="H154" s="103"/>
      <c r="I154" s="2" t="s">
        <v>29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31.2" x14ac:dyDescent="0.3">
      <c r="A155" s="34">
        <v>1</v>
      </c>
      <c r="C155" s="7" t="s">
        <v>53</v>
      </c>
      <c r="D155" s="7" t="s">
        <v>54</v>
      </c>
      <c r="E155" s="17" t="s">
        <v>18</v>
      </c>
      <c r="F155" s="7" t="s">
        <v>16</v>
      </c>
      <c r="G155" s="7" t="s">
        <v>111</v>
      </c>
      <c r="H155" s="7" t="s">
        <v>22</v>
      </c>
      <c r="I155" s="7" t="s">
        <v>3</v>
      </c>
      <c r="J155" s="7" t="s">
        <v>109</v>
      </c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15.6" x14ac:dyDescent="0.3">
      <c r="A156" s="34">
        <v>1</v>
      </c>
      <c r="C156" s="8">
        <v>1</v>
      </c>
      <c r="D156" s="8">
        <v>0</v>
      </c>
      <c r="E156" s="8">
        <v>2</v>
      </c>
      <c r="F156" s="26" cm="1">
        <f t="array" aca="1" ref="F156" ca="1">defaultValue(F155,K154)</f>
        <v>3.5</v>
      </c>
      <c r="G156" s="26" cm="1">
        <f t="array" aca="1" ref="G156" ca="1">defaultValue(G155,K154)</f>
        <v>0</v>
      </c>
      <c r="H156" s="8"/>
      <c r="I156" s="26" cm="1">
        <f t="array" aca="1" ref="I156" ca="1">defaultValue(I155,K154)</f>
        <v>70</v>
      </c>
      <c r="J156" s="26" cm="1">
        <f t="array" aca="1" ref="J156" ca="1">defaultValue(J155,K154)</f>
        <v>30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4">
        <v>1</v>
      </c>
      <c r="C157" s="9" t="b">
        <f>C156=0</f>
        <v>0</v>
      </c>
      <c r="D157" s="9" t="b">
        <f>D156=0</f>
        <v>1</v>
      </c>
      <c r="E157" s="7" t="s">
        <v>103</v>
      </c>
      <c r="F157" s="6" t="b">
        <f ca="1">NOT(AND(F156&gt;0,G156&gt;0))</f>
        <v>1</v>
      </c>
      <c r="G157" s="8"/>
      <c r="H157" s="6" t="b">
        <f>_xlfn.XOR(H156&lt;=50,C158=2)</f>
        <v>1</v>
      </c>
      <c r="I157" s="40"/>
      <c r="J157" s="7" t="s">
        <v>107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28.8" x14ac:dyDescent="0.3">
      <c r="A158" s="34">
        <v>1</v>
      </c>
      <c r="C158" s="112">
        <f>C156+D156</f>
        <v>1</v>
      </c>
      <c r="D158" s="113"/>
      <c r="E158" s="7">
        <v>0</v>
      </c>
      <c r="F158" s="6" t="str">
        <f ca="1">IF(F157,"المقابض مظبوطة","مينفعش مقبض مخفي مع بيلت ان")</f>
        <v>المقابض مظبوطة</v>
      </c>
      <c r="G158" s="8"/>
      <c r="H158" s="6" t="str">
        <f>IF(H157,"عدد الدلف صحيح","عدد الدلف غير صحيح")</f>
        <v>عدد الدلف صحيح</v>
      </c>
      <c r="I158" s="8"/>
      <c r="J158" s="8">
        <v>32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15.6" x14ac:dyDescent="0.3">
      <c r="A159" s="34">
        <v>1</v>
      </c>
      <c r="C159" s="114" t="b">
        <f>C158&lt;=2</f>
        <v>1</v>
      </c>
      <c r="D159" s="115"/>
      <c r="E159" s="8"/>
      <c r="F159" s="8"/>
      <c r="G159" s="8"/>
      <c r="H159" s="8"/>
      <c r="I159" s="8"/>
      <c r="J159" s="8"/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31.2" x14ac:dyDescent="0.3">
      <c r="A160" s="34">
        <v>1</v>
      </c>
      <c r="C160" s="8"/>
      <c r="D160" s="26" t="str" cm="1">
        <f t="array" aca="1" ref="D160" ca="1">defaultValue(E160,K154)</f>
        <v>ظهر</v>
      </c>
      <c r="E160" s="7" t="s">
        <v>57</v>
      </c>
      <c r="F160" s="26" t="str" cm="1">
        <f t="array" aca="1" ref="F160" ca="1">defaultValue(G160,K154)</f>
        <v>يوفيلاك</v>
      </c>
      <c r="G160" s="7" t="s">
        <v>31</v>
      </c>
      <c r="H160" s="26" t="str" cm="1">
        <f t="array" aca="1" ref="H160" ca="1">defaultValue(I160,K154)</f>
        <v>HPL</v>
      </c>
      <c r="I160" s="7" t="s">
        <v>30</v>
      </c>
      <c r="J160" s="24" t="s">
        <v>108</v>
      </c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4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4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32</v>
      </c>
      <c r="J162" s="6" t="s">
        <v>172</v>
      </c>
      <c r="K162" s="6" t="s">
        <v>155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4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4">
        <v>3</v>
      </c>
      <c r="B164" s="3" t="str">
        <f>visible(E154, K164)</f>
        <v xml:space="preserve">وحدة علوية ميكروويف دلفة /دلفتين </v>
      </c>
      <c r="C164" s="6">
        <v>1</v>
      </c>
      <c r="D164" s="6" t="str">
        <f ca="1">H160</f>
        <v>HPL</v>
      </c>
      <c r="E164" s="6" t="s">
        <v>48</v>
      </c>
      <c r="F164" s="6">
        <f>H156-3.6</f>
        <v>-3.6</v>
      </c>
      <c r="G164" s="6">
        <f ca="1">J156-E158</f>
        <v>30</v>
      </c>
      <c r="H164" s="6">
        <f>1*C154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4">
        <v>3</v>
      </c>
      <c r="B165" s="3" t="str">
        <f>visible(E154, K165)</f>
        <v xml:space="preserve">وحدة علوية ميكروويف دلفة /دلفتين </v>
      </c>
      <c r="C165" s="6">
        <f>C164+1</f>
        <v>2</v>
      </c>
      <c r="D165" s="6" t="str">
        <f ca="1">H160</f>
        <v>HPL</v>
      </c>
      <c r="E165" s="6" t="s">
        <v>10</v>
      </c>
      <c r="F165" s="6">
        <f>H156-3.6</f>
        <v>-3.6</v>
      </c>
      <c r="G165" s="6">
        <f ca="1">40-G156-E158</f>
        <v>40</v>
      </c>
      <c r="H165" s="6">
        <f>1*C154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4">
        <v>3</v>
      </c>
      <c r="B166" s="3" t="str">
        <f>visible(E154, K166)</f>
        <v xml:space="preserve">وحدة علوية ميكروويف دلفة /دلفتين </v>
      </c>
      <c r="C166" s="6">
        <f t="shared" ref="C166:C168" si="11">C165+1</f>
        <v>3</v>
      </c>
      <c r="D166" s="6" t="str">
        <f ca="1">H160</f>
        <v>HPL</v>
      </c>
      <c r="E166" s="6" t="s">
        <v>11</v>
      </c>
      <c r="F166" s="6">
        <f ca="1">I156</f>
        <v>70</v>
      </c>
      <c r="G166" s="6">
        <f ca="1">J156</f>
        <v>30</v>
      </c>
      <c r="H166" s="6">
        <f>2*C154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4">
        <v>3</v>
      </c>
      <c r="B167" s="3" t="str">
        <f>visible(E154, K167)</f>
        <v xml:space="preserve">وحدة علوية ميكروويف دلفة /دلفتين </v>
      </c>
      <c r="C167" s="6">
        <f t="shared" si="11"/>
        <v>4</v>
      </c>
      <c r="D167" s="6" t="str">
        <f ca="1">H160</f>
        <v>HPL</v>
      </c>
      <c r="E167" s="6" t="s">
        <v>17</v>
      </c>
      <c r="F167" s="6">
        <f>H156-3.8</f>
        <v>-3.8</v>
      </c>
      <c r="G167" s="6">
        <f ca="1">J156-5-E158</f>
        <v>25</v>
      </c>
      <c r="H167" s="6">
        <f>E156*C154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4">
        <v>3</v>
      </c>
      <c r="B168" s="3" t="str">
        <f>visible(E154, K168)</f>
        <v xml:space="preserve">وحدة علوية ميكروويف دلفة /دلفتين </v>
      </c>
      <c r="C168" s="6">
        <f t="shared" si="11"/>
        <v>5</v>
      </c>
      <c r="D168" s="6" t="str">
        <f ca="1">H160</f>
        <v>HPL</v>
      </c>
      <c r="E168" s="6" t="s">
        <v>50</v>
      </c>
      <c r="F168" s="6">
        <f>H156-3.6</f>
        <v>-3.6</v>
      </c>
      <c r="G168" s="6">
        <f ca="1">J156-G156-E158</f>
        <v>30</v>
      </c>
      <c r="H168" s="6">
        <f>1*C154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4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4">
        <v>4</v>
      </c>
      <c r="B170" s="3" t="str">
        <f>visible(E154, K170)</f>
        <v xml:space="preserve">وحدة علوية ميكروويف دلفة /دلفتين </v>
      </c>
      <c r="C170" s="9">
        <f>C168+1</f>
        <v>6</v>
      </c>
      <c r="D170" s="9" t="str">
        <f ca="1">F160</f>
        <v>يوفيلاك</v>
      </c>
      <c r="E170" s="9" t="s">
        <v>51</v>
      </c>
      <c r="F170" s="9">
        <f ca="1">IF(C157,"",I156-0.5-F156-J158)</f>
        <v>34</v>
      </c>
      <c r="G170" s="9">
        <f>IF(C157,"",(H156/C158)-0.5)</f>
        <v>-0.5</v>
      </c>
      <c r="H170" s="9">
        <f>C156*C154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4">
        <v>4</v>
      </c>
      <c r="B171" s="3" t="str">
        <f>visible(E154, K171)</f>
        <v xml:space="preserve">وحدة علوية ميكروويف دلفة /دلفتين </v>
      </c>
      <c r="C171" s="9">
        <f>C170+1</f>
        <v>7</v>
      </c>
      <c r="D171" s="9" t="s">
        <v>52</v>
      </c>
      <c r="E171" s="9" t="s">
        <v>68</v>
      </c>
      <c r="F171" s="9">
        <f ca="1">I156-0.5-J158</f>
        <v>37.5</v>
      </c>
      <c r="G171" s="9">
        <f>(H156/C158)-0.7</f>
        <v>-0.7</v>
      </c>
      <c r="H171" s="9">
        <f>C154*D156</f>
        <v>0</v>
      </c>
      <c r="I171" s="9">
        <f>visible(materialNum(D171), K171)</f>
        <v>-1</v>
      </c>
      <c r="J171" s="9">
        <f>visible(engraving(I171), K171)</f>
        <v>0</v>
      </c>
      <c r="K171" s="9" t="b">
        <v>1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4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4">
        <v>5</v>
      </c>
      <c r="B173" s="3" t="str">
        <f>visible(E154, K173)</f>
        <v xml:space="preserve">وحدة علوية ميكروويف دلفة /دلفتين </v>
      </c>
      <c r="C173" s="18">
        <f>C171+1</f>
        <v>8</v>
      </c>
      <c r="D173" s="18" t="str">
        <f ca="1">D160</f>
        <v>ظهر</v>
      </c>
      <c r="E173" s="18" t="s">
        <v>57</v>
      </c>
      <c r="F173" s="18">
        <f ca="1">I156-2</f>
        <v>68</v>
      </c>
      <c r="G173" s="18">
        <f>H156-2</f>
        <v>-2</v>
      </c>
      <c r="H173" s="18">
        <f>1*C154</f>
        <v>1</v>
      </c>
      <c r="I173" s="18">
        <f ca="1">visible(materialNum(D173), K173)</f>
        <v>2</v>
      </c>
      <c r="J173" s="18">
        <f ca="1">visible(engraving(I173), K173)</f>
        <v>2</v>
      </c>
      <c r="K173" s="18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4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4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88:D88"/>
    <mergeCell ref="C63:D63"/>
    <mergeCell ref="F63:G63"/>
    <mergeCell ref="E154:H154"/>
    <mergeCell ref="C42:D42"/>
    <mergeCell ref="C43:D43"/>
    <mergeCell ref="C64:D64"/>
    <mergeCell ref="E107:H107"/>
    <mergeCell ref="F110:G110"/>
    <mergeCell ref="F111:G111"/>
    <mergeCell ref="E133:H133"/>
    <mergeCell ref="F136:G136"/>
    <mergeCell ref="F137:G137"/>
    <mergeCell ref="E83:H83"/>
    <mergeCell ref="F86:G86"/>
    <mergeCell ref="C87:D87"/>
    <mergeCell ref="F87:G87"/>
    <mergeCell ref="C4:N4"/>
    <mergeCell ref="C7:N7"/>
    <mergeCell ref="C2:K2"/>
    <mergeCell ref="C158:D158"/>
    <mergeCell ref="C159:D159"/>
    <mergeCell ref="C21:D21"/>
    <mergeCell ref="F20:G20"/>
    <mergeCell ref="F21:G21"/>
    <mergeCell ref="H21:J21"/>
    <mergeCell ref="C22:D22"/>
    <mergeCell ref="E17:H17"/>
    <mergeCell ref="E38:H38"/>
    <mergeCell ref="E59:H59"/>
    <mergeCell ref="F41:G41"/>
    <mergeCell ref="F42:G42"/>
    <mergeCell ref="F62:G62"/>
  </mergeCells>
  <conditionalFormatting sqref="C22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9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62:F62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20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10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6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7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20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7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62 C64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41 I41 C43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6:F86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6 C88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99060</xdr:colOff>
                    <xdr:row>10</xdr:row>
                    <xdr:rowOff>0</xdr:rowOff>
                  </from>
                  <to>
                    <xdr:col>10</xdr:col>
                    <xdr:colOff>579120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1</xdr:col>
                    <xdr:colOff>2156460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335280</xdr:colOff>
                    <xdr:row>10</xdr:row>
                    <xdr:rowOff>22860</xdr:rowOff>
                  </from>
                  <to>
                    <xdr:col>14</xdr:col>
                    <xdr:colOff>365760</xdr:colOff>
                    <xdr:row>11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82" activePane="bottomLeft" state="frozen"/>
      <selection activeCell="B1" sqref="B1"/>
      <selection pane="bottomLeft" activeCell="B93" sqref="B93"/>
    </sheetView>
  </sheetViews>
  <sheetFormatPr defaultRowHeight="14.4" x14ac:dyDescent="0.3"/>
  <cols>
    <col min="1" max="1" width="7.77734375" style="34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7" customFormat="1" x14ac:dyDescent="0.3">
      <c r="A1" s="87">
        <v>40</v>
      </c>
      <c r="B1" s="87">
        <v>2</v>
      </c>
    </row>
    <row r="2" spans="1:23" s="87" customFormat="1" ht="31.2" customHeight="1" x14ac:dyDescent="0.3">
      <c r="A2" s="87">
        <v>91</v>
      </c>
      <c r="B2" s="87" t="s">
        <v>115</v>
      </c>
      <c r="C2" s="111" t="s">
        <v>61</v>
      </c>
      <c r="D2" s="111"/>
      <c r="E2" s="111"/>
      <c r="F2" s="111"/>
      <c r="G2" s="111"/>
      <c r="H2" s="111"/>
      <c r="I2" s="111"/>
      <c r="J2" s="111"/>
      <c r="K2" s="111"/>
    </row>
    <row r="3" spans="1:23" s="87" customFormat="1" x14ac:dyDescent="0.3">
      <c r="B3" s="87" t="s">
        <v>147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R3" s="88"/>
      <c r="S3" s="88"/>
      <c r="T3" s="88"/>
      <c r="U3" s="88"/>
      <c r="V3" s="88"/>
      <c r="W3" s="88"/>
    </row>
    <row r="4" spans="1:23" s="87" customFormat="1" ht="21" x14ac:dyDescent="0.4">
      <c r="C4" s="110" t="s">
        <v>174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R4" s="88"/>
      <c r="S4" s="88"/>
      <c r="T4" s="88"/>
      <c r="U4" s="88"/>
      <c r="V4" s="88"/>
      <c r="W4" s="88"/>
    </row>
    <row r="5" spans="1:23" s="87" customFormat="1" x14ac:dyDescent="0.3"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</row>
    <row r="6" spans="1:23" s="87" customFormat="1" x14ac:dyDescent="0.3"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</row>
    <row r="7" spans="1:23" s="87" customFormat="1" ht="21" x14ac:dyDescent="0.4">
      <c r="C7" s="110" t="s">
        <v>160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</row>
    <row r="8" spans="1:23" s="87" customFormat="1" x14ac:dyDescent="0.3"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</row>
    <row r="9" spans="1:23" s="87" customFormat="1" x14ac:dyDescent="0.3"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</row>
    <row r="10" spans="1:23" s="87" customFormat="1" ht="18" x14ac:dyDescent="0.3">
      <c r="C10" s="89"/>
      <c r="D10" s="89"/>
      <c r="E10" s="88"/>
      <c r="F10" s="88"/>
      <c r="G10" s="88"/>
      <c r="H10" s="88"/>
      <c r="I10" s="88"/>
      <c r="J10" s="88"/>
      <c r="K10" s="89"/>
      <c r="L10" s="89"/>
      <c r="M10" s="89"/>
      <c r="N10" s="89"/>
    </row>
    <row r="11" spans="1:23" s="87" customFormat="1" ht="18" x14ac:dyDescent="0.3">
      <c r="C11" s="89"/>
      <c r="D11" s="89"/>
      <c r="E11" s="88"/>
      <c r="F11" s="88"/>
      <c r="G11" s="88"/>
      <c r="H11" s="88"/>
      <c r="I11" s="88"/>
      <c r="J11" s="88"/>
      <c r="K11" s="89"/>
      <c r="L11" s="89"/>
      <c r="M11" s="89"/>
      <c r="N11" s="89"/>
    </row>
    <row r="12" spans="1:23" s="90" customFormat="1" ht="18" x14ac:dyDescent="0.3">
      <c r="A12" s="87"/>
      <c r="B12" s="87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</row>
    <row r="13" spans="1:23" customFormat="1" x14ac:dyDescent="0.3">
      <c r="A13" s="76"/>
    </row>
    <row r="14" spans="1:23" customFormat="1" x14ac:dyDescent="0.3">
      <c r="A14" s="34"/>
    </row>
    <row r="17" spans="1:11" s="4" customFormat="1" ht="31.2" x14ac:dyDescent="0.3">
      <c r="A17" s="34" t="s">
        <v>126</v>
      </c>
      <c r="B17" s="3"/>
      <c r="C17" s="13">
        <v>1</v>
      </c>
      <c r="D17" s="21" t="s">
        <v>58</v>
      </c>
      <c r="E17" s="122" t="s">
        <v>62</v>
      </c>
      <c r="F17" s="122"/>
      <c r="G17" s="122"/>
      <c r="H17" s="122"/>
      <c r="I17" s="2" t="s">
        <v>29</v>
      </c>
      <c r="J17" s="2">
        <f>letterToNumber(A17)</f>
        <v>1</v>
      </c>
      <c r="K17" s="7">
        <f ca="1">_xlfn.SHEET("دواليب")</f>
        <v>6</v>
      </c>
    </row>
    <row r="18" spans="1:11" ht="31.2" x14ac:dyDescent="0.3">
      <c r="A18" s="34">
        <v>1</v>
      </c>
      <c r="C18" s="17"/>
      <c r="D18" s="17"/>
      <c r="E18" s="17" t="s">
        <v>18</v>
      </c>
      <c r="F18" s="7" t="s">
        <v>50</v>
      </c>
      <c r="G18" s="7" t="s">
        <v>16</v>
      </c>
      <c r="H18" s="7" t="s">
        <v>22</v>
      </c>
      <c r="I18" s="7" t="s">
        <v>3</v>
      </c>
      <c r="J18" s="7" t="s">
        <v>2</v>
      </c>
      <c r="K18" s="7"/>
    </row>
    <row r="19" spans="1:11" ht="15.6" x14ac:dyDescent="0.3">
      <c r="A19" s="34">
        <v>1</v>
      </c>
      <c r="C19" s="17"/>
      <c r="D19" s="17"/>
      <c r="E19" s="8">
        <v>2</v>
      </c>
      <c r="F19" s="8">
        <v>1</v>
      </c>
      <c r="G19" s="8">
        <v>3.5</v>
      </c>
      <c r="H19" s="8"/>
      <c r="I19" s="8">
        <v>210</v>
      </c>
      <c r="J19" s="8">
        <v>56</v>
      </c>
      <c r="K19" s="7"/>
    </row>
    <row r="20" spans="1:11" ht="15.6" x14ac:dyDescent="0.3">
      <c r="A20" s="34">
        <v>1</v>
      </c>
      <c r="C20" s="8"/>
      <c r="D20" s="8"/>
      <c r="E20" s="8"/>
      <c r="F20" s="8"/>
      <c r="G20" s="7" t="s">
        <v>53</v>
      </c>
      <c r="H20" s="7" t="s">
        <v>54</v>
      </c>
      <c r="I20" s="8"/>
      <c r="J20" s="8"/>
      <c r="K20" s="7"/>
    </row>
    <row r="21" spans="1:11" ht="15.6" x14ac:dyDescent="0.3">
      <c r="A21" s="34">
        <v>1</v>
      </c>
      <c r="C21" s="8"/>
      <c r="D21" s="8"/>
      <c r="E21" s="8"/>
      <c r="F21" s="8"/>
      <c r="G21" s="8">
        <v>1</v>
      </c>
      <c r="H21" s="8">
        <v>1</v>
      </c>
      <c r="I21" s="8">
        <v>140</v>
      </c>
      <c r="J21" s="8" t="s">
        <v>66</v>
      </c>
      <c r="K21" s="7"/>
    </row>
    <row r="22" spans="1:11" ht="25.8" customHeight="1" x14ac:dyDescent="0.3">
      <c r="A22" s="34">
        <v>1</v>
      </c>
      <c r="C22" s="9" t="b">
        <f>G21=0</f>
        <v>0</v>
      </c>
      <c r="D22" s="9" t="b">
        <f>H21=0</f>
        <v>0</v>
      </c>
      <c r="E22" s="8"/>
      <c r="F22" s="40"/>
      <c r="G22" s="8">
        <v>1</v>
      </c>
      <c r="H22" s="8">
        <v>1</v>
      </c>
      <c r="I22" s="8">
        <v>70</v>
      </c>
      <c r="J22" s="8" t="s">
        <v>67</v>
      </c>
      <c r="K22" s="7"/>
    </row>
    <row r="23" spans="1:11" ht="15.6" x14ac:dyDescent="0.3">
      <c r="A23" s="34">
        <v>1</v>
      </c>
      <c r="C23" s="116">
        <f>G21+H21</f>
        <v>2</v>
      </c>
      <c r="D23" s="116"/>
      <c r="E23" s="8"/>
      <c r="F23" s="40"/>
      <c r="G23" s="40"/>
      <c r="H23" s="40"/>
      <c r="I23" s="8">
        <f>SUM(I21:I22)</f>
        <v>210</v>
      </c>
      <c r="J23" s="120" t="str">
        <f>IF(I24,"مقاس الدلف صحيح","مقاس الدلف غير صحيح")</f>
        <v>مقاس الدلف صحيح</v>
      </c>
      <c r="K23" s="7"/>
    </row>
    <row r="24" spans="1:11" ht="15.6" x14ac:dyDescent="0.3">
      <c r="A24" s="34">
        <v>1</v>
      </c>
      <c r="C24" s="117" t="b">
        <f>C23&lt;=2</f>
        <v>1</v>
      </c>
      <c r="D24" s="117"/>
      <c r="E24" s="8"/>
      <c r="F24" s="8"/>
      <c r="G24" s="8"/>
      <c r="H24" s="8"/>
      <c r="I24" s="6" t="b">
        <f>I23=I19</f>
        <v>1</v>
      </c>
      <c r="J24" s="120"/>
      <c r="K24" s="7"/>
    </row>
    <row r="25" spans="1:11" ht="21" x14ac:dyDescent="0.3">
      <c r="A25" s="34">
        <v>1</v>
      </c>
      <c r="B25" s="1"/>
      <c r="C25" s="8"/>
      <c r="D25" s="26" t="str" cm="1">
        <f t="array" aca="1" ref="D25" ca="1">defaultValue(E25,K17)</f>
        <v>ظهر</v>
      </c>
      <c r="E25" s="7" t="s">
        <v>57</v>
      </c>
      <c r="F25" s="26" t="str" cm="1">
        <f t="array" aca="1" ref="F25" ca="1">defaultValue(G25,K17)</f>
        <v>يوفيلاك</v>
      </c>
      <c r="G25" s="7" t="s">
        <v>31</v>
      </c>
      <c r="H25" s="26" t="str" cm="1">
        <f t="array" aca="1" ref="H25" ca="1">defaultValue(I25,K17)</f>
        <v>HPL</v>
      </c>
      <c r="I25" s="7" t="s">
        <v>30</v>
      </c>
      <c r="J25" s="24" t="s">
        <v>108</v>
      </c>
      <c r="K25" s="7"/>
    </row>
    <row r="26" spans="1:11" x14ac:dyDescent="0.3">
      <c r="A26" s="34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4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32</v>
      </c>
      <c r="J27" s="6" t="s">
        <v>172</v>
      </c>
      <c r="K27" s="6" t="s">
        <v>155</v>
      </c>
    </row>
    <row r="28" spans="1:11" x14ac:dyDescent="0.3">
      <c r="A28" s="34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4">
        <v>3</v>
      </c>
      <c r="B29" s="3" t="str">
        <f>visible(E17, K29)</f>
        <v xml:space="preserve">دواليب دلفة /دلفتين </v>
      </c>
      <c r="C29" s="6">
        <v>1</v>
      </c>
      <c r="D29" s="6" t="str">
        <f ca="1">H25</f>
        <v>HPL</v>
      </c>
      <c r="E29" s="6" t="s">
        <v>48</v>
      </c>
      <c r="F29" s="6">
        <f>H19-3.6</f>
        <v>-3.6</v>
      </c>
      <c r="G29" s="6">
        <f>J19</f>
        <v>56</v>
      </c>
      <c r="H29" s="6">
        <f>1*C17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4">
        <v>3</v>
      </c>
      <c r="B30" s="3" t="str">
        <f>visible(E17, K30)</f>
        <v xml:space="preserve">دواليب دلفة /دلفتين </v>
      </c>
      <c r="C30" s="6">
        <f>C29+1</f>
        <v>2</v>
      </c>
      <c r="D30" s="6" t="str">
        <f ca="1">H25</f>
        <v>HPL</v>
      </c>
      <c r="E30" s="6" t="s">
        <v>10</v>
      </c>
      <c r="F30" s="6">
        <f>H19-3.6</f>
        <v>-3.6</v>
      </c>
      <c r="G30" s="6">
        <f>J19</f>
        <v>56</v>
      </c>
      <c r="H30" s="6">
        <f>1*C17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4">
        <v>3</v>
      </c>
      <c r="B31" s="3" t="str">
        <f>visible(E17, K31)</f>
        <v xml:space="preserve">دواليب دلفة /دلفتين </v>
      </c>
      <c r="C31" s="6">
        <f>C30+1</f>
        <v>3</v>
      </c>
      <c r="D31" s="6" t="str">
        <f ca="1">H25</f>
        <v>HPL</v>
      </c>
      <c r="E31" s="6" t="s">
        <v>50</v>
      </c>
      <c r="F31" s="6">
        <f>H19-3.6</f>
        <v>-3.6</v>
      </c>
      <c r="G31" s="6">
        <f>J19-2.5</f>
        <v>53.5</v>
      </c>
      <c r="H31" s="6">
        <f>1*C17*F19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4">
        <v>3</v>
      </c>
      <c r="B32" s="3" t="str">
        <f>visible(E17, K32)</f>
        <v xml:space="preserve">دواليب دلفة /دلفتين </v>
      </c>
      <c r="C32" s="6">
        <f>C31+1</f>
        <v>4</v>
      </c>
      <c r="D32" s="6" t="str">
        <f ca="1">H25</f>
        <v>HPL</v>
      </c>
      <c r="E32" s="6" t="s">
        <v>11</v>
      </c>
      <c r="F32" s="6">
        <f>I19</f>
        <v>210</v>
      </c>
      <c r="G32" s="6">
        <f>J19</f>
        <v>56</v>
      </c>
      <c r="H32" s="6">
        <f>2*C17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4">
        <v>3</v>
      </c>
      <c r="B33" s="3" t="str">
        <f>visible(E17, K33)</f>
        <v xml:space="preserve">دواليب دلفة /دلفتين </v>
      </c>
      <c r="C33" s="6">
        <f t="shared" ref="C33" si="0">C32+1</f>
        <v>5</v>
      </c>
      <c r="D33" s="6" t="str">
        <f ca="1">H25</f>
        <v>HPL</v>
      </c>
      <c r="E33" s="6" t="s">
        <v>17</v>
      </c>
      <c r="F33" s="6">
        <f>H19-3.8</f>
        <v>-3.8</v>
      </c>
      <c r="G33" s="6">
        <f>J19-5</f>
        <v>51</v>
      </c>
      <c r="H33" s="6">
        <f>E19*C17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4">
        <v>4</v>
      </c>
      <c r="B35" s="3" t="str">
        <f>visible(E17, K35)</f>
        <v xml:space="preserve">دواليب دلفة /دلفتين </v>
      </c>
      <c r="C35" s="9">
        <f>C33+1</f>
        <v>6</v>
      </c>
      <c r="D35" s="9" t="str">
        <f ca="1">F25</f>
        <v>يوفيلاك</v>
      </c>
      <c r="E35" s="9" t="s">
        <v>69</v>
      </c>
      <c r="F35" s="9">
        <f>I21-0.5-G19</f>
        <v>136</v>
      </c>
      <c r="G35" s="9">
        <f>(H19/C23)-0.5</f>
        <v>-0.5</v>
      </c>
      <c r="H35" s="9">
        <f>G21*C17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4">
        <v>4</v>
      </c>
      <c r="B36" s="3" t="str">
        <f>visible(E17, K36)</f>
        <v xml:space="preserve">دواليب دلفة /دلفتين </v>
      </c>
      <c r="C36" s="9">
        <f>C35+1</f>
        <v>7</v>
      </c>
      <c r="D36" s="9" t="str">
        <f ca="1">F25</f>
        <v>يوفيلاك</v>
      </c>
      <c r="E36" s="9" t="s">
        <v>70</v>
      </c>
      <c r="F36" s="9">
        <f>I22-0.5-G19</f>
        <v>66</v>
      </c>
      <c r="G36" s="9">
        <f>(H19/C23)-0.5</f>
        <v>-0.5</v>
      </c>
      <c r="H36" s="9">
        <f>G22*C17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4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4">
        <v>4</v>
      </c>
      <c r="B38" s="3" t="str">
        <f>visible(E17, K38)</f>
        <v xml:space="preserve">دواليب دلفة /دلفتين </v>
      </c>
      <c r="C38" s="9">
        <f>C36+1</f>
        <v>8</v>
      </c>
      <c r="D38" s="9" t="s">
        <v>52</v>
      </c>
      <c r="E38" s="9" t="s">
        <v>71</v>
      </c>
      <c r="F38" s="9">
        <f>I21-0.5</f>
        <v>139.5</v>
      </c>
      <c r="G38" s="9">
        <f>(H19/C23)-0.5</f>
        <v>-0.5</v>
      </c>
      <c r="H38" s="9">
        <f>H21*C17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4">
        <v>4</v>
      </c>
      <c r="B39" s="3" t="str">
        <f>visible(E17, K39)</f>
        <v xml:space="preserve">دواليب دلفة /دلفتين </v>
      </c>
      <c r="C39" s="9">
        <f>C38+1</f>
        <v>9</v>
      </c>
      <c r="D39" s="9" t="s">
        <v>52</v>
      </c>
      <c r="E39" s="9" t="s">
        <v>72</v>
      </c>
      <c r="F39" s="9">
        <f>I22-0.5</f>
        <v>69.5</v>
      </c>
      <c r="G39" s="9">
        <f>(H19/C23)-0.5</f>
        <v>-0.5</v>
      </c>
      <c r="H39" s="9">
        <f>H22*C17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4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4">
        <v>5</v>
      </c>
      <c r="B41" s="3" t="str">
        <f>visible(E17, K41)</f>
        <v xml:space="preserve">دواليب دلفة /دلفتين </v>
      </c>
      <c r="C41" s="18">
        <f>C39+1</f>
        <v>10</v>
      </c>
      <c r="D41" s="18" t="str">
        <f ca="1">D25</f>
        <v>ظهر</v>
      </c>
      <c r="E41" s="18" t="s">
        <v>57</v>
      </c>
      <c r="F41" s="18">
        <f>I19-2</f>
        <v>208</v>
      </c>
      <c r="G41" s="18">
        <f>H19-2</f>
        <v>-2</v>
      </c>
      <c r="H41" s="18">
        <f>1*C17</f>
        <v>1</v>
      </c>
      <c r="I41" s="18">
        <f ca="1">visible(materialNum(D41), K41)</f>
        <v>2</v>
      </c>
      <c r="J41" s="18">
        <f ca="1">visible(engraving(I41), K41)</f>
        <v>2</v>
      </c>
      <c r="K41" s="18" t="b">
        <v>1</v>
      </c>
    </row>
    <row r="42" spans="1:13" x14ac:dyDescent="0.3">
      <c r="A42" s="34">
        <v>255</v>
      </c>
    </row>
    <row r="43" spans="1:13" x14ac:dyDescent="0.3">
      <c r="A43" s="34">
        <v>255</v>
      </c>
      <c r="K43" s="1"/>
      <c r="L43" s="1"/>
      <c r="M43" s="1"/>
    </row>
    <row r="44" spans="1:13" ht="31.2" x14ac:dyDescent="0.3">
      <c r="A44" s="34" t="s">
        <v>131</v>
      </c>
      <c r="C44" s="13">
        <v>1</v>
      </c>
      <c r="D44" s="21" t="s">
        <v>58</v>
      </c>
      <c r="E44" s="122" t="s">
        <v>73</v>
      </c>
      <c r="F44" s="122"/>
      <c r="G44" s="122"/>
      <c r="H44" s="122"/>
      <c r="I44" s="2" t="s">
        <v>29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31.2" x14ac:dyDescent="0.3">
      <c r="A45" s="34">
        <v>1</v>
      </c>
      <c r="C45" s="17"/>
      <c r="D45" s="15" t="s">
        <v>19</v>
      </c>
      <c r="E45" s="17" t="s">
        <v>18</v>
      </c>
      <c r="F45" s="7" t="s">
        <v>50</v>
      </c>
      <c r="G45" s="7" t="s">
        <v>16</v>
      </c>
      <c r="H45" s="7" t="s">
        <v>22</v>
      </c>
      <c r="I45" s="7" t="s">
        <v>3</v>
      </c>
      <c r="J45" s="7" t="s">
        <v>2</v>
      </c>
      <c r="K45" s="7"/>
      <c r="L45" s="1"/>
      <c r="M45" s="1"/>
    </row>
    <row r="46" spans="1:13" ht="15.6" x14ac:dyDescent="0.3">
      <c r="A46" s="34">
        <v>1</v>
      </c>
      <c r="C46" s="17"/>
      <c r="D46" s="9">
        <v>45</v>
      </c>
      <c r="E46" s="8">
        <v>2</v>
      </c>
      <c r="F46" s="8">
        <v>1</v>
      </c>
      <c r="G46" s="8">
        <v>3.5</v>
      </c>
      <c r="H46" s="8">
        <v>60</v>
      </c>
      <c r="I46" s="8">
        <v>220</v>
      </c>
      <c r="J46" s="8">
        <v>56</v>
      </c>
      <c r="K46" s="7"/>
      <c r="L46" s="1"/>
      <c r="M46" s="1"/>
    </row>
    <row r="47" spans="1:13" ht="15.6" x14ac:dyDescent="0.3">
      <c r="A47" s="34">
        <v>1</v>
      </c>
      <c r="C47" s="8"/>
      <c r="D47" s="8"/>
      <c r="E47" s="8"/>
      <c r="F47" s="8"/>
      <c r="G47" s="7" t="s">
        <v>53</v>
      </c>
      <c r="H47" s="7" t="s">
        <v>54</v>
      </c>
      <c r="I47" s="8"/>
      <c r="J47" s="8"/>
      <c r="K47" s="7"/>
      <c r="L47" s="1"/>
      <c r="M47" s="1"/>
    </row>
    <row r="48" spans="1:13" ht="15.6" x14ac:dyDescent="0.3">
      <c r="A48" s="34">
        <v>1</v>
      </c>
      <c r="C48" s="8"/>
      <c r="D48" s="8"/>
      <c r="E48" s="8"/>
      <c r="F48" s="8"/>
      <c r="G48" s="7">
        <v>1</v>
      </c>
      <c r="H48" s="7"/>
      <c r="I48" s="8">
        <v>20</v>
      </c>
      <c r="J48" s="8" t="s">
        <v>74</v>
      </c>
      <c r="K48" s="7"/>
    </row>
    <row r="49" spans="1:13" ht="15.6" x14ac:dyDescent="0.3">
      <c r="A49" s="34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75</v>
      </c>
      <c r="K49" s="7"/>
      <c r="L49" s="1"/>
      <c r="M49" s="1"/>
    </row>
    <row r="50" spans="1:13" ht="15.6" x14ac:dyDescent="0.3">
      <c r="A50" s="34">
        <v>1</v>
      </c>
      <c r="C50" s="8"/>
      <c r="D50" s="8"/>
      <c r="E50" s="8"/>
      <c r="F50" s="8"/>
      <c r="G50" s="7"/>
      <c r="H50" s="7"/>
      <c r="I50" s="8"/>
      <c r="J50" s="8" t="s">
        <v>76</v>
      </c>
      <c r="K50" s="7"/>
      <c r="L50" s="1"/>
      <c r="M50" s="1"/>
    </row>
    <row r="51" spans="1:13" ht="15.6" x14ac:dyDescent="0.3">
      <c r="A51" s="34">
        <v>1</v>
      </c>
      <c r="C51" s="8"/>
      <c r="D51" s="8"/>
      <c r="E51" s="8"/>
      <c r="F51" s="8"/>
      <c r="G51" s="8"/>
      <c r="H51" s="8"/>
      <c r="I51" s="8"/>
      <c r="J51" s="8" t="s">
        <v>66</v>
      </c>
      <c r="K51" s="7"/>
      <c r="L51" s="1"/>
      <c r="M51" s="1"/>
    </row>
    <row r="52" spans="1:13" ht="15.6" x14ac:dyDescent="0.3">
      <c r="A52" s="34">
        <v>1</v>
      </c>
      <c r="C52" s="8"/>
      <c r="D52" s="8"/>
      <c r="E52" s="8"/>
      <c r="F52" s="8"/>
      <c r="G52" s="8">
        <v>1</v>
      </c>
      <c r="H52" s="8"/>
      <c r="I52" s="8">
        <v>67</v>
      </c>
      <c r="J52" s="8" t="s">
        <v>77</v>
      </c>
      <c r="K52" s="7"/>
      <c r="L52" s="1"/>
      <c r="M52" s="1"/>
    </row>
    <row r="53" spans="1:13" ht="15.6" x14ac:dyDescent="0.3">
      <c r="A53" s="34">
        <v>1</v>
      </c>
      <c r="C53" s="8"/>
      <c r="D53" s="8"/>
      <c r="E53" s="8"/>
      <c r="F53" s="8"/>
      <c r="G53" s="8">
        <v>1</v>
      </c>
      <c r="H53" s="8"/>
      <c r="I53" s="8">
        <v>35</v>
      </c>
      <c r="J53" s="8" t="s">
        <v>78</v>
      </c>
      <c r="K53" s="7"/>
      <c r="L53" s="1"/>
      <c r="M53" s="1"/>
    </row>
    <row r="54" spans="1:13" ht="15.6" x14ac:dyDescent="0.3">
      <c r="A54" s="34">
        <v>1</v>
      </c>
      <c r="C54" s="8"/>
      <c r="D54" s="8"/>
      <c r="E54" s="8"/>
      <c r="F54" s="8"/>
      <c r="G54" s="8">
        <v>2</v>
      </c>
      <c r="H54" s="8"/>
      <c r="I54" s="8">
        <v>78</v>
      </c>
      <c r="J54" s="8" t="s">
        <v>79</v>
      </c>
      <c r="K54" s="7"/>
      <c r="L54" s="1"/>
      <c r="M54" s="1"/>
    </row>
    <row r="55" spans="1:13" ht="15.6" x14ac:dyDescent="0.3">
      <c r="A55" s="34">
        <v>1</v>
      </c>
      <c r="C55" s="9" t="b">
        <f>G51=0</f>
        <v>1</v>
      </c>
      <c r="D55" s="9" t="b">
        <f>H51=0</f>
        <v>1</v>
      </c>
      <c r="E55" s="8"/>
      <c r="F55" s="40"/>
      <c r="G55" s="8"/>
      <c r="H55" s="8"/>
      <c r="I55" s="8"/>
      <c r="J55" s="8" t="s">
        <v>80</v>
      </c>
      <c r="K55" s="7"/>
      <c r="L55" s="1"/>
      <c r="M55" s="1"/>
    </row>
    <row r="56" spans="1:13" ht="15.6" x14ac:dyDescent="0.3">
      <c r="A56" s="34">
        <v>1</v>
      </c>
      <c r="C56" s="116">
        <f>G51+H51</f>
        <v>0</v>
      </c>
      <c r="D56" s="116"/>
      <c r="E56" s="8"/>
      <c r="F56" s="40"/>
      <c r="G56" s="40"/>
      <c r="H56" s="40"/>
      <c r="I56" s="8">
        <f>SUM(I48:I55)</f>
        <v>220</v>
      </c>
      <c r="J56" s="120" t="str">
        <f>IF(I57,"مقاس الدلف صحيح","مقاس الدلف غير صحيح")</f>
        <v>مقاس الدلف صحيح</v>
      </c>
      <c r="K56" s="7"/>
      <c r="L56" s="1"/>
      <c r="M56" s="1"/>
    </row>
    <row r="57" spans="1:13" ht="15.6" x14ac:dyDescent="0.3">
      <c r="A57" s="34">
        <v>1</v>
      </c>
      <c r="C57" s="117" t="b">
        <f>C56&lt;=2</f>
        <v>1</v>
      </c>
      <c r="D57" s="117"/>
      <c r="E57" s="8"/>
      <c r="F57" s="8"/>
      <c r="G57" s="8"/>
      <c r="H57" s="8"/>
      <c r="I57" s="6" t="b">
        <f>I56=I46</f>
        <v>1</v>
      </c>
      <c r="J57" s="120"/>
      <c r="K57" s="7"/>
      <c r="L57" s="1"/>
      <c r="M57" s="1"/>
    </row>
    <row r="58" spans="1:13" ht="21" x14ac:dyDescent="0.3">
      <c r="A58" s="34">
        <v>1</v>
      </c>
      <c r="B58" s="1"/>
      <c r="C58" s="8"/>
      <c r="D58" s="26" t="str" cm="1">
        <f t="array" aca="1" ref="D58" ca="1">defaultValue(E58,K44)</f>
        <v>ظهر</v>
      </c>
      <c r="E58" s="7" t="s">
        <v>57</v>
      </c>
      <c r="F58" s="26" t="str" cm="1">
        <f t="array" aca="1" ref="F58" ca="1">defaultValue(G58,K44)</f>
        <v>يوفيلاك</v>
      </c>
      <c r="G58" s="7" t="s">
        <v>31</v>
      </c>
      <c r="H58" s="26" t="str" cm="1">
        <f t="array" aca="1" ref="H58" ca="1">defaultValue(I58,K44)</f>
        <v>HPL</v>
      </c>
      <c r="I58" s="7" t="s">
        <v>30</v>
      </c>
      <c r="J58" s="24" t="s">
        <v>108</v>
      </c>
      <c r="K58" s="7"/>
      <c r="L58" s="1"/>
      <c r="M58" s="1"/>
    </row>
    <row r="59" spans="1:13" ht="15.6" customHeight="1" x14ac:dyDescent="0.3">
      <c r="A59" s="34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4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32</v>
      </c>
      <c r="J60" s="6" t="s">
        <v>172</v>
      </c>
      <c r="K60" s="6" t="s">
        <v>155</v>
      </c>
      <c r="L60" s="1"/>
      <c r="M60" s="1"/>
    </row>
    <row r="61" spans="1:13" ht="15.6" customHeight="1" x14ac:dyDescent="0.3">
      <c r="A61" s="34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4">
        <v>3</v>
      </c>
      <c r="B62" s="3" t="str">
        <f>visible(E44, K62)</f>
        <v>دواليب منوع /فرن /أدراج</v>
      </c>
      <c r="C62" s="6">
        <v>1</v>
      </c>
      <c r="D62" s="6" t="str">
        <f ca="1">H58</f>
        <v>HPL</v>
      </c>
      <c r="E62" s="6" t="s">
        <v>48</v>
      </c>
      <c r="F62" s="6">
        <f>H46-3.6</f>
        <v>56.4</v>
      </c>
      <c r="G62" s="6">
        <f>J46</f>
        <v>56</v>
      </c>
      <c r="H62" s="6">
        <f>1*C44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4">
        <v>3</v>
      </c>
      <c r="B63" s="3" t="str">
        <f>visible(E44, K63)</f>
        <v>دواليب منوع /فرن /أدراج</v>
      </c>
      <c r="C63" s="6">
        <f>C62+1</f>
        <v>2</v>
      </c>
      <c r="D63" s="6" t="str">
        <f ca="1">H58</f>
        <v>HPL</v>
      </c>
      <c r="E63" s="6" t="s">
        <v>10</v>
      </c>
      <c r="F63" s="6">
        <f>H46-3.6</f>
        <v>56.4</v>
      </c>
      <c r="G63" s="6">
        <f>J46</f>
        <v>56</v>
      </c>
      <c r="H63" s="6">
        <f>1*C44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4">
        <v>3</v>
      </c>
      <c r="B64" s="3" t="str">
        <f>visible(E44, K64)</f>
        <v>دواليب منوع /فرن /أدراج</v>
      </c>
      <c r="C64" s="6">
        <f>C63+1</f>
        <v>3</v>
      </c>
      <c r="D64" s="6" t="str">
        <f ca="1">H58</f>
        <v>HPL</v>
      </c>
      <c r="E64" s="6" t="s">
        <v>50</v>
      </c>
      <c r="F64" s="6">
        <f>H46-3.6</f>
        <v>56.4</v>
      </c>
      <c r="G64" s="6">
        <f>J46-2.5</f>
        <v>53.5</v>
      </c>
      <c r="H64" s="6">
        <f>1*C44*F46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4">
        <v>3</v>
      </c>
      <c r="B65" s="3" t="str">
        <f>visible(E44, K65)</f>
        <v>دواليب منوع /فرن /أدراج</v>
      </c>
      <c r="C65" s="6">
        <f>C64+1</f>
        <v>4</v>
      </c>
      <c r="D65" s="6" t="str">
        <f ca="1">H58</f>
        <v>HPL</v>
      </c>
      <c r="E65" s="6" t="s">
        <v>11</v>
      </c>
      <c r="F65" s="6">
        <f>I46</f>
        <v>220</v>
      </c>
      <c r="G65" s="6">
        <f>J46</f>
        <v>56</v>
      </c>
      <c r="H65" s="6">
        <f>2*C44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4">
        <v>3</v>
      </c>
      <c r="B66" s="3" t="str">
        <f>visible(E44, K66)</f>
        <v>دواليب منوع /فرن /أدراج</v>
      </c>
      <c r="C66" s="6">
        <f t="shared" ref="C66" si="1">C65+1</f>
        <v>5</v>
      </c>
      <c r="D66" s="6" t="str">
        <f ca="1">H58</f>
        <v>HPL</v>
      </c>
      <c r="E66" s="6" t="s">
        <v>17</v>
      </c>
      <c r="F66" s="6">
        <f>H46-3.8</f>
        <v>56.2</v>
      </c>
      <c r="G66" s="6">
        <f>J46-5</f>
        <v>51</v>
      </c>
      <c r="H66" s="6">
        <f>E46*C44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4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4">
        <v>3</v>
      </c>
      <c r="B68" s="3" t="str">
        <f>visible(E44, K68)</f>
        <v>دواليب منوع /فرن /أدراج</v>
      </c>
      <c r="C68" s="19">
        <f>C66+1</f>
        <v>6</v>
      </c>
      <c r="D68" s="19" t="str">
        <f ca="1">H58</f>
        <v>HPL</v>
      </c>
      <c r="E68" s="19" t="s">
        <v>81</v>
      </c>
      <c r="F68" s="19">
        <f>IF(H68=0, "",(H46-3.6-3.6-2.5))</f>
        <v>50.3</v>
      </c>
      <c r="G68" s="19">
        <f>IF(H68=0, "",(I48-6))</f>
        <v>14</v>
      </c>
      <c r="H68" s="19">
        <f>G48*C44</f>
        <v>1</v>
      </c>
      <c r="I68" s="19">
        <f t="shared" ref="I68:I76" ca="1" si="2">visible(materialNum(D68), K68)</f>
        <v>2</v>
      </c>
      <c r="J68" s="19">
        <f ca="1">visible(engraving(I68), K68)</f>
        <v>2</v>
      </c>
      <c r="K68" s="19" t="b">
        <v>1</v>
      </c>
    </row>
    <row r="69" spans="1:13" x14ac:dyDescent="0.3">
      <c r="A69" s="34">
        <v>3</v>
      </c>
      <c r="B69" s="3" t="str">
        <f>visible(E44, K69)</f>
        <v>دواليب منوع /فرن /أدراج</v>
      </c>
      <c r="C69" s="19">
        <f>C68+1</f>
        <v>7</v>
      </c>
      <c r="D69" s="19" t="str">
        <f ca="1">H58</f>
        <v>HPL</v>
      </c>
      <c r="E69" s="19" t="s">
        <v>82</v>
      </c>
      <c r="F69" s="19">
        <f>IF(H69=0, "",D46)</f>
        <v>45</v>
      </c>
      <c r="G69" s="19">
        <f>IF(H69=0, "",(I48-6))</f>
        <v>14</v>
      </c>
      <c r="H69" s="19">
        <f>2*G48*C44</f>
        <v>2</v>
      </c>
      <c r="I69" s="19">
        <f t="shared" ca="1" si="2"/>
        <v>2</v>
      </c>
      <c r="J69" s="19">
        <f ca="1">visible(engraving(I69), K69)</f>
        <v>2</v>
      </c>
      <c r="K69" s="19" t="b">
        <v>1</v>
      </c>
    </row>
    <row r="70" spans="1:13" x14ac:dyDescent="0.3">
      <c r="A70" s="34">
        <v>3</v>
      </c>
      <c r="B70" s="3" t="str">
        <f>visible(E44, K70)</f>
        <v>دواليب منوع /فرن /أدراج</v>
      </c>
      <c r="C70" s="19">
        <f t="shared" ref="C70:C76" si="3">C69+1</f>
        <v>8</v>
      </c>
      <c r="D70" s="19" t="str">
        <f ca="1">H58</f>
        <v>HPL</v>
      </c>
      <c r="E70" s="19" t="s">
        <v>83</v>
      </c>
      <c r="F70" s="19">
        <f>IF(H70=0, "",(H46-3.6-3.6-2.5))</f>
        <v>50.3</v>
      </c>
      <c r="G70" s="19">
        <f>IF(H70=0, "",(I48-6-3))</f>
        <v>11</v>
      </c>
      <c r="H70" s="19">
        <f>G48*C44</f>
        <v>1</v>
      </c>
      <c r="I70" s="19">
        <f t="shared" ca="1" si="2"/>
        <v>2</v>
      </c>
      <c r="J70" s="19">
        <f ca="1">visible(engraving(I70), K70)</f>
        <v>2</v>
      </c>
      <c r="K70" s="19" t="b">
        <v>1</v>
      </c>
    </row>
    <row r="71" spans="1:13" x14ac:dyDescent="0.3">
      <c r="A71" s="34">
        <v>3</v>
      </c>
      <c r="B71" s="3" t="str">
        <f>visible(E44, K71)</f>
        <v>دواليب منوع /فرن /أدراج</v>
      </c>
      <c r="C71" s="10">
        <f t="shared" si="3"/>
        <v>9</v>
      </c>
      <c r="D71" s="10" t="str">
        <f ca="1">H58</f>
        <v>HPL</v>
      </c>
      <c r="E71" s="10" t="s">
        <v>84</v>
      </c>
      <c r="F71" s="10">
        <f>IF(H71=0, "",(H46-3.6-3.6-2.5))</f>
        <v>50.3</v>
      </c>
      <c r="G71" s="10">
        <f>IF(H71=0, "",(I49-6))</f>
        <v>14</v>
      </c>
      <c r="H71" s="10">
        <f>G49*C44</f>
        <v>1</v>
      </c>
      <c r="I71" s="10">
        <f t="shared" ca="1" si="2"/>
        <v>2</v>
      </c>
      <c r="J71" s="10">
        <f ca="1">visible(engraving(I71), K71)</f>
        <v>2</v>
      </c>
      <c r="K71" s="10" t="b">
        <v>1</v>
      </c>
    </row>
    <row r="72" spans="1:13" x14ac:dyDescent="0.3">
      <c r="A72" s="34">
        <v>3</v>
      </c>
      <c r="B72" s="3" t="str">
        <f>visible(E44, K72)</f>
        <v>دواليب منوع /فرن /أدراج</v>
      </c>
      <c r="C72" s="10">
        <f t="shared" si="3"/>
        <v>10</v>
      </c>
      <c r="D72" s="10" t="str">
        <f ca="1">H58</f>
        <v>HPL</v>
      </c>
      <c r="E72" s="10" t="s">
        <v>85</v>
      </c>
      <c r="F72" s="10">
        <f>IF(H72=0, "",D46)</f>
        <v>45</v>
      </c>
      <c r="G72" s="10">
        <f>IF(H72=0, "",(I49-6))</f>
        <v>14</v>
      </c>
      <c r="H72" s="10">
        <f>2*G49*C44</f>
        <v>2</v>
      </c>
      <c r="I72" s="10">
        <f t="shared" ca="1" si="2"/>
        <v>2</v>
      </c>
      <c r="J72" s="10">
        <f ca="1">visible(engraving(I72), K72)</f>
        <v>2</v>
      </c>
      <c r="K72" s="10" t="b">
        <v>1</v>
      </c>
    </row>
    <row r="73" spans="1:13" x14ac:dyDescent="0.3">
      <c r="A73" s="34">
        <v>3</v>
      </c>
      <c r="B73" s="3" t="str">
        <f>visible(E44, K73)</f>
        <v>دواليب منوع /فرن /أدراج</v>
      </c>
      <c r="C73" s="10">
        <f t="shared" si="3"/>
        <v>11</v>
      </c>
      <c r="D73" s="10" t="str">
        <f ca="1">H58</f>
        <v>HPL</v>
      </c>
      <c r="E73" s="10" t="s">
        <v>86</v>
      </c>
      <c r="F73" s="10">
        <f>IF(H73=0, "",(H46-3.6-3.6-2.5))</f>
        <v>50.3</v>
      </c>
      <c r="G73" s="10">
        <f>IF(H73=0, "",(I49-6-3))</f>
        <v>11</v>
      </c>
      <c r="H73" s="10">
        <f>G49*C44</f>
        <v>1</v>
      </c>
      <c r="I73" s="10">
        <f t="shared" ca="1" si="2"/>
        <v>2</v>
      </c>
      <c r="J73" s="10">
        <f ca="1">visible(engraving(I73), K73)</f>
        <v>2</v>
      </c>
      <c r="K73" s="10" t="b">
        <v>1</v>
      </c>
    </row>
    <row r="74" spans="1:13" x14ac:dyDescent="0.3">
      <c r="A74" s="34">
        <v>3</v>
      </c>
      <c r="B74" s="3" t="str">
        <f>visible(E44, K74)</f>
        <v>دواليب منوع /فرن /أدراج</v>
      </c>
      <c r="C74" s="19">
        <f t="shared" si="3"/>
        <v>12</v>
      </c>
      <c r="D74" s="19" t="str">
        <f ca="1">H58</f>
        <v>HPL</v>
      </c>
      <c r="E74" s="19" t="s">
        <v>87</v>
      </c>
      <c r="F74" s="19" t="str">
        <f>IF(H74=0, "",(H46-3.6-3.6-2.5))</f>
        <v/>
      </c>
      <c r="G74" s="19" t="str">
        <f>IF(H74=0, "",(I50-6))</f>
        <v/>
      </c>
      <c r="H74" s="19">
        <f>G50*C44</f>
        <v>0</v>
      </c>
      <c r="I74" s="19">
        <f t="shared" ca="1" si="2"/>
        <v>2</v>
      </c>
      <c r="J74" s="19">
        <f ca="1">visible(engraving(I74), K74)</f>
        <v>2</v>
      </c>
      <c r="K74" s="19" t="b">
        <v>1</v>
      </c>
    </row>
    <row r="75" spans="1:13" x14ac:dyDescent="0.3">
      <c r="A75" s="34">
        <v>3</v>
      </c>
      <c r="B75" s="3" t="str">
        <f>visible(E44, K75)</f>
        <v>دواليب منوع /فرن /أدراج</v>
      </c>
      <c r="C75" s="19">
        <f t="shared" si="3"/>
        <v>13</v>
      </c>
      <c r="D75" s="19" t="str">
        <f ca="1">H58</f>
        <v>HPL</v>
      </c>
      <c r="E75" s="19" t="s">
        <v>88</v>
      </c>
      <c r="F75" s="19" t="str">
        <f>IF(H75=0, "",D46)</f>
        <v/>
      </c>
      <c r="G75" s="19" t="str">
        <f>IF(H75=0, "",(I50-6))</f>
        <v/>
      </c>
      <c r="H75" s="19">
        <f>2*G50*C44</f>
        <v>0</v>
      </c>
      <c r="I75" s="19">
        <f t="shared" ca="1" si="2"/>
        <v>2</v>
      </c>
      <c r="J75" s="19">
        <f ca="1">visible(engraving(I75), K75)</f>
        <v>2</v>
      </c>
      <c r="K75" s="19" t="b">
        <v>1</v>
      </c>
    </row>
    <row r="76" spans="1:13" x14ac:dyDescent="0.3">
      <c r="A76" s="34">
        <v>3</v>
      </c>
      <c r="B76" s="3" t="str">
        <f>visible(E44, K76)</f>
        <v>دواليب منوع /فرن /أدراج</v>
      </c>
      <c r="C76" s="19">
        <f t="shared" si="3"/>
        <v>14</v>
      </c>
      <c r="D76" s="19" t="str">
        <f ca="1">H58</f>
        <v>HPL</v>
      </c>
      <c r="E76" s="19" t="s">
        <v>89</v>
      </c>
      <c r="F76" s="19" t="str">
        <f>IF(H76=0, "",(H46-3.6-3.6-2.5))</f>
        <v/>
      </c>
      <c r="G76" s="19" t="str">
        <f>IF(H76=0, "",(I50-6-3))</f>
        <v/>
      </c>
      <c r="H76" s="19">
        <f>G50*C44</f>
        <v>0</v>
      </c>
      <c r="I76" s="19">
        <f t="shared" ca="1" si="2"/>
        <v>2</v>
      </c>
      <c r="J76" s="19">
        <f ca="1">visible(engraving(I76), K76)</f>
        <v>2</v>
      </c>
      <c r="K76" s="19" t="b">
        <v>1</v>
      </c>
    </row>
    <row r="77" spans="1:13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L77" s="3">
        <f>IF(H78=0, "",(I48-0.5-G46))</f>
        <v>16</v>
      </c>
    </row>
    <row r="78" spans="1:13" x14ac:dyDescent="0.3">
      <c r="A78" s="34">
        <v>4</v>
      </c>
      <c r="B78" s="3" t="str">
        <f>visible(E44, K78)</f>
        <v>دواليب منوع /فرن /أدراج</v>
      </c>
      <c r="C78" s="9">
        <f>C76+1</f>
        <v>15</v>
      </c>
      <c r="D78" s="9" t="str">
        <f ca="1">F58</f>
        <v>يوفيلاك</v>
      </c>
      <c r="E78" s="9" t="s">
        <v>92</v>
      </c>
      <c r="F78" s="9">
        <f>IF(H78=0, "",(I48-0.5-G46))</f>
        <v>16</v>
      </c>
      <c r="G78" s="9">
        <f>IF(H78=0, "",(H46-0.5))</f>
        <v>59.5</v>
      </c>
      <c r="H78" s="9">
        <f>G48*C44</f>
        <v>1</v>
      </c>
      <c r="I78" s="9">
        <f t="shared" ref="I78:I86" ca="1" si="4">visible(materialNum(D78), K78)</f>
        <v>6</v>
      </c>
      <c r="J78" s="9">
        <f ca="1">visible(engraving(I78), K78)</f>
        <v>2</v>
      </c>
      <c r="K78" s="9" t="b">
        <v>1</v>
      </c>
      <c r="L78" s="3" t="e">
        <f>IF(H79=0, "",(I49-0.5-G47))</f>
        <v>#VALUE!</v>
      </c>
    </row>
    <row r="79" spans="1:13" x14ac:dyDescent="0.3">
      <c r="A79" s="34">
        <v>4</v>
      </c>
      <c r="B79" s="3" t="str">
        <f>visible(E44, K79)</f>
        <v>دواليب منوع /فرن /أدراج</v>
      </c>
      <c r="C79" s="9">
        <f t="shared" ref="C79:C86" si="5">C78+1</f>
        <v>16</v>
      </c>
      <c r="D79" s="9" t="str">
        <f ca="1">F58</f>
        <v>يوفيلاك</v>
      </c>
      <c r="E79" s="9" t="s">
        <v>93</v>
      </c>
      <c r="F79" s="9">
        <f>IF(H79=0, "",(I49-0.5-G46))</f>
        <v>16</v>
      </c>
      <c r="G79" s="9">
        <f>IF(H79=0, "",(H46-0.5))</f>
        <v>59.5</v>
      </c>
      <c r="H79" s="9">
        <f>G49*C44</f>
        <v>1</v>
      </c>
      <c r="I79" s="9">
        <f t="shared" ca="1" si="4"/>
        <v>6</v>
      </c>
      <c r="J79" s="9">
        <f ca="1">visible(engraving(I79), K79)</f>
        <v>2</v>
      </c>
      <c r="K79" s="9" t="b">
        <v>1</v>
      </c>
      <c r="L79" s="3" t="str">
        <f>IF(H80=0, "",(I50-0.5-G48))</f>
        <v/>
      </c>
    </row>
    <row r="80" spans="1:13" x14ac:dyDescent="0.3">
      <c r="A80" s="34">
        <v>4</v>
      </c>
      <c r="B80" s="3" t="str">
        <f>visible(E44, K80)</f>
        <v>دواليب منوع /فرن /أدراج</v>
      </c>
      <c r="C80" s="9">
        <f t="shared" si="5"/>
        <v>17</v>
      </c>
      <c r="D80" s="9" t="str">
        <f ca="1">F58</f>
        <v>يوفيلاك</v>
      </c>
      <c r="E80" s="9" t="s">
        <v>94</v>
      </c>
      <c r="F80" s="9" t="str">
        <f>IF(H80=0, "",(I50-0.5-G46))</f>
        <v/>
      </c>
      <c r="G80" s="9" t="str">
        <f>IF(H80=0, "",(H46-0.5))</f>
        <v/>
      </c>
      <c r="H80" s="9">
        <f>G50*C44</f>
        <v>0</v>
      </c>
      <c r="I80" s="9">
        <f t="shared" ca="1" si="4"/>
        <v>6</v>
      </c>
      <c r="J80" s="9">
        <f ca="1">visible(engraving(I80), K80)</f>
        <v>2</v>
      </c>
      <c r="K80" s="9" t="b">
        <v>1</v>
      </c>
    </row>
    <row r="81" spans="1:12" x14ac:dyDescent="0.3">
      <c r="A81" s="34">
        <v>4</v>
      </c>
      <c r="B81" s="3" t="str">
        <f>visible(E44, K81)</f>
        <v>دواليب منوع /فرن /أدراج</v>
      </c>
      <c r="C81" s="9">
        <f t="shared" si="5"/>
        <v>18</v>
      </c>
      <c r="D81" s="9" t="str">
        <f ca="1">F58</f>
        <v>يوفيلاك</v>
      </c>
      <c r="E81" s="9" t="s">
        <v>69</v>
      </c>
      <c r="F81" s="9" t="str">
        <f>IF(H81=0, "",(I51-0.5-G46))</f>
        <v/>
      </c>
      <c r="G81" s="9" t="str">
        <f>IF(H81=0, "",((H46/G51)-0.5))</f>
        <v/>
      </c>
      <c r="H81" s="9">
        <f>(G51+H51)*C44</f>
        <v>0</v>
      </c>
      <c r="I81" s="9">
        <f t="shared" ca="1" si="4"/>
        <v>6</v>
      </c>
      <c r="J81" s="9">
        <f ca="1">visible(engraving(I81), K81)</f>
        <v>2</v>
      </c>
      <c r="K81" s="9" t="b">
        <v>1</v>
      </c>
      <c r="L81" s="3">
        <f>IF(H82=0, "",(I52-0.5-G50))</f>
        <v>66.5</v>
      </c>
    </row>
    <row r="82" spans="1:12" x14ac:dyDescent="0.3">
      <c r="A82" s="34">
        <v>4</v>
      </c>
      <c r="B82" s="3" t="str">
        <f>visible(E44, K82)</f>
        <v>دواليب منوع /فرن /أدراج</v>
      </c>
      <c r="C82" s="9">
        <f t="shared" si="5"/>
        <v>19</v>
      </c>
      <c r="D82" s="9" t="str">
        <f ca="1">F58</f>
        <v>يوفيلاك</v>
      </c>
      <c r="E82" s="9" t="s">
        <v>95</v>
      </c>
      <c r="F82" s="9">
        <f>IF(H82=0, "",(H46-0.5))</f>
        <v>59.5</v>
      </c>
      <c r="G82" s="23">
        <f>IF(H82=0, "",(I52-60.5))</f>
        <v>6.5</v>
      </c>
      <c r="H82" s="9">
        <f>G52*C44</f>
        <v>1</v>
      </c>
      <c r="I82" s="9">
        <f t="shared" ca="1" si="4"/>
        <v>6</v>
      </c>
      <c r="J82" s="9">
        <f ca="1">visible(engraving(I82), K82)</f>
        <v>2</v>
      </c>
      <c r="K82" s="9" t="b">
        <v>1</v>
      </c>
      <c r="L82" s="3" t="str">
        <f>IF(H83=0, "",(I53-0.5-G51))</f>
        <v/>
      </c>
    </row>
    <row r="83" spans="1:12" x14ac:dyDescent="0.3">
      <c r="A83" s="34">
        <v>4</v>
      </c>
      <c r="B83" s="3" t="str">
        <f>visible(E44, K83)</f>
        <v>دواليب منوع /فرن /أدراج</v>
      </c>
      <c r="C83" s="9">
        <f t="shared" si="5"/>
        <v>20</v>
      </c>
      <c r="D83" s="9" t="str">
        <f ca="1">F58</f>
        <v>يوفيلاك</v>
      </c>
      <c r="E83" s="9" t="s">
        <v>96</v>
      </c>
      <c r="F83" s="9"/>
      <c r="G83" s="9"/>
      <c r="H83" s="9"/>
      <c r="I83" s="9">
        <f t="shared" ca="1" si="4"/>
        <v>6</v>
      </c>
      <c r="J83" s="9">
        <f ca="1">visible(engraving(I83), K83)</f>
        <v>2</v>
      </c>
      <c r="K83" s="9" t="b">
        <v>1</v>
      </c>
      <c r="L83" s="3" t="str">
        <f>IF(H84=0, "",(I54-0.5-G52))</f>
        <v/>
      </c>
    </row>
    <row r="84" spans="1:12" x14ac:dyDescent="0.3">
      <c r="A84" s="34">
        <v>4</v>
      </c>
      <c r="B84" s="3" t="str">
        <f>visible(E44, K84)</f>
        <v>دواليب منوع /فرن /أدراج</v>
      </c>
      <c r="C84" s="9">
        <f t="shared" si="5"/>
        <v>21</v>
      </c>
      <c r="D84" s="9" t="str">
        <f ca="1">F58</f>
        <v>يوفيلاك</v>
      </c>
      <c r="E84" s="9" t="s">
        <v>97</v>
      </c>
      <c r="F84" s="9"/>
      <c r="G84" s="9"/>
      <c r="H84" s="9"/>
      <c r="I84" s="9">
        <f t="shared" ca="1" si="4"/>
        <v>6</v>
      </c>
      <c r="J84" s="9">
        <f ca="1">visible(engraving(I84), K84)</f>
        <v>2</v>
      </c>
      <c r="K84" s="9" t="b">
        <v>1</v>
      </c>
    </row>
    <row r="85" spans="1:12" x14ac:dyDescent="0.3">
      <c r="A85" s="34">
        <v>4</v>
      </c>
      <c r="B85" s="3" t="str">
        <f>visible(E44, K85)</f>
        <v>دواليب منوع /فرن /أدراج</v>
      </c>
      <c r="C85" s="9">
        <f t="shared" si="5"/>
        <v>22</v>
      </c>
      <c r="D85" s="9" t="str">
        <f ca="1">F58</f>
        <v>يوفيلاك</v>
      </c>
      <c r="E85" s="9" t="s">
        <v>90</v>
      </c>
      <c r="F85" s="9">
        <f>IF(H85=0, "",(I54-0.5-G46))</f>
        <v>74</v>
      </c>
      <c r="G85" s="9">
        <f>IF(H85=0, "",((H46/G54)-0.5))</f>
        <v>29.5</v>
      </c>
      <c r="H85" s="9">
        <f>G54*C44</f>
        <v>2</v>
      </c>
      <c r="I85" s="9">
        <f t="shared" ca="1" si="4"/>
        <v>6</v>
      </c>
      <c r="J85" s="9">
        <f ca="1">visible(engraving(I85), K85)</f>
        <v>2</v>
      </c>
      <c r="K85" s="9" t="b">
        <v>1</v>
      </c>
    </row>
    <row r="86" spans="1:12" x14ac:dyDescent="0.3">
      <c r="A86" s="34">
        <v>4</v>
      </c>
      <c r="B86" s="3" t="str">
        <f>visible(E44, K86)</f>
        <v>دواليب منوع /فرن /أدراج</v>
      </c>
      <c r="C86" s="9">
        <f t="shared" si="5"/>
        <v>23</v>
      </c>
      <c r="D86" s="9" t="str">
        <f ca="1">F58</f>
        <v>يوفيلاك</v>
      </c>
      <c r="E86" s="9" t="s">
        <v>91</v>
      </c>
      <c r="F86" s="9" t="str">
        <f>IF(H86=0, "",(I55-0.5-G46))</f>
        <v/>
      </c>
      <c r="G86" s="9" t="str">
        <f>IF(H86=0, "",((H46/G55)-0.5))</f>
        <v/>
      </c>
      <c r="H86" s="9">
        <f>G55*C44</f>
        <v>0</v>
      </c>
      <c r="I86" s="9">
        <f t="shared" ca="1" si="4"/>
        <v>6</v>
      </c>
      <c r="J86" s="9">
        <f ca="1">visible(engraving(I86), K86)</f>
        <v>2</v>
      </c>
      <c r="K86" s="9" t="b">
        <v>1</v>
      </c>
    </row>
    <row r="87" spans="1:12" x14ac:dyDescent="0.3">
      <c r="A87" s="34">
        <v>0</v>
      </c>
      <c r="B87"/>
      <c r="C87"/>
      <c r="D87"/>
      <c r="E87"/>
      <c r="F87"/>
      <c r="G87"/>
      <c r="H87"/>
      <c r="I87"/>
      <c r="J87"/>
      <c r="K87"/>
    </row>
    <row r="88" spans="1:12" x14ac:dyDescent="0.3">
      <c r="A88" s="34">
        <v>0</v>
      </c>
      <c r="B88"/>
      <c r="C88"/>
      <c r="D88"/>
      <c r="E88"/>
      <c r="F88"/>
      <c r="G88"/>
      <c r="H88"/>
      <c r="I88"/>
      <c r="J88"/>
      <c r="K88"/>
    </row>
    <row r="89" spans="1:12" x14ac:dyDescent="0.3">
      <c r="A89" s="34">
        <v>4</v>
      </c>
      <c r="B89" s="3" t="str">
        <f>visible(E44, K89)</f>
        <v>دواليب منوع /فرن /أدراج</v>
      </c>
      <c r="C89" s="9">
        <f>C85+1</f>
        <v>23</v>
      </c>
      <c r="D89" s="9" t="s">
        <v>52</v>
      </c>
      <c r="E89" s="9" t="s">
        <v>71</v>
      </c>
      <c r="F89" s="9" t="str">
        <f>IF(H89=0, "",(I51-0.5-G46))</f>
        <v/>
      </c>
      <c r="G89" s="9" t="str">
        <f>IF(H89=0, "",((H46/G51)-0.5))</f>
        <v/>
      </c>
      <c r="H89" s="9">
        <f>H51*C44</f>
        <v>0</v>
      </c>
      <c r="I89" s="9">
        <f>visible(materialNum(D89), K89)</f>
        <v>-1</v>
      </c>
      <c r="J89" s="9">
        <f>visible(engraving(I89), K89)</f>
        <v>0</v>
      </c>
      <c r="K89" s="9" t="b">
        <v>1</v>
      </c>
    </row>
    <row r="90" spans="1:12" x14ac:dyDescent="0.3">
      <c r="A90" s="34">
        <v>4</v>
      </c>
      <c r="B90" s="3" t="str">
        <f>visible(E44, K90)</f>
        <v>دواليب منوع /فرن /أدراج</v>
      </c>
      <c r="C90" s="9">
        <f>C89+1</f>
        <v>24</v>
      </c>
      <c r="D90" s="9" t="s">
        <v>52</v>
      </c>
      <c r="E90" s="9" t="s">
        <v>98</v>
      </c>
      <c r="F90" s="9" t="str">
        <f>IF(H90=0, "",(I54-0.5))</f>
        <v/>
      </c>
      <c r="G90" s="9" t="str">
        <f>IF(H90=0, "",((H46/H54)-0.5))</f>
        <v/>
      </c>
      <c r="H90" s="9">
        <f>H54*C44</f>
        <v>0</v>
      </c>
      <c r="I90" s="9">
        <f>visible(materialNum(D90), K90)</f>
        <v>-1</v>
      </c>
      <c r="J90" s="9">
        <f>visible(engraving(I90), K90)</f>
        <v>0</v>
      </c>
      <c r="K90" s="9" t="b">
        <v>1</v>
      </c>
    </row>
    <row r="91" spans="1:12" x14ac:dyDescent="0.3">
      <c r="A91" s="34">
        <v>4</v>
      </c>
      <c r="B91" s="3" t="str">
        <f>visible(E44, K91)</f>
        <v>دواليب منوع /فرن /أدراج</v>
      </c>
      <c r="C91" s="9">
        <f>C90+1</f>
        <v>25</v>
      </c>
      <c r="D91" s="9" t="s">
        <v>52</v>
      </c>
      <c r="E91" s="9" t="s">
        <v>99</v>
      </c>
      <c r="F91" s="9" t="str">
        <f>IF(H91=0, "",(I55-0.5))</f>
        <v/>
      </c>
      <c r="G91" s="9" t="str">
        <f>IF(H91=0, "",((H46/H55)-0.5))</f>
        <v/>
      </c>
      <c r="H91" s="9">
        <f>H55*C44</f>
        <v>0</v>
      </c>
      <c r="I91" s="9">
        <f>visible(materialNum(D91), K91)</f>
        <v>-1</v>
      </c>
      <c r="J91" s="9">
        <f>visible(engraving(I91), K91)</f>
        <v>0</v>
      </c>
      <c r="K91" s="9" t="b">
        <v>1</v>
      </c>
    </row>
    <row r="92" spans="1:12" x14ac:dyDescent="0.3">
      <c r="A92" s="34">
        <v>0</v>
      </c>
      <c r="B92"/>
      <c r="C92"/>
      <c r="D92"/>
      <c r="E92"/>
      <c r="F92"/>
      <c r="G92"/>
      <c r="H92"/>
      <c r="I92"/>
      <c r="J92"/>
      <c r="K92"/>
    </row>
    <row r="93" spans="1:12" x14ac:dyDescent="0.3">
      <c r="A93" s="34">
        <v>5</v>
      </c>
      <c r="B93" s="3" t="str">
        <f>visible(E44, K93)</f>
        <v>دواليب منوع /فرن /أدراج</v>
      </c>
      <c r="C93" s="18">
        <f>C90+1</f>
        <v>25</v>
      </c>
      <c r="D93" s="18" t="str">
        <f ca="1">D58</f>
        <v>ظهر</v>
      </c>
      <c r="E93" s="18" t="s">
        <v>57</v>
      </c>
      <c r="F93" s="18">
        <f>I46-2</f>
        <v>218</v>
      </c>
      <c r="G93" s="18">
        <f>H46-2</f>
        <v>58</v>
      </c>
      <c r="H93" s="18">
        <f>1*C44</f>
        <v>1</v>
      </c>
      <c r="I93" s="18">
        <f ca="1">visible(materialNum(D93), K93)</f>
        <v>2</v>
      </c>
      <c r="J93" s="18">
        <f ca="1">visible(engraving(I93), K93)</f>
        <v>2</v>
      </c>
      <c r="K93" s="18" t="b">
        <v>1</v>
      </c>
    </row>
    <row r="94" spans="1:12" x14ac:dyDescent="0.3">
      <c r="A94" s="34">
        <v>255</v>
      </c>
    </row>
    <row r="95" spans="1:12" x14ac:dyDescent="0.3">
      <c r="A95" s="34">
        <v>255</v>
      </c>
    </row>
    <row r="102" spans="2:10" ht="36" hidden="1" customHeight="1" x14ac:dyDescent="0.3">
      <c r="B102" s="3" t="str">
        <f>E102</f>
        <v xml:space="preserve">دواليب  تلبيسة دلفة /دلفتين </v>
      </c>
      <c r="C102" s="13">
        <v>2</v>
      </c>
      <c r="D102" s="21" t="s">
        <v>58</v>
      </c>
      <c r="E102" s="101" t="s">
        <v>63</v>
      </c>
      <c r="F102" s="102"/>
      <c r="G102" s="102"/>
      <c r="H102" s="103"/>
      <c r="I102" s="2" t="s">
        <v>29</v>
      </c>
      <c r="J102" s="2">
        <f>J44+1</f>
        <v>3</v>
      </c>
    </row>
    <row r="103" spans="2:10" ht="31.2" hidden="1" customHeight="1" x14ac:dyDescent="0.3">
      <c r="C103" s="7" t="s">
        <v>12</v>
      </c>
      <c r="D103" s="7"/>
      <c r="E103" s="7" t="s">
        <v>18</v>
      </c>
      <c r="F103" s="7" t="s">
        <v>16</v>
      </c>
      <c r="G103" s="7" t="s">
        <v>47</v>
      </c>
      <c r="H103" s="7" t="s">
        <v>22</v>
      </c>
      <c r="I103" s="7" t="s">
        <v>3</v>
      </c>
      <c r="J103" s="7" t="s">
        <v>2</v>
      </c>
    </row>
    <row r="104" spans="2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2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17" t="b">
        <f>NOT(AND(F104&gt;0,G104&gt;0))</f>
        <v>1</v>
      </c>
      <c r="G105" s="117"/>
      <c r="I105" s="3" t="b">
        <f>_xlfn.XOR(I104&lt;=50,C106=2)</f>
        <v>0</v>
      </c>
    </row>
    <row r="106" spans="2:10" ht="24" hidden="1" customHeight="1" x14ac:dyDescent="0.3">
      <c r="C106" s="117">
        <f>C104+E104</f>
        <v>3</v>
      </c>
      <c r="D106" s="117"/>
      <c r="E106" s="32"/>
      <c r="F106" s="121" t="str">
        <f>IF(F105,"المقابض مظبوطة","مينفعش مقبض مخفي مع بيلت ان")</f>
        <v>المقابض مظبوطة</v>
      </c>
      <c r="G106" s="121"/>
      <c r="H106" s="22"/>
      <c r="I106" s="32" t="str">
        <f>IF(I105,"عدد الدلف صحيح","عدد الدلف غير صحيح")</f>
        <v>عدد الدلف غير صحيح</v>
      </c>
      <c r="J106" s="30"/>
    </row>
    <row r="107" spans="2:10" ht="15.6" hidden="1" customHeight="1" x14ac:dyDescent="0.3">
      <c r="C107" s="117" t="b">
        <f>C106&lt;=2</f>
        <v>0</v>
      </c>
      <c r="D107" s="117"/>
      <c r="E107" s="1"/>
    </row>
    <row r="108" spans="2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32</v>
      </c>
      <c r="J108" s="6" t="s">
        <v>8</v>
      </c>
    </row>
    <row r="109" spans="2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2:10" ht="15.6" hidden="1" customHeight="1" x14ac:dyDescent="0.3">
      <c r="C110" s="6">
        <v>1</v>
      </c>
      <c r="D110" s="6">
        <f>H10</f>
        <v>0</v>
      </c>
      <c r="E110" s="6" t="s">
        <v>48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2:10" ht="15.6" hidden="1" customHeight="1" x14ac:dyDescent="0.3">
      <c r="C111" s="6">
        <f t="shared" ref="C111:C114" si="6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2:10" ht="15.6" hidden="1" customHeight="1" x14ac:dyDescent="0.3">
      <c r="C112" s="6">
        <f t="shared" si="6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6"/>
        <v>4</v>
      </c>
      <c r="D113" s="6">
        <f>D110</f>
        <v>0</v>
      </c>
      <c r="E113" s="6" t="s">
        <v>17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6"/>
        <v>5</v>
      </c>
      <c r="D114" s="6">
        <f>D110</f>
        <v>0</v>
      </c>
      <c r="E114" s="6" t="s">
        <v>23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15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7">C116+1</f>
        <v>7</v>
      </c>
      <c r="D117" s="9">
        <f>D116</f>
        <v>0</v>
      </c>
      <c r="E117" s="9" t="s">
        <v>24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7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8">
        <f>C118+1</f>
        <v>9</v>
      </c>
      <c r="D120" s="18" t="s">
        <v>57</v>
      </c>
      <c r="E120" s="18" t="s">
        <v>57</v>
      </c>
      <c r="F120" s="18">
        <f>I104-2</f>
        <v>78</v>
      </c>
      <c r="G120" s="18">
        <f>H104-2</f>
        <v>118</v>
      </c>
      <c r="H120" s="18">
        <f>1*C102</f>
        <v>2</v>
      </c>
      <c r="I120" s="18">
        <f>F13</f>
        <v>0</v>
      </c>
      <c r="J120" s="18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3">
        <v>1</v>
      </c>
      <c r="D122" s="21" t="s">
        <v>58</v>
      </c>
      <c r="E122" s="101" t="s">
        <v>64</v>
      </c>
      <c r="F122" s="102"/>
      <c r="G122" s="102"/>
      <c r="H122" s="103"/>
      <c r="I122" s="2" t="s">
        <v>29</v>
      </c>
      <c r="J122" s="2">
        <f>J102+1</f>
        <v>4</v>
      </c>
    </row>
    <row r="123" spans="2:10" ht="31.2" hidden="1" customHeight="1" x14ac:dyDescent="0.3">
      <c r="C123" s="7"/>
      <c r="D123" s="7" t="s">
        <v>18</v>
      </c>
      <c r="E123" s="7"/>
      <c r="F123" s="7" t="s">
        <v>16</v>
      </c>
      <c r="G123" s="7" t="s">
        <v>47</v>
      </c>
      <c r="H123" s="7" t="s">
        <v>22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17" t="b">
        <f>NOT(AND(F124&gt;0,G124&gt;0))</f>
        <v>1</v>
      </c>
      <c r="G125" s="117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21" t="str">
        <f>IF(F125,"المقابض مظبوطة","مينفعش مقبض مخفي مع بيلت ان")</f>
        <v>المقابض مظبوطة</v>
      </c>
      <c r="G126" s="121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32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48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59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60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26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8">C134+1</f>
        <v>6</v>
      </c>
      <c r="D135" s="6">
        <f>D130</f>
        <v>0</v>
      </c>
      <c r="E135" s="6" t="s">
        <v>17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27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9">C137+1</f>
        <v>8</v>
      </c>
      <c r="D138" s="9">
        <f>D137</f>
        <v>0</v>
      </c>
      <c r="E138" s="9" t="s">
        <v>40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8">
        <f>C138+1</f>
        <v>9</v>
      </c>
      <c r="D140" s="18" t="s">
        <v>57</v>
      </c>
      <c r="E140" s="18" t="s">
        <v>57</v>
      </c>
      <c r="F140" s="18">
        <f>I124-2</f>
        <v>78</v>
      </c>
      <c r="G140" s="18">
        <f>H124-2</f>
        <v>68</v>
      </c>
      <c r="H140" s="18">
        <f>2*C122</f>
        <v>2</v>
      </c>
      <c r="I140" s="18">
        <f>F13</f>
        <v>0</v>
      </c>
      <c r="J140" s="18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3">
        <v>2</v>
      </c>
      <c r="D142" s="21" t="s">
        <v>58</v>
      </c>
      <c r="E142" s="101" t="s">
        <v>65</v>
      </c>
      <c r="F142" s="102"/>
      <c r="G142" s="102"/>
      <c r="H142" s="103"/>
      <c r="I142" s="2" t="s">
        <v>29</v>
      </c>
      <c r="J142" s="2">
        <f>J122+1</f>
        <v>5</v>
      </c>
    </row>
    <row r="143" spans="2:10" ht="31.2" hidden="1" customHeight="1" x14ac:dyDescent="0.3">
      <c r="C143" s="7"/>
      <c r="D143" s="7" t="s">
        <v>18</v>
      </c>
      <c r="E143" s="7"/>
      <c r="F143" s="7" t="s">
        <v>16</v>
      </c>
      <c r="G143" s="7" t="s">
        <v>47</v>
      </c>
      <c r="H143" s="7" t="s">
        <v>22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17" t="b">
        <f>NOT(AND(F144&gt;0,G144&gt;0))</f>
        <v>1</v>
      </c>
      <c r="G145" s="117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21" t="str">
        <f>IF(F145,"المقابض مظبوطة","مينفعش مقبض مخفي مع بيلت ان")</f>
        <v>المقابض مظبوطة</v>
      </c>
      <c r="G146" s="121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32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48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59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60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26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10">C154+1</f>
        <v>6</v>
      </c>
      <c r="D155" s="6">
        <f>D150</f>
        <v>0</v>
      </c>
      <c r="E155" s="6" t="s">
        <v>17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27</v>
      </c>
      <c r="F157" s="9">
        <f>I144-0.5-F144</f>
        <v>76</v>
      </c>
      <c r="G157" s="16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11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8">
        <f>C158+1</f>
        <v>9</v>
      </c>
      <c r="D160" s="18" t="s">
        <v>57</v>
      </c>
      <c r="E160" s="18" t="s">
        <v>57</v>
      </c>
      <c r="F160" s="18">
        <f>I144-2</f>
        <v>78</v>
      </c>
      <c r="G160" s="18">
        <f>H144-2</f>
        <v>58</v>
      </c>
      <c r="H160" s="18">
        <f>1*C142</f>
        <v>2</v>
      </c>
      <c r="I160" s="18">
        <f>F13</f>
        <v>0</v>
      </c>
      <c r="J160" s="18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23" t="s">
        <v>41</v>
      </c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</row>
  </sheetData>
  <mergeCells count="23">
    <mergeCell ref="C24:D24"/>
    <mergeCell ref="F145:G145"/>
    <mergeCell ref="C2:K2"/>
    <mergeCell ref="C4:N4"/>
    <mergeCell ref="C7:N7"/>
    <mergeCell ref="C277:N277"/>
    <mergeCell ref="J23:J24"/>
    <mergeCell ref="C56:D56"/>
    <mergeCell ref="J56:J57"/>
    <mergeCell ref="C57:D57"/>
    <mergeCell ref="F146:G146"/>
    <mergeCell ref="E102:H102"/>
    <mergeCell ref="F105:G105"/>
    <mergeCell ref="C106:D106"/>
    <mergeCell ref="F106:G106"/>
    <mergeCell ref="C107:D107"/>
    <mergeCell ref="E44:H44"/>
    <mergeCell ref="C23:D23"/>
    <mergeCell ref="E122:H122"/>
    <mergeCell ref="F125:G125"/>
    <mergeCell ref="F126:G126"/>
    <mergeCell ref="E142:H142"/>
    <mergeCell ref="E17:H17"/>
  </mergeCells>
  <conditionalFormatting sqref="C24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7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5:F105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5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5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4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7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5 C107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76200</xdr:colOff>
                    <xdr:row>10</xdr:row>
                    <xdr:rowOff>76200</xdr:rowOff>
                  </from>
                  <to>
                    <xdr:col>11</xdr:col>
                    <xdr:colOff>45720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76200</xdr:rowOff>
                  </from>
                  <to>
                    <xdr:col>4</xdr:col>
                    <xdr:colOff>754380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891540</xdr:colOff>
                    <xdr:row>10</xdr:row>
                    <xdr:rowOff>76200</xdr:rowOff>
                  </from>
                  <to>
                    <xdr:col>7</xdr:col>
                    <xdr:colOff>601980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251460</xdr:colOff>
                    <xdr:row>10</xdr:row>
                    <xdr:rowOff>76200</xdr:rowOff>
                  </from>
                  <to>
                    <xdr:col>14</xdr:col>
                    <xdr:colOff>289560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24" activePane="bottomLeft" state="frozen"/>
      <selection activeCell="B1" sqref="B1"/>
      <selection pane="bottomLeft" activeCell="B47" sqref="B47"/>
    </sheetView>
  </sheetViews>
  <sheetFormatPr defaultRowHeight="15.6" x14ac:dyDescent="0.3"/>
  <cols>
    <col min="1" max="1" width="9" style="35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7" customFormat="1" x14ac:dyDescent="0.3">
      <c r="A1" s="86">
        <v>13</v>
      </c>
      <c r="B1" s="87">
        <v>3</v>
      </c>
    </row>
    <row r="2" spans="1:23" s="87" customFormat="1" ht="31.2" customHeight="1" x14ac:dyDescent="0.3">
      <c r="A2" s="86">
        <v>20</v>
      </c>
      <c r="B2" s="87" t="s">
        <v>116</v>
      </c>
      <c r="C2" s="111" t="s">
        <v>100</v>
      </c>
      <c r="D2" s="111"/>
      <c r="E2" s="111"/>
      <c r="F2" s="111"/>
      <c r="G2" s="111"/>
      <c r="H2" s="111"/>
      <c r="I2" s="111"/>
      <c r="J2" s="111"/>
      <c r="K2" s="111"/>
    </row>
    <row r="3" spans="1:23" s="87" customFormat="1" x14ac:dyDescent="0.3">
      <c r="A3" s="86"/>
      <c r="B3" s="87" t="s">
        <v>148</v>
      </c>
      <c r="R3" s="88"/>
      <c r="S3" s="88"/>
      <c r="T3" s="88"/>
      <c r="U3" s="88"/>
      <c r="V3" s="88"/>
      <c r="W3" s="88"/>
    </row>
    <row r="4" spans="1:23" s="87" customFormat="1" ht="21" x14ac:dyDescent="0.4">
      <c r="A4" s="86"/>
      <c r="C4" s="110" t="s">
        <v>174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R4" s="88"/>
      <c r="S4" s="88"/>
      <c r="T4" s="88"/>
      <c r="U4" s="88"/>
      <c r="V4" s="88"/>
      <c r="W4" s="88"/>
    </row>
    <row r="5" spans="1:23" s="87" customFormat="1" x14ac:dyDescent="0.3">
      <c r="A5" s="86"/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</row>
    <row r="6" spans="1:23" s="87" customFormat="1" x14ac:dyDescent="0.3">
      <c r="A6" s="86"/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</row>
    <row r="7" spans="1:23" s="87" customFormat="1" ht="21" x14ac:dyDescent="0.4">
      <c r="A7" s="86"/>
      <c r="C7" s="110" t="s">
        <v>160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</row>
    <row r="8" spans="1:23" s="87" customFormat="1" x14ac:dyDescent="0.3">
      <c r="A8" s="86"/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</row>
    <row r="9" spans="1:23" s="87" customFormat="1" x14ac:dyDescent="0.3">
      <c r="A9" s="86"/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</row>
    <row r="10" spans="1:23" s="87" customFormat="1" ht="18" x14ac:dyDescent="0.3">
      <c r="A10" s="89"/>
      <c r="B10" s="89"/>
      <c r="C10" s="89"/>
      <c r="D10" s="89"/>
      <c r="E10" s="90"/>
      <c r="F10" s="90"/>
      <c r="G10" s="90"/>
      <c r="H10" s="90"/>
      <c r="I10" s="89"/>
      <c r="J10" s="89"/>
      <c r="K10" s="89"/>
      <c r="L10" s="89"/>
      <c r="M10" s="89"/>
    </row>
    <row r="11" spans="1:23" s="87" customFormat="1" ht="18" x14ac:dyDescent="0.3">
      <c r="A11" s="89"/>
      <c r="B11" s="89"/>
      <c r="C11" s="89"/>
      <c r="D11" s="89"/>
      <c r="E11" s="90"/>
      <c r="F11" s="90"/>
      <c r="G11" s="90"/>
      <c r="H11" s="90"/>
      <c r="I11" s="89"/>
      <c r="J11" s="89"/>
      <c r="K11" s="89"/>
      <c r="L11" s="89"/>
      <c r="M11" s="89"/>
    </row>
    <row r="12" spans="1:23" s="90" customFormat="1" ht="18" x14ac:dyDescent="0.3">
      <c r="A12" s="91"/>
    </row>
    <row r="13" spans="1:23" customFormat="1" x14ac:dyDescent="0.3">
      <c r="A13" s="77"/>
    </row>
    <row r="14" spans="1:23" customFormat="1" x14ac:dyDescent="0.3">
      <c r="A14" s="36"/>
    </row>
    <row r="17" spans="1:62" ht="18" x14ac:dyDescent="0.3">
      <c r="A17" s="35" t="s">
        <v>126</v>
      </c>
      <c r="B17" s="14"/>
      <c r="C17" s="13">
        <v>1</v>
      </c>
      <c r="D17" s="21" t="s">
        <v>58</v>
      </c>
      <c r="E17" s="101" t="s">
        <v>141</v>
      </c>
      <c r="F17" s="102"/>
      <c r="G17" s="102"/>
      <c r="H17" s="103"/>
      <c r="I17" s="2" t="s">
        <v>29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1</v>
      </c>
      <c r="B18" s="14"/>
      <c r="C18" s="7"/>
      <c r="D18" s="17"/>
      <c r="E18" s="26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22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5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5">
        <v>2</v>
      </c>
      <c r="B20" s="14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32</v>
      </c>
      <c r="J20" s="6" t="s">
        <v>172</v>
      </c>
      <c r="K20" s="6" t="s">
        <v>155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4">
        <v>4</v>
      </c>
      <c r="B22" s="14" t="str">
        <f>visible(E17, K22)</f>
        <v>تجليدة سفلية</v>
      </c>
      <c r="C22" s="9">
        <f>visible(1,K22)</f>
        <v>1</v>
      </c>
      <c r="D22" s="9" t="str">
        <f ca="1">E18</f>
        <v>يوفيلاك</v>
      </c>
      <c r="E22" s="9" t="s">
        <v>112</v>
      </c>
      <c r="F22" s="9"/>
      <c r="G22" s="9">
        <f>G18</f>
        <v>62</v>
      </c>
      <c r="H22" s="9"/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4">
        <v>4</v>
      </c>
      <c r="B23" s="14" t="str">
        <f>visible(E17, K23)</f>
        <v>تجليدة سفلية</v>
      </c>
      <c r="C23" s="9">
        <f>visible(2,K23)</f>
        <v>2</v>
      </c>
      <c r="D23" s="9" t="str">
        <f ca="1">E18</f>
        <v>يوفيلاك</v>
      </c>
      <c r="E23" s="9" t="s">
        <v>112</v>
      </c>
      <c r="F23" s="9"/>
      <c r="G23" s="9">
        <f>G18</f>
        <v>62</v>
      </c>
      <c r="H23" s="9"/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4">
        <v>4</v>
      </c>
      <c r="B24" s="14" t="str">
        <f>visible(E17, K24)</f>
        <v>تجليدة سفلية</v>
      </c>
      <c r="C24" s="9">
        <f>visible(3,K24)</f>
        <v>3</v>
      </c>
      <c r="D24" s="9" t="str">
        <f ca="1">E18</f>
        <v>يوفيلاك</v>
      </c>
      <c r="E24" s="9" t="s">
        <v>112</v>
      </c>
      <c r="F24" s="9"/>
      <c r="G24" s="9">
        <f>G18</f>
        <v>62</v>
      </c>
      <c r="H24" s="9"/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4">
        <v>4</v>
      </c>
      <c r="B25" s="14" t="str">
        <f>visible(E17, K25)</f>
        <v>تجليدة سفلية</v>
      </c>
      <c r="C25" s="9">
        <f>visible(4,K25)</f>
        <v>4</v>
      </c>
      <c r="D25" s="9" t="str">
        <f ca="1">E18</f>
        <v>يوفيلاك</v>
      </c>
      <c r="E25" s="9" t="s">
        <v>112</v>
      </c>
      <c r="F25" s="9"/>
      <c r="G25" s="9">
        <f>G18</f>
        <v>62</v>
      </c>
      <c r="H25" s="9"/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4">
        <v>4</v>
      </c>
      <c r="B26" s="14" t="str">
        <f>visible(E17, K26)</f>
        <v>تجليدة سفلية</v>
      </c>
      <c r="C26" s="9">
        <f>visible(5,K26)</f>
        <v>5</v>
      </c>
      <c r="D26" s="9" t="str">
        <f ca="1">E18</f>
        <v>يوفيلاك</v>
      </c>
      <c r="E26" s="9" t="s">
        <v>112</v>
      </c>
      <c r="F26" s="9"/>
      <c r="G26" s="9">
        <f>G18</f>
        <v>62</v>
      </c>
      <c r="H26" s="9"/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4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9">
        <v>255</v>
      </c>
    </row>
    <row r="29" spans="1:62" ht="18" x14ac:dyDescent="0.3">
      <c r="A29" s="35" t="s">
        <v>131</v>
      </c>
      <c r="B29" s="14"/>
      <c r="C29" s="13">
        <v>1</v>
      </c>
      <c r="D29" s="21" t="s">
        <v>58</v>
      </c>
      <c r="E29" s="101" t="s">
        <v>142</v>
      </c>
      <c r="F29" s="102"/>
      <c r="G29" s="102"/>
      <c r="H29" s="103"/>
      <c r="I29" s="2" t="s">
        <v>29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1</v>
      </c>
      <c r="B30" s="14"/>
      <c r="C30" s="7"/>
      <c r="D30" s="17"/>
      <c r="E30" s="26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22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5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5">
        <v>2</v>
      </c>
      <c r="B32" s="14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32</v>
      </c>
      <c r="J32" s="6" t="s">
        <v>172</v>
      </c>
      <c r="K32" s="6" t="s">
        <v>155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4">
        <v>4</v>
      </c>
      <c r="B34" s="14" t="str">
        <f>visible(E29, K34)</f>
        <v>تجليدة علوية</v>
      </c>
      <c r="C34" s="9">
        <f>visible(1,K34)</f>
        <v>1</v>
      </c>
      <c r="D34" s="9" t="str">
        <f ca="1">E30</f>
        <v>يوفيلاك</v>
      </c>
      <c r="E34" s="9" t="s">
        <v>112</v>
      </c>
      <c r="F34" s="9"/>
      <c r="G34" s="9">
        <f>G30</f>
        <v>32</v>
      </c>
      <c r="H34" s="9"/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4">
        <v>4</v>
      </c>
      <c r="B35" s="14" t="str">
        <f>visible(E29, K35)</f>
        <v>تجليدة علوية</v>
      </c>
      <c r="C35" s="9">
        <f>visible(2,K35)</f>
        <v>2</v>
      </c>
      <c r="D35" s="9" t="str">
        <f ca="1">E30</f>
        <v>يوفيلاك</v>
      </c>
      <c r="E35" s="9" t="s">
        <v>112</v>
      </c>
      <c r="F35" s="9"/>
      <c r="G35" s="9">
        <f>G30</f>
        <v>32</v>
      </c>
      <c r="H35" s="9"/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4">
        <v>4</v>
      </c>
      <c r="B36" s="14" t="str">
        <f>visible(E29, K36)</f>
        <v>تجليدة علوية</v>
      </c>
      <c r="C36" s="9">
        <f>visible(3,K36)</f>
        <v>3</v>
      </c>
      <c r="D36" s="9" t="str">
        <f ca="1">E30</f>
        <v>يوفيلاك</v>
      </c>
      <c r="E36" s="9" t="s">
        <v>112</v>
      </c>
      <c r="F36" s="9"/>
      <c r="G36" s="9">
        <f>G30</f>
        <v>32</v>
      </c>
      <c r="H36" s="9"/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4">
        <v>4</v>
      </c>
      <c r="B37" s="14" t="str">
        <f>visible(E29, K37)</f>
        <v>تجليدة علوية</v>
      </c>
      <c r="C37" s="9">
        <f>visible(4,K37)</f>
        <v>4</v>
      </c>
      <c r="D37" s="9" t="str">
        <f ca="1">E30</f>
        <v>يوفيلاك</v>
      </c>
      <c r="E37" s="9" t="s">
        <v>112</v>
      </c>
      <c r="F37" s="9"/>
      <c r="G37" s="9">
        <f>G30</f>
        <v>32</v>
      </c>
      <c r="H37" s="9"/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4">
        <v>4</v>
      </c>
      <c r="B38" s="14" t="str">
        <f>visible(E29, K38)</f>
        <v>تجليدة علوية</v>
      </c>
      <c r="C38" s="9">
        <f>visible(5,K38)</f>
        <v>5</v>
      </c>
      <c r="D38" s="9" t="str">
        <f ca="1">E30</f>
        <v>يوفيلاك</v>
      </c>
      <c r="E38" s="9" t="s">
        <v>112</v>
      </c>
      <c r="F38" s="9"/>
      <c r="G38" s="9">
        <f>G30</f>
        <v>32</v>
      </c>
      <c r="H38" s="9"/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9">
        <v>255</v>
      </c>
    </row>
    <row r="40" spans="1:62" customFormat="1" ht="14.4" x14ac:dyDescent="0.3">
      <c r="A40" s="39">
        <v>255</v>
      </c>
    </row>
    <row r="41" spans="1:62" ht="18" x14ac:dyDescent="0.3">
      <c r="A41" s="35" t="s">
        <v>127</v>
      </c>
      <c r="B41" s="14"/>
      <c r="C41" s="13">
        <v>1</v>
      </c>
      <c r="D41" s="21" t="s">
        <v>58</v>
      </c>
      <c r="E41" s="101" t="s">
        <v>143</v>
      </c>
      <c r="F41" s="102"/>
      <c r="G41" s="102"/>
      <c r="H41" s="103"/>
      <c r="I41" s="2" t="s">
        <v>29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1</v>
      </c>
      <c r="B42" s="14"/>
      <c r="C42" s="7"/>
      <c r="D42" s="17"/>
      <c r="E42" s="26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22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5">
        <v>2</v>
      </c>
      <c r="B44" s="14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32</v>
      </c>
      <c r="J44" s="6" t="s">
        <v>172</v>
      </c>
      <c r="K44" s="6" t="s">
        <v>155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4">
        <v>4</v>
      </c>
      <c r="B46" s="14" t="str">
        <f>visible(E41, K46)</f>
        <v>تجليدة مختلفة</v>
      </c>
      <c r="C46" s="9">
        <f>visible(1,K46)</f>
        <v>1</v>
      </c>
      <c r="D46" s="9" t="str">
        <f ca="1">E42</f>
        <v>يوفيلاك</v>
      </c>
      <c r="E46" s="9" t="s">
        <v>112</v>
      </c>
      <c r="F46" s="9"/>
      <c r="G46" s="9">
        <f>G42</f>
        <v>20</v>
      </c>
      <c r="H46" s="9"/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4">
        <v>4</v>
      </c>
      <c r="B47" s="14" t="str">
        <f>visible(E41, K47)</f>
        <v>تجليدة مختلفة</v>
      </c>
      <c r="C47" s="9">
        <f>visible(2,K47)</f>
        <v>2</v>
      </c>
      <c r="D47" s="9" t="str">
        <f ca="1">E42</f>
        <v>يوفيلاك</v>
      </c>
      <c r="E47" s="9" t="s">
        <v>112</v>
      </c>
      <c r="F47" s="9"/>
      <c r="G47" s="9">
        <f>G42</f>
        <v>20</v>
      </c>
      <c r="H47" s="9"/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4">
        <v>4</v>
      </c>
      <c r="B48" s="14" t="str">
        <f>visible(E41, K48)</f>
        <v>تجليدة مختلفة</v>
      </c>
      <c r="C48" s="9">
        <f>visible(3,K48)</f>
        <v>3</v>
      </c>
      <c r="D48" s="9" t="str">
        <f ca="1">E42</f>
        <v>يوفيلاك</v>
      </c>
      <c r="E48" s="9" t="s">
        <v>112</v>
      </c>
      <c r="F48" s="9"/>
      <c r="G48" s="9">
        <f>G42</f>
        <v>20</v>
      </c>
      <c r="H48" s="9"/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4">
        <v>4</v>
      </c>
      <c r="B49" s="14" t="str">
        <f>visible(E41, K49)</f>
        <v>تجليدة مختلفة</v>
      </c>
      <c r="C49" s="9">
        <f>visible(4,K49)</f>
        <v>4</v>
      </c>
      <c r="D49" s="9" t="str">
        <f ca="1">E42</f>
        <v>يوفيلاك</v>
      </c>
      <c r="E49" s="9" t="s">
        <v>112</v>
      </c>
      <c r="F49" s="9"/>
      <c r="G49" s="9">
        <f>G42</f>
        <v>20</v>
      </c>
      <c r="H49" s="9"/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4">
        <v>4</v>
      </c>
      <c r="B50" s="14" t="str">
        <f>visible(E41, K50)</f>
        <v>تجليدة مختلفة</v>
      </c>
      <c r="C50" s="9">
        <f>visible(5,K50)</f>
        <v>5</v>
      </c>
      <c r="D50" s="9" t="str">
        <f ca="1">E42</f>
        <v>يوفيلاك</v>
      </c>
      <c r="E50" s="9" t="s">
        <v>112</v>
      </c>
      <c r="F50" s="9"/>
      <c r="G50" s="9">
        <f>G42</f>
        <v>20</v>
      </c>
      <c r="H50" s="9"/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9">
        <v>255</v>
      </c>
    </row>
    <row r="52" spans="1:62" customFormat="1" ht="14.4" x14ac:dyDescent="0.3">
      <c r="A52" s="39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N4"/>
    <mergeCell ref="C7:N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68580</xdr:colOff>
                    <xdr:row>10</xdr:row>
                    <xdr:rowOff>7620</xdr:rowOff>
                  </from>
                  <to>
                    <xdr:col>10</xdr:col>
                    <xdr:colOff>434340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91440</xdr:colOff>
                    <xdr:row>9</xdr:row>
                    <xdr:rowOff>213360</xdr:rowOff>
                  </from>
                  <to>
                    <xdr:col>14</xdr:col>
                    <xdr:colOff>259080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2024-09-23T14:02:51Z</dcterms:modified>
</cp:coreProperties>
</file>