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CCE7594A-AA75-487D-8821-CF4CC0150C84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11" l="1"/>
  <c r="F28" i="11" a="1"/>
  <c r="C21" i="11" a="1"/>
  <c r="B26" i="11" a="1"/>
  <c r="J28" i="11" a="1"/>
  <c r="G26" i="11" a="1"/>
  <c r="J25" i="11" a="1"/>
  <c r="G23" i="11" a="1"/>
  <c r="J22" i="11" a="1"/>
  <c r="G21" i="11" a="1"/>
  <c r="J20" i="11" a="1"/>
  <c r="E14" i="11" a="1"/>
  <c r="F26" i="11" a="1"/>
  <c r="C25" i="11" a="1"/>
  <c r="F23" i="11" a="1"/>
  <c r="C22" i="11" a="1"/>
  <c r="C20" i="11" a="1"/>
  <c r="B20" i="11" a="1"/>
  <c r="G25" i="11" a="1"/>
  <c r="J21" i="11" a="1"/>
  <c r="G16" i="11" a="1"/>
  <c r="C26" i="11" a="1"/>
  <c r="F20" i="11" a="1"/>
  <c r="B23" i="11" a="1"/>
  <c r="E20" i="11" a="1"/>
  <c r="C28" i="11" a="1"/>
  <c r="F21" i="11" a="1"/>
  <c r="J13" i="11"/>
  <c r="G22" i="11" a="1"/>
  <c r="G20" i="11" a="1"/>
  <c r="C23" i="11" a="1"/>
  <c r="E25" i="11" a="1"/>
  <c r="H21" i="11" a="1"/>
  <c r="J26" i="11" a="1"/>
  <c r="I14" i="11" a="1"/>
  <c r="E28" i="11" a="1"/>
  <c r="B21" i="11" a="1"/>
  <c r="H28" i="11" a="1"/>
  <c r="B28" i="11" a="1"/>
  <c r="E26" i="11" a="1"/>
  <c r="H25" i="11" a="1"/>
  <c r="B25" i="11" a="1"/>
  <c r="E23" i="11" a="1"/>
  <c r="H22" i="11" a="1"/>
  <c r="B22" i="11" a="1"/>
  <c r="E21" i="11" a="1"/>
  <c r="H20" i="11" a="1"/>
  <c r="G28" i="11" a="1"/>
  <c r="J23" i="11" a="1"/>
  <c r="F25" i="11" a="1"/>
  <c r="F22" i="11" a="1"/>
  <c r="H23" i="11" a="1"/>
  <c r="G14" i="11" a="1"/>
  <c r="E22" i="11" a="1"/>
  <c r="H26" i="11" a="1"/>
  <c r="O22" i="8" a="1"/>
  <c r="H26" i="11" l="1"/>
  <c r="E22" i="11"/>
  <c r="G14" i="11"/>
  <c r="H23" i="11"/>
  <c r="F22" i="11"/>
  <c r="F25" i="11"/>
  <c r="J23" i="11"/>
  <c r="G28" i="11"/>
  <c r="H20" i="11"/>
  <c r="E21" i="11"/>
  <c r="B22" i="11"/>
  <c r="H22" i="11"/>
  <c r="E23" i="11"/>
  <c r="B25" i="11"/>
  <c r="H25" i="11"/>
  <c r="E26" i="11"/>
  <c r="B28" i="11"/>
  <c r="H28" i="11"/>
  <c r="B21" i="11"/>
  <c r="E28" i="11"/>
  <c r="I14" i="11"/>
  <c r="J26" i="11"/>
  <c r="H21" i="11"/>
  <c r="E25" i="11"/>
  <c r="C23" i="11"/>
  <c r="G20" i="11"/>
  <c r="G22" i="11"/>
  <c r="F21" i="11"/>
  <c r="C28" i="11"/>
  <c r="E20" i="11"/>
  <c r="B23" i="11"/>
  <c r="F20" i="11"/>
  <c r="C26" i="11"/>
  <c r="G16" i="11"/>
  <c r="J21" i="11"/>
  <c r="G25" i="11"/>
  <c r="B20" i="11"/>
  <c r="C20" i="11"/>
  <c r="C22" i="11"/>
  <c r="F23" i="11"/>
  <c r="C25" i="11"/>
  <c r="F26" i="11"/>
  <c r="E14" i="11"/>
  <c r="J20" i="11"/>
  <c r="G21" i="11"/>
  <c r="J22" i="11"/>
  <c r="G23" i="11"/>
  <c r="J25" i="11"/>
  <c r="G26" i="11"/>
  <c r="J28" i="11"/>
  <c r="B26" i="11"/>
  <c r="C21" i="11"/>
  <c r="F28" i="11"/>
  <c r="O22" i="8"/>
  <c r="D26" i="11" a="1"/>
  <c r="D25" i="11" a="1"/>
  <c r="D21" i="11" a="1"/>
  <c r="D23" i="11" a="1"/>
  <c r="D20" i="11" a="1"/>
  <c r="D22" i="11" a="1"/>
  <c r="D28" i="11" a="1"/>
  <c r="O23" i="8" a="1"/>
  <c r="D28" i="11" l="1"/>
  <c r="D22" i="11"/>
  <c r="D20" i="11"/>
  <c r="D23" i="11"/>
  <c r="D21" i="11"/>
  <c r="D25" i="11"/>
  <c r="D26" i="11"/>
  <c r="O23" i="8"/>
  <c r="I28" i="11" a="1"/>
  <c r="I22" i="11" a="1"/>
  <c r="I20" i="11" a="1"/>
  <c r="I23" i="11" a="1"/>
  <c r="I21" i="11" a="1"/>
  <c r="I25" i="11" a="1"/>
  <c r="I26" i="11" a="1"/>
  <c r="O24" i="8" a="1"/>
  <c r="I26" i="11" l="1"/>
  <c r="I25" i="11"/>
  <c r="I21" i="11"/>
  <c r="I23" i="11"/>
  <c r="I20" i="11"/>
  <c r="I22" i="11"/>
  <c r="I28" i="11"/>
  <c r="O24" i="8"/>
  <c r="O25" i="8" a="1"/>
  <c r="O25" i="8"/>
  <c r="O26" i="8" a="1"/>
  <c r="O26" i="8"/>
  <c r="O27" i="8" a="1"/>
  <c r="O27" i="8"/>
  <c r="O28" i="8" a="1"/>
  <c r="O28" i="8"/>
  <c r="O29" i="8" a="1"/>
  <c r="O29" i="8"/>
  <c r="O30" i="8" a="1"/>
  <c r="O30" i="8"/>
  <c r="O31" i="8" a="1"/>
  <c r="O31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R19" i="8" a="1"/>
  <c r="L21" i="8" a="1"/>
  <c r="L20" i="8" a="1"/>
  <c r="L19" i="8" a="1"/>
  <c r="O21" i="8" a="1"/>
  <c r="O20" i="8" a="1"/>
  <c r="O19" i="8" a="1"/>
  <c r="I26" i="8" a="1"/>
  <c r="I23" i="8" a="1"/>
  <c r="I22" i="8" a="1"/>
  <c r="F26" i="8" a="1"/>
  <c r="F25" i="8" a="1"/>
  <c r="F24" i="8" a="1"/>
  <c r="F21" i="8" a="1"/>
  <c r="F19" i="8" a="1"/>
  <c r="F20" i="8" a="1"/>
  <c r="R19" i="8" l="1"/>
  <c r="L21" i="8"/>
  <c r="L20" i="8"/>
  <c r="L19" i="8"/>
  <c r="O21" i="8"/>
  <c r="O19" i="8"/>
  <c r="O20" i="8"/>
  <c r="I26" i="8"/>
  <c r="I23" i="8"/>
  <c r="I22" i="8"/>
  <c r="F26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C162" i="3" s="1"/>
  <c r="C163" i="3" s="1"/>
  <c r="C164" i="3" s="1"/>
  <c r="C166" i="3" s="1"/>
  <c r="C167" i="3" s="1"/>
  <c r="H157" i="3"/>
  <c r="F157" i="3"/>
  <c r="B157" i="3"/>
  <c r="B161" i="3" s="1"/>
  <c r="I20" i="8" a="1"/>
  <c r="I21" i="8" a="1"/>
  <c r="I25" i="8" a="1"/>
  <c r="I24" i="8" a="1"/>
  <c r="R31" i="8" a="1"/>
  <c r="F30" i="8" a="1"/>
  <c r="I30" i="8" a="1"/>
  <c r="R28" i="8" a="1"/>
  <c r="R24" i="8" a="1"/>
  <c r="I31" i="8" a="1"/>
  <c r="L27" i="8" a="1"/>
  <c r="R25" i="8" a="1"/>
  <c r="R29" i="8" a="1"/>
  <c r="I27" i="8" a="1"/>
  <c r="I28" i="8" a="1"/>
  <c r="F29" i="8" a="1"/>
  <c r="R27" i="8" a="1"/>
  <c r="R30" i="8" a="1"/>
  <c r="F31" i="8" a="1"/>
  <c r="F27" i="8" a="1"/>
  <c r="I29" i="8" a="1"/>
  <c r="J127" i="7"/>
  <c r="J31" i="7"/>
  <c r="J37" i="6"/>
  <c r="L31" i="8" a="1"/>
  <c r="L25" i="8" a="1"/>
  <c r="J25" i="6"/>
  <c r="R21" i="8" a="1"/>
  <c r="R20" i="8" a="1"/>
  <c r="L28" i="8" a="1"/>
  <c r="L29" i="8" a="1"/>
  <c r="R22" i="8" a="1"/>
  <c r="L24" i="8" a="1"/>
  <c r="R26" i="8" a="1"/>
  <c r="L30" i="8" a="1"/>
  <c r="F28" i="8" a="1"/>
  <c r="J79" i="4"/>
  <c r="R23" i="8" a="1"/>
  <c r="J150" i="3"/>
  <c r="I152" i="4" a="1"/>
  <c r="G105" i="4" a="1"/>
  <c r="J105" i="4" a="1"/>
  <c r="I57" i="4" a="1"/>
  <c r="I105" i="4" a="1"/>
  <c r="I81" i="4" a="1"/>
  <c r="G81" i="4" a="1"/>
  <c r="J36" i="4" a="1"/>
  <c r="G152" i="4" a="1"/>
  <c r="G57" i="4" a="1"/>
  <c r="J57" i="4" a="1"/>
  <c r="I132" i="4" a="1"/>
  <c r="G36" i="4" a="1"/>
  <c r="I131" i="4" a="1"/>
  <c r="J15" i="4" a="1"/>
  <c r="J81" i="4" a="1"/>
  <c r="G131" i="4" a="1"/>
  <c r="I15" i="4" a="1"/>
  <c r="J152" i="4" a="1"/>
  <c r="J106" i="4" a="1"/>
  <c r="J131" i="4" a="1"/>
  <c r="J132" i="4" a="1"/>
  <c r="I36" i="4" a="1"/>
  <c r="I106" i="4" a="1"/>
  <c r="G15" i="4" a="1"/>
  <c r="I21" i="8" l="1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86" i="7"/>
  <c r="J13" i="7"/>
  <c r="J150" i="4"/>
  <c r="J107" i="7"/>
  <c r="J129" i="4"/>
  <c r="J103" i="4"/>
  <c r="J55" i="4"/>
  <c r="J66" i="7"/>
  <c r="J13" i="4"/>
  <c r="J34" i="4"/>
  <c r="J13" i="6"/>
  <c r="J13" i="5"/>
  <c r="J40" i="5"/>
  <c r="J66" i="3"/>
  <c r="J31" i="3"/>
  <c r="J127" i="3"/>
  <c r="J107" i="3"/>
  <c r="J86" i="3"/>
  <c r="J13" i="3"/>
  <c r="E15" i="3" a="1"/>
  <c r="E109" i="3" a="1"/>
  <c r="J109" i="7" a="1"/>
  <c r="J34" i="7" a="1"/>
  <c r="I15" i="3" a="1"/>
  <c r="J129" i="3" a="1"/>
  <c r="E129" i="3" a="1"/>
  <c r="I88" i="7" a="1"/>
  <c r="F152" i="4" a="1"/>
  <c r="I109" i="7" a="1"/>
  <c r="J110" i="7" a="1"/>
  <c r="G152" i="3" a="1"/>
  <c r="J15" i="3" a="1"/>
  <c r="I34" i="3" a="1"/>
  <c r="G129" i="3" a="1"/>
  <c r="I110" i="3" a="1"/>
  <c r="I68" i="3" a="1"/>
  <c r="I89" i="3" a="1"/>
  <c r="I129" i="7" a="1"/>
  <c r="I152" i="3" a="1"/>
  <c r="E68" i="3" a="1"/>
  <c r="I109" i="3" a="1"/>
  <c r="F15" i="4" a="1"/>
  <c r="J89" i="3" a="1"/>
  <c r="J88" i="3" a="1"/>
  <c r="I32" i="3" a="1"/>
  <c r="F105" i="4" a="1"/>
  <c r="E88" i="3" a="1"/>
  <c r="J152" i="3" a="1"/>
  <c r="J68" i="3" a="1"/>
  <c r="I129" i="3" a="1"/>
  <c r="I110" i="7" a="1"/>
  <c r="G34" i="3" a="1"/>
  <c r="I68" i="7" a="1"/>
  <c r="F131" i="4" a="1"/>
  <c r="E152" i="3" a="1"/>
  <c r="J68" i="7" a="1"/>
  <c r="J88" i="7" a="1"/>
  <c r="F36" i="4" a="1"/>
  <c r="J129" i="7" a="1"/>
  <c r="F81" i="4" a="1"/>
  <c r="I34" i="7" a="1"/>
  <c r="J109" i="3" a="1"/>
  <c r="J110" i="3" a="1"/>
  <c r="J34" i="3" a="1"/>
  <c r="J89" i="7" a="1"/>
  <c r="I89" i="7" a="1"/>
  <c r="I88" i="3" a="1"/>
  <c r="F57" i="4" a="1"/>
  <c r="F105" i="4" l="1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29" i="3"/>
  <c r="G147" i="3" s="1"/>
  <c r="I32" i="3"/>
  <c r="I152" i="3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C20" i="8"/>
  <c r="F20" i="3"/>
  <c r="E3" i="10" a="1"/>
  <c r="G23" i="3"/>
  <c r="G22" i="3"/>
  <c r="G129" i="7" a="1"/>
  <c r="F88" i="7" a="1"/>
  <c r="E109" i="7" a="1"/>
  <c r="G34" i="7" a="1"/>
  <c r="E15" i="7" a="1"/>
  <c r="J15" i="7" a="1"/>
  <c r="F109" i="7" a="1"/>
  <c r="B34" i="7" a="1"/>
  <c r="E68" i="7" a="1"/>
  <c r="F68" i="7" a="1"/>
  <c r="I32" i="7" a="1"/>
  <c r="E129" i="7" a="1"/>
  <c r="E88" i="7" a="1"/>
  <c r="I15" i="7" a="1"/>
  <c r="F15" i="7" a="1"/>
  <c r="F129" i="7" a="1"/>
  <c r="E3" i="10" l="1"/>
  <c r="F158" i="3"/>
  <c r="G170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F85" i="4" a="1"/>
  <c r="F153" i="3" a="1"/>
  <c r="F111" i="3" a="1"/>
  <c r="F16" i="3" a="1"/>
  <c r="E14" i="6" a="1"/>
  <c r="F54" i="5" a="1"/>
  <c r="F61" i="4" a="1"/>
  <c r="E38" i="6" a="1"/>
  <c r="F156" i="4" a="1"/>
  <c r="F90" i="3" a="1"/>
  <c r="F69" i="3" a="1"/>
  <c r="F19" i="4" a="1"/>
  <c r="F130" i="3" a="1"/>
  <c r="F108" i="4" a="1"/>
  <c r="F35" i="3" a="1"/>
  <c r="F134" i="4" a="1"/>
  <c r="E26" i="6" a="1"/>
  <c r="F40" i="4" a="1"/>
  <c r="F21" i="5" a="1"/>
  <c r="C139" i="3" l="1"/>
  <c r="C140" i="3" s="1"/>
  <c r="C141" i="3" s="1"/>
  <c r="C143" i="3" s="1"/>
  <c r="C144" i="3" s="1"/>
  <c r="C146" i="3" s="1"/>
  <c r="C147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H130" i="3" a="1"/>
  <c r="F90" i="7" a="1"/>
  <c r="H54" i="5" a="1"/>
  <c r="H35" i="3" a="1"/>
  <c r="D111" i="3" a="1"/>
  <c r="D69" i="3" a="1"/>
  <c r="D153" i="3" a="1"/>
  <c r="H16" i="3" a="1"/>
  <c r="D19" i="4" a="1"/>
  <c r="F35" i="7" a="1"/>
  <c r="F111" i="7" a="1"/>
  <c r="D134" i="4" a="1"/>
  <c r="D85" i="4" a="1"/>
  <c r="D90" i="3" a="1"/>
  <c r="H156" i="4" a="1"/>
  <c r="D156" i="4" a="1"/>
  <c r="H90" i="3" a="1"/>
  <c r="H21" i="5" a="1"/>
  <c r="D16" i="3" a="1"/>
  <c r="F69" i="7" a="1"/>
  <c r="F130" i="7" a="1"/>
  <c r="H108" i="4" a="1"/>
  <c r="D61" i="4" a="1"/>
  <c r="H111" i="3" a="1"/>
  <c r="F16" i="7" a="1"/>
  <c r="D130" i="3" a="1"/>
  <c r="D108" i="4" a="1"/>
  <c r="H19" i="4" a="1"/>
  <c r="D54" i="5" a="1"/>
  <c r="H69" i="3" a="1"/>
  <c r="D21" i="5" a="1"/>
  <c r="H61" i="4" a="1"/>
  <c r="H153" i="3" a="1"/>
  <c r="H134" i="4" a="1"/>
  <c r="H40" i="4" a="1"/>
  <c r="D40" i="4" a="1"/>
  <c r="H85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H130" i="3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D16" i="7" a="1"/>
  <c r="D111" i="7" a="1"/>
  <c r="H16" i="7" a="1"/>
  <c r="D130" i="7" a="1"/>
  <c r="H130" i="7" a="1"/>
  <c r="H111" i="7" a="1"/>
  <c r="D90" i="7" a="1"/>
  <c r="H90" i="7" a="1"/>
  <c r="H35" i="7" a="1"/>
  <c r="D69" i="7" a="1"/>
  <c r="H69" i="7" a="1"/>
  <c r="D139" i="3" l="1"/>
  <c r="I139" i="3" s="1"/>
  <c r="D140" i="3"/>
  <c r="I140" i="3" s="1"/>
  <c r="D141" i="3"/>
  <c r="I141" i="3" s="1"/>
  <c r="D162" i="3"/>
  <c r="I162" i="3" s="1"/>
  <c r="D163" i="3"/>
  <c r="I163" i="3" s="1"/>
  <c r="D164" i="3"/>
  <c r="I164" i="3" s="1"/>
  <c r="D113" i="4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D120" i="3"/>
  <c r="I120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59" i="3"/>
  <c r="I159" i="3" s="1"/>
  <c r="D160" i="3"/>
  <c r="I160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<sst xmlns="http://schemas.openxmlformats.org/spreadsheetml/2006/main" count="1030" uniqueCount="185">
  <si>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</si>
  <si>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</si>
  <si>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</si>
  <si>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</si>
  <si>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</si>
  <si>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</si>
  <si>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</si>
  <si>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</si>
  <si>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</si>
  <si>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</si>
  <si>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</si>
  <si>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</si>
  <si>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</si>
  <si>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</si>
  <si>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</si>
  <si>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</si>
  <si>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</si>
  <si>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</si>
  <si>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</si>
  <si>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</si>
  <si>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</si>
  <si>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</si>
  <si>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</si>
  <si>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</si>
  <si>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</si>
  <si>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</si>
  <si>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</si>
  <si>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</si>
  <si>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</si>
  <si>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</si>
  <si>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</si>
  <si>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</si>
  <si>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</si>
  <si>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</si>
  <si>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</si>
  <si>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</si>
  <si>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</si>
  <si>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</si>
  <si>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</si>
  <si>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</si>
  <si>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</si>
  <si>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</si>
  <si>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</si>
  <si>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</si>
  <si>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</si>
  <si>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</si>
  <si>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</si>
  <si>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</si>
  <si>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</si>
  <si>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</si>
  <si>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</si>
  <si>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</si>
  <si>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</si>
  <si>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</si>
  <si>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</si>
  <si>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</si>
  <si>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</si>
  <si>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</si>
  <si>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</si>
  <si>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</si>
  <si>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</si>
  <si>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</si>
  <si>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</si>
  <si>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</si>
  <si>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</si>
  <si>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</si>
  <si>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</si>
  <si>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</si>
  <si>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</si>
  <si>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</si>
  <si>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</si>
  <si>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</si>
  <si>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</si>
  <si>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</si>
  <si>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</si>
  <si>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</si>
  <si>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</si>
  <si>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</si>
  <si>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</si>
  <si>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</si>
  <si>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</si>
  <si>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</si>
  <si>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</si>
  <si>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</si>
  <si>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</si>
  <si>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</si>
  <si>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</si>
  <si>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</si>
  <si>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</si>
  <si>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</si>
  <si>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</si>
  <si>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</si>
  <si>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</si>
  <si>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</si>
  <si>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</si>
  <si>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</si>
  <si>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</si>
  <si>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</si>
  <si>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</si>
  <si>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</si>
  <si>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</si>
  <si>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</si>
  <si>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</si>
  <si>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</si>
  <si>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</si>
  <si>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</si>
  <si>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</si>
  <si>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</si>
  <si>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</si>
  <si>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</si>
  <si>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</si>
  <si>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</si>
  <si>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</si>
  <si>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</si>
  <si>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</si>
  <si>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</si>
  <si>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</si>
  <si>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</si>
  <si>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</si>
  <si>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</si>
  <si>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</si>
  <si>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</si>
  <si>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</si>
  <si>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</si>
  <si>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</si>
  <si>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</si>
  <si>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</si>
  <si>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</si>
  <si>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</si>
  <si>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</si>
  <si>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</si>
  <si>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</si>
  <si>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</si>
  <si>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</si>
  <si>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</si>
  <si>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</si>
  <si>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</si>
  <si>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</si>
  <si>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</si>
  <si>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</si>
  <si>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</si>
  <si>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</si>
  <si>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</si>
  <si>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</si>
  <si>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</si>
  <si>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</si>
  <si>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</si>
  <si>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</si>
  <si>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</si>
  <si>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</si>
  <si>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</si>
  <si>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</si>
  <si>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</si>
  <si>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</si>
  <si>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</si>
  <si>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</si>
  <si>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</si>
  <si>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</si>
  <si>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</si>
  <si>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</si>
  <si>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</si>
  <si>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</si>
  <si>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</si>
  <si>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</si>
  <si>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</si>
  <si>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</si>
  <si>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</si>
  <si>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</si>
  <si>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</si>
  <si>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</si>
  <si>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</si>
  <si>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</si>
  <si>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</si>
  <si>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</si>
  <si>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</si>
  <si>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</si>
  <si>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</si>
  <si>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</si>
  <si>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</si>
  <si>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</si>
  <si>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</si>
  <si>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الاسم</t>
  </si>
  <si>
    <t>القيمة</t>
  </si>
  <si>
    <t>نموذجا لتبدأ به</t>
  </si>
  <si>
    <t>وحدة عادية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</si>
</sst>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indexed="1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257287</xdr:colOff>
          <xdr:row>5</xdr:row>
          <xdr:rowOff>57373</xdr:rowOff>
        </xdr:from>
        <xdr:to>
          <xdr:col>10</xdr:col>
          <xdr:colOff>754829</xdr:colOff>
          <xdr:row>7</xdr:row>
          <xdr:rowOff>49754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F97F32D5-FB8A-B43D-1DB3-824EC96B5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13896</xdr:colOff>
          <xdr:row>5</xdr:row>
          <xdr:rowOff>57373</xdr:rowOff>
        </xdr:from>
        <xdr:to>
          <xdr:col>5</xdr:col>
          <xdr:colOff>186018</xdr:colOff>
          <xdr:row>7</xdr:row>
          <xdr:rowOff>49754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67CD609B-FA80-11C8-0FB3-07AAFE49F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323178</xdr:colOff>
          <xdr:row>5</xdr:row>
          <xdr:rowOff>57373</xdr:rowOff>
        </xdr:from>
        <xdr:to>
          <xdr:col>7</xdr:col>
          <xdr:colOff>867335</xdr:colOff>
          <xdr:row>7</xdr:row>
          <xdr:rowOff>49754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2F8E58F7-5D9A-815B-0712-FB5651E86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1883229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269965</xdr:colOff>
          <xdr:row>5</xdr:row>
          <xdr:rowOff>48986</xdr:rowOff>
        </xdr:from>
        <xdr:to>
          <xdr:col>7</xdr:col>
          <xdr:colOff>498565</xdr:colOff>
          <xdr:row>7</xdr:row>
          <xdr:rowOff>33746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214449</xdr:colOff>
          <xdr:row>5</xdr:row>
          <xdr:rowOff>58783</xdr:rowOff>
        </xdr:from>
        <xdr:to>
          <xdr:col>10</xdr:col>
          <xdr:colOff>542109</xdr:colOff>
          <xdr:row>7</xdr:row>
          <xdr:rowOff>43543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696557</xdr:colOff>
          <xdr:row>5</xdr:row>
          <xdr:rowOff>45720</xdr:rowOff>
        </xdr:from>
        <xdr:to>
          <xdr:col>5</xdr:col>
          <xdr:colOff>271631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409687</xdr:colOff>
          <xdr:row>5</xdr:row>
          <xdr:rowOff>45720</xdr:rowOff>
        </xdr:from>
        <xdr:to>
          <xdr:col>8</xdr:col>
          <xdr:colOff>361278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17189</xdr:colOff>
          <xdr:row>5</xdr:row>
          <xdr:rowOff>8152</xdr:rowOff>
        </xdr:from>
        <xdr:to>
          <xdr:col>4</xdr:col>
          <xdr:colOff>920603</xdr:colOff>
          <xdr:row>6</xdr:row>
          <xdr:rowOff>177032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CEC256FD-55EA-7785-1843-05A48BF71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1057763</xdr:colOff>
          <xdr:row>5</xdr:row>
          <xdr:rowOff>8152</xdr:rowOff>
        </xdr:from>
        <xdr:to>
          <xdr:col>8</xdr:col>
          <xdr:colOff>394291</xdr:colOff>
          <xdr:row>6</xdr:row>
          <xdr:rowOff>177032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F268018A-B299-D9FA-F37B-BA1F617C3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272548</xdr:colOff>
          <xdr:row>4</xdr:row>
          <xdr:rowOff>120679</xdr:rowOff>
        </xdr:from>
        <xdr:to>
          <xdr:col>4</xdr:col>
          <xdr:colOff>958348</xdr:colOff>
          <xdr:row>6</xdr:row>
          <xdr:rowOff>120679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8C3A0B66-E6A3-78E2-BE6F-389CD297D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1095508</xdr:colOff>
          <xdr:row>4</xdr:row>
          <xdr:rowOff>120679</xdr:rowOff>
        </xdr:from>
        <xdr:to>
          <xdr:col>8</xdr:col>
          <xdr:colOff>64150</xdr:colOff>
          <xdr:row>6</xdr:row>
          <xdr:rowOff>120679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2D43A442-87B0-4D3F-A3F2-80D366F9A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403861</xdr:colOff>
          <xdr:row>5</xdr:row>
          <xdr:rowOff>10886</xdr:rowOff>
        </xdr:from>
        <xdr:to>
          <xdr:col>4</xdr:col>
          <xdr:colOff>1107078</xdr:colOff>
          <xdr:row>6</xdr:row>
          <xdr:rowOff>191589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916DDA4-68AB-3414-5BB1-61EC2A4C8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123009</xdr:colOff>
          <xdr:row>5</xdr:row>
          <xdr:rowOff>10886</xdr:rowOff>
        </xdr:from>
        <xdr:to>
          <xdr:col>8</xdr:col>
          <xdr:colOff>222069</xdr:colOff>
          <xdr:row>6</xdr:row>
          <xdr:rowOff>191589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5DEEFFC4-8389-A06F-2DCF-937C69988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229689</xdr:colOff>
          <xdr:row>4</xdr:row>
          <xdr:rowOff>182880</xdr:rowOff>
        </xdr:from>
        <xdr:to>
          <xdr:col>4</xdr:col>
          <xdr:colOff>371203</xdr:colOff>
          <xdr:row>6</xdr:row>
          <xdr:rowOff>154577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E315BDBA-E8E8-1DDB-EB39-97543A9D0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508363</xdr:colOff>
          <xdr:row>4</xdr:row>
          <xdr:rowOff>182880</xdr:rowOff>
        </xdr:from>
        <xdr:to>
          <xdr:col>8</xdr:col>
          <xdr:colOff>62049</xdr:colOff>
          <xdr:row>6</xdr:row>
          <xdr:rowOff>154577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EEAD9746-DF3F-B287-82AC-C07B19F64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42">
      <calculatedColumnFormula array="1">defaultValue(P19,C18)</calculatedColumnFormula>
    </tableColumn>
    <tableColumn id="2" xr3:uid="{E5D458B6-4695-4151-8C3A-36078280174C}" name="Column2" headerRowDxfId="72" dataDxfId="7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70" dataDxfId="68" headerRowBorderDxfId="69" tableBorderDxfId="67" totalsRowBorderDxfId="66">
  <tableColumns count="2">
    <tableColumn id="1" xr3:uid="{CDCD5A84-7D20-4E65-9944-DF64AFBDCF15}" name="Column1" headerRowDxfId="65" dataDxfId="64">
      <calculatedColumnFormula>INDEX(global[[#All],[Column1]],MATCH(M19,global[[#All],[Column2]],0))</calculatedColumnFormula>
    </tableColumn>
    <tableColumn id="2" xr3:uid="{6A1D9F36-66CC-4BFA-B363-3C22327FB984}" name="Column2" headerRowDxfId="63" dataDxfId="6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1" dataDxfId="59" headerRowBorderDxfId="60" tableBorderDxfId="58" totalsRowBorderDxfId="57">
  <tableColumns count="2">
    <tableColumn id="1" xr3:uid="{3DB08154-ACD6-41BF-8D18-EE97F412E9D9}" name="Column1" headerRowDxfId="56" dataDxfId="55">
      <calculatedColumnFormula array="1">defaultValue("دلف المطبخ",1)</calculatedColumnFormula>
    </tableColumn>
    <tableColumn id="2" xr3:uid="{E148ED46-BA14-4105-9B99-1191A0BF50F8}" name="Column2" headerRowDxfId="54" dataDxfId="5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2" dataDxfId="50" headerRowBorderDxfId="51" tableBorderDxfId="49" totalsRowBorderDxfId="48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7"/>
    <tableColumn id="2" xr3:uid="{00000000-0010-0000-0700-000002000000}" name="بورديوم" dataDxfId="46"/>
    <tableColumn id="3" xr3:uid="{00000000-0010-0000-0700-000003000000}" name="وحدات علوية" dataDxfId="45"/>
    <tableColumn id="4" xr3:uid="{00000000-0010-0000-0700-000004000000}" name="دواليب" dataDxfId="44"/>
    <tableColumn id="5" xr3:uid="{00000000-0010-0000-0700-000005000000}" name="تجاليد" dataDxfId="4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O11" sqref="O11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180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5" t="s">
        <v>112</v>
      </c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7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41</v>
      </c>
      <c r="E12" s="65" t="s">
        <v>39</v>
      </c>
      <c r="F12" s="65" t="s">
        <v>38</v>
      </c>
      <c r="G12" s="65" t="s">
        <v>37</v>
      </c>
      <c r="H12" s="65" t="s">
        <v>35</v>
      </c>
      <c r="I12" s="65" t="s">
        <v>105</v>
      </c>
      <c r="J12" s="65" t="s">
        <v>36</v>
      </c>
      <c r="K12" s="65" t="s">
        <v>21</v>
      </c>
      <c r="L12" s="65" t="s">
        <v>40</v>
      </c>
      <c r="M12" s="65" t="s">
        <v>59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61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62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103" t="s">
        <v>174</v>
      </c>
      <c r="D17" s="104"/>
      <c r="E17" s="84"/>
      <c r="F17" s="103" t="s">
        <v>0</v>
      </c>
      <c r="G17" s="104"/>
      <c r="H17" s="84"/>
      <c r="I17" s="103" t="s">
        <v>105</v>
      </c>
      <c r="J17" s="104"/>
      <c r="K17" s="84"/>
      <c r="L17" s="103" t="s">
        <v>44</v>
      </c>
      <c r="M17" s="104"/>
      <c r="N17" s="84"/>
      <c r="O17" s="103" t="s">
        <v>65</v>
      </c>
      <c r="P17" s="104"/>
      <c r="Q17" s="84"/>
      <c r="R17" s="103" t="s">
        <v>104</v>
      </c>
      <c r="S17" s="104"/>
    </row>
    <row r="18" spans="1:19" ht="21" customHeight="1" x14ac:dyDescent="0.3">
      <c r="A18" s="51"/>
      <c r="B18"/>
      <c r="C18" s="101">
        <f ca="1">_xlfn.SHEET("إعدادات")</f>
        <v>1</v>
      </c>
      <c r="D18" s="102"/>
      <c r="F18" s="101">
        <f ca="1">_xlfn.SHEET("وحدات سفلية")</f>
        <v>4</v>
      </c>
      <c r="G18" s="102"/>
      <c r="H18" s="63"/>
      <c r="I18" s="101">
        <f ca="1">_xlfn.SHEET("بورديوم")</f>
        <v>5</v>
      </c>
      <c r="J18" s="102"/>
      <c r="K18" s="63"/>
      <c r="L18" s="101">
        <f ca="1">_xlfn.SHEET("وحدات علوية")</f>
        <v>6</v>
      </c>
      <c r="M18" s="102"/>
      <c r="N18" s="63"/>
      <c r="O18" s="101">
        <f ca="1">_xlfn.SHEET("دواليب")</f>
        <v>7</v>
      </c>
      <c r="P18" s="102"/>
      <c r="Q18" s="63"/>
      <c r="R18" s="101">
        <f ca="1">_xlfn.SHEET("تجاليد")</f>
        <v>8</v>
      </c>
      <c r="S18" s="102"/>
    </row>
    <row r="19" spans="1:19" ht="21" customHeight="1" x14ac:dyDescent="0.3">
      <c r="A19" s="51"/>
      <c r="B19"/>
      <c r="C19" s="71" t="str">
        <f>K12</f>
        <v>HPL</v>
      </c>
      <c r="D19" s="72" t="s">
        <v>32</v>
      </c>
      <c r="F19" s="71" t="str" cm="1">
        <f t="array" aca="1" ref="F19" ca="1">defaultValue(G19,C18)</f>
        <v>HPL</v>
      </c>
      <c r="G19" s="72" t="s">
        <v>32</v>
      </c>
      <c r="H19" s="63"/>
      <c r="I19" s="71" t="str">
        <f>I12</f>
        <v>بورديوم</v>
      </c>
      <c r="J19" s="72" t="s">
        <v>32</v>
      </c>
      <c r="K19" s="63"/>
      <c r="L19" s="71" t="str" cm="1">
        <f t="array" aca="1" ref="L19" ca="1">defaultValue(M19,C18)</f>
        <v>HPL</v>
      </c>
      <c r="M19" s="72" t="s">
        <v>32</v>
      </c>
      <c r="N19" s="63"/>
      <c r="O19" s="71" t="str" cm="1">
        <f t="array" aca="1" ref="O19" ca="1">defaultValue(P19,C18)</f>
        <v>HPL</v>
      </c>
      <c r="P19" s="72" t="s">
        <v>32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33</v>
      </c>
      <c r="F20" s="73" t="str" cm="1">
        <f t="array" aca="1" ref="F20" ca="1">defaultValue(G20,C18)</f>
        <v>يوفيلاك</v>
      </c>
      <c r="G20" s="74" t="s">
        <v>33</v>
      </c>
      <c r="H20" s="63"/>
      <c r="I20" s="73" t="str" cm="1">
        <f t="array" aca="1" ref="I20" ca="1">defaultValue(J20,F18)</f>
        <v>يوفيلاك</v>
      </c>
      <c r="J20" s="74" t="s">
        <v>33</v>
      </c>
      <c r="K20" s="63"/>
      <c r="L20" s="73" t="str" cm="1">
        <f t="array" aca="1" ref="L20" ca="1">defaultValue(M20,C18)</f>
        <v>يوفيلاك</v>
      </c>
      <c r="M20" s="74" t="s">
        <v>33</v>
      </c>
      <c r="N20" s="63"/>
      <c r="O20" s="73" t="str" cm="1">
        <f t="array" aca="1" ref="O20" ca="1">defaultValue(P20,C18)</f>
        <v>يوفيلاك</v>
      </c>
      <c r="P20" s="74" t="s">
        <v>33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59</v>
      </c>
      <c r="F21" s="76" t="str" cm="1">
        <f t="array" aca="1" ref="F21" ca="1">defaultValue(G21,C18)</f>
        <v>ظهر</v>
      </c>
      <c r="G21" s="77" t="s">
        <v>59</v>
      </c>
      <c r="H21" s="63"/>
      <c r="I21" s="76" t="str" cm="1">
        <f t="array" aca="1" ref="I21" ca="1">defaultValue(J21,F18)</f>
        <v>ظهر</v>
      </c>
      <c r="J21" s="77" t="s">
        <v>59</v>
      </c>
      <c r="K21" s="63"/>
      <c r="L21" s="87" t="str" cm="1">
        <f t="array" aca="1" ref="L21" ca="1">defaultValue(M21,C18)</f>
        <v>ظهر</v>
      </c>
      <c r="M21" s="88" t="s">
        <v>59</v>
      </c>
      <c r="N21" s="63"/>
      <c r="O21" s="87" t="str" cm="1">
        <f t="array" aca="1" ref="O21" ca="1">defaultValue(P21,C18)</f>
        <v>ظهر</v>
      </c>
      <c r="P21" s="88" t="s">
        <v>59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20</v>
      </c>
      <c r="F22" s="79">
        <v>56</v>
      </c>
      <c r="G22" s="81" t="s">
        <v>114</v>
      </c>
      <c r="H22" s="78"/>
      <c r="I22" s="79" cm="1">
        <f t="array" aca="1" ref="I22" ca="1">defaultValue(J22,F18)</f>
        <v>56</v>
      </c>
      <c r="J22" s="81" t="s">
        <v>114</v>
      </c>
      <c r="K22" s="63"/>
      <c r="L22" s="79">
        <v>30</v>
      </c>
      <c r="M22" s="81" t="s">
        <v>114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17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>
        <v>1</v>
      </c>
      <c r="D24" s="81" t="s">
        <v>115</v>
      </c>
      <c r="F24" s="79" cm="1">
        <f t="array" aca="1" ref="F24" ca="1">defaultValue(G24,C18)</f>
        <v>45</v>
      </c>
      <c r="G24" s="81" t="s">
        <v>20</v>
      </c>
      <c r="H24" s="63"/>
      <c r="I24" s="79" cm="1">
        <f t="array" aca="1" ref="I24" ca="1">defaultValue(J24,F18)</f>
        <v>45</v>
      </c>
      <c r="J24" s="81" t="s">
        <v>20</v>
      </c>
      <c r="K24" s="63"/>
      <c r="L24" s="79" cm="1">
        <f t="array" ref="L24">defaultValue(M24,1)</f>
        <v>45</v>
      </c>
      <c r="M24" s="81" t="s">
        <v>20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17</v>
      </c>
      <c r="H25" s="63"/>
      <c r="I25" s="79" cm="1">
        <f t="array" aca="1" ref="I25" ca="1">defaultValue(J25,F18)</f>
        <v>3.5</v>
      </c>
      <c r="J25" s="81" t="s">
        <v>17</v>
      </c>
      <c r="K25" s="63"/>
      <c r="L25" s="79" cm="1">
        <f t="array" ref="L25">defaultValue(M25,1)</f>
        <v>3.5</v>
      </c>
      <c r="M25" s="81" t="s">
        <v>17</v>
      </c>
      <c r="N25" s="63"/>
      <c r="O25" s="79" t="e" cm="1">
        <f t="array" ref="O25">defaultValue(P25,C24)</f>
        <v>#N/A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cm="1">
        <f t="array" ref="F26">defaultValue(G26,C24)</f>
        <v>1</v>
      </c>
      <c r="G26" s="81" t="s">
        <v>115</v>
      </c>
      <c r="H26" s="63"/>
      <c r="I26" s="79" cm="1">
        <f t="array" aca="1" ref="I26" ca="1">defaultValue(J26,F18)</f>
        <v>1</v>
      </c>
      <c r="J26" s="81" t="s">
        <v>115</v>
      </c>
      <c r="K26" s="63"/>
      <c r="L26" s="79">
        <v>0</v>
      </c>
      <c r="M26" s="81" t="s">
        <v>116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K30"/>
  <sheetViews>
    <sheetView topLeftCell="B4" zoomScale="85" zoomScaleNormal="85" workbookViewId="0"/>
  </sheetViews>
  <sheetFormatPr defaultRowHeight="14.4" x14ac:dyDescent="0.3"/>
  <cols>
    <col min="1" max="1" width="0" style="34" hidden="1" customWidth="1"/>
    <col min="2" max="2" width="21.21875" style="1" customWidth="1"/>
    <col min="3" max="3" width="8.88671875" style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1" s="34" customFormat="1" x14ac:dyDescent="0.3">
      <c r="B1" s="34">
        <v>1</v>
      </c>
    </row>
    <row r="2" spans="1:11" s="34" customFormat="1" x14ac:dyDescent="0.3">
      <c r="B2" s="34" t="s">
        <v>183</v>
      </c>
    </row>
    <row r="3" spans="1:11" s="34" customFormat="1" x14ac:dyDescent="0.3">
      <c r="B3" s="34" t="s">
        <v>180</v>
      </c>
    </row>
    <row r="4" spans="1:11" s="34" customFormat="1" x14ac:dyDescent="0.3"/>
    <row r="5" spans="1:11" s="34" customFormat="1" x14ac:dyDescent="0.3"/>
    <row r="6" spans="1:11" s="34" customFormat="1" x14ac:dyDescent="0.3"/>
    <row r="7" spans="1:11" s="34" customFormat="1" x14ac:dyDescent="0.3"/>
    <row r="8" spans="1:11" s="34" customFormat="1" x14ac:dyDescent="0.3"/>
    <row r="9" spans="1:11" x14ac:dyDescent="0.3">
      <c r="A9" s="40"/>
    </row>
    <row r="13" spans="1:11" ht="34.799999999999997" customHeight="1" x14ac:dyDescent="0.3">
      <c r="A13" s="54" t="s">
        <v>156</v>
      </c>
      <c r="B13" s="15"/>
      <c r="C13" s="14">
        <v>1</v>
      </c>
      <c r="D13" s="22" t="s">
        <v>60</v>
      </c>
      <c r="E13" s="98" t="s">
        <v>184</v>
      </c>
      <c r="F13" s="99"/>
      <c r="G13" s="99"/>
      <c r="H13" s="100"/>
      <c r="I13" s="2" t="s">
        <v>31</v>
      </c>
      <c r="J13" s="2">
        <f>letterToNumber(A13)</f>
        <v>1</v>
      </c>
      <c r="K13" s="27">
        <f ca="1">_xlfn.SHEET("نماذج")</f>
        <v>2</v>
      </c>
    </row>
    <row r="14" spans="1:11" ht="21" x14ac:dyDescent="0.3">
      <c r="A14" s="51">
        <v>1</v>
      </c>
      <c r="B14" s="15"/>
      <c r="C14" s="93"/>
      <c r="D14" s="7"/>
      <c r="E14" s="94" t="str" cm="1">
        <f t="array" aca="1" ref="E14" ca="1">defaultValue(F14,K13)</f>
        <v>ظهر</v>
      </c>
      <c r="F14" s="7" t="s">
        <v>59</v>
      </c>
      <c r="G14" s="94" t="str" cm="1">
        <f t="array" aca="1" ref="G14" ca="1">defaultValue(H14,K13)</f>
        <v>يوفيلاك</v>
      </c>
      <c r="H14" s="7" t="s">
        <v>33</v>
      </c>
      <c r="I14" s="94" t="str" cm="1">
        <f t="array" aca="1" ref="I14" ca="1">defaultValue(J14,K13)</f>
        <v>HPL</v>
      </c>
      <c r="J14" s="7" t="s">
        <v>32</v>
      </c>
      <c r="K14" s="25" t="s">
        <v>112</v>
      </c>
    </row>
    <row r="15" spans="1:11" ht="15.6" x14ac:dyDescent="0.3">
      <c r="A15" s="51">
        <v>1</v>
      </c>
      <c r="B15" s="15"/>
      <c r="C15" s="7"/>
      <c r="D15" s="18"/>
      <c r="E15" s="7"/>
      <c r="F15" s="7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181</v>
      </c>
    </row>
    <row r="16" spans="1:11" ht="15.6" x14ac:dyDescent="0.3">
      <c r="A16" s="51">
        <v>1</v>
      </c>
      <c r="B16" s="15"/>
      <c r="C16" s="93"/>
      <c r="D16" s="93"/>
      <c r="E16" s="94"/>
      <c r="F16" s="123"/>
      <c r="G16" s="94" cm="1">
        <f t="array" aca="1" ref="G16" ca="1">defaultValue(G15,K13)</f>
        <v>3.5</v>
      </c>
      <c r="H16" s="93"/>
      <c r="I16" s="94"/>
      <c r="J16" s="94"/>
      <c r="K16" s="7" t="s">
        <v>182</v>
      </c>
    </row>
    <row r="17" spans="1:11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</row>
    <row r="18" spans="1:11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11" ht="15.6" x14ac:dyDescent="0.3">
      <c r="A19" s="51">
        <v>0</v>
      </c>
      <c r="B19" s="15"/>
      <c r="K19" s="3"/>
    </row>
    <row r="20" spans="1:11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</row>
    <row r="21" spans="1:11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</row>
    <row r="22" spans="1:11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</row>
    <row r="23" spans="1:11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</row>
    <row r="24" spans="1:11" ht="15.6" x14ac:dyDescent="0.3">
      <c r="A24" s="51">
        <v>0</v>
      </c>
      <c r="B24" s="15"/>
      <c r="K24" s="3"/>
    </row>
    <row r="25" spans="1:11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</row>
    <row r="26" spans="1:11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</row>
    <row r="27" spans="1:11" ht="15.6" x14ac:dyDescent="0.3">
      <c r="A27" s="51">
        <v>0</v>
      </c>
      <c r="B27" s="15"/>
      <c r="K27" s="3"/>
    </row>
    <row r="28" spans="1:11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</row>
    <row r="29" spans="1:11" x14ac:dyDescent="0.3">
      <c r="A29" s="34">
        <v>255</v>
      </c>
    </row>
    <row r="30" spans="1:11" x14ac:dyDescent="0.3">
      <c r="A30" s="34">
        <v>255</v>
      </c>
    </row>
  </sheetData>
  <mergeCells count="1">
    <mergeCell ref="E13:H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tabSelected="1"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5" t="s">
        <v>113</v>
      </c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3"/>
  <sheetViews>
    <sheetView topLeftCell="B1" zoomScale="85" zoomScaleNormal="85" workbookViewId="0"/>
  </sheetViews>
  <sheetFormatPr defaultRowHeight="15.6" x14ac:dyDescent="0.3"/>
  <cols>
    <col min="1" max="1" width="8.21875" style="51" hidden="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7" t="s">
        <v>0</v>
      </c>
      <c r="D2" s="107"/>
      <c r="E2" s="107"/>
      <c r="F2" s="107"/>
      <c r="G2" s="107"/>
      <c r="H2" s="107"/>
      <c r="I2" s="107"/>
      <c r="J2" s="107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98" t="s">
        <v>16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_xlfn.SHEET("وحدات سفلية")</f>
        <v>4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7"/>
      <c r="G14" s="106"/>
      <c r="H14" s="7" t="s">
        <v>23</v>
      </c>
      <c r="I14" s="7" t="s">
        <v>3</v>
      </c>
      <c r="J14" s="7" t="s">
        <v>114</v>
      </c>
      <c r="K14" s="7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7"/>
      <c r="G15" s="10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9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1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98" t="s">
        <v>143</v>
      </c>
      <c r="F31" s="99"/>
      <c r="G31" s="99"/>
      <c r="H31" s="100"/>
      <c r="I31" s="2" t="s">
        <v>31</v>
      </c>
      <c r="J31" s="2">
        <f>letterToNumber(A31)</f>
        <v>2</v>
      </c>
      <c r="K31" s="7">
        <f ca="1">_xlfn.SHEET("وحدات سفلية")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98" t="s">
        <v>24</v>
      </c>
      <c r="F66" s="99"/>
      <c r="G66" s="99"/>
      <c r="H66" s="100"/>
      <c r="I66" s="2" t="s">
        <v>31</v>
      </c>
      <c r="J66" s="2">
        <f>letterToNumber(A66)</f>
        <v>3</v>
      </c>
      <c r="K66" s="7">
        <f ca="1">_xlfn.SHEET("وحدات سفلية")</f>
        <v>4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6"/>
      <c r="G67" s="7" t="s">
        <v>25</v>
      </c>
      <c r="H67" s="7" t="s">
        <v>23</v>
      </c>
      <c r="I67" s="7" t="s">
        <v>3</v>
      </c>
      <c r="J67" s="7" t="s">
        <v>114</v>
      </c>
      <c r="K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6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1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98" t="s">
        <v>27</v>
      </c>
      <c r="F86" s="99"/>
      <c r="G86" s="99"/>
      <c r="H86" s="100"/>
      <c r="I86" s="2" t="s">
        <v>31</v>
      </c>
      <c r="J86" s="2">
        <f>letterToNumber(A86)</f>
        <v>4</v>
      </c>
      <c r="K86" s="7">
        <f ca="1">_xlfn.SHEET("وحدات سفلية")</f>
        <v>4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6"/>
      <c r="G87" s="7"/>
      <c r="H87" s="7" t="s">
        <v>23</v>
      </c>
      <c r="I87" s="7" t="s">
        <v>3</v>
      </c>
      <c r="J87" s="7" t="s">
        <v>114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6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1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98" t="s">
        <v>30</v>
      </c>
      <c r="F107" s="99"/>
      <c r="G107" s="99"/>
      <c r="H107" s="100"/>
      <c r="I107" s="2" t="s">
        <v>31</v>
      </c>
      <c r="J107" s="2">
        <f>letterToNumber(A107)</f>
        <v>5</v>
      </c>
      <c r="K107" s="7">
        <f ca="1">_xlfn.SHEET("وحدات سفلية")</f>
        <v>4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6"/>
      <c r="G108" s="7"/>
      <c r="H108" s="7" t="s">
        <v>23</v>
      </c>
      <c r="I108" s="7" t="s">
        <v>3</v>
      </c>
      <c r="J108" s="7" t="s">
        <v>114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6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1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98" t="s">
        <v>106</v>
      </c>
      <c r="F127" s="99"/>
      <c r="G127" s="99"/>
      <c r="H127" s="100"/>
      <c r="I127" s="2" t="s">
        <v>31</v>
      </c>
      <c r="J127" s="2">
        <f>letterToNumber(A127)</f>
        <v>6</v>
      </c>
      <c r="K127" s="7">
        <f ca="1">_xlfn.SHEET("وحدات سفلية")</f>
        <v>4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6"/>
      <c r="G128" s="16" t="s">
        <v>20</v>
      </c>
      <c r="H128" s="7" t="s">
        <v>23</v>
      </c>
      <c r="I128" s="7" t="s">
        <v>3</v>
      </c>
      <c r="J128" s="7" t="s">
        <v>114</v>
      </c>
      <c r="K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6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6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6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6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10">
        <f ca="1">HLOOKUP(D139, materials[], 2,FALSE)</f>
        <v>2</v>
      </c>
      <c r="J139" s="10"/>
      <c r="K139" s="10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10">
        <f ca="1">HLOOKUP(D140, materials[], 2,FALSE)</f>
        <v>2</v>
      </c>
      <c r="J140" s="10"/>
      <c r="K140" s="10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10">
        <f ca="1">HLOOKUP(D141, materials[], 2,FALSE)</f>
        <v>2</v>
      </c>
      <c r="J141" s="10"/>
      <c r="K141" s="10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9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9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98" t="s">
        <v>163</v>
      </c>
      <c r="F150" s="99"/>
      <c r="G150" s="99"/>
      <c r="H150" s="100"/>
      <c r="I150" s="2" t="s">
        <v>31</v>
      </c>
      <c r="J150" s="2">
        <f>letterToNumber(A150)</f>
        <v>7</v>
      </c>
      <c r="K150" s="7">
        <f ca="1">_xlfn.SHEET("وحدات سفلية")</f>
        <v>4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K151" s="7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K152" s="7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  <c r="K153" s="7"/>
      <c r="BB153"/>
      <c r="BC153"/>
      <c r="BD153"/>
      <c r="BE153"/>
      <c r="BF153"/>
      <c r="BG153"/>
      <c r="BH153"/>
      <c r="BI153"/>
      <c r="BJ153"/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  <c r="BB154"/>
      <c r="BC154"/>
      <c r="BD154"/>
      <c r="BE154"/>
      <c r="BF154"/>
      <c r="BG154"/>
      <c r="BH154"/>
      <c r="BI154"/>
      <c r="BJ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  <c r="K155" s="6"/>
      <c r="BB155"/>
      <c r="BC155"/>
      <c r="BD155"/>
      <c r="BE155"/>
      <c r="BF155"/>
      <c r="BG155"/>
      <c r="BH155"/>
      <c r="BI155"/>
      <c r="BJ155"/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  <c r="BB156"/>
      <c r="BC156"/>
      <c r="BD156"/>
      <c r="BE156"/>
      <c r="BF156"/>
      <c r="BG156"/>
      <c r="BH156"/>
      <c r="BI156"/>
      <c r="BJ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6" t="b">
        <v>1</v>
      </c>
      <c r="BB157"/>
      <c r="BC157"/>
      <c r="BD157"/>
      <c r="BE157"/>
      <c r="BF157"/>
      <c r="BG157"/>
      <c r="BH157"/>
      <c r="BI157"/>
      <c r="BJ157"/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6" t="b">
        <v>1</v>
      </c>
      <c r="BB158"/>
      <c r="BC158"/>
      <c r="BD158"/>
      <c r="BE158"/>
      <c r="BF158"/>
      <c r="BG158"/>
      <c r="BH158"/>
      <c r="BI158"/>
      <c r="BJ158"/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6" t="b">
        <v>1</v>
      </c>
      <c r="BB159"/>
      <c r="BC159"/>
      <c r="BD159"/>
      <c r="BE159"/>
      <c r="BF159"/>
      <c r="BG159"/>
      <c r="BH159"/>
      <c r="BI159"/>
      <c r="BJ159"/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BB160"/>
      <c r="BC160"/>
      <c r="BD160"/>
      <c r="BE160"/>
      <c r="BF160"/>
      <c r="BG160"/>
      <c r="BH160"/>
      <c r="BI160"/>
      <c r="BJ160"/>
    </row>
    <row r="161" spans="1:62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51">
        <v>3</v>
      </c>
      <c r="B162" s="15" t="str">
        <f>B158</f>
        <v>وحدة سفلية دلفة /دلفتين + درج</v>
      </c>
      <c r="C162" s="10">
        <f t="shared" si="8"/>
        <v>6</v>
      </c>
      <c r="D162" s="10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10">
        <f ca="1">HLOOKUP(D162, materials[], 2,FALSE)</f>
        <v>2</v>
      </c>
      <c r="J162" s="10"/>
      <c r="K162" s="10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51">
        <v>3</v>
      </c>
      <c r="B163" s="15" t="str">
        <f>B159</f>
        <v>وحدة سفلية دلفة /دلفتين + درج</v>
      </c>
      <c r="C163" s="10">
        <f t="shared" si="8"/>
        <v>7</v>
      </c>
      <c r="D163" s="10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10">
        <f ca="1">HLOOKUP(D163, materials[], 2,FALSE)</f>
        <v>2</v>
      </c>
      <c r="J163" s="10"/>
      <c r="K163" s="10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51">
        <v>3</v>
      </c>
      <c r="B164" s="15" t="str">
        <f>B160</f>
        <v>وحدة سفلية دلفة /دلفتين + درج</v>
      </c>
      <c r="C164" s="10">
        <f t="shared" si="8"/>
        <v>8</v>
      </c>
      <c r="D164" s="10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10">
        <f ca="1">HLOOKUP(D164, materials[], 2,FALSE)</f>
        <v>2</v>
      </c>
      <c r="J164" s="10"/>
      <c r="K164" s="10" t="b">
        <v>1</v>
      </c>
      <c r="BB164"/>
      <c r="BC164"/>
      <c r="BD164"/>
      <c r="BE164"/>
      <c r="BF164"/>
      <c r="BG164"/>
      <c r="BH164"/>
      <c r="BI164"/>
      <c r="BJ164"/>
    </row>
    <row r="165" spans="1:62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  <c r="BB165"/>
      <c r="BC165"/>
      <c r="BD165"/>
      <c r="BE165"/>
      <c r="BF165"/>
      <c r="BG165"/>
      <c r="BH165"/>
      <c r="BI165"/>
      <c r="BJ165"/>
    </row>
    <row r="166" spans="1:62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9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9" t="b">
        <v>1</v>
      </c>
      <c r="BB167"/>
      <c r="BC167"/>
      <c r="BD167"/>
      <c r="BE167"/>
      <c r="BF167"/>
      <c r="BG167"/>
      <c r="BH167"/>
      <c r="BI167"/>
      <c r="BJ167"/>
    </row>
    <row r="168" spans="1:62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  <c r="BB168"/>
      <c r="BC168"/>
      <c r="BD168"/>
      <c r="BE168"/>
      <c r="BF168"/>
      <c r="BG168"/>
      <c r="BH168"/>
      <c r="BI168"/>
      <c r="BJ168"/>
    </row>
    <row r="169" spans="1:62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BB169"/>
      <c r="BC169"/>
      <c r="BD169"/>
      <c r="BE169"/>
      <c r="BF169"/>
      <c r="BG169"/>
      <c r="BH169"/>
      <c r="BI169"/>
      <c r="BJ169"/>
    </row>
    <row r="170" spans="1:62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1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51">
        <v>255</v>
      </c>
      <c r="BB171"/>
      <c r="BC171"/>
      <c r="BD171"/>
      <c r="BE171"/>
      <c r="BF171"/>
      <c r="BG171"/>
      <c r="BH171"/>
      <c r="BI171"/>
      <c r="BJ171"/>
    </row>
    <row r="172" spans="1:62" x14ac:dyDescent="0.3">
      <c r="A172" s="51">
        <v>255</v>
      </c>
      <c r="BB172"/>
      <c r="BC172"/>
      <c r="BD172"/>
      <c r="BE172"/>
      <c r="BF172"/>
      <c r="BG172"/>
      <c r="BH172"/>
      <c r="BI172"/>
      <c r="BJ172"/>
    </row>
    <row r="173" spans="1:62" x14ac:dyDescent="0.3">
      <c r="BB173"/>
      <c r="BC173"/>
      <c r="BD173"/>
      <c r="BE173"/>
      <c r="BF173"/>
      <c r="BG173"/>
      <c r="BH173"/>
      <c r="BI173"/>
      <c r="BJ173"/>
    </row>
  </sheetData>
  <mergeCells count="13">
    <mergeCell ref="C2:J2"/>
    <mergeCell ref="G14:G15"/>
    <mergeCell ref="F67:F68"/>
    <mergeCell ref="E13:H13"/>
    <mergeCell ref="E31:H31"/>
    <mergeCell ref="E150:H150"/>
    <mergeCell ref="E127:H127"/>
    <mergeCell ref="F128:F129"/>
    <mergeCell ref="E107:H107"/>
    <mergeCell ref="E66:H66"/>
    <mergeCell ref="F108:F109"/>
    <mergeCell ref="F87:F88"/>
    <mergeCell ref="E86:H86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G12" sqref="G12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7" t="s">
        <v>105</v>
      </c>
      <c r="D2" s="107"/>
      <c r="E2" s="107"/>
      <c r="F2" s="107"/>
      <c r="G2" s="107"/>
      <c r="H2" s="107"/>
      <c r="I2" s="107"/>
      <c r="J2" s="107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98" t="s">
        <v>117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6"/>
      <c r="H14" s="7" t="s">
        <v>23</v>
      </c>
      <c r="I14" s="7" t="s">
        <v>3</v>
      </c>
      <c r="J14" s="7" t="s">
        <v>114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بورديوم</v>
      </c>
      <c r="I16" s="7" t="s">
        <v>32</v>
      </c>
      <c r="J16" s="25" t="s">
        <v>112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98" t="s">
        <v>143</v>
      </c>
      <c r="F31" s="99"/>
      <c r="G31" s="99"/>
      <c r="H31" s="100"/>
      <c r="I31" s="2" t="s">
        <v>31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 ca="1"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بورديوم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98" t="s">
        <v>120</v>
      </c>
      <c r="F66" s="99"/>
      <c r="G66" s="99"/>
      <c r="H66" s="100"/>
      <c r="I66" s="2" t="s">
        <v>31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6"/>
      <c r="H67" s="7" t="s">
        <v>23</v>
      </c>
      <c r="I67" s="7" t="s">
        <v>3</v>
      </c>
      <c r="J67" s="7" t="s">
        <v>114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6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بورديوم</v>
      </c>
      <c r="I69" s="7" t="s">
        <v>32</v>
      </c>
      <c r="J69" s="25" t="s">
        <v>112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98" t="s">
        <v>118</v>
      </c>
      <c r="F86" s="99"/>
      <c r="G86" s="99"/>
      <c r="H86" s="100"/>
      <c r="I86" s="2" t="s">
        <v>31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بورديوم</v>
      </c>
      <c r="I90" s="7" t="s">
        <v>32</v>
      </c>
      <c r="J90" s="25" t="s">
        <v>112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98" t="s">
        <v>119</v>
      </c>
      <c r="F107" s="99"/>
      <c r="G107" s="99"/>
      <c r="H107" s="100"/>
      <c r="I107" s="2" t="s">
        <v>31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بورديوم</v>
      </c>
      <c r="I111" s="7" t="s">
        <v>32</v>
      </c>
      <c r="J111" s="25" t="s">
        <v>112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98" t="s">
        <v>163</v>
      </c>
      <c r="F127" s="99"/>
      <c r="G127" s="99"/>
      <c r="H127" s="100"/>
      <c r="I127" s="2" t="s">
        <v>31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بورديوم</v>
      </c>
      <c r="I130" s="7" t="s">
        <v>32</v>
      </c>
      <c r="J130" s="25" t="s">
        <v>112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G11" sqref="G11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7" t="s">
        <v>44</v>
      </c>
      <c r="D2" s="107"/>
      <c r="E2" s="107"/>
      <c r="F2" s="107"/>
      <c r="G2" s="107"/>
      <c r="H2" s="107"/>
      <c r="I2" s="107"/>
      <c r="J2" s="107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98" t="s">
        <v>45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3" t="b">
        <f ca="1">NOT(AND(F15&gt;0,G15&gt;0))</f>
        <v>1</v>
      </c>
      <c r="G16" s="113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2">
        <f>C15+D15</f>
        <v>1</v>
      </c>
      <c r="D17" s="112"/>
      <c r="E17" s="26">
        <v>10</v>
      </c>
      <c r="F17" s="114" t="str">
        <f ca="1">IF(F16,"المقابض مظبوطة","مينفعش مقبض مخفي مع بيلت ان")</f>
        <v>المقابض مظبوطة</v>
      </c>
      <c r="G17" s="114"/>
      <c r="H17" s="113" t="str">
        <f>IF(H16,"عدد الدلف صحيح","عدد الدلف غير صحيح")</f>
        <v>عدد الدلف صحيح</v>
      </c>
      <c r="I17" s="113"/>
      <c r="J17" s="113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3" t="b">
        <f>C17&lt;=2</f>
        <v>1</v>
      </c>
      <c r="D18" s="113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98" t="s">
        <v>51</v>
      </c>
      <c r="F34" s="99"/>
      <c r="G34" s="99"/>
      <c r="H34" s="100"/>
      <c r="I34" s="2" t="s">
        <v>31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5" t="b">
        <f ca="1">NOT(AND(F36&gt;0,G36&gt;0))</f>
        <v>1</v>
      </c>
      <c r="G37" s="115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2">
        <f>C36+D36</f>
        <v>2</v>
      </c>
      <c r="D38" s="112"/>
      <c r="E38" s="7">
        <v>0</v>
      </c>
      <c r="F38" s="116" t="str">
        <f ca="1">IF(F37,"المقابض مظبوطة","مينفعش مقبض مخفي مع بيلت ان")</f>
        <v>المقابض مظبوطة</v>
      </c>
      <c r="G38" s="116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3" t="b">
        <f>C38&lt;=2</f>
        <v>1</v>
      </c>
      <c r="D39" s="113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98" t="s">
        <v>46</v>
      </c>
      <c r="F55" s="99"/>
      <c r="G55" s="99"/>
      <c r="H55" s="100"/>
      <c r="I55" s="2" t="s">
        <v>31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3" t="b">
        <f ca="1">NOT(AND(F57&gt;0,G57&gt;0))</f>
        <v>1</v>
      </c>
      <c r="G58" s="110"/>
      <c r="H58" s="3" t="b">
        <f>_xlfn.XOR(H57&lt;=50,C59=2)</f>
        <v>0</v>
      </c>
      <c r="I58" s="61" t="s">
        <v>167</v>
      </c>
      <c r="J58" s="62" t="s">
        <v>168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2">
        <f>C57+D57</f>
        <v>2</v>
      </c>
      <c r="D59" s="112"/>
      <c r="E59" s="7" t="s">
        <v>107</v>
      </c>
      <c r="F59" s="117" t="str">
        <f ca="1">IF(F58,"المقابض مظبوطة","مينفعش مقبض مخفي مع بيلت ان")</f>
        <v>المقابض مظبوطة</v>
      </c>
      <c r="G59" s="117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3" t="b">
        <f>C59&lt;=2</f>
        <v>1</v>
      </c>
      <c r="D60" s="113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98" t="s">
        <v>169</v>
      </c>
      <c r="F79" s="99"/>
      <c r="G79" s="99"/>
      <c r="H79" s="100"/>
      <c r="I79" s="2" t="s">
        <v>31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3" t="b">
        <f ca="1">NOT(AND(F81&gt;0,G81&gt;0))</f>
        <v>1</v>
      </c>
      <c r="G82" s="110"/>
      <c r="H82" s="3" t="b">
        <f ca="1">_xlfn.XOR(I81&lt;=50,C83=2)</f>
        <v>0</v>
      </c>
      <c r="I82" s="61" t="s">
        <v>167</v>
      </c>
      <c r="J82" s="62" t="s">
        <v>168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2">
        <f>C81+D81</f>
        <v>1</v>
      </c>
      <c r="D83" s="112"/>
      <c r="E83" s="7" t="s">
        <v>107</v>
      </c>
      <c r="F83" s="117" t="str">
        <f ca="1">IF(F82,"المقابض مظبوطة","مينفعش مقبض مخفي مع بيلت ان")</f>
        <v>المقابض مظبوطة</v>
      </c>
      <c r="G83" s="117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3" t="b">
        <f>C83&lt;=2</f>
        <v>1</v>
      </c>
      <c r="D84" s="113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98" t="s">
        <v>47</v>
      </c>
      <c r="F103" s="99"/>
      <c r="G103" s="99"/>
      <c r="H103" s="100"/>
      <c r="I103" s="2" t="s">
        <v>31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3" t="b">
        <f ca="1">NOT(AND(F105&gt;0,G105&gt;0))</f>
        <v>1</v>
      </c>
      <c r="G106" s="113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6" t="str">
        <f ca="1">IF(F106,"المقابض مظبوطة","مينفعش مقبض مخفي مع بيلت ان")</f>
        <v>المقابض مظبوطة</v>
      </c>
      <c r="G107" s="116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98" t="s">
        <v>48</v>
      </c>
      <c r="F129" s="99"/>
      <c r="G129" s="99"/>
      <c r="H129" s="100"/>
      <c r="I129" s="2" t="s">
        <v>31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3" t="b">
        <f ca="1">NOT(AND(F131&gt;0,G131&gt;0))</f>
        <v>1</v>
      </c>
      <c r="G132" s="113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6" t="str">
        <f ca="1">IF(F132,"المقابض مظبوطة","مينفعش مقبض مخفي مع بيلت ان")</f>
        <v>المقابض مظبوطة</v>
      </c>
      <c r="G133" s="116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98" t="s">
        <v>110</v>
      </c>
      <c r="F150" s="99"/>
      <c r="G150" s="99"/>
      <c r="H150" s="100"/>
      <c r="I150" s="2" t="s">
        <v>31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8">
        <f>C152+D152</f>
        <v>1</v>
      </c>
      <c r="D154" s="109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0" t="b">
        <f>C154&lt;=2</f>
        <v>1</v>
      </c>
      <c r="D155" s="111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3" sqref="M13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7" t="s">
        <v>65</v>
      </c>
      <c r="D2" s="107"/>
      <c r="E2" s="107"/>
      <c r="F2" s="107"/>
      <c r="G2" s="107"/>
      <c r="H2" s="107"/>
      <c r="I2" s="107"/>
      <c r="J2" s="107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18" t="s">
        <v>66</v>
      </c>
      <c r="F13" s="118"/>
      <c r="G13" s="118"/>
      <c r="H13" s="118"/>
      <c r="I13" s="2" t="s">
        <v>31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  <c r="K18" s="7"/>
    </row>
    <row r="19" spans="1:13" ht="15.6" x14ac:dyDescent="0.3">
      <c r="A19" s="35">
        <v>1</v>
      </c>
      <c r="C19" s="112">
        <f>G17+H17</f>
        <v>2</v>
      </c>
      <c r="D19" s="112"/>
      <c r="E19" s="8"/>
      <c r="F19" s="46"/>
      <c r="G19" s="46"/>
      <c r="H19" s="46"/>
      <c r="I19" s="8">
        <f>SUM(I17:I18)</f>
        <v>210</v>
      </c>
      <c r="J19" s="116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3" t="b">
        <f>C19&lt;=2</f>
        <v>1</v>
      </c>
      <c r="D20" s="113"/>
      <c r="E20" s="8"/>
      <c r="F20" s="8"/>
      <c r="G20" s="8"/>
      <c r="H20" s="8"/>
      <c r="I20" s="6" t="b">
        <f>I19=I15</f>
        <v>1</v>
      </c>
      <c r="J20" s="116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18" t="s">
        <v>77</v>
      </c>
      <c r="F40" s="118"/>
      <c r="G40" s="118"/>
      <c r="H40" s="118"/>
      <c r="I40" s="2" t="s">
        <v>31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7"/>
      <c r="L51" s="1"/>
      <c r="M51" s="1"/>
    </row>
    <row r="52" spans="1:13" ht="15.6" x14ac:dyDescent="0.3">
      <c r="A52" s="35">
        <v>1</v>
      </c>
      <c r="C52" s="112">
        <f>G47+H47</f>
        <v>0</v>
      </c>
      <c r="D52" s="112"/>
      <c r="E52" s="8"/>
      <c r="F52" s="46"/>
      <c r="G52" s="46"/>
      <c r="H52" s="46"/>
      <c r="I52" s="8">
        <f>SUM(I44:I51)</f>
        <v>220</v>
      </c>
      <c r="J52" s="116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3" t="b">
        <f>C52&lt;=2</f>
        <v>1</v>
      </c>
      <c r="D53" s="113"/>
      <c r="E53" s="8"/>
      <c r="F53" s="8"/>
      <c r="G53" s="8"/>
      <c r="H53" s="8"/>
      <c r="I53" s="6" t="b">
        <f>I52=I42</f>
        <v>1</v>
      </c>
      <c r="J53" s="116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98" t="s">
        <v>67</v>
      </c>
      <c r="F98" s="99"/>
      <c r="G98" s="99"/>
      <c r="H98" s="100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3" t="b">
        <f>NOT(AND(F100&gt;0,G100&gt;0))</f>
        <v>1</v>
      </c>
      <c r="G101" s="113"/>
      <c r="I101" s="3" t="b">
        <f>_xlfn.XOR(I100&lt;=50,C102=2)</f>
        <v>0</v>
      </c>
    </row>
    <row r="102" spans="2:10" ht="24" hidden="1" customHeight="1" x14ac:dyDescent="0.3">
      <c r="C102" s="113">
        <f>C100+E100</f>
        <v>3</v>
      </c>
      <c r="D102" s="113"/>
      <c r="E102" s="33"/>
      <c r="F102" s="117" t="str">
        <f>IF(F101,"المقابض مظبوطة","مينفعش مقبض مخفي مع بيلت ان")</f>
        <v>المقابض مظبوطة</v>
      </c>
      <c r="G102" s="117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3" t="b">
        <f>C102&lt;=2</f>
        <v>0</v>
      </c>
      <c r="D103" s="113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98" t="s">
        <v>68</v>
      </c>
      <c r="F118" s="99"/>
      <c r="G118" s="99"/>
      <c r="H118" s="100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3" t="b">
        <f>NOT(AND(F120&gt;0,G120&gt;0))</f>
        <v>1</v>
      </c>
      <c r="G121" s="113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7" t="str">
        <f>IF(F121,"المقابض مظبوطة","مينفعش مقبض مخفي مع بيلت ان")</f>
        <v>المقابض مظبوطة</v>
      </c>
      <c r="G122" s="117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98" t="s">
        <v>69</v>
      </c>
      <c r="F138" s="99"/>
      <c r="G138" s="99"/>
      <c r="H138" s="100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3" t="b">
        <f>NOT(AND(F140&gt;0,G140&gt;0))</f>
        <v>1</v>
      </c>
      <c r="G141" s="113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7" t="str">
        <f>IF(F141,"المقابض مظبوطة","مينفعش مقبض مخفي مع بيلت ان")</f>
        <v>المقابض مظبوطة</v>
      </c>
      <c r="G142" s="117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9" t="s">
        <v>43</v>
      </c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>
      <selection activeCell="K11" sqref="K11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126</v>
      </c>
      <c r="C2" s="120" t="s">
        <v>104</v>
      </c>
      <c r="D2" s="121"/>
      <c r="E2" s="121"/>
      <c r="F2" s="121"/>
      <c r="G2" s="121"/>
      <c r="H2" s="121"/>
      <c r="I2" s="121"/>
      <c r="J2" s="122"/>
    </row>
    <row r="3" spans="1:62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156</v>
      </c>
      <c r="B13" s="15"/>
      <c r="C13" s="14">
        <v>1</v>
      </c>
      <c r="D13" s="22" t="s">
        <v>60</v>
      </c>
      <c r="E13" s="98" t="s">
        <v>171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6"/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161</v>
      </c>
      <c r="B25" s="15"/>
      <c r="C25" s="14">
        <v>1</v>
      </c>
      <c r="D25" s="22" t="s">
        <v>60</v>
      </c>
      <c r="E25" s="98" t="s">
        <v>172</v>
      </c>
      <c r="F25" s="99"/>
      <c r="G25" s="99"/>
      <c r="H25" s="100"/>
      <c r="I25" s="2" t="s">
        <v>31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  <c r="K28" s="6"/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157</v>
      </c>
      <c r="B37" s="15"/>
      <c r="C37" s="14">
        <v>1</v>
      </c>
      <c r="D37" s="22" t="s">
        <v>60</v>
      </c>
      <c r="E37" s="98" t="s">
        <v>173</v>
      </c>
      <c r="F37" s="99"/>
      <c r="G37" s="99"/>
      <c r="H37" s="100"/>
      <c r="I37" s="2" t="s">
        <v>31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  <c r="K40" s="6"/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2024-09-19T14:03:25Z</dcterms:modified>
</cp:coreProperties>
</file>