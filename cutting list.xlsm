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7FB16B40-F06D-4AEB-8210-8905EDE58B3B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4" i="11" l="1"/>
  <c r="J87" i="11" a="1"/>
  <c r="F42" i="11" a="1"/>
  <c r="F95" i="11" a="1"/>
  <c r="G99" i="11" a="1"/>
  <c r="E99" i="11" a="1"/>
  <c r="E96" i="11" a="1"/>
  <c r="C99" i="11"/>
  <c r="C98" i="11"/>
  <c r="C96" i="11"/>
  <c r="C95" i="11"/>
  <c r="C94" i="11"/>
  <c r="C93" i="11"/>
  <c r="C92" i="11"/>
  <c r="C91" i="11"/>
  <c r="H96" i="11"/>
  <c r="B96" i="11"/>
  <c r="J96" i="11" a="1"/>
  <c r="H99" i="11"/>
  <c r="B99" i="11"/>
  <c r="J99" i="11" a="1"/>
  <c r="H98" i="11" a="1"/>
  <c r="B98" i="11" a="1"/>
  <c r="E95" i="11" a="1"/>
  <c r="H94" i="11" a="1"/>
  <c r="B94" i="11" a="1"/>
  <c r="E93" i="11" a="1"/>
  <c r="H92" i="11" a="1"/>
  <c r="B92" i="11" a="1"/>
  <c r="E91" i="11" a="1"/>
  <c r="J95" i="11" a="1"/>
  <c r="G94" i="11" a="1"/>
  <c r="J93" i="11" a="1"/>
  <c r="J91" i="11" a="1"/>
  <c r="I87" i="11" a="1"/>
  <c r="F94" i="11" a="1"/>
  <c r="F91" i="11" a="1"/>
  <c r="B91" i="11" a="1"/>
  <c r="J98" i="11" a="1"/>
  <c r="J94" i="11" a="1"/>
  <c r="J92" i="11" a="1"/>
  <c r="E98" i="11" a="1"/>
  <c r="H95" i="11" a="1"/>
  <c r="B95" i="11" a="1"/>
  <c r="E94" i="11" a="1"/>
  <c r="H93" i="11" a="1"/>
  <c r="B93" i="11" a="1"/>
  <c r="E92" i="11" a="1"/>
  <c r="H91" i="11" a="1"/>
  <c r="G93" i="11" a="1"/>
  <c r="J84" i="11"/>
  <c r="F93" i="11" a="1"/>
  <c r="J87" i="11" l="1"/>
  <c r="E87" i="11" s="1"/>
  <c r="F42" i="11"/>
  <c r="F95" i="11"/>
  <c r="G99" i="11"/>
  <c r="E99" i="11"/>
  <c r="E96" i="11"/>
  <c r="J96" i="11"/>
  <c r="J99" i="11"/>
  <c r="F93" i="11"/>
  <c r="G93" i="11"/>
  <c r="H91" i="11"/>
  <c r="E92" i="11"/>
  <c r="B93" i="11"/>
  <c r="H93" i="11"/>
  <c r="E94" i="11"/>
  <c r="B95" i="11"/>
  <c r="H95" i="11"/>
  <c r="E98" i="11"/>
  <c r="J92" i="11"/>
  <c r="J94" i="11"/>
  <c r="J98" i="11"/>
  <c r="B91" i="11"/>
  <c r="F91" i="11"/>
  <c r="F94" i="11"/>
  <c r="I87" i="11"/>
  <c r="J91" i="11"/>
  <c r="J93" i="11"/>
  <c r="G94" i="11"/>
  <c r="J95" i="11"/>
  <c r="E91" i="11"/>
  <c r="B92" i="11"/>
  <c r="H92" i="11"/>
  <c r="E93" i="11"/>
  <c r="B94" i="11"/>
  <c r="H94" i="11"/>
  <c r="E95" i="11"/>
  <c r="B98" i="11"/>
  <c r="H98" i="11"/>
  <c r="G96" i="11" a="1"/>
  <c r="G98" i="11" a="1"/>
  <c r="F99" i="11" a="1"/>
  <c r="F96" i="11" a="1"/>
  <c r="G91" i="11" a="1"/>
  <c r="G92" i="11" a="1"/>
  <c r="F92" i="11" a="1"/>
  <c r="G98" i="11" l="1"/>
  <c r="G96" i="11"/>
  <c r="F99" i="11"/>
  <c r="F96" i="11"/>
  <c r="F92" i="11"/>
  <c r="G92" i="11"/>
  <c r="G91" i="11"/>
  <c r="G95" i="11" a="1"/>
  <c r="G95" i="11" l="1"/>
  <c r="K138" i="3" l="1"/>
  <c r="K170" i="3"/>
  <c r="K169" i="3"/>
  <c r="K168" i="3"/>
  <c r="K165" i="3"/>
  <c r="K164" i="3"/>
  <c r="K163" i="3"/>
  <c r="K162" i="3"/>
  <c r="K160" i="3"/>
  <c r="K159" i="3"/>
  <c r="K158" i="3"/>
  <c r="K157" i="3"/>
  <c r="K156" i="3"/>
  <c r="K155" i="3"/>
  <c r="K154" i="3"/>
  <c r="K153" i="3"/>
  <c r="K152" i="3"/>
  <c r="K151" i="3"/>
  <c r="K150" i="3"/>
  <c r="C19" i="8"/>
  <c r="K79" i="11"/>
  <c r="K81" i="11"/>
  <c r="K80" i="11"/>
  <c r="F169" i="3" a="1"/>
  <c r="E162" i="3" a="1"/>
  <c r="H160" i="3" a="1"/>
  <c r="J159" i="3" a="1"/>
  <c r="C159" i="3"/>
  <c r="F158" i="3" a="1"/>
  <c r="H157" i="3" a="1"/>
  <c r="J156" i="3" a="1"/>
  <c r="C156" i="3"/>
  <c r="F155" i="3" a="1"/>
  <c r="H154" i="3" a="1"/>
  <c r="J153" i="3" a="1"/>
  <c r="C153" i="3"/>
  <c r="F152" i="3" a="1"/>
  <c r="H151" i="3" a="1"/>
  <c r="J150" i="3" a="1"/>
  <c r="H146" i="3" a="1"/>
  <c r="B148" i="3" a="1"/>
  <c r="E151" i="3" a="1"/>
  <c r="B147" i="3" a="1"/>
  <c r="H147" i="3" a="1"/>
  <c r="G152" i="3" a="1"/>
  <c r="C170" i="3"/>
  <c r="G164" i="3" a="1"/>
  <c r="B159" i="3"/>
  <c r="B156" i="3"/>
  <c r="B153" i="3"/>
  <c r="C150" i="3"/>
  <c r="F149" i="3" a="1"/>
  <c r="E147" i="3" a="1"/>
  <c r="C149" i="3"/>
  <c r="E153" i="3" a="1"/>
  <c r="B163" i="3"/>
  <c r="G149" i="3" a="1"/>
  <c r="J170" i="3" a="1"/>
  <c r="B170" i="3"/>
  <c r="E169" i="3" a="1"/>
  <c r="E165" i="3" a="1"/>
  <c r="H163" i="3"/>
  <c r="J162" i="3" a="1"/>
  <c r="G160" i="3" a="1"/>
  <c r="E158" i="3" a="1"/>
  <c r="G157" i="3" a="1"/>
  <c r="E155" i="3" a="1"/>
  <c r="G154" i="3" a="1"/>
  <c r="E152" i="3" a="1"/>
  <c r="G151" i="3" a="1"/>
  <c r="H148" i="3" a="1"/>
  <c r="E146" i="3" a="1"/>
  <c r="E150" i="3" a="1"/>
  <c r="H168" i="3"/>
  <c r="F168" i="3" a="1"/>
  <c r="C162" i="3"/>
  <c r="B150" i="3" a="1"/>
  <c r="E149" i="3" a="1"/>
  <c r="J147" i="3" a="1"/>
  <c r="C169" i="3"/>
  <c r="C165" i="3"/>
  <c r="G163" i="3" a="1"/>
  <c r="H159" i="3" a="1"/>
  <c r="J158" i="3" a="1"/>
  <c r="C158" i="3"/>
  <c r="H156" i="3" a="1"/>
  <c r="J155" i="3" a="1"/>
  <c r="C155" i="3"/>
  <c r="H153" i="3" a="1"/>
  <c r="J152" i="3" a="1"/>
  <c r="C152" i="3"/>
  <c r="H150" i="3" a="1"/>
  <c r="G148" i="3" a="1"/>
  <c r="C147" i="3"/>
  <c r="F146" i="3" a="1"/>
  <c r="H170" i="3"/>
  <c r="J169" i="3" a="1"/>
  <c r="B169" i="3"/>
  <c r="E168" i="3" a="1"/>
  <c r="J165" i="3" a="1"/>
  <c r="B165" i="3"/>
  <c r="E164" i="3" a="1"/>
  <c r="B162" i="3" a="1"/>
  <c r="B158" i="3"/>
  <c r="B155" i="3"/>
  <c r="B152" i="3"/>
  <c r="J149" i="3" a="1"/>
  <c r="J138" i="3"/>
  <c r="E154" i="3" a="1"/>
  <c r="F148" i="3" a="1"/>
  <c r="J148" i="3" a="1"/>
  <c r="J163" i="3" a="1"/>
  <c r="H162" i="3" a="1"/>
  <c r="E160" i="3" a="1"/>
  <c r="G159" i="3" a="1"/>
  <c r="E157" i="3" a="1"/>
  <c r="G156" i="3" a="1"/>
  <c r="G153" i="3" a="1"/>
  <c r="G150" i="3" a="1"/>
  <c r="C168" i="3"/>
  <c r="C164" i="3"/>
  <c r="E170" i="3" a="1"/>
  <c r="B146" i="3" a="1"/>
  <c r="H169" i="3"/>
  <c r="J168" i="3" a="1"/>
  <c r="B168" i="3"/>
  <c r="H165" i="3"/>
  <c r="J164" i="3" a="1"/>
  <c r="B164" i="3"/>
  <c r="E163" i="3" a="1"/>
  <c r="G162" i="3" a="1"/>
  <c r="J160" i="3" a="1"/>
  <c r="C160" i="3"/>
  <c r="F159" i="3" a="1"/>
  <c r="H158" i="3" a="1"/>
  <c r="J157" i="3" a="1"/>
  <c r="C157" i="3"/>
  <c r="F156" i="3" a="1"/>
  <c r="H155" i="3" a="1"/>
  <c r="J154" i="3" a="1"/>
  <c r="C154" i="3"/>
  <c r="F153" i="3" a="1"/>
  <c r="H152" i="3" a="1"/>
  <c r="J151" i="3" a="1"/>
  <c r="C151" i="3"/>
  <c r="F150" i="3" a="1"/>
  <c r="B149" i="3" a="1"/>
  <c r="E148" i="3" a="1"/>
  <c r="J146" i="3" a="1"/>
  <c r="G158" i="3" a="1"/>
  <c r="F170" i="3" a="1"/>
  <c r="B160" i="3"/>
  <c r="B157" i="3"/>
  <c r="B154" i="3"/>
  <c r="B151" i="3"/>
  <c r="H149" i="3" a="1"/>
  <c r="C146" i="3"/>
  <c r="E159" i="3" a="1"/>
  <c r="E156" i="3" a="1"/>
  <c r="H164" i="3"/>
  <c r="C148" i="3"/>
  <c r="G165" i="3" a="1"/>
  <c r="C163" i="3"/>
  <c r="G155" i="3" a="1"/>
  <c r="E81" i="11" a="1"/>
  <c r="E80" i="11" a="1"/>
  <c r="C60" i="11"/>
  <c r="E79" i="11" a="1"/>
  <c r="C59" i="11"/>
  <c r="H79" i="11"/>
  <c r="C80" i="11"/>
  <c r="C58" i="11"/>
  <c r="H80" i="11"/>
  <c r="F81" i="11" a="1"/>
  <c r="C57" i="11"/>
  <c r="H81" i="11"/>
  <c r="C79" i="11"/>
  <c r="F79" i="11" a="1"/>
  <c r="F80" i="11" a="1"/>
  <c r="C81" i="11"/>
  <c r="I141" i="3" a="1"/>
  <c r="J141" i="3" a="1"/>
  <c r="G155" i="3" l="1"/>
  <c r="G165" i="3"/>
  <c r="E156" i="3"/>
  <c r="E159" i="3"/>
  <c r="H149" i="3"/>
  <c r="F170" i="3"/>
  <c r="G158" i="3"/>
  <c r="J146" i="3"/>
  <c r="E148" i="3"/>
  <c r="B149" i="3"/>
  <c r="F150" i="3"/>
  <c r="J151" i="3"/>
  <c r="H152" i="3"/>
  <c r="F153" i="3"/>
  <c r="J154" i="3"/>
  <c r="H155" i="3"/>
  <c r="F156" i="3"/>
  <c r="J157" i="3"/>
  <c r="H158" i="3"/>
  <c r="F159" i="3"/>
  <c r="J160" i="3"/>
  <c r="G162" i="3"/>
  <c r="E163" i="3"/>
  <c r="J164" i="3"/>
  <c r="J168" i="3"/>
  <c r="B146" i="3"/>
  <c r="E170" i="3"/>
  <c r="G150" i="3"/>
  <c r="G153" i="3"/>
  <c r="G156" i="3"/>
  <c r="E157" i="3"/>
  <c r="G159" i="3"/>
  <c r="E160" i="3"/>
  <c r="H162" i="3"/>
  <c r="J163" i="3"/>
  <c r="J148" i="3"/>
  <c r="F148" i="3"/>
  <c r="E154" i="3"/>
  <c r="I141" i="3"/>
  <c r="J149" i="3"/>
  <c r="B162" i="3"/>
  <c r="E164" i="3"/>
  <c r="J165" i="3"/>
  <c r="E168" i="3"/>
  <c r="J169" i="3"/>
  <c r="F146" i="3"/>
  <c r="G148" i="3"/>
  <c r="H150" i="3"/>
  <c r="J152" i="3"/>
  <c r="H153" i="3"/>
  <c r="J155" i="3"/>
  <c r="H156" i="3"/>
  <c r="J158" i="3"/>
  <c r="H159" i="3"/>
  <c r="G163" i="3"/>
  <c r="J141" i="3"/>
  <c r="J147" i="3"/>
  <c r="E149" i="3"/>
  <c r="B150" i="3"/>
  <c r="F168" i="3"/>
  <c r="E150" i="3"/>
  <c r="E146" i="3"/>
  <c r="H148" i="3"/>
  <c r="G151" i="3"/>
  <c r="E152" i="3"/>
  <c r="G154" i="3"/>
  <c r="E155" i="3"/>
  <c r="G157" i="3"/>
  <c r="E158" i="3"/>
  <c r="G160" i="3"/>
  <c r="J162" i="3"/>
  <c r="E165" i="3"/>
  <c r="E169" i="3"/>
  <c r="J170" i="3"/>
  <c r="G149" i="3"/>
  <c r="E153" i="3"/>
  <c r="E147" i="3"/>
  <c r="F149" i="3"/>
  <c r="G164" i="3"/>
  <c r="G152" i="3"/>
  <c r="H147" i="3"/>
  <c r="B147" i="3"/>
  <c r="E151" i="3"/>
  <c r="B148" i="3"/>
  <c r="H146" i="3"/>
  <c r="J150" i="3"/>
  <c r="H151" i="3"/>
  <c r="F152" i="3"/>
  <c r="J153" i="3"/>
  <c r="H154" i="3"/>
  <c r="F155" i="3"/>
  <c r="J156" i="3"/>
  <c r="H157" i="3"/>
  <c r="F158" i="3"/>
  <c r="J159" i="3"/>
  <c r="H160" i="3"/>
  <c r="E162" i="3"/>
  <c r="F169" i="3"/>
  <c r="F81" i="11"/>
  <c r="F80" i="11"/>
  <c r="F79" i="11"/>
  <c r="E81" i="11"/>
  <c r="E80" i="11"/>
  <c r="E79" i="11"/>
  <c r="G147" i="3" a="1"/>
  <c r="F147" i="3" a="1"/>
  <c r="G146" i="3" a="1"/>
  <c r="F147" i="3" l="1"/>
  <c r="G146" i="3"/>
  <c r="G147" i="3"/>
  <c r="K76" i="11"/>
  <c r="K75" i="11"/>
  <c r="K74" i="11"/>
  <c r="K73" i="11"/>
  <c r="J79" i="11" a="1"/>
  <c r="E73" i="11" a="1"/>
  <c r="H76" i="11"/>
  <c r="G76" i="11" a="1"/>
  <c r="C73" i="11"/>
  <c r="H75" i="11"/>
  <c r="H74" i="11"/>
  <c r="C75" i="11"/>
  <c r="G75" i="11" a="1"/>
  <c r="C76" i="11"/>
  <c r="H73" i="11" a="1"/>
  <c r="G73" i="11" a="1"/>
  <c r="C74" i="11"/>
  <c r="J81" i="11" a="1"/>
  <c r="E76" i="11" a="1"/>
  <c r="B81" i="11"/>
  <c r="G74" i="11" a="1"/>
  <c r="B80" i="11"/>
  <c r="B79" i="11"/>
  <c r="E74" i="11" a="1"/>
  <c r="J80" i="11" a="1"/>
  <c r="E75" i="11" a="1"/>
  <c r="J81" i="11" l="1"/>
  <c r="J80" i="11"/>
  <c r="J79" i="11"/>
  <c r="H73" i="11"/>
  <c r="G76" i="11"/>
  <c r="G75" i="11"/>
  <c r="G74" i="11"/>
  <c r="G73" i="11"/>
  <c r="E76" i="11"/>
  <c r="E75" i="11"/>
  <c r="E74" i="11"/>
  <c r="E73" i="11"/>
  <c r="K71" i="11" l="1"/>
  <c r="K70" i="11"/>
  <c r="K69" i="11"/>
  <c r="K68" i="11"/>
  <c r="K67" i="11"/>
  <c r="K66" i="11"/>
  <c r="K65" i="11"/>
  <c r="K64" i="11"/>
  <c r="K63" i="11"/>
  <c r="K62" i="11"/>
  <c r="K61" i="11"/>
  <c r="C71" i="11"/>
  <c r="F70" i="11" a="1"/>
  <c r="H66" i="11" a="1"/>
  <c r="F61" i="11" a="1"/>
  <c r="B67" i="11"/>
  <c r="H63" i="11" a="1"/>
  <c r="E63" i="11" a="1"/>
  <c r="C70" i="11"/>
  <c r="G66" i="11" a="1"/>
  <c r="E64" i="11" a="1"/>
  <c r="B66" i="11"/>
  <c r="J66" i="11" a="1"/>
  <c r="B71" i="11"/>
  <c r="B68" i="11"/>
  <c r="C69" i="11"/>
  <c r="G61" i="11" a="1"/>
  <c r="J71" i="11" a="1"/>
  <c r="F63" i="11" a="1"/>
  <c r="F66" i="11" a="1"/>
  <c r="E68" i="11" a="1"/>
  <c r="J67" i="11" a="1"/>
  <c r="G70" i="11" a="1"/>
  <c r="J68" i="11" a="1"/>
  <c r="B75" i="11"/>
  <c r="C68" i="11"/>
  <c r="J69" i="11" a="1"/>
  <c r="H70" i="11" a="1"/>
  <c r="G64" i="11" a="1"/>
  <c r="G67" i="11" a="1"/>
  <c r="H67" i="11" a="1"/>
  <c r="B76" i="11"/>
  <c r="F67" i="11" a="1"/>
  <c r="J75" i="11" a="1"/>
  <c r="H62" i="11" a="1"/>
  <c r="E67" i="11" a="1"/>
  <c r="F69" i="11" a="1"/>
  <c r="G65" i="11" a="1"/>
  <c r="B64" i="11"/>
  <c r="B69" i="11"/>
  <c r="E69" i="11" a="1"/>
  <c r="B70" i="11"/>
  <c r="E65" i="11" a="1"/>
  <c r="C63" i="11"/>
  <c r="J74" i="11" a="1"/>
  <c r="C61" i="11"/>
  <c r="J64" i="11" a="1"/>
  <c r="G71" i="11" a="1"/>
  <c r="J70" i="11" a="1"/>
  <c r="B74" i="11"/>
  <c r="C67" i="11"/>
  <c r="B65" i="11"/>
  <c r="G63" i="11" a="1"/>
  <c r="G69" i="11" a="1"/>
  <c r="H68" i="11" a="1"/>
  <c r="H71" i="11" a="1"/>
  <c r="E71" i="11" a="1"/>
  <c r="J65" i="11" a="1"/>
  <c r="G62" i="11" a="1"/>
  <c r="C66" i="11"/>
  <c r="H65" i="11" a="1"/>
  <c r="J63" i="11" a="1"/>
  <c r="E62" i="11" a="1"/>
  <c r="J62" i="11" a="1"/>
  <c r="C64" i="11"/>
  <c r="E61" i="11" a="1"/>
  <c r="E66" i="11" a="1"/>
  <c r="E70" i="11" a="1"/>
  <c r="H61" i="11" a="1"/>
  <c r="C65" i="11"/>
  <c r="G68" i="11" a="1"/>
  <c r="B62" i="11"/>
  <c r="B63" i="11"/>
  <c r="J76" i="11" a="1"/>
  <c r="H64" i="11" a="1"/>
  <c r="C62" i="11"/>
  <c r="H69" i="11" a="1"/>
  <c r="F64" i="11" a="1"/>
  <c r="J76" i="11" l="1"/>
  <c r="J75" i="11"/>
  <c r="J74" i="11"/>
  <c r="H71" i="11"/>
  <c r="H70" i="11"/>
  <c r="H69" i="11"/>
  <c r="H68" i="11"/>
  <c r="H67" i="11"/>
  <c r="H66" i="11"/>
  <c r="H65" i="11"/>
  <c r="H64" i="11"/>
  <c r="H63" i="11"/>
  <c r="H62" i="11"/>
  <c r="H61" i="11"/>
  <c r="G63" i="11"/>
  <c r="G62" i="11"/>
  <c r="G61" i="11"/>
  <c r="G66" i="11"/>
  <c r="G65" i="11"/>
  <c r="G64" i="11"/>
  <c r="G67" i="11"/>
  <c r="G68" i="11"/>
  <c r="G69" i="11"/>
  <c r="G70" i="11"/>
  <c r="G71" i="11"/>
  <c r="F70" i="11"/>
  <c r="F69" i="11"/>
  <c r="F67" i="11"/>
  <c r="F66" i="11"/>
  <c r="F64" i="11"/>
  <c r="F63" i="11"/>
  <c r="F61" i="11"/>
  <c r="E71" i="11"/>
  <c r="E70" i="11"/>
  <c r="J71" i="11"/>
  <c r="J70" i="11"/>
  <c r="E69" i="11"/>
  <c r="J69" i="11"/>
  <c r="E68" i="11"/>
  <c r="E67" i="11"/>
  <c r="E66" i="11"/>
  <c r="J68" i="11"/>
  <c r="J67" i="11"/>
  <c r="J66" i="11"/>
  <c r="E65" i="11"/>
  <c r="E64" i="11"/>
  <c r="E63" i="11"/>
  <c r="E62" i="11"/>
  <c r="J65" i="11"/>
  <c r="J64" i="11"/>
  <c r="J63" i="11"/>
  <c r="J62" i="11"/>
  <c r="E61" i="11"/>
  <c r="K120" i="3" l="1"/>
  <c r="K49" i="11"/>
  <c r="C19" i="6"/>
  <c r="C44" i="6"/>
  <c r="C21" i="6"/>
  <c r="C18" i="6"/>
  <c r="C46" i="6"/>
  <c r="C31" i="6"/>
  <c r="C20" i="6"/>
  <c r="C43" i="6"/>
  <c r="C33" i="6"/>
  <c r="C34" i="6"/>
  <c r="C45" i="6"/>
  <c r="C30" i="6"/>
  <c r="C32" i="6"/>
  <c r="C42" i="6"/>
  <c r="C22" i="6"/>
  <c r="J120" i="3"/>
  <c r="B133" i="3" a="1"/>
  <c r="H131" i="3" a="1"/>
  <c r="J135" i="3" a="1"/>
  <c r="G130" i="3" a="1"/>
  <c r="F127" i="3" a="1"/>
  <c r="F130" i="3" a="1"/>
  <c r="E127" i="3" a="1"/>
  <c r="H129" i="3" a="1"/>
  <c r="E130" i="3" a="1"/>
  <c r="H130" i="3" a="1"/>
  <c r="C129" i="3" a="1"/>
  <c r="J129" i="3" a="1"/>
  <c r="E128" i="3" a="1"/>
  <c r="C128" i="3" a="1"/>
  <c r="B129" i="3" a="1"/>
  <c r="F129" i="3" a="1"/>
  <c r="E133" i="3" a="1"/>
  <c r="B130" i="3" a="1"/>
  <c r="C133" i="3" a="1"/>
  <c r="C131" i="3" a="1"/>
  <c r="H133" i="3" a="1"/>
  <c r="J131" i="3" a="1"/>
  <c r="E129" i="3" a="1"/>
  <c r="B131" i="3" a="1"/>
  <c r="G133" i="3" a="1"/>
  <c r="C127" i="3" a="1"/>
  <c r="H127" i="3" a="1"/>
  <c r="J128" i="3" a="1"/>
  <c r="J130" i="3" a="1"/>
  <c r="J127" i="3" a="1"/>
  <c r="H128" i="3" a="1"/>
  <c r="F131" i="3" a="1"/>
  <c r="B127" i="3" a="1"/>
  <c r="C130" i="3" a="1"/>
  <c r="G129" i="3" a="1"/>
  <c r="B128" i="3" a="1"/>
  <c r="J133" i="3" a="1"/>
  <c r="E131" i="3" a="1"/>
  <c r="E60" i="11" a="1"/>
  <c r="F60" i="11" a="1"/>
  <c r="J44" i="11" a="1"/>
  <c r="E59" i="11" a="1"/>
  <c r="B60" i="11" a="1"/>
  <c r="B59" i="11" a="1"/>
  <c r="E58" i="11" a="1"/>
  <c r="J61" i="11" a="1"/>
  <c r="G59" i="11" a="1"/>
  <c r="J49" i="11"/>
  <c r="J57" i="11" a="1"/>
  <c r="J41" i="11" a="1"/>
  <c r="B57" i="11" a="1"/>
  <c r="H58" i="11" a="1"/>
  <c r="G60" i="11" a="1"/>
  <c r="J60" i="11" a="1"/>
  <c r="B73" i="11" a="1"/>
  <c r="J38" i="11" a="1"/>
  <c r="H59" i="11" a="1"/>
  <c r="B61" i="11" a="1"/>
  <c r="B58" i="11" a="1"/>
  <c r="H60" i="11" a="1"/>
  <c r="E57" i="11" a="1"/>
  <c r="J39" i="11" a="1"/>
  <c r="F59" i="11" a="1"/>
  <c r="H57" i="11" a="1"/>
  <c r="J40" i="11" a="1"/>
  <c r="F57" i="11" a="1"/>
  <c r="J73" i="11" a="1"/>
  <c r="J58" i="11" a="1"/>
  <c r="J59" i="11" a="1"/>
  <c r="J42" i="11" a="1"/>
  <c r="J123" i="3" a="1"/>
  <c r="I52" i="11" a="1"/>
  <c r="J52" i="11" a="1"/>
  <c r="I123" i="3" a="1"/>
  <c r="J73" i="11" l="1"/>
  <c r="J57" i="11"/>
  <c r="J61" i="11"/>
  <c r="J58" i="11"/>
  <c r="J59" i="11"/>
  <c r="J60" i="11"/>
  <c r="J44" i="11"/>
  <c r="J40" i="11"/>
  <c r="J39" i="11"/>
  <c r="J41" i="11"/>
  <c r="J42" i="11"/>
  <c r="J38" i="11"/>
  <c r="I123" i="3"/>
  <c r="F127" i="3"/>
  <c r="C128" i="3"/>
  <c r="F129" i="3"/>
  <c r="C130" i="3"/>
  <c r="F131" i="3"/>
  <c r="C133" i="3"/>
  <c r="J128" i="3"/>
  <c r="J130" i="3"/>
  <c r="J133" i="3"/>
  <c r="J123" i="3"/>
  <c r="G129" i="3"/>
  <c r="B127" i="3"/>
  <c r="B129" i="3"/>
  <c r="H131" i="3"/>
  <c r="E133" i="3"/>
  <c r="H129" i="3"/>
  <c r="E128" i="3"/>
  <c r="B131" i="3"/>
  <c r="C127" i="3"/>
  <c r="C129" i="3"/>
  <c r="F130" i="3"/>
  <c r="C131" i="3"/>
  <c r="E130" i="3"/>
  <c r="J129" i="3"/>
  <c r="G130" i="3"/>
  <c r="G133" i="3"/>
  <c r="J135" i="3"/>
  <c r="H127" i="3"/>
  <c r="J127" i="3"/>
  <c r="J131" i="3"/>
  <c r="E127" i="3"/>
  <c r="B128" i="3"/>
  <c r="H128" i="3"/>
  <c r="E129" i="3"/>
  <c r="B130" i="3"/>
  <c r="H130" i="3"/>
  <c r="E131" i="3"/>
  <c r="B133" i="3"/>
  <c r="H133" i="3"/>
  <c r="J52" i="11"/>
  <c r="H57" i="11"/>
  <c r="B61" i="11"/>
  <c r="F59" i="11"/>
  <c r="B57" i="11"/>
  <c r="I52" i="11"/>
  <c r="B59" i="11"/>
  <c r="F60" i="11"/>
  <c r="G59" i="11"/>
  <c r="E60" i="11"/>
  <c r="E58" i="11"/>
  <c r="G60" i="11"/>
  <c r="H59" i="11"/>
  <c r="F57" i="11"/>
  <c r="E57" i="11"/>
  <c r="B58" i="11"/>
  <c r="H58" i="11"/>
  <c r="E59" i="11"/>
  <c r="B60" i="11"/>
  <c r="H60" i="11"/>
  <c r="B73" i="11"/>
  <c r="K31" i="11"/>
  <c r="K13" i="11"/>
  <c r="G28" i="11" a="1"/>
  <c r="J13" i="11"/>
  <c r="J25" i="11" a="1"/>
  <c r="B23" i="11" a="1"/>
  <c r="G25" i="11" a="1"/>
  <c r="H28" i="11" a="1"/>
  <c r="C25" i="11" a="1"/>
  <c r="B41" i="11" a="1"/>
  <c r="E22" i="11" a="1"/>
  <c r="B25" i="11" a="1"/>
  <c r="B40" i="11" a="1"/>
  <c r="H42" i="11" a="1"/>
  <c r="B28" i="11" a="1"/>
  <c r="C23" i="11" a="1"/>
  <c r="H38" i="11" a="1"/>
  <c r="G44" i="11" a="1"/>
  <c r="H23" i="11" a="1"/>
  <c r="E38" i="11" a="1"/>
  <c r="E26" i="11" a="1"/>
  <c r="E20" i="11" a="1"/>
  <c r="C40" i="11" a="1"/>
  <c r="J21" i="11" a="1"/>
  <c r="C39" i="11" a="1"/>
  <c r="J20" i="11" a="1"/>
  <c r="H41" i="11" a="1"/>
  <c r="H44" i="11" a="1"/>
  <c r="F38" i="11" a="1"/>
  <c r="C42" i="11" a="1"/>
  <c r="C44" i="11" a="1"/>
  <c r="C41" i="11" a="1"/>
  <c r="J31" i="11"/>
  <c r="F28" i="11" a="1"/>
  <c r="C28" i="11" a="1"/>
  <c r="H21" i="11" a="1"/>
  <c r="B26" i="11" a="1"/>
  <c r="J28" i="11" a="1"/>
  <c r="H25" i="11" a="1"/>
  <c r="B22" i="11" a="1"/>
  <c r="F22" i="11" a="1"/>
  <c r="J23" i="11" a="1"/>
  <c r="B42" i="11" a="1"/>
  <c r="C26" i="11" a="1"/>
  <c r="G20" i="11" a="1"/>
  <c r="E39" i="11" a="1"/>
  <c r="B21" i="11" a="1"/>
  <c r="F26" i="11" a="1"/>
  <c r="E41" i="11" a="1"/>
  <c r="H40" i="11" a="1"/>
  <c r="C38" i="11" a="1"/>
  <c r="F23" i="11" a="1"/>
  <c r="F20" i="11" a="1"/>
  <c r="B20" i="11" a="1"/>
  <c r="E44" i="11" a="1"/>
  <c r="H22" i="11" a="1"/>
  <c r="H20" i="11" a="1"/>
  <c r="E25" i="11" a="1"/>
  <c r="E21" i="11" a="1"/>
  <c r="H39" i="11" a="1"/>
  <c r="F21" i="11" a="1"/>
  <c r="B39" i="11" a="1"/>
  <c r="G40" i="11" a="1"/>
  <c r="J26" i="11" a="1"/>
  <c r="F25" i="11" a="1"/>
  <c r="F40" i="11" a="1"/>
  <c r="E28" i="11" a="1"/>
  <c r="G23" i="11" a="1"/>
  <c r="E42" i="11" a="1"/>
  <c r="E23" i="11" a="1"/>
  <c r="E40" i="11" a="1"/>
  <c r="F41" i="11" a="1"/>
  <c r="G22" i="11" a="1"/>
  <c r="C22" i="11" a="1"/>
  <c r="B38" i="11" a="1"/>
  <c r="G41" i="11" a="1"/>
  <c r="J22" i="11" a="1"/>
  <c r="B44" i="11" a="1"/>
  <c r="H26" i="11" a="1"/>
  <c r="G21" i="11" a="1"/>
  <c r="G26" i="11" a="1"/>
  <c r="C21" i="11" a="1"/>
  <c r="C20" i="11" a="1"/>
  <c r="G57" i="11" a="1"/>
  <c r="G14" i="11" a="1"/>
  <c r="J34" i="11" a="1"/>
  <c r="G127" i="3" a="1"/>
  <c r="F128" i="3" a="1"/>
  <c r="G58" i="11" a="1"/>
  <c r="I34" i="11" a="1"/>
  <c r="G128" i="3" a="1"/>
  <c r="F58" i="11" a="1"/>
  <c r="G128" i="3" l="1"/>
  <c r="G58" i="11"/>
  <c r="G127" i="3"/>
  <c r="F128" i="3"/>
  <c r="F58" i="11"/>
  <c r="G57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C44" i="11"/>
  <c r="J34" i="11"/>
  <c r="G40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G41" i="11"/>
  <c r="G44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G39" i="11" a="1"/>
  <c r="G131" i="3" a="1"/>
  <c r="F39" i="11" a="1"/>
  <c r="G38" i="11" a="1"/>
  <c r="G131" i="3" l="1"/>
  <c r="F39" i="11"/>
  <c r="G39" i="11"/>
  <c r="G38" i="11"/>
  <c r="G42" i="11" a="1"/>
  <c r="G42" i="11" l="1"/>
  <c r="O22" i="8" a="1"/>
  <c r="G16" i="11" a="1"/>
  <c r="I14" i="11" a="1"/>
  <c r="E14" i="11" a="1"/>
  <c r="I14" i="11" l="1"/>
  <c r="G16" i="11"/>
  <c r="E14" i="11"/>
  <c r="O22" i="8"/>
  <c r="O23" i="8" a="1"/>
  <c r="D23" i="11" a="1"/>
  <c r="D20" i="11" a="1"/>
  <c r="D25" i="11" a="1"/>
  <c r="D28" i="11" a="1"/>
  <c r="D21" i="11" a="1"/>
  <c r="D26" i="11" a="1"/>
  <c r="D22" i="11" a="1"/>
  <c r="D28" i="11" l="1"/>
  <c r="D26" i="11"/>
  <c r="D25" i="11"/>
  <c r="D23" i="11"/>
  <c r="D22" i="11"/>
  <c r="D21" i="11"/>
  <c r="D20" i="11"/>
  <c r="O23" i="8"/>
  <c r="O24" i="8" a="1"/>
  <c r="I21" i="11" a="1"/>
  <c r="I22" i="11" a="1"/>
  <c r="I25" i="11" a="1"/>
  <c r="I20" i="11" a="1"/>
  <c r="I26" i="11" a="1"/>
  <c r="I23" i="11" a="1"/>
  <c r="I28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97" i="3"/>
  <c r="K74" i="3"/>
  <c r="K54" i="3"/>
  <c r="K33" i="3"/>
  <c r="K13" i="3"/>
  <c r="O29" i="8" a="1"/>
  <c r="O28" i="8" a="1"/>
  <c r="O26" i="8" a="1"/>
  <c r="O27" i="8" a="1"/>
  <c r="O30" i="8" a="1"/>
  <c r="O31" i="8" a="1"/>
  <c r="O25" i="8" a="1"/>
  <c r="L19" i="8" a="1"/>
  <c r="F25" i="8" a="1"/>
  <c r="F19" i="8" a="1"/>
  <c r="O21" i="8" a="1"/>
  <c r="L20" i="8" a="1"/>
  <c r="F24" i="8" a="1"/>
  <c r="I22" i="8" a="1"/>
  <c r="F20" i="8" a="1"/>
  <c r="O19" i="8" a="1"/>
  <c r="F21" i="8" a="1"/>
  <c r="L21" i="8" a="1"/>
  <c r="O20" i="8" a="1"/>
  <c r="R19" i="8" a="1"/>
  <c r="F26" i="8" a="1"/>
  <c r="I23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14" i="3"/>
  <c r="H117" i="3"/>
  <c r="F117" i="3"/>
  <c r="F114" i="3"/>
  <c r="H111" i="3"/>
  <c r="H110" i="3"/>
  <c r="H109" i="3"/>
  <c r="G111" i="3"/>
  <c r="F111" i="3"/>
  <c r="F109" i="3"/>
  <c r="H116" i="3"/>
  <c r="G116" i="3"/>
  <c r="H113" i="3"/>
  <c r="G113" i="3"/>
  <c r="H108" i="3"/>
  <c r="F108" i="3"/>
  <c r="H107" i="3"/>
  <c r="G107" i="3"/>
  <c r="F107" i="3"/>
  <c r="H106" i="3"/>
  <c r="G106" i="3"/>
  <c r="F106" i="3"/>
  <c r="H105" i="3"/>
  <c r="C105" i="3"/>
  <c r="C106" i="3" s="1"/>
  <c r="C107" i="3" s="1"/>
  <c r="C108" i="3" s="1"/>
  <c r="C109" i="3" s="1"/>
  <c r="C110" i="3" s="1"/>
  <c r="C111" i="3" s="1"/>
  <c r="C113" i="3" s="1"/>
  <c r="C114" i="3" s="1"/>
  <c r="H104" i="3"/>
  <c r="F104" i="3"/>
  <c r="B104" i="3"/>
  <c r="B108" i="3" s="1"/>
  <c r="R23" i="8" a="1"/>
  <c r="R31" i="8" a="1"/>
  <c r="I30" i="8" a="1"/>
  <c r="J127" i="7"/>
  <c r="R25" i="8" a="1"/>
  <c r="F28" i="8" a="1"/>
  <c r="R22" i="8" a="1"/>
  <c r="L28" i="8" a="1"/>
  <c r="L24" i="8" a="1"/>
  <c r="I31" i="8" a="1"/>
  <c r="I29" i="8" a="1"/>
  <c r="F30" i="8" a="1"/>
  <c r="L31" i="8" a="1"/>
  <c r="F31" i="8" a="1"/>
  <c r="F27" i="8" a="1"/>
  <c r="J25" i="6"/>
  <c r="R30" i="8" a="1"/>
  <c r="L30" i="8" a="1"/>
  <c r="I27" i="8" a="1"/>
  <c r="R24" i="8" a="1"/>
  <c r="R27" i="8" a="1"/>
  <c r="F29" i="8" a="1"/>
  <c r="I28" i="8" a="1"/>
  <c r="L25" i="8" a="1"/>
  <c r="J79" i="4"/>
  <c r="R21" i="8" a="1"/>
  <c r="L29" i="8" a="1"/>
  <c r="J31" i="7"/>
  <c r="J37" i="6"/>
  <c r="R29" i="8" a="1"/>
  <c r="R20" i="8" a="1"/>
  <c r="R28" i="8" a="1"/>
  <c r="L27" i="8" a="1"/>
  <c r="R26" i="8" a="1"/>
  <c r="J97" i="3"/>
  <c r="G87" i="11" a="1"/>
  <c r="F87" i="11" a="1"/>
  <c r="G85" i="11" a="1"/>
  <c r="E85" i="11" a="1"/>
  <c r="I85" i="11" a="1"/>
  <c r="G141" i="3" a="1"/>
  <c r="I26" i="8" a="1"/>
  <c r="I121" i="3" a="1"/>
  <c r="G36" i="4" a="1"/>
  <c r="I152" i="4" a="1"/>
  <c r="J152" i="4" a="1"/>
  <c r="J15" i="4" a="1"/>
  <c r="G81" i="4" a="1"/>
  <c r="G50" i="11" a="1"/>
  <c r="C139" i="3" a="1"/>
  <c r="J106" i="4" a="1"/>
  <c r="I24" i="8" a="1"/>
  <c r="J81" i="4" a="1"/>
  <c r="C50" i="11" a="1"/>
  <c r="J131" i="4" a="1"/>
  <c r="I50" i="11" a="1"/>
  <c r="J36" i="4" a="1"/>
  <c r="I15" i="4" a="1"/>
  <c r="J105" i="4" a="1"/>
  <c r="G152" i="4" a="1"/>
  <c r="I32" i="11" a="1"/>
  <c r="E139" i="3" a="1"/>
  <c r="I36" i="4" a="1"/>
  <c r="I132" i="4" a="1"/>
  <c r="G121" i="3" a="1"/>
  <c r="I139" i="3" a="1"/>
  <c r="I105" i="4" a="1"/>
  <c r="J132" i="4" a="1"/>
  <c r="G34" i="11" a="1"/>
  <c r="J57" i="4" a="1"/>
  <c r="G139" i="3" a="1"/>
  <c r="G105" i="4" a="1"/>
  <c r="G52" i="11" a="1"/>
  <c r="G57" i="4" a="1"/>
  <c r="G15" i="4" a="1"/>
  <c r="E121" i="3" a="1"/>
  <c r="K52" i="11" a="1"/>
  <c r="G123" i="3" a="1"/>
  <c r="I57" i="4" a="1"/>
  <c r="E50" i="11" a="1"/>
  <c r="I106" i="4" a="1"/>
  <c r="I20" i="8" a="1"/>
  <c r="F123" i="3" a="1"/>
  <c r="I21" i="8" a="1"/>
  <c r="I25" i="8" a="1"/>
  <c r="G131" i="4" a="1"/>
  <c r="I131" i="4" a="1"/>
  <c r="E32" i="11" a="1"/>
  <c r="F34" i="11" a="1"/>
  <c r="I81" i="4" a="1"/>
  <c r="K141" i="3" a="1"/>
  <c r="G32" i="11" a="1"/>
  <c r="G87" i="11" l="1"/>
  <c r="I85" i="11"/>
  <c r="E85" i="11"/>
  <c r="G85" i="11"/>
  <c r="F87" i="11"/>
  <c r="K101" i="11" s="1"/>
  <c r="G139" i="3"/>
  <c r="I139" i="3"/>
  <c r="E139" i="3"/>
  <c r="C139" i="3"/>
  <c r="G141" i="3"/>
  <c r="K141" i="3"/>
  <c r="K167" i="3" s="1"/>
  <c r="K52" i="11"/>
  <c r="K78" i="11" s="1"/>
  <c r="C50" i="11"/>
  <c r="G121" i="3"/>
  <c r="I121" i="3"/>
  <c r="E121" i="3"/>
  <c r="G123" i="3"/>
  <c r="F123" i="3"/>
  <c r="K135" i="3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14" i="3"/>
  <c r="B135" i="7"/>
  <c r="B139" i="7" s="1"/>
  <c r="B117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16" i="3"/>
  <c r="C117" i="3" s="1"/>
  <c r="B116" i="3"/>
  <c r="B107" i="3"/>
  <c r="B111" i="3" s="1"/>
  <c r="B105" i="3"/>
  <c r="B109" i="3" s="1"/>
  <c r="B113" i="3"/>
  <c r="B106" i="3"/>
  <c r="B110" i="3" s="1"/>
  <c r="H88" i="3"/>
  <c r="G88" i="3"/>
  <c r="F88" i="3"/>
  <c r="H87" i="3"/>
  <c r="H86" i="3"/>
  <c r="F86" i="3"/>
  <c r="H94" i="3"/>
  <c r="F94" i="3"/>
  <c r="H84" i="3"/>
  <c r="H83" i="3"/>
  <c r="H81" i="3"/>
  <c r="G25" i="3"/>
  <c r="G27" i="3"/>
  <c r="G50" i="4"/>
  <c r="G147" i="4"/>
  <c r="G126" i="4"/>
  <c r="G125" i="4"/>
  <c r="G71" i="3"/>
  <c r="G51" i="3"/>
  <c r="J86" i="7"/>
  <c r="J129" i="4"/>
  <c r="J150" i="4"/>
  <c r="J66" i="7"/>
  <c r="J107" i="7"/>
  <c r="J13" i="6"/>
  <c r="J103" i="4"/>
  <c r="J13" i="7"/>
  <c r="J13" i="5"/>
  <c r="J13" i="4"/>
  <c r="J55" i="4"/>
  <c r="J34" i="4"/>
  <c r="J40" i="5"/>
  <c r="J33" i="3"/>
  <c r="J54" i="3"/>
  <c r="J74" i="3"/>
  <c r="J13" i="3"/>
  <c r="C101" i="11"/>
  <c r="D96" i="11"/>
  <c r="I96" i="11" s="1" a="1"/>
  <c r="D99" i="11"/>
  <c r="I99" i="11" s="1" a="1"/>
  <c r="F98" i="11" a="1"/>
  <c r="D94" i="11" a="1"/>
  <c r="D92" i="11" a="1"/>
  <c r="D91" i="11" a="1"/>
  <c r="D93" i="11" a="1"/>
  <c r="D95" i="11" a="1"/>
  <c r="F101" i="11" a="1"/>
  <c r="G101" i="11" a="1"/>
  <c r="B101" i="11" a="1"/>
  <c r="H101" i="11" a="1"/>
  <c r="J101" i="11" a="1"/>
  <c r="E101" i="11" a="1"/>
  <c r="D101" i="11" a="1"/>
  <c r="D98" i="11" a="1"/>
  <c r="D160" i="3"/>
  <c r="C167" i="3"/>
  <c r="D68" i="11"/>
  <c r="F62" i="11" a="1"/>
  <c r="D73" i="11" a="1"/>
  <c r="I15" i="3" a="1"/>
  <c r="D149" i="3" a="1"/>
  <c r="D170" i="3"/>
  <c r="F135" i="3" a="1"/>
  <c r="D40" i="11" a="1"/>
  <c r="D69" i="11"/>
  <c r="J34" i="7" a="1"/>
  <c r="G76" i="3" a="1"/>
  <c r="C135" i="3" a="1"/>
  <c r="J68" i="7" a="1"/>
  <c r="D60" i="11" a="1"/>
  <c r="F152" i="4" a="1"/>
  <c r="J15" i="3" a="1"/>
  <c r="D65" i="11"/>
  <c r="D164" i="3"/>
  <c r="D156" i="3"/>
  <c r="F151" i="3" a="1"/>
  <c r="J88" i="7" a="1"/>
  <c r="D74" i="11"/>
  <c r="D42" i="11" a="1"/>
  <c r="E99" i="3" a="1"/>
  <c r="E76" i="3" a="1"/>
  <c r="J35" i="3" a="1"/>
  <c r="I99" i="3" a="1"/>
  <c r="D163" i="3"/>
  <c r="D151" i="3"/>
  <c r="F154" i="3" a="1"/>
  <c r="D81" i="11"/>
  <c r="D39" i="11" a="1"/>
  <c r="J76" i="3" a="1"/>
  <c r="F68" i="11" a="1"/>
  <c r="F157" i="3" a="1"/>
  <c r="D61" i="11" a="1"/>
  <c r="J129" i="7" a="1"/>
  <c r="D70" i="11"/>
  <c r="D66" i="11"/>
  <c r="F74" i="11" a="1"/>
  <c r="D152" i="3"/>
  <c r="D80" i="11"/>
  <c r="D71" i="11"/>
  <c r="I88" i="7" a="1"/>
  <c r="E15" i="3" a="1"/>
  <c r="G99" i="3" a="1"/>
  <c r="I35" i="3" a="1"/>
  <c r="F133" i="3" a="1"/>
  <c r="D165" i="3"/>
  <c r="D155" i="3"/>
  <c r="F160" i="3" a="1"/>
  <c r="D131" i="3" a="1"/>
  <c r="D79" i="11"/>
  <c r="F15" i="4" a="1"/>
  <c r="F36" i="4" a="1"/>
  <c r="H135" i="3" a="1"/>
  <c r="F81" i="4" a="1"/>
  <c r="J110" i="7" a="1"/>
  <c r="J57" i="3" a="1"/>
  <c r="I109" i="7" a="1"/>
  <c r="D162" i="3" a="1"/>
  <c r="F167" i="3" a="1"/>
  <c r="D130" i="3" a="1"/>
  <c r="D76" i="11"/>
  <c r="D75" i="11"/>
  <c r="D58" i="11" a="1"/>
  <c r="I34" i="7" a="1"/>
  <c r="D158" i="3"/>
  <c r="D153" i="3"/>
  <c r="D154" i="3"/>
  <c r="E167" i="3" a="1"/>
  <c r="D128" i="3" a="1"/>
  <c r="F65" i="11" a="1"/>
  <c r="D38" i="11" a="1"/>
  <c r="F44" i="11" a="1"/>
  <c r="F46" i="11" a="1"/>
  <c r="B135" i="3" a="1"/>
  <c r="E35" i="3" a="1"/>
  <c r="G46" i="11" a="1"/>
  <c r="J36" i="3" a="1"/>
  <c r="D63" i="11"/>
  <c r="D135" i="3" a="1"/>
  <c r="H46" i="11" a="1"/>
  <c r="J99" i="3" a="1"/>
  <c r="J109" i="7" a="1"/>
  <c r="J46" i="11" a="1"/>
  <c r="D41" i="11" a="1"/>
  <c r="I110" i="7" a="1"/>
  <c r="D159" i="3"/>
  <c r="D147" i="3" a="1"/>
  <c r="J167" i="3" a="1"/>
  <c r="D127" i="3" a="1"/>
  <c r="I36" i="3" a="1"/>
  <c r="E56" i="3" a="1"/>
  <c r="C46" i="11" a="1"/>
  <c r="D46" i="11" a="1"/>
  <c r="D59" i="11" a="1"/>
  <c r="D62" i="11"/>
  <c r="D64" i="11"/>
  <c r="D148" i="3" a="1"/>
  <c r="D150" i="3" a="1"/>
  <c r="G167" i="3" a="1"/>
  <c r="D133" i="3" a="1"/>
  <c r="I57" i="3" a="1"/>
  <c r="E46" i="11" a="1"/>
  <c r="D146" i="3" a="1"/>
  <c r="H167" i="3" a="1"/>
  <c r="D129" i="3" a="1"/>
  <c r="D57" i="11" a="1"/>
  <c r="J56" i="3" a="1"/>
  <c r="E135" i="3" a="1"/>
  <c r="I56" i="3" a="1"/>
  <c r="B46" i="11" a="1"/>
  <c r="D168" i="3"/>
  <c r="D157" i="3"/>
  <c r="D167" i="3" a="1"/>
  <c r="B167" i="3" a="1"/>
  <c r="C78" i="11"/>
  <c r="J89" i="7" a="1"/>
  <c r="I76" i="3" a="1"/>
  <c r="F131" i="4" a="1"/>
  <c r="F105" i="4" a="1"/>
  <c r="I68" i="7" a="1"/>
  <c r="F71" i="11" a="1"/>
  <c r="G135" i="3" a="1"/>
  <c r="D67" i="11"/>
  <c r="D169" i="3"/>
  <c r="G81" i="11" a="1"/>
  <c r="I129" i="7" a="1"/>
  <c r="F57" i="4" a="1"/>
  <c r="D44" i="11" a="1"/>
  <c r="I89" i="7" a="1"/>
  <c r="F73" i="11" a="1"/>
  <c r="G80" i="11" a="1"/>
  <c r="I96" i="11" l="1"/>
  <c r="I99" i="11"/>
  <c r="D98" i="11"/>
  <c r="D101" i="11"/>
  <c r="E101" i="11"/>
  <c r="J101" i="11"/>
  <c r="H101" i="11"/>
  <c r="B101" i="11"/>
  <c r="G101" i="11"/>
  <c r="F101" i="11"/>
  <c r="D95" i="11"/>
  <c r="D93" i="11"/>
  <c r="D91" i="11"/>
  <c r="D92" i="11"/>
  <c r="D94" i="11"/>
  <c r="F98" i="11"/>
  <c r="B167" i="3"/>
  <c r="H167" i="3"/>
  <c r="G167" i="3"/>
  <c r="J167" i="3"/>
  <c r="E167" i="3"/>
  <c r="F167" i="3"/>
  <c r="F160" i="3"/>
  <c r="F157" i="3"/>
  <c r="F154" i="3"/>
  <c r="F151" i="3"/>
  <c r="D167" i="3"/>
  <c r="D150" i="3"/>
  <c r="D147" i="3"/>
  <c r="D149" i="3"/>
  <c r="D146" i="3"/>
  <c r="D148" i="3"/>
  <c r="D162" i="3"/>
  <c r="G81" i="11"/>
  <c r="G80" i="11"/>
  <c r="F74" i="11"/>
  <c r="F73" i="11"/>
  <c r="F71" i="11"/>
  <c r="F68" i="11"/>
  <c r="F65" i="11"/>
  <c r="F62" i="11"/>
  <c r="J46" i="11"/>
  <c r="F133" i="3"/>
  <c r="D135" i="3"/>
  <c r="D129" i="3"/>
  <c r="D131" i="3"/>
  <c r="D127" i="3"/>
  <c r="D128" i="3"/>
  <c r="D130" i="3"/>
  <c r="E135" i="3"/>
  <c r="C135" i="3"/>
  <c r="H135" i="3"/>
  <c r="B135" i="3"/>
  <c r="G135" i="3"/>
  <c r="F135" i="3"/>
  <c r="D133" i="3"/>
  <c r="C46" i="11"/>
  <c r="E46" i="11"/>
  <c r="G46" i="11"/>
  <c r="B46" i="11"/>
  <c r="H46" i="11"/>
  <c r="F46" i="11"/>
  <c r="D73" i="11"/>
  <c r="D61" i="11"/>
  <c r="D59" i="11"/>
  <c r="D57" i="11"/>
  <c r="D58" i="11"/>
  <c r="D60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99" i="3"/>
  <c r="E76" i="3"/>
  <c r="E56" i="3"/>
  <c r="E35" i="3"/>
  <c r="E15" i="3"/>
  <c r="G99" i="3"/>
  <c r="G76" i="3"/>
  <c r="G94" i="3" s="1"/>
  <c r="I99" i="3"/>
  <c r="I76" i="3"/>
  <c r="I57" i="3"/>
  <c r="I56" i="3"/>
  <c r="I36" i="3"/>
  <c r="I35" i="3"/>
  <c r="I15" i="3"/>
  <c r="J99" i="3"/>
  <c r="G108" i="3" s="1"/>
  <c r="J76" i="3"/>
  <c r="J56" i="3"/>
  <c r="J57" i="3"/>
  <c r="J36" i="3"/>
  <c r="J35" i="3"/>
  <c r="J15" i="3"/>
  <c r="C57" i="7"/>
  <c r="C61" i="7"/>
  <c r="G18" i="6"/>
  <c r="B18" i="6"/>
  <c r="F123" i="4"/>
  <c r="F122" i="4"/>
  <c r="F74" i="4"/>
  <c r="C20" i="8"/>
  <c r="E3" i="10" a="1"/>
  <c r="I98" i="11" a="1"/>
  <c r="I92" i="11" a="1"/>
  <c r="I101" i="11" a="1"/>
  <c r="I94" i="11" a="1"/>
  <c r="I95" i="11" a="1"/>
  <c r="I93" i="11" a="1"/>
  <c r="I91" i="11" a="1"/>
  <c r="I169" i="3" a="1"/>
  <c r="I81" i="11" a="1"/>
  <c r="G170" i="3" a="1"/>
  <c r="I127" i="3" a="1"/>
  <c r="G34" i="7" a="1"/>
  <c r="I70" i="11" a="1"/>
  <c r="I68" i="11" a="1"/>
  <c r="F78" i="11" a="1"/>
  <c r="F129" i="7" a="1"/>
  <c r="E88" i="7" a="1"/>
  <c r="J15" i="7" a="1"/>
  <c r="I64" i="11" a="1"/>
  <c r="I71" i="11" a="1"/>
  <c r="I157" i="3" a="1"/>
  <c r="I151" i="3" a="1"/>
  <c r="I147" i="3" a="1"/>
  <c r="I128" i="3" a="1"/>
  <c r="I69" i="11" a="1"/>
  <c r="E68" i="7" a="1"/>
  <c r="I44" i="11" a="1"/>
  <c r="I32" i="7" a="1"/>
  <c r="I168" i="3" a="1"/>
  <c r="I163" i="3" a="1"/>
  <c r="I159" i="3" a="1"/>
  <c r="I156" i="3" a="1"/>
  <c r="I154" i="3" a="1"/>
  <c r="I164" i="3" a="1"/>
  <c r="I153" i="3" a="1"/>
  <c r="I170" i="3" a="1"/>
  <c r="I158" i="3" a="1"/>
  <c r="I160" i="3" a="1"/>
  <c r="I167" i="3" a="1"/>
  <c r="F164" i="3" a="1"/>
  <c r="B78" i="11" a="1"/>
  <c r="E15" i="7" a="1"/>
  <c r="I66" i="11" a="1"/>
  <c r="I38" i="11" a="1"/>
  <c r="I129" i="3" a="1"/>
  <c r="I40" i="11" a="1"/>
  <c r="G169" i="3" a="1"/>
  <c r="I73" i="11" a="1"/>
  <c r="E78" i="11" a="1"/>
  <c r="I149" i="3" a="1"/>
  <c r="I79" i="11" a="1"/>
  <c r="F75" i="11" a="1"/>
  <c r="F162" i="3" a="1"/>
  <c r="F163" i="3" a="1"/>
  <c r="I74" i="11" a="1"/>
  <c r="I75" i="11" a="1"/>
  <c r="I57" i="11" a="1"/>
  <c r="I39" i="11" a="1"/>
  <c r="I131" i="3" a="1"/>
  <c r="I67" i="11" a="1"/>
  <c r="F88" i="7" a="1"/>
  <c r="I46" i="11" a="1"/>
  <c r="H78" i="11" a="1"/>
  <c r="F76" i="11" a="1"/>
  <c r="G129" i="7" a="1"/>
  <c r="I155" i="3" a="1"/>
  <c r="G79" i="11" a="1"/>
  <c r="I146" i="3" a="1"/>
  <c r="B34" i="7" a="1"/>
  <c r="I15" i="7" a="1"/>
  <c r="I60" i="11" a="1"/>
  <c r="I63" i="11" a="1"/>
  <c r="I148" i="3" a="1"/>
  <c r="E109" i="7" a="1"/>
  <c r="I41" i="11" a="1"/>
  <c r="I65" i="11" a="1"/>
  <c r="I162" i="3" a="1"/>
  <c r="F165" i="3" a="1"/>
  <c r="F15" i="7" a="1"/>
  <c r="J78" i="11" a="1"/>
  <c r="E129" i="7" a="1"/>
  <c r="I62" i="11" a="1"/>
  <c r="I165" i="3" a="1"/>
  <c r="G168" i="3" a="1"/>
  <c r="I130" i="3" a="1"/>
  <c r="I61" i="11" a="1"/>
  <c r="I80" i="11" a="1"/>
  <c r="I150" i="3" a="1"/>
  <c r="I133" i="3" a="1"/>
  <c r="F68" i="7" a="1"/>
  <c r="I76" i="11" a="1"/>
  <c r="D78" i="11" a="1"/>
  <c r="I59" i="11" a="1"/>
  <c r="I42" i="11" a="1"/>
  <c r="I135" i="3" a="1"/>
  <c r="I58" i="11" a="1"/>
  <c r="G78" i="11" a="1"/>
  <c r="F109" i="7" a="1"/>
  <c r="I152" i="3" a="1"/>
  <c r="I91" i="11" l="1"/>
  <c r="I93" i="11"/>
  <c r="I95" i="11"/>
  <c r="I94" i="11"/>
  <c r="I101" i="11"/>
  <c r="I92" i="11"/>
  <c r="I98" i="11"/>
  <c r="I152" i="3"/>
  <c r="I80" i="11"/>
  <c r="I165" i="3"/>
  <c r="G79" i="11"/>
  <c r="I155" i="3"/>
  <c r="F75" i="11"/>
  <c r="I79" i="11"/>
  <c r="I160" i="3"/>
  <c r="I158" i="3"/>
  <c r="I170" i="3"/>
  <c r="I153" i="3"/>
  <c r="I164" i="3"/>
  <c r="I154" i="3"/>
  <c r="I156" i="3"/>
  <c r="I159" i="3"/>
  <c r="I163" i="3"/>
  <c r="I168" i="3"/>
  <c r="I151" i="3"/>
  <c r="I157" i="3"/>
  <c r="I81" i="11"/>
  <c r="I169" i="3"/>
  <c r="F163" i="3"/>
  <c r="F164" i="3"/>
  <c r="I149" i="3"/>
  <c r="F165" i="3"/>
  <c r="I162" i="3"/>
  <c r="G169" i="3"/>
  <c r="I147" i="3"/>
  <c r="G170" i="3"/>
  <c r="I148" i="3"/>
  <c r="I150" i="3"/>
  <c r="G168" i="3"/>
  <c r="I146" i="3"/>
  <c r="F162" i="3"/>
  <c r="I167" i="3"/>
  <c r="F76" i="11"/>
  <c r="I76" i="11"/>
  <c r="I75" i="11"/>
  <c r="I74" i="11"/>
  <c r="I62" i="11"/>
  <c r="I71" i="11"/>
  <c r="I70" i="11"/>
  <c r="I69" i="11"/>
  <c r="I68" i="11"/>
  <c r="I67" i="11"/>
  <c r="I65" i="11"/>
  <c r="I66" i="11"/>
  <c r="I63" i="11"/>
  <c r="I64" i="11"/>
  <c r="J78" i="11"/>
  <c r="I130" i="3"/>
  <c r="I128" i="3"/>
  <c r="I131" i="3"/>
  <c r="I129" i="3"/>
  <c r="I127" i="3"/>
  <c r="I133" i="3"/>
  <c r="I135" i="3"/>
  <c r="F78" i="11"/>
  <c r="E78" i="11"/>
  <c r="H78" i="11"/>
  <c r="B78" i="11"/>
  <c r="G78" i="11"/>
  <c r="D78" i="11"/>
  <c r="I60" i="11"/>
  <c r="I58" i="11"/>
  <c r="I57" i="11"/>
  <c r="I59" i="11"/>
  <c r="I61" i="11"/>
  <c r="I73" i="11"/>
  <c r="I44" i="11"/>
  <c r="I46" i="11"/>
  <c r="I39" i="11"/>
  <c r="I41" i="11"/>
  <c r="I38" i="11"/>
  <c r="I40" i="11"/>
  <c r="I42" i="11"/>
  <c r="E3" i="10"/>
  <c r="F105" i="3"/>
  <c r="G117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10" i="3"/>
  <c r="G105" i="3"/>
  <c r="G104" i="3"/>
  <c r="J15" i="7"/>
  <c r="I15" i="7"/>
  <c r="G114" i="3"/>
  <c r="F113" i="3" s="1"/>
  <c r="F116" i="3"/>
  <c r="F87" i="3"/>
  <c r="G44" i="4"/>
  <c r="G47" i="4"/>
  <c r="G45" i="4"/>
  <c r="G122" i="4"/>
  <c r="G123" i="4"/>
  <c r="G68" i="4"/>
  <c r="G66" i="4"/>
  <c r="G65" i="4"/>
  <c r="C58" i="7"/>
  <c r="C63" i="7" s="1"/>
  <c r="C62" i="7"/>
  <c r="G91" i="3"/>
  <c r="C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93" i="3"/>
  <c r="G93" i="3"/>
  <c r="F93" i="3"/>
  <c r="H91" i="3"/>
  <c r="F91" i="3"/>
  <c r="H90" i="3"/>
  <c r="F90" i="3" s="1"/>
  <c r="H85" i="3"/>
  <c r="G85" i="3"/>
  <c r="F85" i="3"/>
  <c r="F84" i="3"/>
  <c r="F83" i="3"/>
  <c r="H82" i="3"/>
  <c r="G82" i="3"/>
  <c r="F82" i="3"/>
  <c r="C82" i="3"/>
  <c r="C83" i="3" s="1"/>
  <c r="C84" i="3" s="1"/>
  <c r="C85" i="3" s="1"/>
  <c r="G81" i="3"/>
  <c r="F81" i="3"/>
  <c r="B81" i="3"/>
  <c r="B138" i="4"/>
  <c r="B112" i="4"/>
  <c r="B120" i="4" s="1"/>
  <c r="B65" i="4"/>
  <c r="B44" i="4"/>
  <c r="B49" i="4" s="1"/>
  <c r="B115" i="7"/>
  <c r="B94" i="7"/>
  <c r="B73" i="7"/>
  <c r="B20" i="7"/>
  <c r="B62" i="3"/>
  <c r="B69" i="3" s="1"/>
  <c r="B45" i="3"/>
  <c r="B20" i="3"/>
  <c r="B22" i="3" s="1"/>
  <c r="E14" i="6" a="1"/>
  <c r="E26" i="6" a="1"/>
  <c r="F100" i="3" a="1"/>
  <c r="F37" i="3" a="1"/>
  <c r="I78" i="11" a="1"/>
  <c r="F85" i="4" a="1"/>
  <c r="F61" i="4" a="1"/>
  <c r="F77" i="3" a="1"/>
  <c r="F16" i="3" a="1"/>
  <c r="F40" i="4" a="1"/>
  <c r="F108" i="4" a="1"/>
  <c r="F58" i="3" a="1"/>
  <c r="E38" i="6" a="1"/>
  <c r="F156" i="4" a="1"/>
  <c r="F19" i="4" a="1"/>
  <c r="F21" i="5" a="1"/>
  <c r="F134" i="4" a="1"/>
  <c r="F54" i="5" a="1"/>
  <c r="I78" i="11" l="1"/>
  <c r="C86" i="3"/>
  <c r="C87" i="3" s="1"/>
  <c r="C88" i="3" s="1"/>
  <c r="C90" i="3" s="1"/>
  <c r="C91" i="3" s="1"/>
  <c r="C93" i="3" s="1"/>
  <c r="C94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00" i="3"/>
  <c r="D114" i="3" s="1"/>
  <c r="I114" i="3" s="1"/>
  <c r="F77" i="3"/>
  <c r="D90" i="3" s="1"/>
  <c r="I90" i="3" s="1"/>
  <c r="F58" i="3"/>
  <c r="D69" i="3" s="1"/>
  <c r="I69" i="3" s="1"/>
  <c r="F37" i="3"/>
  <c r="F16" i="3"/>
  <c r="C155" i="4"/>
  <c r="G167" i="4"/>
  <c r="B93" i="3"/>
  <c r="B9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84" i="3"/>
  <c r="B88" i="3" s="1"/>
  <c r="G90" i="3"/>
  <c r="B83" i="3"/>
  <c r="B87" i="3" s="1"/>
  <c r="B85" i="3"/>
  <c r="B91" i="3"/>
  <c r="B82" i="3"/>
  <c r="B86" i="3" s="1"/>
  <c r="B90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64" i="3"/>
  <c r="B65" i="3"/>
  <c r="B66" i="3"/>
  <c r="B71" i="3"/>
  <c r="B24" i="3"/>
  <c r="B30" i="3"/>
  <c r="B25" i="3"/>
  <c r="B27" i="3"/>
  <c r="B28" i="3"/>
  <c r="B63" i="3"/>
  <c r="B23" i="3"/>
  <c r="B48" i="3"/>
  <c r="B49" i="3"/>
  <c r="B46" i="3"/>
  <c r="B51" i="3"/>
  <c r="B41" i="3"/>
  <c r="B42" i="3"/>
  <c r="B43" i="3"/>
  <c r="B67" i="3"/>
  <c r="B21" i="3"/>
  <c r="B44" i="3"/>
  <c r="F16" i="7" a="1"/>
  <c r="H156" i="4" a="1"/>
  <c r="H134" i="4" a="1"/>
  <c r="F111" i="7" a="1"/>
  <c r="H77" i="3" a="1"/>
  <c r="H21" i="5" a="1"/>
  <c r="D85" i="4" a="1"/>
  <c r="H40" i="4" a="1"/>
  <c r="F90" i="7" a="1"/>
  <c r="D156" i="4" a="1"/>
  <c r="H16" i="3" a="1"/>
  <c r="D134" i="4" a="1"/>
  <c r="H100" i="3" a="1"/>
  <c r="D19" i="4" a="1"/>
  <c r="H19" i="4" a="1"/>
  <c r="H54" i="5" a="1"/>
  <c r="D54" i="5" a="1"/>
  <c r="H58" i="3" a="1"/>
  <c r="H108" i="4" a="1"/>
  <c r="D40" i="4" a="1"/>
  <c r="D21" i="5" a="1"/>
  <c r="D37" i="3" a="1"/>
  <c r="H37" i="3" a="1"/>
  <c r="D16" i="3" a="1"/>
  <c r="F69" i="7" a="1"/>
  <c r="F130" i="7" a="1"/>
  <c r="H61" i="4" a="1"/>
  <c r="H85" i="4" a="1"/>
  <c r="D58" i="3" a="1"/>
  <c r="D77" i="3" a="1"/>
  <c r="D61" i="4" a="1"/>
  <c r="D100" i="3" a="1"/>
  <c r="D108" i="4" a="1"/>
  <c r="F35" i="7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13" i="3"/>
  <c r="I113" i="3" s="1"/>
  <c r="H100" i="3"/>
  <c r="H77" i="3"/>
  <c r="H58" i="3"/>
  <c r="D65" i="3" s="1"/>
  <c r="I65" i="3" s="1"/>
  <c r="H37" i="3"/>
  <c r="D42" i="3" s="1"/>
  <c r="I42" i="3" s="1"/>
  <c r="H16" i="3"/>
  <c r="D23" i="3" s="1"/>
  <c r="I23" i="3" s="1"/>
  <c r="D100" i="3"/>
  <c r="D116" i="3" s="1"/>
  <c r="I116" i="3" s="1"/>
  <c r="D77" i="3"/>
  <c r="D93" i="3" s="1"/>
  <c r="I93" i="3" s="1"/>
  <c r="D58" i="3"/>
  <c r="D71" i="3" s="1"/>
  <c r="I71" i="3" s="1"/>
  <c r="D37" i="3"/>
  <c r="D51" i="3" s="1"/>
  <c r="I51" i="3" s="1"/>
  <c r="D16" i="3"/>
  <c r="D30" i="3" s="1"/>
  <c r="I30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91" i="3"/>
  <c r="D27" i="3"/>
  <c r="I27" i="3" s="1"/>
  <c r="D28" i="3"/>
  <c r="I28" i="3" s="1"/>
  <c r="D48" i="3"/>
  <c r="I48" i="3" s="1"/>
  <c r="D49" i="3"/>
  <c r="I49" i="3" s="1"/>
  <c r="H130" i="7" a="1"/>
  <c r="H69" i="7" a="1"/>
  <c r="H35" i="7" a="1"/>
  <c r="D16" i="7" a="1"/>
  <c r="H111" i="7" a="1"/>
  <c r="H16" i="7" a="1"/>
  <c r="D111" i="7" a="1"/>
  <c r="H90" i="7" a="1"/>
  <c r="D90" i="7" a="1"/>
  <c r="D69" i="7" a="1"/>
  <c r="D130" i="7" a="1"/>
  <c r="D86" i="3" l="1"/>
  <c r="I86" i="3" s="1"/>
  <c r="D87" i="3"/>
  <c r="I87" i="3" s="1"/>
  <c r="D88" i="3"/>
  <c r="I88" i="3" s="1"/>
  <c r="D109" i="3"/>
  <c r="I109" i="3" s="1"/>
  <c r="D110" i="3"/>
  <c r="I110" i="3" s="1"/>
  <c r="D111" i="3"/>
  <c r="I111" i="3" s="1"/>
  <c r="D113" i="4"/>
  <c r="I113" i="4" s="1"/>
  <c r="D112" i="4"/>
  <c r="I112" i="4" s="1"/>
  <c r="D116" i="4"/>
  <c r="I116" i="4" s="1"/>
  <c r="D114" i="4"/>
  <c r="I114" i="4" s="1"/>
  <c r="D85" i="3"/>
  <c r="I85" i="3" s="1"/>
  <c r="D117" i="4"/>
  <c r="I117" i="4" s="1"/>
  <c r="D83" i="3"/>
  <c r="I83" i="3" s="1"/>
  <c r="D67" i="3"/>
  <c r="I67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64" i="3"/>
  <c r="I64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20" i="3"/>
  <c r="I20" i="3" s="1"/>
  <c r="D25" i="5"/>
  <c r="I25" i="5" s="1"/>
  <c r="D65" i="4"/>
  <c r="I65" i="4" s="1"/>
  <c r="D66" i="4"/>
  <c r="I66" i="4" s="1"/>
  <c r="D72" i="5"/>
  <c r="I72" i="5" s="1"/>
  <c r="D43" i="3"/>
  <c r="I43" i="3" s="1"/>
  <c r="D41" i="3"/>
  <c r="I41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45" i="3"/>
  <c r="I45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44" i="3"/>
  <c r="I44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6" i="3"/>
  <c r="I46" i="3" s="1"/>
  <c r="D62" i="3"/>
  <c r="I62" i="3" s="1"/>
  <c r="D66" i="3"/>
  <c r="I66" i="3" s="1"/>
  <c r="D63" i="3"/>
  <c r="I63" i="3" s="1"/>
  <c r="D108" i="3"/>
  <c r="I108" i="3" s="1"/>
  <c r="D104" i="3"/>
  <c r="I104" i="3" s="1"/>
  <c r="D106" i="3"/>
  <c r="I106" i="3" s="1"/>
  <c r="D107" i="3"/>
  <c r="I107" i="3" s="1"/>
  <c r="D105" i="3"/>
  <c r="I105" i="3" s="1"/>
  <c r="D21" i="3"/>
  <c r="I21" i="3" s="1"/>
  <c r="D25" i="3"/>
  <c r="I25" i="3" s="1"/>
  <c r="D24" i="3"/>
  <c r="I24" i="3" s="1"/>
  <c r="D22" i="3"/>
  <c r="I22" i="3" s="1"/>
  <c r="D94" i="3"/>
  <c r="I94" i="3" s="1"/>
  <c r="D84" i="3"/>
  <c r="I84" i="3" s="1"/>
  <c r="D81" i="3"/>
  <c r="I81" i="3" s="1"/>
  <c r="D117" i="3"/>
  <c r="I117" i="3" s="1"/>
  <c r="D82" i="3"/>
  <c r="I82" i="3" s="1"/>
  <c r="D61" i="7"/>
  <c r="I61" i="7" s="1"/>
  <c r="D60" i="7"/>
  <c r="I60" i="7" s="1"/>
  <c r="D62" i="7"/>
  <c r="I62" i="7" s="1"/>
  <c r="I91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71" i="3"/>
  <c r="H69" i="3"/>
  <c r="H67" i="3"/>
  <c r="H66" i="3"/>
  <c r="H65" i="3"/>
  <c r="H64" i="3"/>
  <c r="H63" i="3"/>
  <c r="H62" i="3"/>
  <c r="H51" i="3"/>
  <c r="H44" i="3"/>
  <c r="H43" i="3"/>
  <c r="H42" i="3"/>
  <c r="H49" i="3"/>
  <c r="H48" i="3"/>
  <c r="H46" i="3"/>
  <c r="H45" i="3"/>
  <c r="H41" i="3"/>
  <c r="H30" i="3"/>
  <c r="H28" i="3"/>
  <c r="H27" i="3"/>
  <c r="H24" i="3"/>
  <c r="H25" i="3"/>
  <c r="H23" i="3"/>
  <c r="H22" i="3"/>
  <c r="H20" i="3"/>
  <c r="C26" i="7" l="1"/>
  <c r="C80" i="7"/>
  <c r="C99" i="7"/>
  <c r="C34" i="5"/>
  <c r="C35" i="5" s="1"/>
  <c r="C37" i="5" s="1"/>
  <c r="C67" i="5"/>
  <c r="C112" i="5"/>
  <c r="C154" i="5"/>
  <c r="C156" i="5" s="1"/>
  <c r="C134" i="5"/>
  <c r="F51" i="3"/>
  <c r="F71" i="3"/>
  <c r="G30" i="3"/>
  <c r="F3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69" i="3"/>
  <c r="G69" i="3"/>
  <c r="F67" i="3"/>
  <c r="G67" i="3"/>
  <c r="F65" i="3"/>
  <c r="F64" i="3"/>
  <c r="F63" i="3"/>
  <c r="G63" i="3"/>
  <c r="C63" i="3"/>
  <c r="F62" i="3"/>
  <c r="G62" i="3"/>
  <c r="F49" i="3"/>
  <c r="G49" i="3"/>
  <c r="F48" i="3"/>
  <c r="G48" i="3"/>
  <c r="F46" i="3"/>
  <c r="G46" i="3"/>
  <c r="F45" i="3"/>
  <c r="F44" i="3"/>
  <c r="F43" i="3"/>
  <c r="F42" i="3"/>
  <c r="G42" i="3"/>
  <c r="C42" i="3"/>
  <c r="F41" i="3"/>
  <c r="G41" i="3"/>
  <c r="F28" i="3"/>
  <c r="F27" i="3"/>
  <c r="F25" i="3"/>
  <c r="F24" i="3"/>
  <c r="G24" i="3"/>
  <c r="F23" i="3"/>
  <c r="F22" i="3"/>
  <c r="F21" i="3"/>
  <c r="G21" i="3"/>
  <c r="C21" i="3"/>
  <c r="F20" i="3"/>
  <c r="G20" i="3"/>
  <c r="C71" i="5" l="1"/>
  <c r="C47" i="4"/>
  <c r="C115" i="4"/>
  <c r="C28" i="4"/>
  <c r="C29" i="4" s="1"/>
  <c r="C64" i="3"/>
  <c r="C43" i="3"/>
  <c r="C22" i="3"/>
  <c r="C31" i="4" l="1"/>
  <c r="C72" i="5"/>
  <c r="C116" i="4"/>
  <c r="C49" i="4"/>
  <c r="C69" i="4"/>
  <c r="C65" i="3"/>
  <c r="C44" i="3"/>
  <c r="C23" i="3"/>
  <c r="C74" i="5" l="1"/>
  <c r="C71" i="4"/>
  <c r="C117" i="4"/>
  <c r="C145" i="4"/>
  <c r="C147" i="4" s="1"/>
  <c r="C45" i="3"/>
  <c r="C66" i="3"/>
  <c r="C24" i="3"/>
  <c r="C75" i="5" l="1"/>
  <c r="C119" i="4"/>
  <c r="C72" i="4"/>
  <c r="C74" i="4" s="1"/>
  <c r="C76" i="4" s="1"/>
  <c r="C67" i="3"/>
  <c r="C46" i="3"/>
  <c r="C25" i="3"/>
  <c r="C76" i="5" l="1"/>
  <c r="C120" i="4"/>
  <c r="C122" i="4" s="1"/>
  <c r="C123" i="4" s="1"/>
  <c r="C125" i="4" s="1"/>
  <c r="C69" i="3"/>
  <c r="C71" i="3" s="1"/>
  <c r="C48" i="3"/>
  <c r="C27" i="3"/>
  <c r="C126" i="4" l="1"/>
  <c r="C77" i="5"/>
  <c r="C50" i="4"/>
  <c r="C49" i="3"/>
  <c r="C51" i="3" s="1"/>
  <c r="C28" i="3"/>
  <c r="C30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<sst xmlns="http://schemas.openxmlformats.org/spreadsheetml/2006/main" count="1104" uniqueCount="189">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</sst>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929640</xdr:colOff>
          <xdr:row>5</xdr:row>
          <xdr:rowOff>60960</xdr:rowOff>
        </xdr:from>
        <xdr:to>
          <xdr:col>10</xdr:col>
          <xdr:colOff>487680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68580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5</xdr:row>
          <xdr:rowOff>60960</xdr:rowOff>
        </xdr:from>
        <xdr:to>
          <xdr:col>7</xdr:col>
          <xdr:colOff>762000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5</xdr:row>
          <xdr:rowOff>45720</xdr:rowOff>
        </xdr:from>
        <xdr:to>
          <xdr:col>13</xdr:col>
          <xdr:colOff>495300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5</xdr:row>
          <xdr:rowOff>22860</xdr:rowOff>
        </xdr:from>
        <xdr:to>
          <xdr:col>15</xdr:col>
          <xdr:colOff>335280</xdr:colOff>
          <xdr:row>6</xdr:row>
          <xdr:rowOff>205740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160020</xdr:colOff>
          <xdr:row>5</xdr:row>
          <xdr:rowOff>38100</xdr:rowOff>
        </xdr:from>
        <xdr:to>
          <xdr:col>15</xdr:col>
          <xdr:colOff>327660</xdr:colOff>
          <xdr:row>6</xdr:row>
          <xdr:rowOff>213360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4</xdr:row>
          <xdr:rowOff>106680</xdr:rowOff>
        </xdr:from>
        <xdr:to>
          <xdr:col>11</xdr:col>
          <xdr:colOff>259080</xdr:colOff>
          <xdr:row>6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4</xdr:row>
          <xdr:rowOff>129540</xdr:rowOff>
        </xdr:from>
        <xdr:to>
          <xdr:col>14</xdr:col>
          <xdr:colOff>640080</xdr:colOff>
          <xdr:row>6</xdr:row>
          <xdr:rowOff>121920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5</xdr:row>
          <xdr:rowOff>7620</xdr:rowOff>
        </xdr:from>
        <xdr:to>
          <xdr:col>11</xdr:col>
          <xdr:colOff>396240</xdr:colOff>
          <xdr:row>6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5</xdr:row>
          <xdr:rowOff>7620</xdr:rowOff>
        </xdr:from>
        <xdr:to>
          <xdr:col>14</xdr:col>
          <xdr:colOff>640080</xdr:colOff>
          <xdr:row>6</xdr:row>
          <xdr:rowOff>182880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182880</xdr:rowOff>
        </xdr:from>
        <xdr:to>
          <xdr:col>11</xdr:col>
          <xdr:colOff>22860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4</xdr:row>
          <xdr:rowOff>160020</xdr:rowOff>
        </xdr:from>
        <xdr:to>
          <xdr:col>14</xdr:col>
          <xdr:colOff>457200</xdr:colOff>
          <xdr:row>6</xdr:row>
          <xdr:rowOff>121920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1"/>
  <sheetViews>
    <sheetView topLeftCell="A10" zoomScale="55" zoomScaleNormal="55" workbookViewId="0">
      <selection activeCell="C25" sqref="C25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  <row r="36" spans="2:27" ht="21" customHeight="1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2:27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2:27" ht="21" customHeight="1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2:27" ht="21" customHeight="1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2:27" ht="21" customHeight="1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2:27" ht="21" customHeight="1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3"/>
  <sheetViews>
    <sheetView tabSelected="1" zoomScale="66" zoomScaleNormal="85" workbookViewId="0">
      <pane ySplit="8" topLeftCell="A9" activePane="bottomLeft" state="frozen"/>
      <selection pane="bottomLeft" activeCell="M28" sqref="M28"/>
    </sheetView>
  </sheetViews>
  <sheetFormatPr defaultRowHeight="14.4" x14ac:dyDescent="0.3"/>
  <cols>
    <col min="1" max="1" width="8.88671875" style="34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6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visible((""),K38)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visible((""),K39)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visible((""),K40)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visible((""),K41)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visible((H34-3.8),K42)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visible((""),K42)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visible((""),K44)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aca="1" ref="J46" ca="1">visible((""),K46)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 cm="1">
        <f t="array" aca="1" ref="C50" ca="1">defaultValue(D50,K49)</f>
        <v>45</v>
      </c>
      <c r="D50" s="7" t="s">
        <v>19</v>
      </c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31.2" customHeight="1" x14ac:dyDescent="0.3">
      <c r="A51" s="51">
        <v>1</v>
      </c>
      <c r="B51" s="15"/>
      <c r="C51" s="7" t="s">
        <v>129</v>
      </c>
      <c r="D51" s="7" t="s">
        <v>128</v>
      </c>
      <c r="E51" s="93" t="s">
        <v>127</v>
      </c>
      <c r="F51" s="93" t="s">
        <v>186</v>
      </c>
      <c r="G51" s="7" t="s">
        <v>16</v>
      </c>
      <c r="H51" s="7" t="s">
        <v>22</v>
      </c>
      <c r="I51" s="7" t="s">
        <v>3</v>
      </c>
      <c r="J51" s="7" t="s">
        <v>113</v>
      </c>
      <c r="K51" s="7" t="s">
        <v>114</v>
      </c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1</v>
      </c>
      <c r="E52" s="8">
        <v>1</v>
      </c>
      <c r="F52" s="27">
        <v>1</v>
      </c>
      <c r="G52" s="27" cm="1">
        <f t="array" aca="1" ref="G52" ca="1">defaultValue(G51,K49)</f>
        <v>3.5</v>
      </c>
      <c r="H52" s="8">
        <v>80</v>
      </c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27" t="b" cm="1">
        <f t="array" aca="1" ref="K52" ca="1">defaultValue(K51,K49)</f>
        <v>1</v>
      </c>
      <c r="BB52"/>
      <c r="BC52"/>
      <c r="BD52"/>
      <c r="BE52"/>
      <c r="BF52"/>
      <c r="BG52"/>
      <c r="BH52"/>
      <c r="BI52"/>
      <c r="BJ52"/>
    </row>
    <row r="53" spans="1:62" ht="44.4" customHeight="1" x14ac:dyDescent="0.3">
      <c r="A53" s="51">
        <v>1</v>
      </c>
      <c r="B53" s="15"/>
      <c r="C53" s="27">
        <v>30</v>
      </c>
      <c r="D53" s="27">
        <v>20</v>
      </c>
      <c r="E53" s="46">
        <v>7</v>
      </c>
      <c r="F53" s="27">
        <v>10</v>
      </c>
      <c r="G53" s="27">
        <v>3</v>
      </c>
      <c r="H53" s="29" t="s">
        <v>143</v>
      </c>
      <c r="I53" s="27">
        <v>0</v>
      </c>
      <c r="J53" s="104" t="s">
        <v>187</v>
      </c>
      <c r="K53" s="105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0</v>
      </c>
      <c r="B54" s="15"/>
      <c r="C54" s="3"/>
      <c r="D54" s="3"/>
      <c r="E54" s="3"/>
      <c r="F54" s="3"/>
      <c r="G54" s="3"/>
      <c r="H54" s="3"/>
      <c r="I54" s="3"/>
      <c r="J54" s="3"/>
      <c r="K54" s="3"/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2</v>
      </c>
      <c r="B55" s="15"/>
      <c r="C55" s="6" t="s">
        <v>4</v>
      </c>
      <c r="D55" s="6" t="s">
        <v>9</v>
      </c>
      <c r="E55" s="6" t="s">
        <v>5</v>
      </c>
      <c r="F55" s="6" t="s">
        <v>7</v>
      </c>
      <c r="G55" s="6" t="s">
        <v>1</v>
      </c>
      <c r="H55" s="6" t="s">
        <v>6</v>
      </c>
      <c r="I55" s="6" t="s">
        <v>33</v>
      </c>
      <c r="J55" s="6" t="s">
        <v>8</v>
      </c>
      <c r="K55" s="6" t="s">
        <v>185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0</v>
      </c>
      <c r="B56" s="15"/>
      <c r="K56" s="3"/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visible(1,K57)</f>
        <v>1</v>
      </c>
      <c r="D57" s="6" t="str" cm="1">
        <f t="array" aca="1" ref="D57" ca="1">visible((I50),K57)</f>
        <v>HPL</v>
      </c>
      <c r="E57" s="6" t="str" cm="1">
        <f t="array" ref="E57">visible(("قاعدة"),K57)</f>
        <v>قاعدة</v>
      </c>
      <c r="F57" s="6" cm="1">
        <f t="array" ref="F57">visible((H52 -3.6),K57)</f>
        <v>76.400000000000006</v>
      </c>
      <c r="G57" s="6" cm="1">
        <f t="array" aca="1" ref="G57" ca="1">visible((J52),K57)</f>
        <v>56</v>
      </c>
      <c r="H57" s="6" cm="1">
        <f t="array" ref="H57">visible((C49),K57)</f>
        <v>1</v>
      </c>
      <c r="I57" s="6" cm="1">
        <f t="array" aca="1" ref="I57" ca="1">visible(materialNum(D57),K57)</f>
        <v>2</v>
      </c>
      <c r="J57" s="6" t="str" cm="1">
        <f t="array" ref="J57">visible((""),K57)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visible(2,K58)</f>
        <v>2</v>
      </c>
      <c r="D58" s="6" t="str" cm="1">
        <f t="array" aca="1" ref="D58" ca="1">visible((I50),K58)</f>
        <v>HPL</v>
      </c>
      <c r="E58" s="6" t="str" cm="1">
        <f t="array" ref="E58">visible(("أجناب"),K58)</f>
        <v>أجناب</v>
      </c>
      <c r="F58" s="6" cm="1">
        <f t="array" aca="1" ref="F58" ca="1">visible((I52),K58)</f>
        <v>78</v>
      </c>
      <c r="G58" s="6" cm="1">
        <f t="array" aca="1" ref="G58" ca="1">visible((J52),K58)</f>
        <v>56</v>
      </c>
      <c r="H58" s="6" cm="1">
        <f t="array" ref="H58">visible((2 *C49),K58)</f>
        <v>2</v>
      </c>
      <c r="I58" s="6" cm="1">
        <f t="array" aca="1" ref="I58" ca="1">visible(materialNum(D58),K58)</f>
        <v>2</v>
      </c>
      <c r="J58" s="6" t="str" cm="1">
        <f t="array" ref="J58">visible((""),K58)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visible(3,K59)</f>
        <v>3</v>
      </c>
      <c r="D59" s="6" t="str" cm="1">
        <f t="array" aca="1" ref="D59" ca="1">visible((I50),K59)</f>
        <v>HPL</v>
      </c>
      <c r="E59" s="6" t="str" cm="1">
        <f t="array" ref="E59">visible(("مرايا علوية 1"),K59)</f>
        <v>مرايا علوية 1</v>
      </c>
      <c r="F59" s="6" cm="1">
        <f t="array" ref="F59">visible((H52-3.6),K59)</f>
        <v>76.400000000000006</v>
      </c>
      <c r="G59" s="6" cm="1">
        <f t="array" ref="G59">visible((10),K59)</f>
        <v>10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visible((""),K59)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visible(4,K60)</f>
        <v>4</v>
      </c>
      <c r="D60" s="6" t="str" cm="1">
        <f t="array" aca="1" ref="D60" ca="1">visible((I50),K60)</f>
        <v>HPL</v>
      </c>
      <c r="E60" s="6" t="str" cm="1">
        <f t="array" ref="E60">visible(("مرايا علوية 2"),K60)</f>
        <v>مرايا علوية 2</v>
      </c>
      <c r="F60" s="6" cm="1">
        <f t="array" ref="F60">visible((H52-3.6),K60)</f>
        <v>76.400000000000006</v>
      </c>
      <c r="G60" s="6" cm="1">
        <f t="array" ref="G60">visible((7),K60)</f>
        <v>7</v>
      </c>
      <c r="H60" s="6" cm="1">
        <f t="array" ref="H60">visible((C49),K60)</f>
        <v>1</v>
      </c>
      <c r="I60" s="6" cm="1">
        <f t="array" aca="1" ref="I60" ca="1">visible(materialNum(D60),K60)</f>
        <v>2</v>
      </c>
      <c r="J60" s="6" t="str" cm="1">
        <f t="array" ref="J60">visible((""),K60)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3</v>
      </c>
      <c r="B61" s="15" t="str" cm="1">
        <f t="array" ref="B61">visible(E49, K61)</f>
        <v>وحدة سفلية ادراج</v>
      </c>
      <c r="C61" s="10">
        <f>visible(5,K61)</f>
        <v>5</v>
      </c>
      <c r="D61" s="10" t="str" cm="1">
        <f t="array" aca="1" ref="D61" ca="1">visible((I50),K61)</f>
        <v>HPL</v>
      </c>
      <c r="E61" s="10" t="str" cm="1">
        <f t="array" ref="E61">visible(("وش درج داخلي A"),K61)</f>
        <v>وش درج داخلي A</v>
      </c>
      <c r="F61" s="10" cm="1">
        <f t="array" ref="F61">visible((H52-3.6-3.6-2.5),K61)</f>
        <v>70.3</v>
      </c>
      <c r="G61" s="10" cm="1">
        <f t="array" ref="G61">visible((F53),K61)</f>
        <v>10</v>
      </c>
      <c r="H61" s="10" cm="1">
        <f t="array" ref="H61">visible((F52*C49),K61)</f>
        <v>1</v>
      </c>
      <c r="I61" s="10" cm="1">
        <f t="array" aca="1" ref="I61" ca="1">visible(materialNum(D61),K61)</f>
        <v>2</v>
      </c>
      <c r="J61" s="10" t="str" cm="1">
        <f t="array" ref="J61">visible((""),K61)</f>
        <v/>
      </c>
      <c r="K61" s="10" t="b">
        <f>F52&gt;0</f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3</v>
      </c>
      <c r="B62" s="15" t="str">
        <f>visible(E49, K62)</f>
        <v>وحدة سفلية ادراج</v>
      </c>
      <c r="C62" s="10">
        <f>visible(6,K62)</f>
        <v>6</v>
      </c>
      <c r="D62" s="10" t="str">
        <f ca="1">visible((I50),K62)</f>
        <v>HPL</v>
      </c>
      <c r="E62" s="10" t="str" cm="1">
        <f t="array" ref="E62">visible(("جنب درج داخلي A"),K62)</f>
        <v>جنب درج داخلي A</v>
      </c>
      <c r="F62" s="10" cm="1">
        <f t="array" aca="1" ref="F62" ca="1">visible((C50),K62)</f>
        <v>45</v>
      </c>
      <c r="G62" s="10" cm="1">
        <f t="array" ref="G62">visible((F53),K62)</f>
        <v>10</v>
      </c>
      <c r="H62" s="10" cm="1">
        <f t="array" ref="H62">visible((F52*C49*2),K62)</f>
        <v>2</v>
      </c>
      <c r="I62" s="10" cm="1">
        <f t="array" aca="1" ref="I62" ca="1">visible(materialNum(D62),K62)</f>
        <v>2</v>
      </c>
      <c r="J62" s="10" t="str" cm="1">
        <f t="array" ref="J62">visible((""),K62)</f>
        <v/>
      </c>
      <c r="K62" s="10" t="b">
        <f>F52&gt;0</f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3</v>
      </c>
      <c r="B63" s="15" t="str">
        <f>visible(E49, K63)</f>
        <v>وحدة سفلية ادراج</v>
      </c>
      <c r="C63" s="10">
        <f>visible(7,K63)</f>
        <v>7</v>
      </c>
      <c r="D63" s="10" t="str">
        <f ca="1">visible((I50),K63)</f>
        <v>HPL</v>
      </c>
      <c r="E63" s="10" t="str" cm="1">
        <f t="array" ref="E63">visible(("ظهر درج داخلي A"),K63)</f>
        <v>ظهر درج داخلي A</v>
      </c>
      <c r="F63" s="10" cm="1">
        <f t="array" ref="F63">visible((H52-3.6-3.6-2.5),K63)</f>
        <v>70.3</v>
      </c>
      <c r="G63" s="10" cm="1">
        <f t="array" ref="G63">visible((F53-3),K63)</f>
        <v>7</v>
      </c>
      <c r="H63" s="10" cm="1">
        <f t="array" ref="H63">visible((F52*C49),K63)</f>
        <v>1</v>
      </c>
      <c r="I63" s="10" cm="1">
        <f t="array" aca="1" ref="I63" ca="1">visible(materialNum(D63),K63)</f>
        <v>2</v>
      </c>
      <c r="J63" s="10" t="str" cm="1">
        <f t="array" ref="J63">visible((""),K63)</f>
        <v/>
      </c>
      <c r="K63" s="10" t="b">
        <f>F52&gt;0</f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3</v>
      </c>
      <c r="B64" s="15" t="str">
        <f>visible(E49, K64)</f>
        <v>وحدة سفلية ادراج</v>
      </c>
      <c r="C64" s="6">
        <f>visible(8,K64)</f>
        <v>8</v>
      </c>
      <c r="D64" s="6" t="str">
        <f ca="1">visible((I50),K64)</f>
        <v>HPL</v>
      </c>
      <c r="E64" s="6" t="str" cm="1">
        <f t="array" ref="E64">visible(("وش درج داخلي 20"),K64)</f>
        <v>وش درج داخلي 20</v>
      </c>
      <c r="F64" s="6" cm="1">
        <f t="array" ref="F64">visible((H52-3.6-3.6-2.5),K64)</f>
        <v>70.3</v>
      </c>
      <c r="G64" s="6" cm="1">
        <f t="array" ref="G64">visible((D53),K64)</f>
        <v>20</v>
      </c>
      <c r="H64" s="6" cm="1">
        <f t="array" ref="H64">visible((D52*C49),K64)</f>
        <v>1</v>
      </c>
      <c r="I64" s="6" cm="1">
        <f t="array" aca="1" ref="I64" ca="1">visible(materialNum(D64),K64)</f>
        <v>2</v>
      </c>
      <c r="J64" s="6" t="str" cm="1">
        <f t="array" ref="J64">visible((""),K64)</f>
        <v/>
      </c>
      <c r="K64" s="6" t="b">
        <f>D52&gt;0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3</v>
      </c>
      <c r="B65" s="15" t="str">
        <f>visible(E49, K65)</f>
        <v>وحدة سفلية ادراج</v>
      </c>
      <c r="C65" s="6">
        <f>visible(9,K65)</f>
        <v>9</v>
      </c>
      <c r="D65" s="6" t="str">
        <f ca="1">visible((I50),K65)</f>
        <v>HPL</v>
      </c>
      <c r="E65" s="6" t="str" cm="1">
        <f t="array" ref="E65">visible(("جنب درج داخلي 20"),K65)</f>
        <v>جنب درج داخلي 20</v>
      </c>
      <c r="F65" s="6" cm="1">
        <f t="array" aca="1" ref="F65" ca="1">visible((C50),K65)</f>
        <v>45</v>
      </c>
      <c r="G65" s="6" cm="1">
        <f t="array" ref="G65">visible((D53),K65)</f>
        <v>20</v>
      </c>
      <c r="H65" s="6" cm="1">
        <f t="array" ref="H65">visible((D52*C49*2),K65)</f>
        <v>2</v>
      </c>
      <c r="I65" s="6" cm="1">
        <f t="array" aca="1" ref="I65" ca="1">visible(materialNum(D65),K65)</f>
        <v>2</v>
      </c>
      <c r="J65" s="6" t="str" cm="1">
        <f t="array" ref="J65">visible((""),K65)</f>
        <v/>
      </c>
      <c r="K65" s="6" t="b">
        <f>D52&gt;0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3</v>
      </c>
      <c r="B66" s="15" t="str">
        <f>visible(E49, K66)</f>
        <v>وحدة سفلية ادراج</v>
      </c>
      <c r="C66" s="6">
        <f>visible(10,K66)</f>
        <v>10</v>
      </c>
      <c r="D66" s="6" t="str">
        <f ca="1">visible((I50),K66)</f>
        <v>HPL</v>
      </c>
      <c r="E66" s="6" t="str" cm="1">
        <f t="array" ref="E66">visible(("ظهر درج داخلي 20"),K66)</f>
        <v>ظهر درج داخلي 20</v>
      </c>
      <c r="F66" s="6" cm="1">
        <f t="array" ref="F66">visible((H52-3.6-3.6-2.5),K66)</f>
        <v>70.3</v>
      </c>
      <c r="G66" s="6" cm="1">
        <f t="array" ref="G66">visible((D53-3),K66)</f>
        <v>17</v>
      </c>
      <c r="H66" s="6" cm="1">
        <f t="array" ref="H66">visible((D52*C49),K66)</f>
        <v>1</v>
      </c>
      <c r="I66" s="6" cm="1">
        <f t="array" aca="1" ref="I66" ca="1">visible(materialNum(D66),K66)</f>
        <v>2</v>
      </c>
      <c r="J66" s="6" t="str" cm="1">
        <f t="array" ref="J66">visible((""),K66)</f>
        <v/>
      </c>
      <c r="K66" s="6" t="b">
        <f>D52&gt;0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51">
        <v>3</v>
      </c>
      <c r="B67" s="15" t="str">
        <f>visible(E49, K67)</f>
        <v>وحدة سفلية ادراج</v>
      </c>
      <c r="C67" s="10">
        <f>visible(11,K67)</f>
        <v>11</v>
      </c>
      <c r="D67" s="10" t="str">
        <f ca="1">visible((I50),K67)</f>
        <v>HPL</v>
      </c>
      <c r="E67" s="10" t="str" cm="1">
        <f t="array" ref="E67">visible(("وش درج داخلي 30"),K67)</f>
        <v>وش درج داخلي 30</v>
      </c>
      <c r="F67" s="10" cm="1">
        <f t="array" ref="F67">visible((H52-3.6-3.6-2.5),K67)</f>
        <v>70.3</v>
      </c>
      <c r="G67" s="10" cm="1">
        <f t="array" ref="G67">visible((C53),K67)</f>
        <v>30</v>
      </c>
      <c r="H67" s="10" cm="1">
        <f t="array" ref="H67">visible((C52*C49),K67)</f>
        <v>1</v>
      </c>
      <c r="I67" s="10" cm="1">
        <f t="array" aca="1" ref="I67" ca="1">visible(materialNum(D67),K67)</f>
        <v>2</v>
      </c>
      <c r="J67" s="10" t="str" cm="1">
        <f t="array" ref="J67">visible((""),K67)</f>
        <v/>
      </c>
      <c r="K67" s="10" t="b">
        <f>C52&gt;0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51">
        <v>3</v>
      </c>
      <c r="B68" s="15" t="str">
        <f>visible(E49, K68)</f>
        <v>وحدة سفلية ادراج</v>
      </c>
      <c r="C68" s="10">
        <f>visible(12,K68)</f>
        <v>12</v>
      </c>
      <c r="D68" s="10" t="str">
        <f ca="1">visible((I50),K68)</f>
        <v>HPL</v>
      </c>
      <c r="E68" s="10" t="str" cm="1">
        <f t="array" ref="E68">visible(("جنب درج داخلي 30"),K68)</f>
        <v>جنب درج داخلي 30</v>
      </c>
      <c r="F68" s="10" cm="1">
        <f t="array" aca="1" ref="F68" ca="1">visible((C50),K68)</f>
        <v>45</v>
      </c>
      <c r="G68" s="10" cm="1">
        <f t="array" ref="G68">visible((C53),K68)</f>
        <v>30</v>
      </c>
      <c r="H68" s="10" cm="1">
        <f t="array" ref="H68">visible((C52*C49*2),K68)</f>
        <v>2</v>
      </c>
      <c r="I68" s="10" cm="1">
        <f t="array" aca="1" ref="I68" ca="1">visible(materialNum(D68),K68)</f>
        <v>2</v>
      </c>
      <c r="J68" s="10" t="str" cm="1">
        <f t="array" ref="J68">visible((""),K68)</f>
        <v/>
      </c>
      <c r="K68" s="10" t="b">
        <f>C52&gt;0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51">
        <v>3</v>
      </c>
      <c r="B69" s="15" t="str">
        <f>visible(E49, K69)</f>
        <v>وحدة سفلية ادراج</v>
      </c>
      <c r="C69" s="10">
        <f>visible(13,K69)</f>
        <v>13</v>
      </c>
      <c r="D69" s="10" t="str">
        <f ca="1">visible((I50),K69)</f>
        <v>HPL</v>
      </c>
      <c r="E69" s="10" t="str" cm="1">
        <f t="array" ref="E69">visible(("ظهر درج داخلي 30"),K69)</f>
        <v>ظهر درج داخلي 30</v>
      </c>
      <c r="F69" s="10" cm="1">
        <f t="array" ref="F69">visible((H52-3.6-3.6-2.5),K69)</f>
        <v>70.3</v>
      </c>
      <c r="G69" s="10" cm="1">
        <f t="array" ref="G69">visible((C53-3),K69)</f>
        <v>27</v>
      </c>
      <c r="H69" s="10" cm="1">
        <f t="array" ref="H69">visible((C52*C49),K69)</f>
        <v>1</v>
      </c>
      <c r="I69" s="10" cm="1">
        <f t="array" aca="1" ref="I69" ca="1">visible(materialNum(D69),K69)</f>
        <v>2</v>
      </c>
      <c r="J69" s="10" t="str" cm="1">
        <f t="array" ref="J69">visible((""),K69)</f>
        <v/>
      </c>
      <c r="K69" s="10" t="b">
        <f>C52&gt;0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51">
        <v>3</v>
      </c>
      <c r="B70" s="15" t="str">
        <f>visible(E49, K70)</f>
        <v>وحدة سفلية ادراج</v>
      </c>
      <c r="C70" s="6">
        <f>visible(14,K70)</f>
        <v>14</v>
      </c>
      <c r="D70" s="6" t="str">
        <f ca="1">visible((I50),K70)</f>
        <v>HPL</v>
      </c>
      <c r="E70" s="6" t="str" cm="1">
        <f t="array" ref="E70">visible(("وش / ظهر درج تربو"),K70)</f>
        <v>وش / ظهر درج تربو</v>
      </c>
      <c r="F70" s="6" cm="1">
        <f t="array" ref="F70">visible((H52-3.6-3.6-2.5),K70)</f>
        <v>70.3</v>
      </c>
      <c r="G70" s="6" cm="1">
        <f t="array" ref="G70">visible((E53),K70)</f>
        <v>7</v>
      </c>
      <c r="H70" s="6" cm="1">
        <f t="array" ref="H70">visible((E52*C49*2),K70)</f>
        <v>2</v>
      </c>
      <c r="I70" s="6" cm="1">
        <f t="array" aca="1" ref="I70" ca="1">visible(materialNum(D70),K70)</f>
        <v>2</v>
      </c>
      <c r="J70" s="6" t="str" cm="1">
        <f t="array" ref="J70">visible((""),K70)</f>
        <v/>
      </c>
      <c r="K70" s="6" t="b">
        <f>E52&gt;0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51">
        <v>3</v>
      </c>
      <c r="B71" s="15" t="str">
        <f>visible(E49, K71)</f>
        <v>وحدة سفلية ادراج</v>
      </c>
      <c r="C71" s="6">
        <f>visible(15,K71)</f>
        <v>15</v>
      </c>
      <c r="D71" s="6" t="str">
        <f ca="1">visible((I50),K71)</f>
        <v>HPL</v>
      </c>
      <c r="E71" s="6" t="str" cm="1">
        <f t="array" ref="E71">visible(("جنب درج تربو"),K71)</f>
        <v>جنب درج تربو</v>
      </c>
      <c r="F71" s="6" cm="1">
        <f t="array" aca="1" ref="F71" ca="1">visible((C50),K71)</f>
        <v>45</v>
      </c>
      <c r="G71" s="6" cm="1">
        <f t="array" ref="G71">visible((E53),K71)</f>
        <v>7</v>
      </c>
      <c r="H71" s="6" cm="1">
        <f t="array" ref="H71">visible((E52*C49*2),K71)</f>
        <v>2</v>
      </c>
      <c r="I71" s="6" cm="1">
        <f t="array" aca="1" ref="I71" ca="1">visible(materialNum(D71),K71)</f>
        <v>2</v>
      </c>
      <c r="J71" s="6" t="str" cm="1">
        <f t="array" ref="J71">visible((""),K71)</f>
        <v/>
      </c>
      <c r="K71" s="6" t="b">
        <f>E52&gt;0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51">
        <v>0</v>
      </c>
      <c r="B72" s="15"/>
      <c r="C72" s="3"/>
      <c r="D72" s="3"/>
      <c r="E72" s="3"/>
      <c r="F72" s="3"/>
      <c r="G72" s="3"/>
      <c r="H72" s="3"/>
      <c r="I72" s="3"/>
      <c r="J72" s="3"/>
      <c r="K72" s="3"/>
      <c r="BB72"/>
      <c r="BC72"/>
      <c r="BD72"/>
      <c r="BE72"/>
      <c r="BF72"/>
      <c r="BG72"/>
      <c r="BH72"/>
      <c r="BI72"/>
      <c r="BJ72"/>
    </row>
    <row r="73" spans="1:62" ht="15.6" x14ac:dyDescent="0.3">
      <c r="A73" s="51">
        <v>4</v>
      </c>
      <c r="B73" s="15" t="str" cm="1">
        <f t="array" ref="B73">visible(E49, K73)</f>
        <v>وحدة سفلية ادراج</v>
      </c>
      <c r="C73" s="9">
        <f>visible(16,K73)</f>
        <v>16</v>
      </c>
      <c r="D73" s="9" t="str" cm="1">
        <f t="array" aca="1" ref="D73" ca="1">visible((G50),K73)</f>
        <v>يوفيلاك</v>
      </c>
      <c r="E73" s="9" t="str" cm="1">
        <f t="array" ref="E73">visible(("وش درج خارجى2/3  متساوية"),K73)</f>
        <v>وش درج خارجى2/3  متساوية</v>
      </c>
      <c r="F73" s="9" cm="1">
        <f t="array" aca="1" ref="F73" ca="1">visible(((I52/G53)-0.5-G52),K73)</f>
        <v>22</v>
      </c>
      <c r="G73" s="9" cm="1">
        <f t="array" ref="G73">visible((H52-0.5),K73)</f>
        <v>79.5</v>
      </c>
      <c r="H73" s="9" cm="1">
        <f t="array" ref="H73">visible((C49*G53),K73)</f>
        <v>3</v>
      </c>
      <c r="I73" s="9" cm="1">
        <f t="array" aca="1" ref="I73" ca="1">visible(materialNum(D73),K73)</f>
        <v>6</v>
      </c>
      <c r="J73" s="9" t="str" cm="1">
        <f t="array" ref="J73">visible((""),K73)</f>
        <v/>
      </c>
      <c r="K73" s="9" t="b">
        <f>G53&lt;=3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51">
        <v>4</v>
      </c>
      <c r="B74" s="15" t="str">
        <f>visible(E49, K74)</f>
        <v/>
      </c>
      <c r="C74" s="9" t="str">
        <f>visible(17,K74)</f>
        <v/>
      </c>
      <c r="D74" s="9" t="str">
        <f ca="1">visible((G50),K74)</f>
        <v/>
      </c>
      <c r="E74" s="9" t="str" cm="1">
        <f t="array" ref="E74">visible(("وش درج خارجى 4 متساوية"),K74)</f>
        <v/>
      </c>
      <c r="F74" s="9" t="str" cm="1">
        <f t="array" aca="1" ref="F74" ca="1">visible(((I52/G53)-0.5-G52),K74)</f>
        <v/>
      </c>
      <c r="G74" s="9" t="str" cm="1">
        <f t="array" ref="G74">visible((H52-0.5),K74)</f>
        <v/>
      </c>
      <c r="H74" s="9" t="str">
        <f>visible(G53*I53,K74)</f>
        <v/>
      </c>
      <c r="I74" s="9" t="str" cm="1">
        <f t="array" aca="1" ref="I74" ca="1">visible(materialNum(D74),K74)</f>
        <v/>
      </c>
      <c r="J74" s="9" t="str" cm="1">
        <f t="array" ref="J74">visible((""),K74)</f>
        <v/>
      </c>
      <c r="K74" s="9" t="b">
        <f>AND(G53=4,I53)</f>
        <v>0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51">
        <v>4</v>
      </c>
      <c r="B75" s="15" t="str">
        <f>visible(E49, K75)</f>
        <v/>
      </c>
      <c r="C75" s="9" t="str">
        <f>visible(18,K75)</f>
        <v/>
      </c>
      <c r="D75" s="9" t="str">
        <f ca="1">visible((G50),K75)</f>
        <v/>
      </c>
      <c r="E75" s="9" t="str" cm="1">
        <f t="array" ref="E75">visible(("وش درج خارجى صغير- 3 مختلفة"),K75)</f>
        <v/>
      </c>
      <c r="F75" s="9" t="str" cm="1">
        <f t="array" aca="1" ref="F75" ca="1">visible(((I52/G53)-0.5-G52),K75)</f>
        <v/>
      </c>
      <c r="G75" s="9" t="str" cm="1">
        <f t="array" ref="G75">visible((H52-0.5),K75)</f>
        <v/>
      </c>
      <c r="H75" s="9" t="str">
        <f>visible(G53*I53,K75)</f>
        <v/>
      </c>
      <c r="I75" s="9" t="str" cm="1">
        <f t="array" aca="1" ref="I75" ca="1">visible(materialNum(D75),K75)</f>
        <v/>
      </c>
      <c r="J75" s="9" t="str" cm="1">
        <f t="array" ref="J75">visible((""),K75)</f>
        <v/>
      </c>
      <c r="K75" s="9" t="b">
        <f>AND(G53=4,NOT(I53))</f>
        <v>0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51">
        <v>4</v>
      </c>
      <c r="B76" s="15" t="str">
        <f>visible(E49, K76)</f>
        <v/>
      </c>
      <c r="C76" s="9" t="str">
        <f>visible(19,K76)</f>
        <v/>
      </c>
      <c r="D76" s="9" t="str">
        <f ca="1">visible((G50),K76)</f>
        <v/>
      </c>
      <c r="E76" s="9" t="str" cm="1">
        <f t="array" ref="E76">visible(("وش درج خارجى كبير- 3 مختلفة"),K76)</f>
        <v/>
      </c>
      <c r="F76" s="9" t="str" cm="1">
        <f t="array" aca="1" ref="F76" ca="1">visible((((I52/G53)*2)-0.5-G52),K76)</f>
        <v/>
      </c>
      <c r="G76" s="9" t="str" cm="1">
        <f t="array" ref="G76">visible((H52-0.5),K76)</f>
        <v/>
      </c>
      <c r="H76" s="9" t="str">
        <f>visible(G53*I53,K76)</f>
        <v/>
      </c>
      <c r="I76" s="9" t="str" cm="1">
        <f t="array" aca="1" ref="I76" ca="1">visible(materialNum(D76),K76)</f>
        <v/>
      </c>
      <c r="J76" s="9" t="str" cm="1">
        <f t="array" ref="J76">visible((""),K76)</f>
        <v/>
      </c>
      <c r="K76" s="9" t="b">
        <f>AND(G53=4,NOT(I53))</f>
        <v>0</v>
      </c>
      <c r="BB76"/>
      <c r="BC76"/>
      <c r="BD76"/>
      <c r="BE76"/>
      <c r="BF76"/>
      <c r="BG76"/>
      <c r="BH76"/>
      <c r="BI76"/>
      <c r="BJ76"/>
    </row>
    <row r="77" spans="1:62" ht="15.6" x14ac:dyDescent="0.3">
      <c r="A77" s="51">
        <v>0</v>
      </c>
      <c r="B77" s="15"/>
      <c r="K77" s="3"/>
      <c r="BB77"/>
      <c r="BC77"/>
      <c r="BD77"/>
      <c r="BE77"/>
      <c r="BF77"/>
      <c r="BG77"/>
      <c r="BH77"/>
      <c r="BI77"/>
      <c r="BJ77"/>
    </row>
    <row r="78" spans="1:62" ht="15.6" x14ac:dyDescent="0.3">
      <c r="A78" s="51">
        <v>5</v>
      </c>
      <c r="B78" s="15" t="str" cm="1">
        <f t="array" aca="1" ref="B78" ca="1">visible(E49, K78)</f>
        <v>وحدة سفلية ادراج</v>
      </c>
      <c r="C78" s="19">
        <f ca="1">visible(20,K78)</f>
        <v>20</v>
      </c>
      <c r="D78" s="19" t="str" cm="1">
        <f t="array" aca="1" ref="D78" ca="1">visible((E50),K78)</f>
        <v>ظهر</v>
      </c>
      <c r="E78" s="19" t="str" cm="1">
        <f t="array" aca="1" ref="E78" ca="1">visible(("ظهر"),K78)</f>
        <v>ظهر</v>
      </c>
      <c r="F78" s="19" cm="1">
        <f t="array" aca="1" ref="F78" ca="1">visible((I52-2),K78)</f>
        <v>76</v>
      </c>
      <c r="G78" s="19" cm="1">
        <f t="array" aca="1" ref="G78" ca="1">visible((H52-2),K78)</f>
        <v>78</v>
      </c>
      <c r="H78" s="19" cm="1">
        <f t="array" aca="1" ref="H78" ca="1">visible((C49),K78)</f>
        <v>1</v>
      </c>
      <c r="I78" s="19" cm="1">
        <f t="array" aca="1" ref="I78" ca="1">visible(materialNum(D78),K78)</f>
        <v>2</v>
      </c>
      <c r="J78" s="19" t="str" cm="1">
        <f t="array" aca="1" ref="J78" ca="1">visible((""),K78)</f>
        <v/>
      </c>
      <c r="K78" s="19" t="b">
        <f ca="1">K52</f>
        <v>1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51">
        <v>5</v>
      </c>
      <c r="B79" s="15" t="str">
        <f>visible(E49, K79)</f>
        <v>وحدة سفلية ادراج</v>
      </c>
      <c r="C79" s="19">
        <f>visible(21,K79)</f>
        <v>21</v>
      </c>
      <c r="D79" s="19" t="str">
        <f ca="1">visible((E50),K79)</f>
        <v>ظهر</v>
      </c>
      <c r="E79" s="19" t="str" cm="1">
        <f t="array" ref="E79">visible(("قعر درج داخلي"),K79)</f>
        <v>قعر درج داخلي</v>
      </c>
      <c r="F79" s="19" cm="1">
        <f t="array" ref="F79">visible((H52-3.6-3.6-2.5+2),K79)</f>
        <v>72.3</v>
      </c>
      <c r="G79" s="19" cm="1">
        <f t="array" aca="1" ref="G79" ca="1">visible((C50-1),K79)</f>
        <v>44</v>
      </c>
      <c r="H79" s="19">
        <f>visible(C49*F52,K79)</f>
        <v>1</v>
      </c>
      <c r="I79" s="19" cm="1">
        <f t="array" aca="1" ref="I79" ca="1">visible(materialNum(D79),K79)</f>
        <v>2</v>
      </c>
      <c r="J79" s="19" t="str" cm="1">
        <f t="array" ref="J79">visible((""),K79)</f>
        <v/>
      </c>
      <c r="K79" s="19" t="b">
        <f>F52&gt;0</f>
        <v>1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51">
        <v>5</v>
      </c>
      <c r="B80" s="15" t="str">
        <f>visible(E49, K80)</f>
        <v>وحدة سفلية ادراج</v>
      </c>
      <c r="C80" s="19">
        <f>visible(22,K80)</f>
        <v>22</v>
      </c>
      <c r="D80" s="19" t="str">
        <f ca="1">visible((E50),K80)</f>
        <v>ظهر</v>
      </c>
      <c r="E80" s="19" t="str" cm="1">
        <f t="array" ref="E80">visible(("قعر درج 30"),K80)</f>
        <v>قعر درج 30</v>
      </c>
      <c r="F80" s="19" cm="1">
        <f t="array" ref="F80">visible((H52-3.6-3.6-2.5+2),K80)</f>
        <v>72.3</v>
      </c>
      <c r="G80" s="19" cm="1">
        <f t="array" aca="1" ref="G80" ca="1">visible((C50-1),K80)</f>
        <v>44</v>
      </c>
      <c r="H80" s="19">
        <f>visible(C49*C52,K80)</f>
        <v>1</v>
      </c>
      <c r="I80" s="19" cm="1">
        <f t="array" aca="1" ref="I80" ca="1">visible(materialNum(D80),K80)</f>
        <v>2</v>
      </c>
      <c r="J80" s="19" t="str" cm="1">
        <f t="array" ref="J80">visible((""),K80)</f>
        <v/>
      </c>
      <c r="K80" s="19" t="b">
        <f>C52&gt;0</f>
        <v>1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51">
        <v>5</v>
      </c>
      <c r="B81" s="15" t="str">
        <f>visible(E49, K81)</f>
        <v>وحدة سفلية ادراج</v>
      </c>
      <c r="C81" s="19">
        <f>visible(23,K81)</f>
        <v>23</v>
      </c>
      <c r="D81" s="19" t="str">
        <f ca="1">visible((E50),K81)</f>
        <v>ظهر</v>
      </c>
      <c r="E81" s="19" t="str" cm="1">
        <f t="array" ref="E81">visible(("قعر درج 20"),K81)</f>
        <v>قعر درج 20</v>
      </c>
      <c r="F81" s="19" cm="1">
        <f t="array" ref="F81">visible((H52-3.6-3.6-2.5+2),K81)</f>
        <v>72.3</v>
      </c>
      <c r="G81" s="19" cm="1">
        <f t="array" aca="1" ref="G81" ca="1">visible((C50-1),K81)</f>
        <v>44</v>
      </c>
      <c r="H81" s="19">
        <f>visible(C49*D52,K81)</f>
        <v>1</v>
      </c>
      <c r="I81" s="19" cm="1">
        <f t="array" aca="1" ref="I81" ca="1">visible(materialNum(D81),K81)</f>
        <v>2</v>
      </c>
      <c r="J81" s="19" t="str" cm="1">
        <f t="array" ref="J81">visible((""),K81)</f>
        <v/>
      </c>
      <c r="K81" s="19" t="b">
        <f>D52&gt;0</f>
        <v>1</v>
      </c>
      <c r="BB81"/>
      <c r="BC81"/>
      <c r="BD81"/>
      <c r="BE81"/>
      <c r="BF81"/>
      <c r="BG81"/>
      <c r="BH81"/>
      <c r="BI81"/>
      <c r="BJ81"/>
    </row>
    <row r="82" spans="1:62" ht="15.6" x14ac:dyDescent="0.3">
      <c r="A82" s="51">
        <v>255</v>
      </c>
      <c r="B82" s="15"/>
      <c r="C82"/>
      <c r="D82"/>
      <c r="E82"/>
      <c r="F82"/>
      <c r="G82"/>
      <c r="H82"/>
      <c r="I82"/>
      <c r="J82"/>
      <c r="K82"/>
      <c r="BB82"/>
      <c r="BC82"/>
      <c r="BD82"/>
      <c r="BE82"/>
      <c r="BF82"/>
      <c r="BG82"/>
      <c r="BH82"/>
      <c r="BI82"/>
      <c r="BJ82"/>
    </row>
    <row r="83" spans="1:62" ht="15.6" x14ac:dyDescent="0.3">
      <c r="A83" s="51">
        <v>255</v>
      </c>
      <c r="B83" s="15"/>
      <c r="C83"/>
      <c r="D83"/>
      <c r="E83"/>
      <c r="F83"/>
      <c r="G83"/>
      <c r="H83"/>
      <c r="I83"/>
      <c r="J83"/>
      <c r="K83"/>
      <c r="BB83"/>
      <c r="BC83"/>
      <c r="BD83"/>
      <c r="BE83"/>
      <c r="BF83"/>
      <c r="BG83"/>
      <c r="BH83"/>
      <c r="BI83"/>
      <c r="BJ83"/>
    </row>
    <row r="84" spans="1:62" ht="39" customHeight="1" x14ac:dyDescent="0.3">
      <c r="A84" s="54" t="s">
        <v>161</v>
      </c>
      <c r="B84" s="15"/>
      <c r="C84" s="14">
        <v>1</v>
      </c>
      <c r="D84" s="22" t="s">
        <v>59</v>
      </c>
      <c r="E84" s="101" t="s">
        <v>188</v>
      </c>
      <c r="F84" s="102"/>
      <c r="G84" s="102"/>
      <c r="H84" s="103"/>
      <c r="I84" s="2" t="s">
        <v>30</v>
      </c>
      <c r="J84" s="2">
        <f>letterToNumber(A84)</f>
        <v>4</v>
      </c>
      <c r="K84" s="27">
        <f ca="1">_xlfn.SHEET("وحدات سفلية")</f>
        <v>4</v>
      </c>
      <c r="BB84"/>
      <c r="BC84"/>
      <c r="BD84"/>
      <c r="BE84"/>
      <c r="BF84"/>
      <c r="BG84"/>
      <c r="BH84"/>
      <c r="BI84"/>
      <c r="BJ84"/>
    </row>
    <row r="85" spans="1:62" ht="21" x14ac:dyDescent="0.3">
      <c r="A85" s="51">
        <v>1</v>
      </c>
      <c r="B85" s="15"/>
      <c r="C85" s="8"/>
      <c r="D85" s="7"/>
      <c r="E85" s="27" t="str" cm="1">
        <f t="array" aca="1" ref="E85" ca="1">defaultValue(F85,K84)</f>
        <v>ظهر</v>
      </c>
      <c r="F85" s="7" t="s">
        <v>58</v>
      </c>
      <c r="G85" s="27" t="str" cm="1">
        <f t="array" aca="1" ref="G85" ca="1">defaultValue(H85,K84)</f>
        <v>يوفيلاك</v>
      </c>
      <c r="H85" s="7" t="s">
        <v>32</v>
      </c>
      <c r="I85" s="27" t="str" cm="1">
        <f t="array" aca="1" ref="I85" ca="1">defaultValue(J85,K84)</f>
        <v>HPL</v>
      </c>
      <c r="J85" s="7" t="s">
        <v>31</v>
      </c>
      <c r="K85" s="25" t="s">
        <v>111</v>
      </c>
    </row>
    <row r="86" spans="1:62" ht="15.6" x14ac:dyDescent="0.3">
      <c r="A86" s="51">
        <v>1</v>
      </c>
      <c r="B86" s="15"/>
      <c r="C86" s="7" t="s">
        <v>12</v>
      </c>
      <c r="D86" s="7" t="s">
        <v>18</v>
      </c>
      <c r="E86" s="93" t="s">
        <v>24</v>
      </c>
      <c r="F86" s="93" t="s">
        <v>114</v>
      </c>
      <c r="G86" s="7" t="s">
        <v>16</v>
      </c>
      <c r="H86" s="7" t="s">
        <v>22</v>
      </c>
      <c r="I86" s="7" t="s">
        <v>3</v>
      </c>
      <c r="J86" s="7" t="s">
        <v>113</v>
      </c>
      <c r="K86" s="7"/>
    </row>
    <row r="87" spans="1:62" ht="15.6" x14ac:dyDescent="0.3">
      <c r="A87" s="51">
        <v>1</v>
      </c>
      <c r="B87" s="15"/>
      <c r="C87" s="27">
        <v>1</v>
      </c>
      <c r="D87" s="27">
        <v>1</v>
      </c>
      <c r="E87" s="46">
        <f ca="1">J87</f>
        <v>56</v>
      </c>
      <c r="F87" s="27" t="b" cm="1">
        <f t="array" aca="1" ref="F87" ca="1">defaultValue(F86,K84)</f>
        <v>1</v>
      </c>
      <c r="G87" s="27" cm="1">
        <f t="array" aca="1" ref="G87" ca="1">defaultValue(G86,K84)</f>
        <v>3.5</v>
      </c>
      <c r="H87" s="8">
        <v>100</v>
      </c>
      <c r="I87" s="27" cm="1">
        <f t="array" aca="1" ref="I87" ca="1">defaultValue(I86,K84)</f>
        <v>78</v>
      </c>
      <c r="J87" s="27" cm="1">
        <f t="array" aca="1" ref="J87" ca="1">defaultValue(J86,K84)</f>
        <v>56</v>
      </c>
      <c r="K87" s="7"/>
    </row>
    <row r="88" spans="1:62" ht="15.6" x14ac:dyDescent="0.3">
      <c r="A88" s="51">
        <v>0</v>
      </c>
      <c r="B88" s="15"/>
      <c r="C88" s="3"/>
      <c r="D88" s="3"/>
      <c r="E88" s="3"/>
      <c r="F88" s="3"/>
      <c r="G88" s="3"/>
      <c r="H88" s="3"/>
      <c r="I88" s="3"/>
      <c r="J88" s="3"/>
      <c r="K88" s="3"/>
    </row>
    <row r="89" spans="1:62" ht="15.6" x14ac:dyDescent="0.3">
      <c r="A89" s="51">
        <v>2</v>
      </c>
      <c r="B89" s="15"/>
      <c r="C89" s="6" t="s">
        <v>4</v>
      </c>
      <c r="D89" s="6" t="s">
        <v>9</v>
      </c>
      <c r="E89" s="6" t="s">
        <v>5</v>
      </c>
      <c r="F89" s="6" t="s">
        <v>7</v>
      </c>
      <c r="G89" s="6" t="s">
        <v>1</v>
      </c>
      <c r="H89" s="6" t="s">
        <v>6</v>
      </c>
      <c r="I89" s="6" t="s">
        <v>33</v>
      </c>
      <c r="J89" s="6" t="s">
        <v>8</v>
      </c>
      <c r="K89" s="6" t="s">
        <v>185</v>
      </c>
    </row>
    <row r="90" spans="1:62" ht="15.6" x14ac:dyDescent="0.3">
      <c r="A90" s="51">
        <v>0</v>
      </c>
      <c r="B90" s="15"/>
      <c r="K90" s="3"/>
    </row>
    <row r="91" spans="1:62" ht="15.6" x14ac:dyDescent="0.3">
      <c r="A91" s="51">
        <v>3</v>
      </c>
      <c r="B91" s="15" t="str" cm="1">
        <f t="array" ref="B91">visible(E84, K91)</f>
        <v>وحدة سفلية تلبيسة دلفة/ دلفتين</v>
      </c>
      <c r="C91" s="6">
        <f>visible(1,K91)</f>
        <v>1</v>
      </c>
      <c r="D91" s="6" t="str" cm="1">
        <f t="array" aca="1" ref="D91" ca="1">visible((I85),K91)</f>
        <v>HPL</v>
      </c>
      <c r="E91" s="6" t="str" cm="1">
        <f t="array" ref="E91">visible(("قاعدة"),K91)</f>
        <v>قاعدة</v>
      </c>
      <c r="F91" s="6" cm="1">
        <f t="array" ref="F91">visible((H87 -3.6),K91)</f>
        <v>96.4</v>
      </c>
      <c r="G91" s="6" cm="1">
        <f t="array" aca="1" ref="G91" ca="1">visible((J87),K91)</f>
        <v>56</v>
      </c>
      <c r="H91" s="6" cm="1">
        <f t="array" ref="H91">visible((C84),K91)</f>
        <v>1</v>
      </c>
      <c r="I91" s="6" cm="1">
        <f t="array" aca="1" ref="I91" ca="1">visible(materialNum(D91),K91)</f>
        <v>2</v>
      </c>
      <c r="J91" s="6" t="str" cm="1">
        <f t="array" ref="J91">visible((""),K91)</f>
        <v/>
      </c>
      <c r="K91" s="6" t="b">
        <v>1</v>
      </c>
    </row>
    <row r="92" spans="1:62" ht="15.6" x14ac:dyDescent="0.3">
      <c r="A92" s="51">
        <v>3</v>
      </c>
      <c r="B92" s="15" t="str" cm="1">
        <f t="array" ref="B92">visible(E84, K92)</f>
        <v>وحدة سفلية تلبيسة دلفة/ دلفتين</v>
      </c>
      <c r="C92" s="6">
        <f>visible(2,K92)</f>
        <v>2</v>
      </c>
      <c r="D92" s="6" t="str" cm="1">
        <f t="array" aca="1" ref="D92" ca="1">visible((I85),K92)</f>
        <v>HPL</v>
      </c>
      <c r="E92" s="6" t="str" cm="1">
        <f t="array" ref="E92">visible(("أجناب"),K92)</f>
        <v>أجناب</v>
      </c>
      <c r="F92" s="6" cm="1">
        <f t="array" aca="1" ref="F92" ca="1">visible((I87),K92)</f>
        <v>78</v>
      </c>
      <c r="G92" s="6" cm="1">
        <f t="array" aca="1" ref="G92" ca="1">visible((J87),K92)</f>
        <v>56</v>
      </c>
      <c r="H92" s="6" cm="1">
        <f t="array" ref="H92">visible((2 *C84),K92)</f>
        <v>2</v>
      </c>
      <c r="I92" s="6" cm="1">
        <f t="array" aca="1" ref="I92" ca="1">visible(materialNum(D92),K92)</f>
        <v>2</v>
      </c>
      <c r="J92" s="6" t="str" cm="1">
        <f t="array" ref="J92">visible((""),K92)</f>
        <v/>
      </c>
      <c r="K92" s="6" t="b">
        <v>1</v>
      </c>
    </row>
    <row r="93" spans="1:62" ht="15.6" x14ac:dyDescent="0.3">
      <c r="A93" s="51">
        <v>3</v>
      </c>
      <c r="B93" s="15" t="str" cm="1">
        <f t="array" ref="B93">visible(E84, K93)</f>
        <v>وحدة سفلية تلبيسة دلفة/ دلفتين</v>
      </c>
      <c r="C93" s="6">
        <f>visible(3,K93)</f>
        <v>3</v>
      </c>
      <c r="D93" s="6" t="str" cm="1">
        <f t="array" aca="1" ref="D93" ca="1">visible((I85),K93)</f>
        <v>HPL</v>
      </c>
      <c r="E93" s="6" t="str" cm="1">
        <f t="array" ref="E93">visible(("مرايا علوية 1"),K93)</f>
        <v>مرايا علوية 1</v>
      </c>
      <c r="F93" s="6" cm="1">
        <f t="array" ref="F93">visible((H87-3.6),K93)</f>
        <v>96.4</v>
      </c>
      <c r="G93" s="6" cm="1">
        <f t="array" ref="G93">visible((10),K93)</f>
        <v>10</v>
      </c>
      <c r="H93" s="6" cm="1">
        <f t="array" ref="H93">visible((C84),K93)</f>
        <v>1</v>
      </c>
      <c r="I93" s="6" cm="1">
        <f t="array" aca="1" ref="I93" ca="1">visible(materialNum(D93),K93)</f>
        <v>2</v>
      </c>
      <c r="J93" s="6" t="str" cm="1">
        <f t="array" ref="J93">visible((""),K93)</f>
        <v/>
      </c>
      <c r="K93" s="6" t="b">
        <v>1</v>
      </c>
    </row>
    <row r="94" spans="1:62" ht="15.6" x14ac:dyDescent="0.3">
      <c r="A94" s="51">
        <v>3</v>
      </c>
      <c r="B94" s="15" t="str" cm="1">
        <f t="array" ref="B94">visible(E84, K94)</f>
        <v>وحدة سفلية تلبيسة دلفة/ دلفتين</v>
      </c>
      <c r="C94" s="6">
        <f>visible(4,K94)</f>
        <v>4</v>
      </c>
      <c r="D94" s="6" t="str" cm="1">
        <f t="array" aca="1" ref="D94" ca="1">visible((I85),K94)</f>
        <v>HPL</v>
      </c>
      <c r="E94" s="6" t="str" cm="1">
        <f t="array" ref="E94">visible(("مرايا علوية 2"),K94)</f>
        <v>مرايا علوية 2</v>
      </c>
      <c r="F94" s="6" cm="1">
        <f t="array" ref="F94">visible((H87-3.6),K94)</f>
        <v>96.4</v>
      </c>
      <c r="G94" s="6" cm="1">
        <f t="array" ref="G94">visible((7),K94)</f>
        <v>7</v>
      </c>
      <c r="H94" s="6" cm="1">
        <f t="array" ref="H94">visible((C84),K94)</f>
        <v>1</v>
      </c>
      <c r="I94" s="6" cm="1">
        <f t="array" aca="1" ref="I94" ca="1">visible(materialNum(D94),K94)</f>
        <v>2</v>
      </c>
      <c r="J94" s="6" t="str" cm="1">
        <f t="array" ref="J94">visible((""),K94)</f>
        <v/>
      </c>
      <c r="K94" s="6" t="b">
        <v>1</v>
      </c>
    </row>
    <row r="95" spans="1:62" ht="15.6" x14ac:dyDescent="0.3">
      <c r="A95" s="51">
        <v>3</v>
      </c>
      <c r="B95" s="15" t="str" cm="1">
        <f t="array" ref="B95">visible(E84, K95)</f>
        <v>وحدة سفلية تلبيسة دلفة/ دلفتين</v>
      </c>
      <c r="C95" s="6">
        <f>visible(5,K95)</f>
        <v>5</v>
      </c>
      <c r="D95" s="6" t="str" cm="1">
        <f t="array" aca="1" ref="D95" ca="1">visible((I85),K95)</f>
        <v>HPL</v>
      </c>
      <c r="E95" s="6" t="str" cm="1">
        <f t="array" ref="E95">visible(("رف"),K95)</f>
        <v>رف</v>
      </c>
      <c r="F95" s="6" cm="1">
        <f t="array" ref="F95">visible((H87-3.8),K95)</f>
        <v>96.2</v>
      </c>
      <c r="G95" s="6" cm="1">
        <f t="array" aca="1" ref="G95" ca="1">visible((J87-6),K95)</f>
        <v>50</v>
      </c>
      <c r="H95" s="6" cm="1">
        <f t="array" ref="H95">visible((D87*C84),K95)</f>
        <v>1</v>
      </c>
      <c r="I95" s="6" cm="1">
        <f t="array" aca="1" ref="I95" ca="1">visible(materialNum(D95),K95)</f>
        <v>2</v>
      </c>
      <c r="J95" s="6" t="str" cm="1">
        <f t="array" ref="J95">visible((""),K95)</f>
        <v/>
      </c>
      <c r="K95" s="6" t="b">
        <v>1</v>
      </c>
    </row>
    <row r="96" spans="1:62" ht="15.6" x14ac:dyDescent="0.3">
      <c r="A96" s="51">
        <v>3</v>
      </c>
      <c r="B96" s="15" t="str">
        <f>visible(E84, K96)</f>
        <v>وحدة سفلية تلبيسة دلفة/ دلفتين</v>
      </c>
      <c r="C96" s="6">
        <f>visible(6,K96)</f>
        <v>6</v>
      </c>
      <c r="D96" s="6" t="str">
        <f ca="1">visible((I85),K96)</f>
        <v>HPL</v>
      </c>
      <c r="E96" s="6" t="str" cm="1">
        <f t="array" ref="E96">visible(("تلبيسة"),K96)</f>
        <v>تلبيسة</v>
      </c>
      <c r="F96" s="6" cm="1">
        <f t="array" aca="1" ref="F96" ca="1">visible((I87),K96)</f>
        <v>78</v>
      </c>
      <c r="G96" s="6" cm="1">
        <f t="array" aca="1" ref="G96" ca="1">visible((E87),K96)</f>
        <v>56</v>
      </c>
      <c r="H96" s="6">
        <f>visible(C84,K96)</f>
        <v>1</v>
      </c>
      <c r="I96" s="6" cm="1">
        <f t="array" aca="1" ref="I96" ca="1">visible(materialNum(D96),K96)</f>
        <v>2</v>
      </c>
      <c r="J96" s="6" t="str" cm="1">
        <f t="array" ref="J96">visible((""),K96)</f>
        <v/>
      </c>
      <c r="K96" s="6" t="b">
        <v>1</v>
      </c>
    </row>
    <row r="97" spans="1:11" ht="15.6" x14ac:dyDescent="0.3">
      <c r="A97" s="51">
        <v>0</v>
      </c>
      <c r="B97" s="15"/>
      <c r="C97" s="3"/>
      <c r="D97" s="3"/>
      <c r="E97" s="3"/>
      <c r="F97" s="3"/>
      <c r="G97" s="3"/>
      <c r="H97" s="3"/>
      <c r="I97" s="3"/>
      <c r="J97" s="3"/>
      <c r="K97" s="3"/>
    </row>
    <row r="98" spans="1:11" ht="15.6" x14ac:dyDescent="0.3">
      <c r="A98" s="51">
        <v>4</v>
      </c>
      <c r="B98" s="15" t="str" cm="1">
        <f t="array" ref="B98">visible(E84, K98)</f>
        <v>وحدة سفلية تلبيسة دلفة/ دلفتين</v>
      </c>
      <c r="C98" s="9">
        <f>visible(7,K98)</f>
        <v>7</v>
      </c>
      <c r="D98" s="9" t="str" cm="1">
        <f t="array" aca="1" ref="D98" ca="1">visible((G85),K98)</f>
        <v>يوفيلاك</v>
      </c>
      <c r="E98" s="9" t="str" cm="1">
        <f t="array" ref="E98">visible(("دلف"),K98)</f>
        <v>دلف</v>
      </c>
      <c r="F98" s="9" cm="1">
        <f t="array" aca="1" ref="F98" ca="1">visible((I87-0.5-G87),K98)</f>
        <v>74</v>
      </c>
      <c r="G98" s="9" cm="1">
        <f t="array" aca="1" ref="G98" ca="1">visible(((H87-E87-G99)/C87-0.5),K98)</f>
        <v>39.5</v>
      </c>
      <c r="H98" s="9" cm="1">
        <f t="array" ref="H98">visible((C87*C84),K98)</f>
        <v>1</v>
      </c>
      <c r="I98" s="9" cm="1">
        <f t="array" aca="1" ref="I98" ca="1">visible(materialNum(D98),K98)</f>
        <v>6</v>
      </c>
      <c r="J98" s="9" t="str" cm="1">
        <f t="array" ref="J98">visible((""),K98)</f>
        <v/>
      </c>
      <c r="K98" s="9" t="b">
        <v>1</v>
      </c>
    </row>
    <row r="99" spans="1:11" ht="15.6" x14ac:dyDescent="0.3">
      <c r="A99" s="51">
        <v>4</v>
      </c>
      <c r="B99" s="15" t="str">
        <f>visible(E84, K99)</f>
        <v>وحدة سفلية تلبيسة دلفة/ دلفتين</v>
      </c>
      <c r="C99" s="9">
        <f>visible(8,K99)</f>
        <v>8</v>
      </c>
      <c r="D99" s="9" t="str">
        <f ca="1">visible((G85),K99)</f>
        <v>يوفيلاك</v>
      </c>
      <c r="E99" s="9" t="str" cm="1">
        <f t="array" ref="E99">visible(("تلبيسة ثابتة"),K99)</f>
        <v>تلبيسة ثابتة</v>
      </c>
      <c r="F99" s="9" cm="1">
        <f t="array" aca="1" ref="F99" ca="1">visible((I87),K99)</f>
        <v>78</v>
      </c>
      <c r="G99" s="9" cm="1">
        <f t="array" ref="G99">visible(4,K99)</f>
        <v>4</v>
      </c>
      <c r="H99" s="9">
        <f>visible(C84,K99)</f>
        <v>1</v>
      </c>
      <c r="I99" s="9" cm="1">
        <f t="array" aca="1" ref="I99" ca="1">visible(materialNum(D99),K99)</f>
        <v>6</v>
      </c>
      <c r="J99" s="9" t="str" cm="1">
        <f t="array" ref="J99">visible((""),K99)</f>
        <v/>
      </c>
      <c r="K99" s="9" t="b">
        <v>1</v>
      </c>
    </row>
    <row r="100" spans="1:11" ht="15.6" x14ac:dyDescent="0.3">
      <c r="A100" s="51">
        <v>0</v>
      </c>
      <c r="B100" s="15"/>
      <c r="K100" s="3"/>
    </row>
    <row r="101" spans="1:11" ht="15.6" x14ac:dyDescent="0.3">
      <c r="A101" s="51">
        <v>5</v>
      </c>
      <c r="B101" s="15" t="str" cm="1">
        <f t="array" aca="1" ref="B101" ca="1">visible(E84, K101)</f>
        <v>وحدة سفلية تلبيسة دلفة/ دلفتين</v>
      </c>
      <c r="C101" s="19">
        <f ca="1">visible(9,K101)</f>
        <v>9</v>
      </c>
      <c r="D101" s="19" t="str" cm="1">
        <f t="array" aca="1" ref="D101" ca="1">visible((E85),K101)</f>
        <v>ظهر</v>
      </c>
      <c r="E101" s="19" t="str" cm="1">
        <f t="array" aca="1" ref="E101" ca="1">visible(("ظهر"),K101)</f>
        <v>ظهر</v>
      </c>
      <c r="F101" s="19" cm="1">
        <f t="array" aca="1" ref="F101" ca="1">visible((I87-2),K101)</f>
        <v>76</v>
      </c>
      <c r="G101" s="19" cm="1">
        <f t="array" aca="1" ref="G101" ca="1">visible((H87-2),K101)</f>
        <v>98</v>
      </c>
      <c r="H101" s="19" cm="1">
        <f t="array" aca="1" ref="H101" ca="1">visible((C84),K101)</f>
        <v>1</v>
      </c>
      <c r="I101" s="19" cm="1">
        <f t="array" aca="1" ref="I101" ca="1">visible(materialNum(D101),K101)</f>
        <v>2</v>
      </c>
      <c r="J101" s="19" t="str" cm="1">
        <f t="array" aca="1" ref="J101" ca="1">visible((""),K101)</f>
        <v/>
      </c>
      <c r="K101" s="19" t="b">
        <f ca="1">F87</f>
        <v>1</v>
      </c>
    </row>
    <row r="102" spans="1:11" ht="15.6" x14ac:dyDescent="0.3">
      <c r="A102" s="51">
        <v>255</v>
      </c>
      <c r="B102" s="15"/>
      <c r="C102"/>
      <c r="D102"/>
      <c r="E102"/>
      <c r="F102"/>
      <c r="G102"/>
      <c r="H102"/>
      <c r="I102"/>
      <c r="J102"/>
      <c r="K102"/>
    </row>
    <row r="103" spans="1:11" ht="15.6" x14ac:dyDescent="0.3">
      <c r="A103" s="51">
        <v>255</v>
      </c>
      <c r="B103" s="15"/>
      <c r="C103"/>
      <c r="D103"/>
      <c r="E103"/>
      <c r="F103"/>
      <c r="G103"/>
      <c r="H103"/>
      <c r="I103"/>
      <c r="J103"/>
      <c r="K103"/>
    </row>
  </sheetData>
  <mergeCells count="5">
    <mergeCell ref="E13:H13"/>
    <mergeCell ref="E31:H31"/>
    <mergeCell ref="E49:H49"/>
    <mergeCell ref="J53:K53"/>
    <mergeCell ref="E84:H8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929640</xdr:colOff>
                    <xdr:row>5</xdr:row>
                    <xdr:rowOff>60960</xdr:rowOff>
                  </from>
                  <to>
                    <xdr:col>10</xdr:col>
                    <xdr:colOff>487680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68580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213360</xdr:colOff>
                    <xdr:row>5</xdr:row>
                    <xdr:rowOff>60960</xdr:rowOff>
                  </from>
                  <to>
                    <xdr:col>7</xdr:col>
                    <xdr:colOff>762000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647700</xdr:colOff>
                    <xdr:row>5</xdr:row>
                    <xdr:rowOff>45720</xdr:rowOff>
                  </from>
                  <to>
                    <xdr:col>13</xdr:col>
                    <xdr:colOff>495300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6" t="s">
        <v>112</v>
      </c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68" zoomScaleNormal="85" workbookViewId="0"/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23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7" t="s">
        <v>18</v>
      </c>
      <c r="E14" s="7" t="s">
        <v>16</v>
      </c>
      <c r="F14" s="107"/>
      <c r="G14" s="7" t="s">
        <v>24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1</v>
      </c>
      <c r="D15" s="8">
        <v>1</v>
      </c>
      <c r="E15" s="27" cm="1">
        <f t="array" aca="1" ref="E15" ca="1">defaultValue(E14,K13)</f>
        <v>3.5</v>
      </c>
      <c r="F15" s="107"/>
      <c r="G15" s="27">
        <v>56</v>
      </c>
      <c r="H15" s="8">
        <v>105</v>
      </c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HPL</v>
      </c>
      <c r="I16" s="7" t="s">
        <v>31</v>
      </c>
      <c r="J16" s="25" t="s">
        <v>111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 تلبيسة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101.4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 تلبيسة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 تلبيسة دلفة /دلفتين </v>
      </c>
      <c r="C22" s="6">
        <f t="shared" ref="C22:C25" si="0">C21+1</f>
        <v>3</v>
      </c>
      <c r="D22" s="6" t="str">
        <f ca="1">H16</f>
        <v>HPL</v>
      </c>
      <c r="E22" s="6" t="s">
        <v>13</v>
      </c>
      <c r="F22" s="6">
        <f>H15-3.6</f>
        <v>101.4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 تلبيسة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101.4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 تلبيسة دلفة /دلفتين </v>
      </c>
      <c r="C24" s="6">
        <f t="shared" si="0"/>
        <v>5</v>
      </c>
      <c r="D24" s="6" t="str">
        <f ca="1">H16</f>
        <v>HPL</v>
      </c>
      <c r="E24" s="6" t="s">
        <v>17</v>
      </c>
      <c r="F24" s="6">
        <f>H15-3.8</f>
        <v>101.2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B20</f>
        <v xml:space="preserve">وحدة سفلية  تلبيسة دلفة /دلفتين </v>
      </c>
      <c r="C25" s="6">
        <f t="shared" si="0"/>
        <v>6</v>
      </c>
      <c r="D25" s="6" t="str">
        <f ca="1">H16</f>
        <v>HPL</v>
      </c>
      <c r="E25" s="6" t="s">
        <v>24</v>
      </c>
      <c r="F25" s="6">
        <f ca="1">I15</f>
        <v>78</v>
      </c>
      <c r="G25" s="6">
        <f>G15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ht="14.4" x14ac:dyDescent="0.3">
      <c r="A26" s="51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4</v>
      </c>
      <c r="B27" s="15" t="str">
        <f>B20</f>
        <v xml:space="preserve">وحدة سفلية  تلبيسة دلفة /دلفتين </v>
      </c>
      <c r="C27" s="9">
        <f>C25+1</f>
        <v>7</v>
      </c>
      <c r="D27" s="9" t="str">
        <f ca="1">F16</f>
        <v>يوفيلاك</v>
      </c>
      <c r="E27" s="9" t="s">
        <v>15</v>
      </c>
      <c r="F27" s="9">
        <f ca="1">I15-0.5-E15</f>
        <v>74</v>
      </c>
      <c r="G27" s="9">
        <f>(H15-G15-G28)/C15-0.5</f>
        <v>44.5</v>
      </c>
      <c r="H27" s="9">
        <f>C15*C13</f>
        <v>1</v>
      </c>
      <c r="I27" s="9">
        <f ca="1">HLOOKUP(D27, materials[], 2,FALSE)</f>
        <v>6</v>
      </c>
      <c r="J27" s="9"/>
      <c r="K27" s="9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4</v>
      </c>
      <c r="B28" s="15" t="str">
        <f>B20</f>
        <v xml:space="preserve">وحدة سفلية  تلبيسة دلفة /دلفتين </v>
      </c>
      <c r="C28" s="9">
        <f t="shared" ref="C28" si="1">C27+1</f>
        <v>8</v>
      </c>
      <c r="D28" s="9" t="str">
        <f ca="1">F16</f>
        <v>يوفيلاك</v>
      </c>
      <c r="E28" s="9" t="s">
        <v>25</v>
      </c>
      <c r="F28" s="9">
        <f ca="1">I15</f>
        <v>78</v>
      </c>
      <c r="G28" s="9">
        <v>4</v>
      </c>
      <c r="H28" s="9">
        <f>1*C13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ht="14.4" x14ac:dyDescent="0.3">
      <c r="A29" s="51">
        <v>0</v>
      </c>
      <c r="B29"/>
      <c r="C29"/>
      <c r="D29"/>
      <c r="E29"/>
      <c r="F29"/>
      <c r="G29"/>
      <c r="H29"/>
      <c r="I29"/>
      <c r="J29"/>
      <c r="K2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5</v>
      </c>
      <c r="B30" s="15" t="str">
        <f>B20</f>
        <v xml:space="preserve">وحدة سفلية  تلبيسة دلفة /دلفتين </v>
      </c>
      <c r="C30" s="19">
        <f>C28+1</f>
        <v>9</v>
      </c>
      <c r="D30" s="19" t="str">
        <f ca="1">D16</f>
        <v>ظهر</v>
      </c>
      <c r="E30" s="19" t="s">
        <v>58</v>
      </c>
      <c r="F30" s="19">
        <f ca="1">I15-2</f>
        <v>76</v>
      </c>
      <c r="G30" s="19">
        <f>H15-2</f>
        <v>103</v>
      </c>
      <c r="H30" s="19">
        <f>1*C13</f>
        <v>1</v>
      </c>
      <c r="I30" s="19">
        <f ca="1">HLOOKUP(D30, materials[], 2,FALSE)</f>
        <v>2</v>
      </c>
      <c r="J30" s="19"/>
      <c r="K30" s="1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255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6" x14ac:dyDescent="0.3">
      <c r="A33" s="51" t="s">
        <v>160</v>
      </c>
      <c r="C33" s="14">
        <v>1</v>
      </c>
      <c r="D33" s="22" t="s">
        <v>59</v>
      </c>
      <c r="E33" s="101" t="s">
        <v>26</v>
      </c>
      <c r="F33" s="102"/>
      <c r="G33" s="102"/>
      <c r="H33" s="103"/>
      <c r="I33" s="2" t="s">
        <v>30</v>
      </c>
      <c r="J33" s="2">
        <f>letterToNumber(A33)</f>
        <v>2</v>
      </c>
      <c r="K33" s="7">
        <f ca="1">_xlfn.SHEET("وحدات سفلية")</f>
        <v>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7"/>
      <c r="D34" s="7" t="s">
        <v>18</v>
      </c>
      <c r="E34" s="7" t="s">
        <v>16</v>
      </c>
      <c r="F34" s="107"/>
      <c r="G34" s="7"/>
      <c r="H34" s="7" t="s">
        <v>22</v>
      </c>
      <c r="I34" s="7" t="s">
        <v>3</v>
      </c>
      <c r="J34" s="7" t="s">
        <v>113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1</v>
      </c>
      <c r="C35" s="8"/>
      <c r="D35" s="8">
        <v>1</v>
      </c>
      <c r="E35" s="27" cm="1">
        <f t="array" aca="1" ref="E35" ca="1">defaultValue(E34,K33)</f>
        <v>3.5</v>
      </c>
      <c r="F35" s="107"/>
      <c r="G35" s="7"/>
      <c r="H35" s="8"/>
      <c r="I35" s="27" cm="1">
        <f t="array" aca="1" ref="I35" ca="1">defaultValue(I34,K33)</f>
        <v>78</v>
      </c>
      <c r="J35" s="27" cm="1">
        <f t="array" aca="1" ref="J35" ca="1">defaultValue(J34,K33)</f>
        <v>56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1</v>
      </c>
      <c r="C36" s="28"/>
      <c r="D36" s="12"/>
      <c r="E36" s="12"/>
      <c r="F36" s="13"/>
      <c r="G36" s="7"/>
      <c r="H36" s="8"/>
      <c r="I36" s="27" cm="1">
        <f t="array" aca="1" ref="I36" ca="1">defaultValue(I34,K33)</f>
        <v>78</v>
      </c>
      <c r="J36" s="27" cm="1">
        <f t="array" aca="1" ref="J36" ca="1">defaultValue(J34,K33)</f>
        <v>56</v>
      </c>
      <c r="K36" s="7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51">
        <v>1</v>
      </c>
      <c r="C37" s="8"/>
      <c r="D37" s="27" t="str" cm="1">
        <f t="array" aca="1" ref="D37" ca="1">defaultValue(E37,K33)</f>
        <v>ظهر</v>
      </c>
      <c r="E37" s="7" t="s">
        <v>58</v>
      </c>
      <c r="F37" s="27" t="str" cm="1">
        <f t="array" aca="1" ref="F37" ca="1">defaultValue(G37,K33)</f>
        <v>يوفيلاك</v>
      </c>
      <c r="G37" s="7" t="s">
        <v>32</v>
      </c>
      <c r="H37" s="27" t="str" cm="1">
        <f t="array" aca="1" ref="H37" ca="1">defaultValue(I37,K33)</f>
        <v>HPL</v>
      </c>
      <c r="I37" s="7" t="s">
        <v>31</v>
      </c>
      <c r="J37" s="25" t="s">
        <v>111</v>
      </c>
      <c r="K37" s="7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2</v>
      </c>
      <c r="C39" s="6" t="s">
        <v>4</v>
      </c>
      <c r="D39" s="6" t="s">
        <v>9</v>
      </c>
      <c r="E39" s="6" t="s">
        <v>5</v>
      </c>
      <c r="F39" s="6" t="s">
        <v>7</v>
      </c>
      <c r="G39" s="6" t="s">
        <v>1</v>
      </c>
      <c r="H39" s="6" t="s">
        <v>6</v>
      </c>
      <c r="I39" s="6" t="s">
        <v>33</v>
      </c>
      <c r="J39" s="6" t="s">
        <v>8</v>
      </c>
      <c r="K39" s="6" t="s">
        <v>185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ht="14.4" x14ac:dyDescent="0.3">
      <c r="A40" s="51">
        <v>0</v>
      </c>
      <c r="B40"/>
      <c r="C40"/>
      <c r="D40"/>
      <c r="E40"/>
      <c r="F40"/>
      <c r="G40"/>
      <c r="H40"/>
      <c r="I40"/>
      <c r="J40"/>
      <c r="K40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>
        <f>B40</f>
        <v>0</v>
      </c>
      <c r="C41" s="6">
        <v>1</v>
      </c>
      <c r="D41" s="6" t="str">
        <f ca="1">H37</f>
        <v>HPL</v>
      </c>
      <c r="E41" s="6" t="s">
        <v>10</v>
      </c>
      <c r="F41" s="6">
        <f>H35-1.8</f>
        <v>-1.8</v>
      </c>
      <c r="G41" s="6">
        <f>H36-1.8</f>
        <v>-1.8</v>
      </c>
      <c r="H41" s="6">
        <f>1*C33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>
        <f>B40</f>
        <v>0</v>
      </c>
      <c r="C42" s="6">
        <f>C41+1</f>
        <v>2</v>
      </c>
      <c r="D42" s="6" t="str">
        <f ca="1">H37</f>
        <v>HPL</v>
      </c>
      <c r="E42" s="6" t="s">
        <v>11</v>
      </c>
      <c r="F42" s="6">
        <f ca="1">I35</f>
        <v>78</v>
      </c>
      <c r="G42" s="6">
        <f ca="1">J35</f>
        <v>56</v>
      </c>
      <c r="H42" s="6">
        <f>2*C33</f>
        <v>2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>
        <f>B40</f>
        <v>0</v>
      </c>
      <c r="C43" s="6">
        <f t="shared" ref="C43:C46" si="2">C42+1</f>
        <v>3</v>
      </c>
      <c r="D43" s="6" t="str">
        <f ca="1">H37</f>
        <v>HPL</v>
      </c>
      <c r="E43" s="6" t="s">
        <v>13</v>
      </c>
      <c r="F43" s="6">
        <f>H35-1.8</f>
        <v>-1.8</v>
      </c>
      <c r="G43" s="6">
        <v>10</v>
      </c>
      <c r="H43" s="6">
        <f>2*C33</f>
        <v>2</v>
      </c>
      <c r="I43" s="6">
        <f ca="1">HLOOKUP(D43, materials[], 2,FALSE)</f>
        <v>2</v>
      </c>
      <c r="J43" s="6"/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>
        <f>B40</f>
        <v>0</v>
      </c>
      <c r="C44" s="6">
        <f t="shared" si="2"/>
        <v>4</v>
      </c>
      <c r="D44" s="6" t="str">
        <f ca="1">H37</f>
        <v>HPL</v>
      </c>
      <c r="E44" s="6" t="s">
        <v>14</v>
      </c>
      <c r="F44" s="6">
        <f>H35-1.8</f>
        <v>-1.8</v>
      </c>
      <c r="G44" s="6">
        <v>7</v>
      </c>
      <c r="H44" s="6">
        <f>2*C33</f>
        <v>2</v>
      </c>
      <c r="I44" s="6">
        <f ca="1">HLOOKUP(D44, materials[], 2,FALSE)</f>
        <v>2</v>
      </c>
      <c r="J44" s="6"/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>
        <f>B40</f>
        <v>0</v>
      </c>
      <c r="C45" s="6">
        <f t="shared" si="2"/>
        <v>5</v>
      </c>
      <c r="D45" s="6" t="str">
        <f ca="1">H37</f>
        <v>HPL</v>
      </c>
      <c r="E45" s="6" t="s">
        <v>27</v>
      </c>
      <c r="F45" s="6">
        <f ca="1">I35</f>
        <v>78</v>
      </c>
      <c r="G45" s="6">
        <v>10</v>
      </c>
      <c r="H45" s="6">
        <f>1*C33</f>
        <v>1</v>
      </c>
      <c r="I45" s="6">
        <f ca="1">HLOOKUP(D45, materials[], 2,FALSE)</f>
        <v>2</v>
      </c>
      <c r="J45" s="6"/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>
        <f>B40</f>
        <v>0</v>
      </c>
      <c r="C46" s="6">
        <f t="shared" si="2"/>
        <v>6</v>
      </c>
      <c r="D46" s="6" t="str">
        <f ca="1">H37</f>
        <v>HPL</v>
      </c>
      <c r="E46" s="6" t="s">
        <v>17</v>
      </c>
      <c r="F46" s="6">
        <f>H35-3.8</f>
        <v>-3.8</v>
      </c>
      <c r="G46" s="6">
        <f>H36-3.8</f>
        <v>-3.8</v>
      </c>
      <c r="H46" s="6">
        <f>D35*C33</f>
        <v>1</v>
      </c>
      <c r="I46" s="6">
        <f ca="1">HLOOKUP(D46, materials[], 2,FALSE)</f>
        <v>2</v>
      </c>
      <c r="J46" s="6"/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ht="14.4" x14ac:dyDescent="0.3">
      <c r="A47" s="51">
        <v>0</v>
      </c>
      <c r="B47"/>
      <c r="C47"/>
      <c r="D47"/>
      <c r="E47"/>
      <c r="F47"/>
      <c r="G47"/>
      <c r="H47"/>
      <c r="I47"/>
      <c r="J47"/>
      <c r="K47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4</v>
      </c>
      <c r="B48" s="15">
        <f>B40</f>
        <v>0</v>
      </c>
      <c r="C48" s="9">
        <f>C46+1</f>
        <v>7</v>
      </c>
      <c r="D48" s="9" t="str">
        <f ca="1">F37</f>
        <v>يوفيلاك</v>
      </c>
      <c r="E48" s="9" t="s">
        <v>28</v>
      </c>
      <c r="F48" s="9">
        <f ca="1">I35-0.5-E35</f>
        <v>74</v>
      </c>
      <c r="G48" s="9">
        <f>H35-56-3</f>
        <v>-59</v>
      </c>
      <c r="H48" s="9">
        <f>1*C33</f>
        <v>1</v>
      </c>
      <c r="I48" s="9">
        <f ca="1">HLOOKUP(D48, materials[], 2,FALSE)</f>
        <v>6</v>
      </c>
      <c r="J48" s="9"/>
      <c r="K48" s="9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9" x14ac:dyDescent="0.3">
      <c r="A49" s="51">
        <v>4</v>
      </c>
      <c r="B49" s="15">
        <f>B40</f>
        <v>0</v>
      </c>
      <c r="C49" s="9">
        <f t="shared" ref="C49" si="3">C48+1</f>
        <v>8</v>
      </c>
      <c r="D49" s="9" t="str">
        <f ca="1">F37</f>
        <v>يوفيلاك</v>
      </c>
      <c r="E49" s="9" t="s">
        <v>41</v>
      </c>
      <c r="F49" s="9">
        <f ca="1">I36-0.5-E35</f>
        <v>74</v>
      </c>
      <c r="G49" s="9">
        <f>H36-56-3</f>
        <v>-59</v>
      </c>
      <c r="H49" s="9">
        <f>1*C33</f>
        <v>1</v>
      </c>
      <c r="I49" s="9">
        <f ca="1">HLOOKUP(D49, materials[], 2,FALSE)</f>
        <v>6</v>
      </c>
      <c r="J49" s="9"/>
      <c r="K49" s="9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9" ht="14.4" x14ac:dyDescent="0.3">
      <c r="A50" s="51">
        <v>0</v>
      </c>
      <c r="B50"/>
      <c r="C50"/>
      <c r="D50"/>
      <c r="E50"/>
      <c r="F50"/>
      <c r="G50"/>
      <c r="H50"/>
      <c r="I50"/>
      <c r="J50"/>
      <c r="K5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9" x14ac:dyDescent="0.3">
      <c r="A51" s="51">
        <v>5</v>
      </c>
      <c r="B51" s="15">
        <f>B40</f>
        <v>0</v>
      </c>
      <c r="C51" s="19">
        <f>C49+1</f>
        <v>9</v>
      </c>
      <c r="D51" s="19" t="str">
        <f ca="1">D37</f>
        <v>ظهر</v>
      </c>
      <c r="E51" s="19" t="s">
        <v>58</v>
      </c>
      <c r="F51" s="19">
        <f ca="1">I36-1</f>
        <v>77</v>
      </c>
      <c r="G51" s="19">
        <f>H36-1</f>
        <v>-1</v>
      </c>
      <c r="H51" s="19">
        <f>2*C33</f>
        <v>2</v>
      </c>
      <c r="I51" s="19">
        <f ca="1">HLOOKUP(D51, materials[], 2,FALSE)</f>
        <v>2</v>
      </c>
      <c r="J51" s="19"/>
      <c r="K51" s="19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9" x14ac:dyDescent="0.3">
      <c r="A52" s="51">
        <v>255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9" x14ac:dyDescent="0.3">
      <c r="A53" s="51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9" ht="36" x14ac:dyDescent="0.3">
      <c r="A54" s="51" t="s">
        <v>156</v>
      </c>
      <c r="C54" s="14">
        <v>1</v>
      </c>
      <c r="D54" s="22" t="s">
        <v>59</v>
      </c>
      <c r="E54" s="101" t="s">
        <v>29</v>
      </c>
      <c r="F54" s="102"/>
      <c r="G54" s="102"/>
      <c r="H54" s="103"/>
      <c r="I54" s="2" t="s">
        <v>30</v>
      </c>
      <c r="J54" s="2">
        <f>letterToNumber(A54)</f>
        <v>3</v>
      </c>
      <c r="K54" s="7">
        <f ca="1">_xlfn.SHEET("وحدات سفلية")</f>
        <v>4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9" x14ac:dyDescent="0.3">
      <c r="A55" s="51">
        <v>1</v>
      </c>
      <c r="C55" s="7"/>
      <c r="D55" s="7" t="s">
        <v>18</v>
      </c>
      <c r="E55" s="7" t="s">
        <v>16</v>
      </c>
      <c r="F55" s="107"/>
      <c r="G55" s="7"/>
      <c r="H55" s="7" t="s">
        <v>22</v>
      </c>
      <c r="I55" s="7" t="s">
        <v>3</v>
      </c>
      <c r="J55" s="7" t="s">
        <v>113</v>
      </c>
      <c r="K55" s="7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9" x14ac:dyDescent="0.3">
      <c r="A56" s="51">
        <v>1</v>
      </c>
      <c r="C56" s="8"/>
      <c r="D56" s="8">
        <v>1</v>
      </c>
      <c r="E56" s="27" cm="1">
        <f t="array" aca="1" ref="E56" ca="1">defaultValue(E55,K54)</f>
        <v>3.5</v>
      </c>
      <c r="F56" s="107"/>
      <c r="G56" s="7"/>
      <c r="H56" s="8"/>
      <c r="I56" s="27" cm="1">
        <f t="array" aca="1" ref="I56" ca="1">defaultValue(I55,K54)</f>
        <v>78</v>
      </c>
      <c r="J56" s="27" cm="1">
        <f t="array" aca="1" ref="J56" ca="1">defaultValue(J55,K54)</f>
        <v>56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9" x14ac:dyDescent="0.3">
      <c r="A57" s="51">
        <v>1</v>
      </c>
      <c r="C57" s="28"/>
      <c r="D57" s="12"/>
      <c r="E57" s="12"/>
      <c r="F57" s="13"/>
      <c r="G57" s="7"/>
      <c r="H57" s="8"/>
      <c r="I57" s="27" cm="1">
        <f t="array" aca="1" ref="I57" ca="1">defaultValue(I55,K54)</f>
        <v>78</v>
      </c>
      <c r="J57" s="27" cm="1">
        <f t="array" aca="1" ref="J57" ca="1">defaultValue(J55,K54)</f>
        <v>56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9" ht="31.2" x14ac:dyDescent="0.3">
      <c r="A58" s="51">
        <v>1</v>
      </c>
      <c r="C58" s="8"/>
      <c r="D58" s="27" t="str" cm="1">
        <f t="array" aca="1" ref="D58" ca="1">defaultValue(E58,K54)</f>
        <v>ظهر</v>
      </c>
      <c r="E58" s="7" t="s">
        <v>58</v>
      </c>
      <c r="F58" s="27" t="str" cm="1">
        <f t="array" aca="1" ref="F58" ca="1">defaultValue(G58,K54)</f>
        <v>يوفيلاك</v>
      </c>
      <c r="G58" s="7" t="s">
        <v>32</v>
      </c>
      <c r="H58" s="27" t="str" cm="1">
        <f t="array" aca="1" ref="H58" ca="1">defaultValue(I58,K54)</f>
        <v>HPL</v>
      </c>
      <c r="I58" s="7" t="s">
        <v>31</v>
      </c>
      <c r="J58" s="25" t="s">
        <v>111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9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9" x14ac:dyDescent="0.3">
      <c r="A60" s="51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33</v>
      </c>
      <c r="J60" s="6" t="s">
        <v>8</v>
      </c>
      <c r="K60" s="6" t="s">
        <v>185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9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9" x14ac:dyDescent="0.3">
      <c r="A62" s="51">
        <v>3</v>
      </c>
      <c r="B62" s="15" t="str">
        <f>E54</f>
        <v>وحدة سفلية  ركنة 45</v>
      </c>
      <c r="C62" s="6">
        <v>1</v>
      </c>
      <c r="D62" s="6" t="str">
        <f ca="1">H58</f>
        <v>HPL</v>
      </c>
      <c r="E62" s="6" t="s">
        <v>10</v>
      </c>
      <c r="F62" s="6">
        <f>H56-1.8</f>
        <v>-1.8</v>
      </c>
      <c r="G62" s="6">
        <f>H57-1.8</f>
        <v>-1.8</v>
      </c>
      <c r="H62" s="6">
        <f>1*C54</f>
        <v>1</v>
      </c>
      <c r="I62" s="6">
        <f ca="1">HLOOKUP(D62, materials[], 2,FALSE)</f>
        <v>2</v>
      </c>
      <c r="J62" s="6"/>
      <c r="K62" s="6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9" x14ac:dyDescent="0.3">
      <c r="A63" s="51">
        <v>3</v>
      </c>
      <c r="B63" s="15" t="str">
        <f>B62</f>
        <v>وحدة سفلية  ركنة 45</v>
      </c>
      <c r="C63" s="6">
        <f>C62+1</f>
        <v>2</v>
      </c>
      <c r="D63" s="6" t="str">
        <f ca="1">H58</f>
        <v>HPL</v>
      </c>
      <c r="E63" s="6" t="s">
        <v>11</v>
      </c>
      <c r="F63" s="6">
        <f ca="1">I56</f>
        <v>78</v>
      </c>
      <c r="G63" s="6">
        <f ca="1">J56</f>
        <v>56</v>
      </c>
      <c r="H63" s="6">
        <f>2*C54</f>
        <v>2</v>
      </c>
      <c r="I63" s="6">
        <f ca="1">HLOOKUP(D63, materials[], 2,FALSE)</f>
        <v>2</v>
      </c>
      <c r="J63" s="6"/>
      <c r="K63" s="6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9" x14ac:dyDescent="0.3">
      <c r="A64" s="51">
        <v>3</v>
      </c>
      <c r="B64" s="15" t="str">
        <f>B62</f>
        <v>وحدة سفلية  ركنة 45</v>
      </c>
      <c r="C64" s="6">
        <f t="shared" ref="C64:C67" si="4">C63+1</f>
        <v>3</v>
      </c>
      <c r="D64" s="6" t="str">
        <f ca="1">H58</f>
        <v>HPL</v>
      </c>
      <c r="E64" s="6" t="s">
        <v>13</v>
      </c>
      <c r="F64" s="6">
        <f>H56-1.8</f>
        <v>-1.8</v>
      </c>
      <c r="G64" s="6">
        <v>10</v>
      </c>
      <c r="H64" s="6">
        <f>3*C54</f>
        <v>3</v>
      </c>
      <c r="I64" s="6">
        <f ca="1">HLOOKUP(D64, materials[], 2,FALSE)</f>
        <v>2</v>
      </c>
      <c r="J64" s="6"/>
      <c r="K64" s="6" t="b"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51">
        <v>3</v>
      </c>
      <c r="B65" s="15" t="str">
        <f>B62</f>
        <v>وحدة سفلية  ركنة 45</v>
      </c>
      <c r="C65" s="6">
        <f t="shared" si="4"/>
        <v>4</v>
      </c>
      <c r="D65" s="6" t="str">
        <f ca="1">H58</f>
        <v>HPL</v>
      </c>
      <c r="E65" s="6" t="s">
        <v>14</v>
      </c>
      <c r="F65" s="6">
        <f>H56-1.8</f>
        <v>-1.8</v>
      </c>
      <c r="G65" s="6">
        <v>7</v>
      </c>
      <c r="H65" s="6">
        <f>2*C54</f>
        <v>2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51">
        <v>3</v>
      </c>
      <c r="B66" s="15" t="str">
        <f>B62</f>
        <v>وحدة سفلية  ركنة 45</v>
      </c>
      <c r="C66" s="6">
        <f t="shared" si="4"/>
        <v>5</v>
      </c>
      <c r="D66" s="6" t="str">
        <f ca="1">H58</f>
        <v>HPL</v>
      </c>
      <c r="E66" s="6" t="s">
        <v>27</v>
      </c>
      <c r="F66" s="6">
        <v>70</v>
      </c>
      <c r="G66" s="6">
        <v>10</v>
      </c>
      <c r="H66" s="6">
        <f>1*C54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51">
        <v>3</v>
      </c>
      <c r="B67" s="15" t="str">
        <f>B62</f>
        <v>وحدة سفلية  ركنة 45</v>
      </c>
      <c r="C67" s="6">
        <f t="shared" si="4"/>
        <v>6</v>
      </c>
      <c r="D67" s="6" t="str">
        <f ca="1">H58</f>
        <v>HPL</v>
      </c>
      <c r="E67" s="6" t="s">
        <v>17</v>
      </c>
      <c r="F67" s="6">
        <f>H56-3.8</f>
        <v>-3.8</v>
      </c>
      <c r="G67" s="6">
        <f>H57-3.8</f>
        <v>-3.8</v>
      </c>
      <c r="H67" s="6">
        <f>D56*C54</f>
        <v>1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ht="14.4" x14ac:dyDescent="0.3">
      <c r="A68" s="51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51">
        <v>4</v>
      </c>
      <c r="B69" s="15" t="str">
        <f>B62</f>
        <v>وحدة سفلية  ركنة 45</v>
      </c>
      <c r="C69" s="9">
        <f>C67+1</f>
        <v>7</v>
      </c>
      <c r="D69" s="9" t="str">
        <f ca="1">F58</f>
        <v>يوفيلاك</v>
      </c>
      <c r="E69" s="9" t="s">
        <v>28</v>
      </c>
      <c r="F69" s="9">
        <f ca="1">I56-0.5-E56</f>
        <v>74</v>
      </c>
      <c r="G69" s="17">
        <f ca="1">(SQRT((H56-J56)^2+(H57-J57)^2))-2</f>
        <v>77.195959492893323</v>
      </c>
      <c r="H69" s="9">
        <f>1*C54</f>
        <v>1</v>
      </c>
      <c r="I69" s="9">
        <f ca="1">HLOOKUP(D69, materials[], 2,FALSE)</f>
        <v>6</v>
      </c>
      <c r="J69" s="9"/>
      <c r="K69" s="9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51">
        <v>5</v>
      </c>
      <c r="B71" s="15" t="str">
        <f>B62</f>
        <v>وحدة سفلية  ركنة 45</v>
      </c>
      <c r="C71" s="19">
        <f>C69+1</f>
        <v>8</v>
      </c>
      <c r="D71" s="19" t="str">
        <f ca="1">D58</f>
        <v>ظهر</v>
      </c>
      <c r="E71" s="19" t="s">
        <v>58</v>
      </c>
      <c r="F71" s="19">
        <f ca="1">I56-1</f>
        <v>77</v>
      </c>
      <c r="G71" s="19">
        <f>H56-1</f>
        <v>-1</v>
      </c>
      <c r="H71" s="19">
        <f>1*C54</f>
        <v>1</v>
      </c>
      <c r="I71" s="19">
        <f ca="1">HLOOKUP(D71, materials[], 2,FALSE)</f>
        <v>2</v>
      </c>
      <c r="J71" s="19"/>
      <c r="K71" s="1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51">
        <v>255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x14ac:dyDescent="0.3">
      <c r="A73" s="51">
        <v>255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ht="36" x14ac:dyDescent="0.3">
      <c r="A74" s="51" t="s">
        <v>161</v>
      </c>
      <c r="B74" s="3"/>
      <c r="C74" s="14">
        <v>1</v>
      </c>
      <c r="D74" s="22" t="s">
        <v>59</v>
      </c>
      <c r="E74" s="101" t="s">
        <v>105</v>
      </c>
      <c r="F74" s="102"/>
      <c r="G74" s="102"/>
      <c r="H74" s="103"/>
      <c r="I74" s="2" t="s">
        <v>30</v>
      </c>
      <c r="J74" s="2">
        <f>letterToNumber(A74)</f>
        <v>4</v>
      </c>
      <c r="K74" s="7">
        <f ca="1">_xlfn.SHEET("وحدات سفلية")</f>
        <v>4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ht="31.2" x14ac:dyDescent="0.3">
      <c r="A75" s="51">
        <v>1</v>
      </c>
      <c r="B75" s="21"/>
      <c r="C75" s="7" t="s">
        <v>12</v>
      </c>
      <c r="D75" s="7" t="s">
        <v>18</v>
      </c>
      <c r="E75" s="7" t="s">
        <v>16</v>
      </c>
      <c r="F75" s="107"/>
      <c r="G75" s="16" t="s">
        <v>19</v>
      </c>
      <c r="H75" s="7" t="s">
        <v>22</v>
      </c>
      <c r="I75" s="7" t="s">
        <v>3</v>
      </c>
      <c r="J75" s="7" t="s">
        <v>113</v>
      </c>
      <c r="K75" s="7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x14ac:dyDescent="0.3">
      <c r="A76" s="51">
        <v>1</v>
      </c>
      <c r="B76" s="21"/>
      <c r="C76" s="8"/>
      <c r="D76" s="8">
        <v>0</v>
      </c>
      <c r="E76" s="27" cm="1">
        <f t="array" aca="1" ref="E76" ca="1">defaultValue(E75,K74)</f>
        <v>3.5</v>
      </c>
      <c r="F76" s="107"/>
      <c r="G76" s="27" cm="1">
        <f t="array" aca="1" ref="G76" ca="1">defaultValue(G75,K74)</f>
        <v>45</v>
      </c>
      <c r="H76" s="8">
        <v>60</v>
      </c>
      <c r="I76" s="27" cm="1">
        <f t="array" aca="1" ref="I76" ca="1">defaultValue(I75,K74)</f>
        <v>78</v>
      </c>
      <c r="J76" s="27" cm="1">
        <f t="array" aca="1" ref="J76" ca="1">defaultValue(J75,K74)</f>
        <v>56</v>
      </c>
      <c r="K76" s="7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ht="31.2" x14ac:dyDescent="0.3">
      <c r="A77" s="51">
        <v>1</v>
      </c>
      <c r="B77" s="21"/>
      <c r="C77" s="8"/>
      <c r="D77" s="27" t="str" cm="1">
        <f t="array" aca="1" ref="D77" ca="1">defaultValue(E77,K74)</f>
        <v>ظهر</v>
      </c>
      <c r="E77" s="7" t="s">
        <v>58</v>
      </c>
      <c r="F77" s="27" t="str" cm="1">
        <f t="array" aca="1" ref="F77" ca="1">defaultValue(G77,K74)</f>
        <v>يوفيلاك</v>
      </c>
      <c r="G77" s="7" t="s">
        <v>32</v>
      </c>
      <c r="H77" s="27" t="str" cm="1">
        <f t="array" aca="1" ref="H77" ca="1">defaultValue(I77,K74)</f>
        <v>HPL</v>
      </c>
      <c r="I77" s="7" t="s">
        <v>31</v>
      </c>
      <c r="J77" s="25" t="s">
        <v>111</v>
      </c>
      <c r="K77" s="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ht="14.4" x14ac:dyDescent="0.3">
      <c r="A78" s="51">
        <v>0</v>
      </c>
      <c r="B78"/>
      <c r="C78"/>
      <c r="D78"/>
      <c r="E78"/>
      <c r="F78"/>
      <c r="G78"/>
      <c r="H78"/>
      <c r="I78"/>
      <c r="J78"/>
      <c r="K78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ht="14.4" x14ac:dyDescent="0.3">
      <c r="A79" s="51">
        <v>2</v>
      </c>
      <c r="B79" s="21"/>
      <c r="C79" s="6" t="s">
        <v>4</v>
      </c>
      <c r="D79" s="6" t="s">
        <v>9</v>
      </c>
      <c r="E79" s="6" t="s">
        <v>5</v>
      </c>
      <c r="F79" s="6" t="s">
        <v>7</v>
      </c>
      <c r="G79" s="6" t="s">
        <v>1</v>
      </c>
      <c r="H79" s="6" t="s">
        <v>6</v>
      </c>
      <c r="I79" s="6" t="s">
        <v>33</v>
      </c>
      <c r="J79" s="6" t="s">
        <v>8</v>
      </c>
      <c r="K79" s="6" t="s">
        <v>185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ht="14.4" x14ac:dyDescent="0.3">
      <c r="A80" s="51">
        <v>0</v>
      </c>
      <c r="B80"/>
      <c r="C80"/>
      <c r="D80"/>
      <c r="E80"/>
      <c r="F80"/>
      <c r="G80"/>
      <c r="H80"/>
      <c r="I80"/>
      <c r="J80"/>
      <c r="K80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x14ac:dyDescent="0.3">
      <c r="A81" s="51">
        <v>3</v>
      </c>
      <c r="B81" s="15" t="str">
        <f>E74</f>
        <v xml:space="preserve">وحدة سفلية  فرن </v>
      </c>
      <c r="C81" s="6">
        <v>1</v>
      </c>
      <c r="D81" s="6" t="str">
        <f ca="1">H77</f>
        <v>HPL</v>
      </c>
      <c r="E81" s="6" t="s">
        <v>10</v>
      </c>
      <c r="F81" s="6">
        <f>H76-3.6</f>
        <v>56.4</v>
      </c>
      <c r="G81" s="6">
        <f ca="1">J76</f>
        <v>56</v>
      </c>
      <c r="H81" s="6">
        <f>2*C74</f>
        <v>2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x14ac:dyDescent="0.3">
      <c r="A82" s="51">
        <v>3</v>
      </c>
      <c r="B82" s="15" t="str">
        <f>B81</f>
        <v xml:space="preserve">وحدة سفلية  فرن </v>
      </c>
      <c r="C82" s="6">
        <f>C81+1</f>
        <v>2</v>
      </c>
      <c r="D82" s="6" t="str">
        <f ca="1">H77</f>
        <v>HPL</v>
      </c>
      <c r="E82" s="6" t="s">
        <v>11</v>
      </c>
      <c r="F82" s="6">
        <f ca="1">I76</f>
        <v>78</v>
      </c>
      <c r="G82" s="6">
        <f ca="1">J76</f>
        <v>56</v>
      </c>
      <c r="H82" s="6">
        <f>2*C74</f>
        <v>2</v>
      </c>
      <c r="I82" s="6">
        <f ca="1">HLOOKUP(D82, materials[], 2,FALSE)</f>
        <v>2</v>
      </c>
      <c r="J82" s="6"/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51">
        <v>3</v>
      </c>
      <c r="B83" s="15" t="str">
        <f>B81</f>
        <v xml:space="preserve">وحدة سفلية  فرن </v>
      </c>
      <c r="C83" s="6">
        <f t="shared" ref="C83:C88" si="5">C82+1</f>
        <v>3</v>
      </c>
      <c r="D83" s="6" t="str">
        <f ca="1">H77</f>
        <v>HPL</v>
      </c>
      <c r="E83" s="6" t="s">
        <v>13</v>
      </c>
      <c r="F83" s="6">
        <f>H76-3.6</f>
        <v>56.4</v>
      </c>
      <c r="G83" s="6">
        <v>10</v>
      </c>
      <c r="H83" s="6">
        <f>2*C74</f>
        <v>2</v>
      </c>
      <c r="I83" s="6">
        <f ca="1">HLOOKUP(D83, materials[], 2,FALSE)</f>
        <v>2</v>
      </c>
      <c r="J83" s="6"/>
      <c r="K83" s="6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x14ac:dyDescent="0.3">
      <c r="A84" s="51">
        <v>3</v>
      </c>
      <c r="B84" s="15" t="str">
        <f>B81</f>
        <v xml:space="preserve">وحدة سفلية  فرن </v>
      </c>
      <c r="C84" s="6">
        <f t="shared" si="5"/>
        <v>4</v>
      </c>
      <c r="D84" s="6" t="str">
        <f ca="1">H77</f>
        <v>HPL</v>
      </c>
      <c r="E84" s="6" t="s">
        <v>14</v>
      </c>
      <c r="F84" s="6">
        <f>H76-3.6</f>
        <v>56.4</v>
      </c>
      <c r="G84" s="6">
        <v>7</v>
      </c>
      <c r="H84" s="6">
        <f>2*C74</f>
        <v>2</v>
      </c>
      <c r="I84" s="6">
        <f ca="1">HLOOKUP(D84, materials[], 2,FALSE)</f>
        <v>2</v>
      </c>
      <c r="J84" s="6"/>
      <c r="K84" s="6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</row>
    <row r="85" spans="1:79" x14ac:dyDescent="0.3">
      <c r="A85" s="51">
        <v>3</v>
      </c>
      <c r="B85" s="15" t="str">
        <f>B81</f>
        <v xml:space="preserve">وحدة سفلية  فرن </v>
      </c>
      <c r="C85" s="6">
        <f t="shared" si="5"/>
        <v>5</v>
      </c>
      <c r="D85" s="6" t="str">
        <f ca="1">H77</f>
        <v>HPL</v>
      </c>
      <c r="E85" s="6" t="s">
        <v>17</v>
      </c>
      <c r="F85" s="6">
        <f>H76-3.8</f>
        <v>56.2</v>
      </c>
      <c r="G85" s="6">
        <f ca="1">J76-6</f>
        <v>50</v>
      </c>
      <c r="H85" s="6">
        <f>D76*C74</f>
        <v>0</v>
      </c>
      <c r="I85" s="6">
        <f ca="1">HLOOKUP(D85, materials[], 2,FALSE)</f>
        <v>2</v>
      </c>
      <c r="J85" s="6"/>
      <c r="K85" s="6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</row>
    <row r="86" spans="1:79" x14ac:dyDescent="0.3">
      <c r="A86" s="51">
        <v>3</v>
      </c>
      <c r="B86" s="15" t="str">
        <f>B82</f>
        <v xml:space="preserve">وحدة سفلية  فرن </v>
      </c>
      <c r="C86" s="10">
        <f t="shared" si="5"/>
        <v>6</v>
      </c>
      <c r="D86" s="10" t="str">
        <f ca="1">H77</f>
        <v>HPL</v>
      </c>
      <c r="E86" s="10" t="s">
        <v>21</v>
      </c>
      <c r="F86" s="10">
        <f>H76-3.6-3.6-2.5</f>
        <v>50.3</v>
      </c>
      <c r="G86" s="10">
        <v>10</v>
      </c>
      <c r="H86" s="10">
        <f>1*C74</f>
        <v>1</v>
      </c>
      <c r="I86" s="10">
        <f ca="1">HLOOKUP(D86, materials[], 2,FALSE)</f>
        <v>2</v>
      </c>
      <c r="J86" s="10"/>
      <c r="K86" s="10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</row>
    <row r="87" spans="1:79" x14ac:dyDescent="0.3">
      <c r="A87" s="51">
        <v>3</v>
      </c>
      <c r="B87" s="15" t="str">
        <f>B83</f>
        <v xml:space="preserve">وحدة سفلية  فرن </v>
      </c>
      <c r="C87" s="10">
        <f t="shared" si="5"/>
        <v>7</v>
      </c>
      <c r="D87" s="10" t="str">
        <f ca="1">H77</f>
        <v>HPL</v>
      </c>
      <c r="E87" s="10" t="s">
        <v>153</v>
      </c>
      <c r="F87" s="10">
        <f ca="1">G76</f>
        <v>45</v>
      </c>
      <c r="G87" s="10">
        <v>10</v>
      </c>
      <c r="H87" s="10">
        <f>2*C74</f>
        <v>2</v>
      </c>
      <c r="I87" s="10">
        <f ca="1">HLOOKUP(D87, materials[], 2,FALSE)</f>
        <v>2</v>
      </c>
      <c r="J87" s="10"/>
      <c r="K87" s="10" t="b"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</row>
    <row r="88" spans="1:79" x14ac:dyDescent="0.3">
      <c r="A88" s="51">
        <v>3</v>
      </c>
      <c r="B88" s="15" t="str">
        <f>B84</f>
        <v xml:space="preserve">وحدة سفلية  فرن </v>
      </c>
      <c r="C88" s="10">
        <f t="shared" si="5"/>
        <v>8</v>
      </c>
      <c r="D88" s="10" t="str">
        <f ca="1">H77</f>
        <v>HPL</v>
      </c>
      <c r="E88" s="10" t="s">
        <v>154</v>
      </c>
      <c r="F88" s="10">
        <f>H76-3.6-3.6-2.5</f>
        <v>50.3</v>
      </c>
      <c r="G88" s="10">
        <f>10-3</f>
        <v>7</v>
      </c>
      <c r="H88" s="10">
        <f>1*C74</f>
        <v>1</v>
      </c>
      <c r="I88" s="10">
        <f ca="1">HLOOKUP(D88, materials[], 2,FALSE)</f>
        <v>2</v>
      </c>
      <c r="J88" s="10"/>
      <c r="K88" s="10" t="b">
        <v>1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</row>
    <row r="89" spans="1:79" ht="14.4" x14ac:dyDescent="0.3">
      <c r="A89" s="51">
        <v>0</v>
      </c>
      <c r="B89"/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</row>
    <row r="90" spans="1:79" x14ac:dyDescent="0.3">
      <c r="A90" s="51">
        <v>4</v>
      </c>
      <c r="B90" s="15" t="str">
        <f>B81</f>
        <v xml:space="preserve">وحدة سفلية  فرن </v>
      </c>
      <c r="C90" s="9">
        <f>C88+1</f>
        <v>9</v>
      </c>
      <c r="D90" s="9" t="str">
        <f ca="1">F77</f>
        <v>يوفيلاك</v>
      </c>
      <c r="E90" s="9" t="s">
        <v>15</v>
      </c>
      <c r="F90" s="9" t="str">
        <f>IF(H90=0,"",(I76-0.5-E76))</f>
        <v/>
      </c>
      <c r="G90" s="9" t="str">
        <f>IF(H90=0, "",(H76/C76)-0.5)</f>
        <v/>
      </c>
      <c r="H90" s="9">
        <f>C76*C74</f>
        <v>0</v>
      </c>
      <c r="I90" s="9">
        <f ca="1">HLOOKUP(D90, materials[], 2,FALSE)</f>
        <v>6</v>
      </c>
      <c r="J90" s="9"/>
      <c r="K90" s="9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</row>
    <row r="91" spans="1:79" x14ac:dyDescent="0.3">
      <c r="A91" s="51">
        <v>4</v>
      </c>
      <c r="B91" s="15" t="str">
        <f>B81</f>
        <v xml:space="preserve">وحدة سفلية  فرن </v>
      </c>
      <c r="C91" s="9">
        <f>C90+1</f>
        <v>10</v>
      </c>
      <c r="D91" s="9" t="str">
        <f ca="1">F77</f>
        <v>يوفيلاك</v>
      </c>
      <c r="E91" s="9" t="s">
        <v>152</v>
      </c>
      <c r="F91" s="9">
        <f>H76-0.5</f>
        <v>59.5</v>
      </c>
      <c r="G91" s="9">
        <f ca="1">I76-E76-60.5</f>
        <v>14</v>
      </c>
      <c r="H91" s="9">
        <f>1*C74</f>
        <v>1</v>
      </c>
      <c r="I91" s="9">
        <f ca="1">HLOOKUP(D91, materials[], 2,FALSE)</f>
        <v>6</v>
      </c>
      <c r="J91" s="9"/>
      <c r="K91" s="9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</row>
    <row r="92" spans="1:79" ht="14.4" x14ac:dyDescent="0.3">
      <c r="A92" s="51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</row>
    <row r="93" spans="1:79" x14ac:dyDescent="0.3">
      <c r="A93" s="51">
        <v>5</v>
      </c>
      <c r="B93" s="15" t="str">
        <f>B81</f>
        <v xml:space="preserve">وحدة سفلية  فرن </v>
      </c>
      <c r="C93" s="19">
        <f>C91+1</f>
        <v>11</v>
      </c>
      <c r="D93" s="19" t="str">
        <f ca="1">D77</f>
        <v>ظهر</v>
      </c>
      <c r="E93" s="19" t="s">
        <v>58</v>
      </c>
      <c r="F93" s="19">
        <f ca="1">I76-2</f>
        <v>76</v>
      </c>
      <c r="G93" s="19">
        <f>H76-2</f>
        <v>58</v>
      </c>
      <c r="H93" s="19">
        <f>1*C74</f>
        <v>1</v>
      </c>
      <c r="I93" s="19">
        <f ca="1">HLOOKUP(D93, materials[], 2,FALSE)</f>
        <v>2</v>
      </c>
      <c r="J93" s="19"/>
      <c r="K93" s="19" t="b">
        <v>1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</row>
    <row r="94" spans="1:79" x14ac:dyDescent="0.3">
      <c r="A94" s="51">
        <v>5</v>
      </c>
      <c r="B94" s="15" t="str">
        <f>B81</f>
        <v xml:space="preserve">وحدة سفلية  فرن </v>
      </c>
      <c r="C94" s="19">
        <f>C93+1</f>
        <v>12</v>
      </c>
      <c r="D94" s="19" t="str">
        <f ca="1">D77</f>
        <v>ظهر</v>
      </c>
      <c r="E94" s="19" t="s">
        <v>149</v>
      </c>
      <c r="F94" s="19">
        <f>H76-3.6-3.6-2.5+2</f>
        <v>52.3</v>
      </c>
      <c r="G94" s="19">
        <f ca="1">G76-1</f>
        <v>44</v>
      </c>
      <c r="H94" s="19">
        <f>1*C74</f>
        <v>1</v>
      </c>
      <c r="I94" s="19">
        <f ca="1">HLOOKUP(D94, materials[], 2,FALSE)</f>
        <v>2</v>
      </c>
      <c r="J94" s="19"/>
      <c r="K94" s="19" t="b">
        <v>1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</row>
    <row r="95" spans="1:79" x14ac:dyDescent="0.3">
      <c r="A95" s="51">
        <v>255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</row>
    <row r="96" spans="1:79" x14ac:dyDescent="0.3">
      <c r="A96" s="51">
        <v>255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</row>
    <row r="97" spans="1:79" ht="36" x14ac:dyDescent="0.3">
      <c r="A97" s="54" t="s">
        <v>157</v>
      </c>
      <c r="C97" s="14">
        <v>1</v>
      </c>
      <c r="D97" s="22" t="s">
        <v>59</v>
      </c>
      <c r="E97" s="101" t="s">
        <v>162</v>
      </c>
      <c r="F97" s="102"/>
      <c r="G97" s="102"/>
      <c r="H97" s="103"/>
      <c r="I97" s="2" t="s">
        <v>30</v>
      </c>
      <c r="J97" s="2">
        <f>letterToNumber(A97)</f>
        <v>5</v>
      </c>
      <c r="K97" s="7">
        <f ca="1">_xlfn.SHEET("وحدات سفلية")</f>
        <v>4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</row>
    <row r="98" spans="1:79" ht="31.2" x14ac:dyDescent="0.3">
      <c r="A98" s="51">
        <v>1</v>
      </c>
      <c r="C98" s="7" t="s">
        <v>12</v>
      </c>
      <c r="D98" s="18" t="s">
        <v>18</v>
      </c>
      <c r="E98" s="7" t="s">
        <v>16</v>
      </c>
      <c r="F98" s="18" t="s">
        <v>163</v>
      </c>
      <c r="G98" s="16" t="s">
        <v>19</v>
      </c>
      <c r="H98" s="7" t="s">
        <v>22</v>
      </c>
      <c r="I98" s="7" t="s">
        <v>3</v>
      </c>
      <c r="J98" s="7" t="s">
        <v>113</v>
      </c>
      <c r="K98" s="7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</row>
    <row r="99" spans="1:79" x14ac:dyDescent="0.3">
      <c r="A99" s="51">
        <v>1</v>
      </c>
      <c r="C99" s="8">
        <v>2</v>
      </c>
      <c r="D99" s="8">
        <v>1</v>
      </c>
      <c r="E99" s="27" cm="1">
        <f t="array" aca="1" ref="E99" ca="1">defaultValue(E98,K97)</f>
        <v>3.5</v>
      </c>
      <c r="F99" s="8">
        <v>1</v>
      </c>
      <c r="G99" s="27" cm="1">
        <f t="array" aca="1" ref="G99" ca="1">defaultValue(G98,K97)</f>
        <v>45</v>
      </c>
      <c r="H99" s="8">
        <v>60</v>
      </c>
      <c r="I99" s="27" cm="1">
        <f t="array" aca="1" ref="I99" ca="1">defaultValue(I98,K97)</f>
        <v>78</v>
      </c>
      <c r="J99" s="27" cm="1">
        <f t="array" aca="1" ref="J99" ca="1">defaultValue(J98,K97)</f>
        <v>56</v>
      </c>
      <c r="K99" s="7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ht="31.2" x14ac:dyDescent="0.3">
      <c r="A100" s="51">
        <v>1</v>
      </c>
      <c r="C100" s="8"/>
      <c r="D100" s="27" t="str" cm="1">
        <f t="array" aca="1" ref="D100" ca="1">defaultValue(E100,K97)</f>
        <v>ظهر</v>
      </c>
      <c r="E100" s="7" t="s">
        <v>58</v>
      </c>
      <c r="F100" s="27" t="str" cm="1">
        <f t="array" aca="1" ref="F100" ca="1">defaultValue(G100,K97)</f>
        <v>يوفيلاك</v>
      </c>
      <c r="G100" s="7" t="s">
        <v>32</v>
      </c>
      <c r="H100" s="27" t="str" cm="1">
        <f t="array" aca="1" ref="H100" ca="1">defaultValue(I100,K97)</f>
        <v>HPL</v>
      </c>
      <c r="I100" s="7" t="s">
        <v>31</v>
      </c>
      <c r="J100" s="25" t="s">
        <v>111</v>
      </c>
      <c r="K100" s="7"/>
      <c r="BB100"/>
      <c r="BC100"/>
      <c r="BD100"/>
      <c r="BE100"/>
      <c r="BF100"/>
      <c r="BG100"/>
      <c r="BH100"/>
      <c r="BI100"/>
      <c r="BJ100"/>
    </row>
    <row r="101" spans="1:79" ht="14.4" x14ac:dyDescent="0.3">
      <c r="A101" s="51">
        <v>0</v>
      </c>
      <c r="B101"/>
      <c r="C101"/>
      <c r="D101"/>
      <c r="E101"/>
      <c r="F101"/>
      <c r="G101"/>
      <c r="H101"/>
      <c r="I101"/>
      <c r="J101"/>
      <c r="K101"/>
      <c r="BB101"/>
      <c r="BC101"/>
      <c r="BD101"/>
      <c r="BE101"/>
      <c r="BF101"/>
      <c r="BG101"/>
      <c r="BH101"/>
      <c r="BI101"/>
      <c r="BJ101"/>
    </row>
    <row r="102" spans="1:79" x14ac:dyDescent="0.3">
      <c r="A102" s="51">
        <v>2</v>
      </c>
      <c r="C102" s="6" t="s">
        <v>4</v>
      </c>
      <c r="D102" s="6" t="s">
        <v>9</v>
      </c>
      <c r="E102" s="6" t="s">
        <v>5</v>
      </c>
      <c r="F102" s="6" t="s">
        <v>7</v>
      </c>
      <c r="G102" s="6" t="s">
        <v>1</v>
      </c>
      <c r="H102" s="6" t="s">
        <v>6</v>
      </c>
      <c r="I102" s="6" t="s">
        <v>33</v>
      </c>
      <c r="J102" s="6" t="s">
        <v>8</v>
      </c>
      <c r="K102" s="6" t="s">
        <v>185</v>
      </c>
      <c r="BB102"/>
      <c r="BC102"/>
      <c r="BD102"/>
      <c r="BE102"/>
      <c r="BF102"/>
      <c r="BG102"/>
      <c r="BH102"/>
      <c r="BI102"/>
      <c r="BJ102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BB103"/>
      <c r="BC103"/>
      <c r="BD103"/>
      <c r="BE103"/>
      <c r="BF103"/>
      <c r="BG103"/>
      <c r="BH103"/>
      <c r="BI103"/>
      <c r="BJ103"/>
    </row>
    <row r="104" spans="1:79" x14ac:dyDescent="0.3">
      <c r="A104" s="51">
        <v>3</v>
      </c>
      <c r="B104" s="15" t="str">
        <f>E97</f>
        <v>وحدة سفلية دلفة /دلفتين + درج</v>
      </c>
      <c r="C104" s="6">
        <v>1</v>
      </c>
      <c r="D104" s="6" t="str">
        <f ca="1">H100</f>
        <v>HPL</v>
      </c>
      <c r="E104" s="6" t="s">
        <v>10</v>
      </c>
      <c r="F104" s="6">
        <f>H99-3.6</f>
        <v>56.4</v>
      </c>
      <c r="G104" s="6">
        <f ca="1">J99</f>
        <v>56</v>
      </c>
      <c r="H104" s="6">
        <f>1*C97</f>
        <v>1</v>
      </c>
      <c r="I104" s="6">
        <f ca="1">HLOOKUP(D104, materials[], 2,FALSE)</f>
        <v>2</v>
      </c>
      <c r="J104" s="6"/>
      <c r="K104" s="6" t="b">
        <v>1</v>
      </c>
      <c r="BB104"/>
      <c r="BC104"/>
      <c r="BD104"/>
      <c r="BE104"/>
      <c r="BF104"/>
      <c r="BG104"/>
      <c r="BH104"/>
      <c r="BI104"/>
      <c r="BJ104"/>
    </row>
    <row r="105" spans="1:79" x14ac:dyDescent="0.3">
      <c r="A105" s="51">
        <v>3</v>
      </c>
      <c r="B105" s="15" t="str">
        <f>B104</f>
        <v>وحدة سفلية دلفة /دلفتين + درج</v>
      </c>
      <c r="C105" s="6">
        <f>C104+1</f>
        <v>2</v>
      </c>
      <c r="D105" s="6" t="str">
        <f ca="1">H100</f>
        <v>HPL</v>
      </c>
      <c r="E105" s="6" t="s">
        <v>11</v>
      </c>
      <c r="F105" s="6">
        <f ca="1">I99</f>
        <v>78</v>
      </c>
      <c r="G105" s="6">
        <f ca="1">J99</f>
        <v>56</v>
      </c>
      <c r="H105" s="6">
        <f>2*C97</f>
        <v>2</v>
      </c>
      <c r="I105" s="6">
        <f ca="1">HLOOKUP(D105, materials[], 2,FALSE)</f>
        <v>2</v>
      </c>
      <c r="J105" s="6"/>
      <c r="K105" s="6" t="b">
        <v>1</v>
      </c>
      <c r="BB105"/>
      <c r="BC105"/>
      <c r="BD105"/>
      <c r="BE105"/>
      <c r="BF105"/>
      <c r="BG105"/>
      <c r="BH105"/>
      <c r="BI105"/>
      <c r="BJ105"/>
    </row>
    <row r="106" spans="1:79" x14ac:dyDescent="0.3">
      <c r="A106" s="51">
        <v>3</v>
      </c>
      <c r="B106" s="15" t="str">
        <f>B104</f>
        <v>وحدة سفلية دلفة /دلفتين + درج</v>
      </c>
      <c r="C106" s="6">
        <f t="shared" ref="C106:C111" si="6">C105+1</f>
        <v>3</v>
      </c>
      <c r="D106" s="6" t="str">
        <f ca="1">H100</f>
        <v>HPL</v>
      </c>
      <c r="E106" s="6" t="s">
        <v>13</v>
      </c>
      <c r="F106" s="6">
        <f>H99-3.6</f>
        <v>56.4</v>
      </c>
      <c r="G106" s="6">
        <f>10</f>
        <v>10</v>
      </c>
      <c r="H106" s="6">
        <f>1*C97</f>
        <v>1</v>
      </c>
      <c r="I106" s="6">
        <f ca="1">HLOOKUP(D106, materials[], 2,FALSE)</f>
        <v>2</v>
      </c>
      <c r="J106" s="6"/>
      <c r="K106" s="6" t="b">
        <v>1</v>
      </c>
      <c r="BB106"/>
      <c r="BC106"/>
      <c r="BD106"/>
      <c r="BE106"/>
      <c r="BF106"/>
      <c r="BG106"/>
      <c r="BH106"/>
      <c r="BI106"/>
      <c r="BJ106"/>
    </row>
    <row r="107" spans="1:79" x14ac:dyDescent="0.3">
      <c r="A107" s="51">
        <v>3</v>
      </c>
      <c r="B107" s="15" t="str">
        <f>B104</f>
        <v>وحدة سفلية دلفة /دلفتين + درج</v>
      </c>
      <c r="C107" s="6">
        <f t="shared" si="6"/>
        <v>4</v>
      </c>
      <c r="D107" s="6" t="str">
        <f ca="1">H100</f>
        <v>HPL</v>
      </c>
      <c r="E107" s="6" t="s">
        <v>14</v>
      </c>
      <c r="F107" s="6">
        <f>H99-3.6</f>
        <v>56.4</v>
      </c>
      <c r="G107" s="6">
        <f>7</f>
        <v>7</v>
      </c>
      <c r="H107" s="6">
        <f>1*C97</f>
        <v>1</v>
      </c>
      <c r="I107" s="6">
        <f ca="1">HLOOKUP(D107, materials[], 2,FALSE)</f>
        <v>2</v>
      </c>
      <c r="J107" s="6"/>
      <c r="K107" s="6" t="b">
        <v>1</v>
      </c>
      <c r="BB107"/>
      <c r="BC107"/>
      <c r="BD107"/>
      <c r="BE107"/>
      <c r="BF107"/>
      <c r="BG107"/>
      <c r="BH107"/>
      <c r="BI107"/>
      <c r="BJ107"/>
    </row>
    <row r="108" spans="1:79" x14ac:dyDescent="0.3">
      <c r="A108" s="51">
        <v>3</v>
      </c>
      <c r="B108" s="15" t="str">
        <f>B104</f>
        <v>وحدة سفلية دلفة /دلفتين + درج</v>
      </c>
      <c r="C108" s="6">
        <f t="shared" si="6"/>
        <v>5</v>
      </c>
      <c r="D108" s="6" t="str">
        <f ca="1">H100</f>
        <v>HPL</v>
      </c>
      <c r="E108" s="6" t="s">
        <v>17</v>
      </c>
      <c r="F108" s="6">
        <f>H99-3.8</f>
        <v>56.2</v>
      </c>
      <c r="G108" s="6">
        <f ca="1">J99-6</f>
        <v>50</v>
      </c>
      <c r="H108" s="6">
        <f>D99*C97</f>
        <v>1</v>
      </c>
      <c r="I108" s="6">
        <f ca="1">HLOOKUP(D108, materials[], 2,FALSE)</f>
        <v>2</v>
      </c>
      <c r="J108" s="6"/>
      <c r="K108" s="6" t="b">
        <v>1</v>
      </c>
      <c r="BB108"/>
      <c r="BC108"/>
      <c r="BD108"/>
      <c r="BE108"/>
      <c r="BF108"/>
      <c r="BG108"/>
      <c r="BH108"/>
      <c r="BI108"/>
      <c r="BJ108"/>
    </row>
    <row r="109" spans="1:79" x14ac:dyDescent="0.3">
      <c r="A109" s="51">
        <v>3</v>
      </c>
      <c r="B109" s="15" t="str">
        <f>B105</f>
        <v>وحدة سفلية دلفة /دلفتين + درج</v>
      </c>
      <c r="C109" s="10">
        <f t="shared" si="6"/>
        <v>6</v>
      </c>
      <c r="D109" s="10" t="str">
        <f ca="1">H100</f>
        <v>HPL</v>
      </c>
      <c r="E109" s="10" t="s">
        <v>21</v>
      </c>
      <c r="F109" s="10">
        <f>H99-3.6-3.6-2.5</f>
        <v>50.3</v>
      </c>
      <c r="G109" s="10">
        <v>10</v>
      </c>
      <c r="H109" s="10">
        <f>F99*C97</f>
        <v>1</v>
      </c>
      <c r="I109" s="10">
        <f ca="1">HLOOKUP(D109, materials[], 2,FALSE)</f>
        <v>2</v>
      </c>
      <c r="J109" s="10"/>
      <c r="K109" s="10" t="b">
        <v>1</v>
      </c>
      <c r="BB109"/>
      <c r="BC109"/>
      <c r="BD109"/>
      <c r="BE109"/>
      <c r="BF109"/>
      <c r="BG109"/>
      <c r="BH109"/>
      <c r="BI109"/>
      <c r="BJ109"/>
    </row>
    <row r="110" spans="1:79" x14ac:dyDescent="0.3">
      <c r="A110" s="51">
        <v>3</v>
      </c>
      <c r="B110" s="15" t="str">
        <f>B106</f>
        <v>وحدة سفلية دلفة /دلفتين + درج</v>
      </c>
      <c r="C110" s="10">
        <f t="shared" si="6"/>
        <v>7</v>
      </c>
      <c r="D110" s="10" t="str">
        <f ca="1">H100</f>
        <v>HPL</v>
      </c>
      <c r="E110" s="10" t="s">
        <v>153</v>
      </c>
      <c r="F110" s="10">
        <f ca="1">G99</f>
        <v>45</v>
      </c>
      <c r="G110" s="10">
        <v>10</v>
      </c>
      <c r="H110" s="10">
        <f>2*C97*F99</f>
        <v>2</v>
      </c>
      <c r="I110" s="10">
        <f ca="1">HLOOKUP(D110, materials[], 2,FALSE)</f>
        <v>2</v>
      </c>
      <c r="J110" s="10"/>
      <c r="K110" s="10" t="b">
        <v>1</v>
      </c>
      <c r="BB110"/>
      <c r="BC110"/>
      <c r="BD110"/>
      <c r="BE110"/>
      <c r="BF110"/>
      <c r="BG110"/>
      <c r="BH110"/>
      <c r="BI110"/>
      <c r="BJ110"/>
    </row>
    <row r="111" spans="1:79" x14ac:dyDescent="0.3">
      <c r="A111" s="51">
        <v>3</v>
      </c>
      <c r="B111" s="15" t="str">
        <f>B107</f>
        <v>وحدة سفلية دلفة /دلفتين + درج</v>
      </c>
      <c r="C111" s="10">
        <f t="shared" si="6"/>
        <v>8</v>
      </c>
      <c r="D111" s="10" t="str">
        <f ca="1">H100</f>
        <v>HPL</v>
      </c>
      <c r="E111" s="10" t="s">
        <v>154</v>
      </c>
      <c r="F111" s="10">
        <f>H99-3.6-3.6-2.5</f>
        <v>50.3</v>
      </c>
      <c r="G111" s="10">
        <f>10-3</f>
        <v>7</v>
      </c>
      <c r="H111" s="10">
        <f>F99*C97</f>
        <v>1</v>
      </c>
      <c r="I111" s="10">
        <f ca="1">HLOOKUP(D111, materials[], 2,FALSE)</f>
        <v>2</v>
      </c>
      <c r="J111" s="10"/>
      <c r="K111" s="10" t="b">
        <v>1</v>
      </c>
      <c r="BB111"/>
      <c r="BC111"/>
      <c r="BD111"/>
      <c r="BE111"/>
      <c r="BF111"/>
      <c r="BG111"/>
      <c r="BH111"/>
      <c r="BI111"/>
      <c r="BJ111"/>
    </row>
    <row r="112" spans="1:79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BB112"/>
      <c r="BC112"/>
      <c r="BD112"/>
      <c r="BE112"/>
      <c r="BF112"/>
      <c r="BG112"/>
      <c r="BH112"/>
      <c r="BI112"/>
      <c r="BJ112"/>
    </row>
    <row r="113" spans="1:62" x14ac:dyDescent="0.3">
      <c r="A113" s="51">
        <v>4</v>
      </c>
      <c r="B113" s="15" t="str">
        <f>B104</f>
        <v>وحدة سفلية دلفة /دلفتين + درج</v>
      </c>
      <c r="C113" s="9">
        <f>C111+1</f>
        <v>9</v>
      </c>
      <c r="D113" s="9" t="str">
        <f ca="1">F100</f>
        <v>يوفيلاك</v>
      </c>
      <c r="E113" s="9" t="s">
        <v>15</v>
      </c>
      <c r="F113" s="9">
        <f ca="1">I99-0.5-E99-G114</f>
        <v>59</v>
      </c>
      <c r="G113" s="9">
        <f>(H99/C99)-0.5</f>
        <v>29.5</v>
      </c>
      <c r="H113" s="9">
        <f>C99*C97</f>
        <v>2</v>
      </c>
      <c r="I113" s="9">
        <f ca="1">HLOOKUP(D113, materials[], 2,FALSE)</f>
        <v>6</v>
      </c>
      <c r="J113" s="9"/>
      <c r="K113" s="9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51">
        <v>4</v>
      </c>
      <c r="B114" s="15" t="str">
        <f>B104</f>
        <v>وحدة سفلية دلفة /دلفتين + درج</v>
      </c>
      <c r="C114" s="9">
        <f>C113+1</f>
        <v>10</v>
      </c>
      <c r="D114" s="9" t="str">
        <f ca="1">F100</f>
        <v>يوفيلاك</v>
      </c>
      <c r="E114" s="9" t="s">
        <v>165</v>
      </c>
      <c r="F114" s="9">
        <f>H99-0.5</f>
        <v>59.5</v>
      </c>
      <c r="G114" s="9">
        <f ca="1">I99-E99-59.5</f>
        <v>15</v>
      </c>
      <c r="H114" s="9">
        <f>F99*C97</f>
        <v>1</v>
      </c>
      <c r="I114" s="9">
        <f ca="1">HLOOKUP(D114, materials[], 2,FALSE)</f>
        <v>6</v>
      </c>
      <c r="J114" s="9"/>
      <c r="K114" s="9" t="b">
        <v>1</v>
      </c>
      <c r="BB114"/>
      <c r="BC114"/>
      <c r="BD114"/>
      <c r="BE114"/>
      <c r="BF114"/>
      <c r="BG114"/>
      <c r="BH114"/>
      <c r="BI114"/>
      <c r="BJ114"/>
    </row>
    <row r="115" spans="1:62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BB115"/>
      <c r="BC115"/>
      <c r="BD115"/>
      <c r="BE115"/>
      <c r="BF115"/>
      <c r="BG115"/>
      <c r="BH115"/>
      <c r="BI115"/>
      <c r="BJ115"/>
    </row>
    <row r="116" spans="1:62" x14ac:dyDescent="0.3">
      <c r="A116" s="51">
        <v>5</v>
      </c>
      <c r="B116" s="15" t="str">
        <f>B104</f>
        <v>وحدة سفلية دلفة /دلفتين + درج</v>
      </c>
      <c r="C116" s="19">
        <f>C113+1</f>
        <v>10</v>
      </c>
      <c r="D116" s="19" t="str">
        <f ca="1">D100</f>
        <v>ظهر</v>
      </c>
      <c r="E116" s="19" t="s">
        <v>58</v>
      </c>
      <c r="F116" s="19">
        <f ca="1">I99-2</f>
        <v>76</v>
      </c>
      <c r="G116" s="19">
        <f>H99-2</f>
        <v>58</v>
      </c>
      <c r="H116" s="19">
        <f>1*C97</f>
        <v>1</v>
      </c>
      <c r="I116" s="19">
        <f ca="1">HLOOKUP(D116, materials[], 2,FALSE)</f>
        <v>2</v>
      </c>
      <c r="J116" s="19"/>
      <c r="K116" s="19" t="b">
        <v>1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51">
        <v>5</v>
      </c>
      <c r="B117" s="15" t="str">
        <f>B104</f>
        <v>وحدة سفلية دلفة /دلفتين + درج</v>
      </c>
      <c r="C117" s="19">
        <f>C116+1</f>
        <v>11</v>
      </c>
      <c r="D117" s="19" t="str">
        <f ca="1">D100</f>
        <v>ظهر</v>
      </c>
      <c r="E117" s="19" t="s">
        <v>164</v>
      </c>
      <c r="F117" s="19">
        <f>H99-3.6-3.6-2.5+2</f>
        <v>52.3</v>
      </c>
      <c r="G117" s="19">
        <f ca="1">G99-1</f>
        <v>44</v>
      </c>
      <c r="H117" s="19">
        <f>1*C97</f>
        <v>1</v>
      </c>
      <c r="I117" s="19">
        <f ca="1">HLOOKUP(D117, materials[], 2,FALSE)</f>
        <v>2</v>
      </c>
      <c r="J117" s="19"/>
      <c r="K117" s="19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51">
        <v>255</v>
      </c>
      <c r="BB118"/>
      <c r="BC118"/>
      <c r="BD118"/>
      <c r="BE118"/>
      <c r="BF118"/>
      <c r="BG118"/>
      <c r="BH118"/>
      <c r="BI118"/>
      <c r="BJ118"/>
    </row>
    <row r="119" spans="1:62" x14ac:dyDescent="0.3">
      <c r="A119" s="51">
        <v>255</v>
      </c>
      <c r="BB119"/>
      <c r="BC119"/>
      <c r="BD119"/>
      <c r="BE119"/>
      <c r="BF119"/>
      <c r="BG119"/>
      <c r="BH119"/>
      <c r="BI119"/>
      <c r="BJ119"/>
    </row>
    <row r="120" spans="1:62" ht="36" x14ac:dyDescent="0.3">
      <c r="A120" s="54" t="s">
        <v>158</v>
      </c>
      <c r="C120" s="14">
        <v>1</v>
      </c>
      <c r="D120" s="22" t="s">
        <v>59</v>
      </c>
      <c r="E120" s="101" t="s">
        <v>184</v>
      </c>
      <c r="F120" s="102"/>
      <c r="G120" s="102"/>
      <c r="H120" s="103"/>
      <c r="I120" s="2" t="s">
        <v>30</v>
      </c>
      <c r="J120" s="2">
        <f>letterToNumber(A120)</f>
        <v>6</v>
      </c>
      <c r="K120" s="27">
        <f ca="1">_xlfn.SHEET("وحدات سفلية")</f>
        <v>4</v>
      </c>
      <c r="BB120"/>
      <c r="BC120"/>
      <c r="BD120"/>
      <c r="BE120"/>
      <c r="BF120"/>
      <c r="BG120"/>
      <c r="BH120"/>
      <c r="BI120"/>
      <c r="BJ120"/>
    </row>
    <row r="121" spans="1:62" ht="21" x14ac:dyDescent="0.3">
      <c r="A121" s="51">
        <v>1</v>
      </c>
      <c r="C121" s="8"/>
      <c r="D121" s="7"/>
      <c r="E121" s="27" t="str" cm="1">
        <f t="array" aca="1" ref="E121" ca="1">defaultValue(F121,K120)</f>
        <v>ظهر</v>
      </c>
      <c r="F121" s="7" t="s">
        <v>58</v>
      </c>
      <c r="G121" s="27" t="str" cm="1">
        <f t="array" aca="1" ref="G121" ca="1">defaultValue(H121,K120)</f>
        <v>يوفيلاك</v>
      </c>
      <c r="H121" s="7" t="s">
        <v>32</v>
      </c>
      <c r="I121" s="27" t="str" cm="1">
        <f t="array" aca="1" ref="I121" ca="1">defaultValue(J121,K120)</f>
        <v>HPL</v>
      </c>
      <c r="J121" s="7" t="s">
        <v>31</v>
      </c>
      <c r="K121" s="25" t="s">
        <v>111</v>
      </c>
      <c r="BB121"/>
      <c r="BC121"/>
      <c r="BD121"/>
      <c r="BE121"/>
      <c r="BF121"/>
      <c r="BG121"/>
      <c r="BH121"/>
      <c r="BI121"/>
      <c r="BJ121"/>
    </row>
    <row r="122" spans="1:62" ht="31.2" x14ac:dyDescent="0.3">
      <c r="A122" s="51">
        <v>1</v>
      </c>
      <c r="C122" s="7" t="s">
        <v>12</v>
      </c>
      <c r="D122" s="7" t="s">
        <v>18</v>
      </c>
      <c r="E122" s="93"/>
      <c r="F122" s="93" t="s">
        <v>114</v>
      </c>
      <c r="G122" s="7" t="s">
        <v>16</v>
      </c>
      <c r="H122" s="7" t="s">
        <v>22</v>
      </c>
      <c r="I122" s="7" t="s">
        <v>3</v>
      </c>
      <c r="J122" s="7" t="s">
        <v>113</v>
      </c>
      <c r="K122" s="7"/>
      <c r="BB122"/>
      <c r="BC122"/>
      <c r="BD122"/>
      <c r="BE122"/>
      <c r="BF122"/>
      <c r="BG122"/>
      <c r="BH122"/>
      <c r="BI122"/>
      <c r="BJ122"/>
    </row>
    <row r="123" spans="1:62" x14ac:dyDescent="0.3">
      <c r="A123" s="51">
        <v>1</v>
      </c>
      <c r="C123" s="27">
        <v>1</v>
      </c>
      <c r="D123" s="27">
        <v>5</v>
      </c>
      <c r="E123" s="46"/>
      <c r="F123" s="27" t="b" cm="1">
        <f t="array" aca="1" ref="F123" ca="1">defaultValue(F122,K120)</f>
        <v>1</v>
      </c>
      <c r="G123" s="27" cm="1">
        <f t="array" aca="1" ref="G123" ca="1">defaultValue(G122,K120)</f>
        <v>3.5</v>
      </c>
      <c r="H123" s="8"/>
      <c r="I123" s="27" cm="1">
        <f t="array" aca="1" ref="I123" ca="1">defaultValue(I122,K120)</f>
        <v>78</v>
      </c>
      <c r="J123" s="27" cm="1">
        <f t="array" aca="1" ref="J123" ca="1">defaultValue(J122,K120)</f>
        <v>56</v>
      </c>
      <c r="K123" s="7"/>
      <c r="BB123"/>
      <c r="BC123"/>
      <c r="BD123"/>
      <c r="BE123"/>
      <c r="BF123"/>
      <c r="BG123"/>
      <c r="BH123"/>
      <c r="BI123"/>
      <c r="BJ123"/>
    </row>
    <row r="124" spans="1:62" x14ac:dyDescent="0.3">
      <c r="A124" s="51">
        <v>0</v>
      </c>
      <c r="BB124"/>
      <c r="BC124"/>
      <c r="BD124"/>
      <c r="BE124"/>
      <c r="BF124"/>
      <c r="BG124"/>
      <c r="BH124"/>
      <c r="BI124"/>
      <c r="BJ124"/>
    </row>
    <row r="125" spans="1:62" x14ac:dyDescent="0.3">
      <c r="A125" s="51">
        <v>2</v>
      </c>
      <c r="C125" s="6" t="s">
        <v>4</v>
      </c>
      <c r="D125" s="6" t="s">
        <v>9</v>
      </c>
      <c r="E125" s="6" t="s">
        <v>5</v>
      </c>
      <c r="F125" s="6" t="s">
        <v>7</v>
      </c>
      <c r="G125" s="6" t="s">
        <v>1</v>
      </c>
      <c r="H125" s="6" t="s">
        <v>6</v>
      </c>
      <c r="I125" s="6" t="s">
        <v>33</v>
      </c>
      <c r="J125" s="6" t="s">
        <v>8</v>
      </c>
      <c r="K125" s="6" t="s">
        <v>185</v>
      </c>
      <c r="BB125"/>
      <c r="BC125"/>
      <c r="BD125"/>
      <c r="BE125"/>
      <c r="BF125"/>
      <c r="BG125"/>
      <c r="BH125"/>
      <c r="BI125"/>
      <c r="BJ125"/>
    </row>
    <row r="126" spans="1:62" x14ac:dyDescent="0.3">
      <c r="A126" s="51">
        <v>0</v>
      </c>
      <c r="C126" s="1"/>
      <c r="D126" s="1"/>
      <c r="E126" s="1"/>
      <c r="F126" s="1"/>
      <c r="G126" s="1"/>
      <c r="H126" s="1"/>
      <c r="I126" s="1"/>
      <c r="J126" s="1"/>
      <c r="BB126"/>
      <c r="BC126"/>
      <c r="BD126"/>
      <c r="BE126"/>
      <c r="BF126"/>
      <c r="BG126"/>
      <c r="BH126"/>
      <c r="BI126"/>
      <c r="BJ126"/>
    </row>
    <row r="127" spans="1:62" x14ac:dyDescent="0.3">
      <c r="A127" s="51">
        <v>3</v>
      </c>
      <c r="B127" s="15" t="str" cm="1">
        <f t="array" ref="B127">visible(E120, K127)</f>
        <v>وحدة سفلية دلفة/ دلفتين</v>
      </c>
      <c r="C127" s="6" cm="1">
        <f t="array" ref="C127">visible((1),K127)</f>
        <v>1</v>
      </c>
      <c r="D127" s="6" t="e" cm="1">
        <f t="array" ref="D127">visible((I121),K127)</f>
        <v>#VALUE!</v>
      </c>
      <c r="E127" s="6" t="str" cm="1">
        <f t="array" ref="E127">visible(("قاعدة"),K127)</f>
        <v>قاعدة</v>
      </c>
      <c r="F127" s="6" cm="1">
        <f t="array" ref="F127">visible((H123 -3.6),K127)</f>
        <v>-3.6</v>
      </c>
      <c r="G127" s="6" t="e" cm="1">
        <f t="array" ref="G127">visible((J123),K127)</f>
        <v>#VALUE!</v>
      </c>
      <c r="H127" s="6" cm="1">
        <f t="array" ref="H127">visible((C120),K127)</f>
        <v>1</v>
      </c>
      <c r="I127" s="6" t="e" cm="1">
        <f t="array" ref="I127">visible(materialNum(D127),K127)</f>
        <v>#VALUE!</v>
      </c>
      <c r="J127" s="6" t="str" cm="1">
        <f t="array" ref="J127">visible((""),M127)</f>
        <v/>
      </c>
      <c r="K127" s="6" t="b">
        <v>1</v>
      </c>
      <c r="BB127"/>
      <c r="BC127"/>
      <c r="BD127"/>
      <c r="BE127"/>
      <c r="BF127"/>
      <c r="BG127"/>
      <c r="BH127"/>
      <c r="BI127"/>
      <c r="BJ127"/>
    </row>
    <row r="128" spans="1:62" x14ac:dyDescent="0.3">
      <c r="A128" s="51">
        <v>3</v>
      </c>
      <c r="B128" s="15" t="str" cm="1">
        <f t="array" ref="B128">visible(E120, K128)</f>
        <v>وحدة سفلية دلفة/ دلفتين</v>
      </c>
      <c r="C128" s="6" cm="1">
        <f t="array" ref="C128">visible(2,K128)</f>
        <v>2</v>
      </c>
      <c r="D128" s="6" t="e" cm="1">
        <f t="array" ref="D128">visible((I121),K128)</f>
        <v>#VALUE!</v>
      </c>
      <c r="E128" s="6" t="str" cm="1">
        <f t="array" ref="E128">visible(("أجناب"),K128)</f>
        <v>أجناب</v>
      </c>
      <c r="F128" s="6" t="e" cm="1">
        <f t="array" ref="F128">visible((I123),K128)</f>
        <v>#VALUE!</v>
      </c>
      <c r="G128" s="6" t="e" cm="1">
        <f t="array" ref="G128">visible((J123),K128)</f>
        <v>#VALUE!</v>
      </c>
      <c r="H128" s="6" cm="1">
        <f t="array" ref="H128">visible((2 *C120),K128)</f>
        <v>2</v>
      </c>
      <c r="I128" s="6" t="e" cm="1">
        <f t="array" ref="I128">visible(materialNum(D128),K128)</f>
        <v>#VALUE!</v>
      </c>
      <c r="J128" s="6" t="str" cm="1">
        <f t="array" ref="J128">visible((""),M128)</f>
        <v/>
      </c>
      <c r="K128" s="6" t="b">
        <v>1</v>
      </c>
      <c r="BB128"/>
      <c r="BC128"/>
      <c r="BD128"/>
      <c r="BE128"/>
      <c r="BF128"/>
      <c r="BG128"/>
      <c r="BH128"/>
      <c r="BI128"/>
      <c r="BJ128"/>
    </row>
    <row r="129" spans="1:62" x14ac:dyDescent="0.3">
      <c r="A129" s="51">
        <v>3</v>
      </c>
      <c r="B129" s="15" t="str" cm="1">
        <f t="array" ref="B129">visible(E120, K129)</f>
        <v>وحدة سفلية دلفة/ دلفتين</v>
      </c>
      <c r="C129" s="6" cm="1">
        <f t="array" ref="C129">visible(3,K129)</f>
        <v>3</v>
      </c>
      <c r="D129" s="6" t="e" cm="1">
        <f t="array" ref="D129">visible((I121),K129)</f>
        <v>#VALUE!</v>
      </c>
      <c r="E129" s="6" t="str" cm="1">
        <f t="array" ref="E129">visible(("مرايا علوية 1"),K129)</f>
        <v>مرايا علوية 1</v>
      </c>
      <c r="F129" s="6" cm="1">
        <f t="array" ref="F129">visible((H123-3.6),K129)</f>
        <v>-3.6</v>
      </c>
      <c r="G129" s="6" cm="1">
        <f t="array" ref="G129">visible((10),K129)</f>
        <v>10</v>
      </c>
      <c r="H129" s="6" cm="1">
        <f t="array" ref="H129">visible((C120),K129)</f>
        <v>1</v>
      </c>
      <c r="I129" s="6" t="e" cm="1">
        <f t="array" ref="I129">visible(materialNum(D129),K129)</f>
        <v>#VALUE!</v>
      </c>
      <c r="J129" s="6" t="str" cm="1">
        <f t="array" ref="J129">visible((""),M129)</f>
        <v/>
      </c>
      <c r="K129" s="6" t="b">
        <v>1</v>
      </c>
      <c r="BB129"/>
      <c r="BC129"/>
      <c r="BD129"/>
      <c r="BE129"/>
      <c r="BF129"/>
      <c r="BG129"/>
      <c r="BH129"/>
      <c r="BI129"/>
      <c r="BJ129"/>
    </row>
    <row r="130" spans="1:62" x14ac:dyDescent="0.3">
      <c r="A130" s="51">
        <v>3</v>
      </c>
      <c r="B130" s="15" t="str" cm="1">
        <f t="array" ref="B130">visible(E120, K130)</f>
        <v>وحدة سفلية دلفة/ دلفتين</v>
      </c>
      <c r="C130" s="6" cm="1">
        <f t="array" ref="C130">visible(4,K130)</f>
        <v>4</v>
      </c>
      <c r="D130" s="6" t="e" cm="1">
        <f t="array" ref="D130">visible((I121),K130)</f>
        <v>#VALUE!</v>
      </c>
      <c r="E130" s="6" t="str" cm="1">
        <f t="array" ref="E130">visible(("مرايا علوية 2"),K130)</f>
        <v>مرايا علوية 2</v>
      </c>
      <c r="F130" s="6" cm="1">
        <f t="array" ref="F130">visible((H123-3.6),K130)</f>
        <v>-3.6</v>
      </c>
      <c r="G130" s="6" cm="1">
        <f t="array" ref="G130">visible((7),K130)</f>
        <v>7</v>
      </c>
      <c r="H130" s="6" cm="1">
        <f t="array" ref="H130">visible((C120),K130)</f>
        <v>1</v>
      </c>
      <c r="I130" s="6" t="e" cm="1">
        <f t="array" ref="I130">visible(materialNum(D130),K130)</f>
        <v>#VALUE!</v>
      </c>
      <c r="J130" s="6" t="str" cm="1">
        <f t="array" ref="J130">visible((""),M130)</f>
        <v/>
      </c>
      <c r="K130" s="6" t="b">
        <v>1</v>
      </c>
      <c r="BB130"/>
      <c r="BC130"/>
      <c r="BD130"/>
      <c r="BE130"/>
      <c r="BF130"/>
      <c r="BG130"/>
      <c r="BH130"/>
      <c r="BI130"/>
      <c r="BJ130"/>
    </row>
    <row r="131" spans="1:62" x14ac:dyDescent="0.3">
      <c r="A131" s="51">
        <v>3</v>
      </c>
      <c r="B131" s="15" t="str" cm="1">
        <f t="array" ref="B131">visible(E120, K131)</f>
        <v>وحدة سفلية دلفة/ دلفتين</v>
      </c>
      <c r="C131" s="6" cm="1">
        <f t="array" ref="C131">visible(5,K131)</f>
        <v>5</v>
      </c>
      <c r="D131" s="6" t="e" cm="1">
        <f t="array" ref="D131">visible((I121),K131)</f>
        <v>#VALUE!</v>
      </c>
      <c r="E131" s="6" t="str" cm="1">
        <f t="array" ref="E131">visible(("رف"),K131)</f>
        <v>رف</v>
      </c>
      <c r="F131" s="6" cm="1">
        <f t="array" ref="F131">visible((H124-3.8),K131)</f>
        <v>-3.8</v>
      </c>
      <c r="G131" s="6" cm="1">
        <f t="array" aca="1" ref="G131" ca="1">visible((J123-6),K131)</f>
        <v>50</v>
      </c>
      <c r="H131" s="6" cm="1">
        <f t="array" ref="H131">visible((D123*C120),K131)</f>
        <v>5</v>
      </c>
      <c r="I131" s="6" t="e" cm="1">
        <f t="array" ref="I131">visible(materialNum(D131),K131)</f>
        <v>#VALUE!</v>
      </c>
      <c r="J131" s="6" t="str" cm="1">
        <f t="array" ref="J131">visible((""),M131)</f>
        <v/>
      </c>
      <c r="K131" s="6" t="b">
        <v>1</v>
      </c>
      <c r="BB131"/>
      <c r="BC131"/>
      <c r="BD131"/>
      <c r="BE131"/>
      <c r="BF131"/>
      <c r="BG131"/>
      <c r="BH131"/>
      <c r="BI131"/>
      <c r="BJ131"/>
    </row>
    <row r="132" spans="1:62" x14ac:dyDescent="0.3">
      <c r="A132" s="51">
        <v>0</v>
      </c>
      <c r="BB132"/>
      <c r="BC132"/>
      <c r="BD132"/>
      <c r="BE132"/>
      <c r="BF132"/>
      <c r="BG132"/>
      <c r="BH132"/>
      <c r="BI132"/>
      <c r="BJ132"/>
    </row>
    <row r="133" spans="1:62" x14ac:dyDescent="0.3">
      <c r="A133" s="51">
        <v>4</v>
      </c>
      <c r="B133" s="15" t="str" cm="1">
        <f t="array" ref="B133">visible(E120, K133)</f>
        <v>وحدة سفلية دلفة/ دلفتين</v>
      </c>
      <c r="C133" s="9" cm="1">
        <f t="array" ref="C133">visible(6,K133)</f>
        <v>6</v>
      </c>
      <c r="D133" s="9" t="e" cm="1">
        <f t="array" ref="D133">visible((G121),K133)</f>
        <v>#VALUE!</v>
      </c>
      <c r="E133" s="9" t="str" cm="1">
        <f t="array" ref="E133">visible(("دلف"),K133)</f>
        <v>دلف</v>
      </c>
      <c r="F133" s="9" cm="1">
        <f t="array" aca="1" ref="F133" ca="1">visible((I123-0.5-G123),K133)</f>
        <v>74</v>
      </c>
      <c r="G133" s="9" cm="1">
        <f t="array" ref="G133">visible(((H123/C123)-0.5),K133)</f>
        <v>-0.5</v>
      </c>
      <c r="H133" s="9" cm="1">
        <f t="array" ref="H133">visible((C123*C120),K133)</f>
        <v>1</v>
      </c>
      <c r="I133" s="9" t="e" cm="1">
        <f t="array" ref="I133">visible(materialNum(D133),K133)</f>
        <v>#VALUE!</v>
      </c>
      <c r="J133" s="9" t="str" cm="1">
        <f t="array" ref="J133">visible((""),M133)</f>
        <v/>
      </c>
      <c r="K133" s="9" t="b">
        <v>1</v>
      </c>
      <c r="BB133"/>
      <c r="BC133"/>
      <c r="BD133"/>
      <c r="BE133"/>
      <c r="BF133"/>
      <c r="BG133"/>
      <c r="BH133"/>
      <c r="BI133"/>
      <c r="BJ133"/>
    </row>
    <row r="134" spans="1:62" x14ac:dyDescent="0.3">
      <c r="A134" s="51">
        <v>0</v>
      </c>
      <c r="C134" s="1"/>
      <c r="D134" s="1"/>
      <c r="E134" s="1"/>
      <c r="F134" s="1"/>
      <c r="G134" s="1"/>
      <c r="H134" s="1"/>
      <c r="I134" s="1"/>
      <c r="J134" s="1"/>
      <c r="BB134"/>
      <c r="BC134"/>
      <c r="BD134"/>
      <c r="BE134"/>
      <c r="BF134"/>
      <c r="BG134"/>
      <c r="BH134"/>
      <c r="BI134"/>
      <c r="BJ134"/>
    </row>
    <row r="135" spans="1:62" x14ac:dyDescent="0.3">
      <c r="A135" s="51">
        <v>5</v>
      </c>
      <c r="B135" s="15" t="str" cm="1">
        <f t="array" aca="1" ref="B135" ca="1">visible(E120, K135)</f>
        <v>وحدة سفلية دلفة/ دلفتين</v>
      </c>
      <c r="C135" s="19" cm="1">
        <f t="array" aca="1" ref="C135" ca="1">visible(7,K135)</f>
        <v>7</v>
      </c>
      <c r="D135" s="19" t="str" cm="1">
        <f t="array" aca="1" ref="D135" ca="1">visible((E121),K135)</f>
        <v>ظهر</v>
      </c>
      <c r="E135" s="19" t="str" cm="1">
        <f t="array" aca="1" ref="E135" ca="1">visible(("ظهر"),K135)</f>
        <v>ظهر</v>
      </c>
      <c r="F135" s="19" cm="1">
        <f t="array" aca="1" ref="F135" ca="1">visible((I123-2),K135)</f>
        <v>76</v>
      </c>
      <c r="G135" s="19" cm="1">
        <f t="array" aca="1" ref="G135" ca="1">visible((H123-2),K135)</f>
        <v>-2</v>
      </c>
      <c r="H135" s="19" cm="1">
        <f t="array" aca="1" ref="H135" ca="1">visible((C120),K135)</f>
        <v>1</v>
      </c>
      <c r="I135" s="19" cm="1">
        <f t="array" aca="1" ref="I135" ca="1">visible(materialNum(D135),K135)</f>
        <v>2</v>
      </c>
      <c r="J135" s="19" t="str" cm="1">
        <f t="array" ref="J135">visible((""),M135)</f>
        <v/>
      </c>
      <c r="K135" s="19" t="b">
        <f ca="1">F123</f>
        <v>1</v>
      </c>
      <c r="BB135"/>
      <c r="BC135"/>
      <c r="BD135"/>
      <c r="BE135"/>
      <c r="BF135"/>
      <c r="BG135"/>
      <c r="BH135"/>
      <c r="BI135"/>
      <c r="BJ135"/>
    </row>
    <row r="136" spans="1:62" x14ac:dyDescent="0.3">
      <c r="A136" s="51">
        <v>255</v>
      </c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62" x14ac:dyDescent="0.3">
      <c r="A137" s="51">
        <v>255</v>
      </c>
      <c r="C137"/>
      <c r="D137"/>
      <c r="E137"/>
      <c r="F137"/>
      <c r="G137"/>
      <c r="H137"/>
      <c r="I137"/>
      <c r="J137"/>
      <c r="K137"/>
      <c r="BB137"/>
      <c r="BC137"/>
      <c r="BD137"/>
      <c r="BE137"/>
      <c r="BF137"/>
      <c r="BG137"/>
      <c r="BH137"/>
      <c r="BI137"/>
      <c r="BJ137"/>
    </row>
    <row r="138" spans="1:62" ht="36" x14ac:dyDescent="0.3">
      <c r="A138" s="54" t="s">
        <v>159</v>
      </c>
      <c r="C138" s="14">
        <v>1</v>
      </c>
      <c r="D138" s="22" t="s">
        <v>59</v>
      </c>
      <c r="E138" s="101" t="s">
        <v>183</v>
      </c>
      <c r="F138" s="102"/>
      <c r="G138" s="102"/>
      <c r="H138" s="103"/>
      <c r="I138" s="2" t="s">
        <v>30</v>
      </c>
      <c r="J138" s="2">
        <f>letterToNumber(A138)</f>
        <v>7</v>
      </c>
      <c r="K138" s="27">
        <f ca="1">_xlfn.SHEET("وحدات سفلية")</f>
        <v>4</v>
      </c>
      <c r="BB138"/>
      <c r="BC138"/>
      <c r="BD138"/>
      <c r="BE138"/>
      <c r="BF138"/>
      <c r="BG138"/>
      <c r="BH138"/>
      <c r="BI138"/>
      <c r="BJ138"/>
    </row>
    <row r="139" spans="1:62" ht="21" x14ac:dyDescent="0.3">
      <c r="A139" s="51">
        <v>1</v>
      </c>
      <c r="C139" s="8" cm="1">
        <f t="array" aca="1" ref="C139" ca="1">defaultValue(D139,K138)</f>
        <v>45</v>
      </c>
      <c r="D139" s="7" t="s">
        <v>19</v>
      </c>
      <c r="E139" s="27" t="str" cm="1">
        <f t="array" aca="1" ref="E139" ca="1">defaultValue(F139,K138)</f>
        <v>ظهر</v>
      </c>
      <c r="F139" s="7" t="s">
        <v>58</v>
      </c>
      <c r="G139" s="27" t="str" cm="1">
        <f t="array" aca="1" ref="G139" ca="1">defaultValue(H139,K138)</f>
        <v>يوفيلاك</v>
      </c>
      <c r="H139" s="7" t="s">
        <v>32</v>
      </c>
      <c r="I139" s="27" t="str" cm="1">
        <f t="array" aca="1" ref="I139" ca="1">defaultValue(J139,K138)</f>
        <v>HPL</v>
      </c>
      <c r="J139" s="7" t="s">
        <v>31</v>
      </c>
      <c r="K139" s="25" t="s">
        <v>111</v>
      </c>
    </row>
    <row r="140" spans="1:62" ht="31.2" x14ac:dyDescent="0.3">
      <c r="A140" s="51">
        <v>1</v>
      </c>
      <c r="C140" s="7" t="s">
        <v>129</v>
      </c>
      <c r="D140" s="7" t="s">
        <v>128</v>
      </c>
      <c r="E140" s="93" t="s">
        <v>127</v>
      </c>
      <c r="F140" s="93" t="s">
        <v>186</v>
      </c>
      <c r="G140" s="7" t="s">
        <v>16</v>
      </c>
      <c r="H140" s="7" t="s">
        <v>22</v>
      </c>
      <c r="I140" s="7" t="s">
        <v>3</v>
      </c>
      <c r="J140" s="7" t="s">
        <v>113</v>
      </c>
      <c r="K140" s="7" t="s">
        <v>114</v>
      </c>
    </row>
    <row r="141" spans="1:62" x14ac:dyDescent="0.3">
      <c r="A141" s="51">
        <v>1</v>
      </c>
      <c r="C141" s="27">
        <v>1</v>
      </c>
      <c r="D141" s="27">
        <v>1</v>
      </c>
      <c r="E141" s="8">
        <v>1</v>
      </c>
      <c r="F141" s="27">
        <v>1</v>
      </c>
      <c r="G141" s="27" cm="1">
        <f t="array" aca="1" ref="G141" ca="1">defaultValue(G140,K138)</f>
        <v>3.5</v>
      </c>
      <c r="H141" s="8">
        <v>80</v>
      </c>
      <c r="I141" s="27" cm="1">
        <f t="array" aca="1" ref="I141" ca="1">defaultValue(I140,K138)</f>
        <v>78</v>
      </c>
      <c r="J141" s="27" cm="1">
        <f t="array" aca="1" ref="J141" ca="1">defaultValue(J140,K138)</f>
        <v>56</v>
      </c>
      <c r="K141" s="27" t="b" cm="1">
        <f t="array" aca="1" ref="K141" ca="1">defaultValue(K140,K138)</f>
        <v>1</v>
      </c>
    </row>
    <row r="142" spans="1:62" x14ac:dyDescent="0.3">
      <c r="A142" s="51">
        <v>1</v>
      </c>
      <c r="C142" s="27">
        <v>30</v>
      </c>
      <c r="D142" s="27">
        <v>20</v>
      </c>
      <c r="E142" s="46">
        <v>7</v>
      </c>
      <c r="F142" s="27">
        <v>10</v>
      </c>
      <c r="G142" s="27">
        <v>3</v>
      </c>
      <c r="H142" s="29" t="s">
        <v>143</v>
      </c>
      <c r="I142" s="27">
        <v>0</v>
      </c>
      <c r="J142" s="104" t="s">
        <v>187</v>
      </c>
      <c r="K142" s="105"/>
    </row>
    <row r="143" spans="1:62" x14ac:dyDescent="0.3">
      <c r="A143" s="51">
        <v>0</v>
      </c>
    </row>
    <row r="144" spans="1:62" x14ac:dyDescent="0.3">
      <c r="A144" s="51">
        <v>2</v>
      </c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  <c r="K144" s="6" t="s">
        <v>185</v>
      </c>
    </row>
    <row r="145" spans="1:11" x14ac:dyDescent="0.3">
      <c r="A145" s="51">
        <v>0</v>
      </c>
      <c r="C145" s="1"/>
      <c r="D145" s="1"/>
      <c r="E145" s="1"/>
      <c r="F145" s="1"/>
      <c r="G145" s="1"/>
      <c r="H145" s="1"/>
      <c r="I145" s="1"/>
      <c r="J145" s="1"/>
    </row>
    <row r="146" spans="1:11" x14ac:dyDescent="0.3">
      <c r="A146" s="51">
        <v>3</v>
      </c>
      <c r="B146" s="15" t="str" cm="1">
        <f t="array" ref="B146">visible(E138, K146)</f>
        <v>وحدة سفلية ادراج</v>
      </c>
      <c r="C146" s="6">
        <f>visible(1,K146)</f>
        <v>1</v>
      </c>
      <c r="D146" s="6" t="e" cm="1">
        <f t="array" ref="D146">visible((I139),K146)</f>
        <v>#VALUE!</v>
      </c>
      <c r="E146" s="6" t="str" cm="1">
        <f t="array" ref="E146">visible(("قاعدة"),K146)</f>
        <v>قاعدة</v>
      </c>
      <c r="F146" s="6" cm="1">
        <f t="array" ref="F146">visible((H141 -3.6),K146)</f>
        <v>76.400000000000006</v>
      </c>
      <c r="G146" s="6" t="e" cm="1">
        <f t="array" ref="G146">visible((J141),K146)</f>
        <v>#VALUE!</v>
      </c>
      <c r="H146" s="6" cm="1">
        <f t="array" ref="H146">visible((C138),K146)</f>
        <v>1</v>
      </c>
      <c r="I146" s="6" t="e" cm="1">
        <f t="array" ref="I146">visible(materialNum(D146),K146)</f>
        <v>#VALUE!</v>
      </c>
      <c r="J146" s="6" t="str" cm="1">
        <f t="array" ref="J146">visible((""),K146)</f>
        <v/>
      </c>
      <c r="K146" s="6" t="b">
        <v>1</v>
      </c>
    </row>
    <row r="147" spans="1:11" x14ac:dyDescent="0.3">
      <c r="A147" s="51">
        <v>3</v>
      </c>
      <c r="B147" s="15" t="str" cm="1">
        <f t="array" ref="B147">visible(E138, K147)</f>
        <v>وحدة سفلية ادراج</v>
      </c>
      <c r="C147" s="6">
        <f>visible(2,K147)</f>
        <v>2</v>
      </c>
      <c r="D147" s="6" t="e" cm="1">
        <f t="array" ref="D147">visible((I139),K147)</f>
        <v>#VALUE!</v>
      </c>
      <c r="E147" s="6" t="str" cm="1">
        <f t="array" ref="E147">visible(("أجناب"),K147)</f>
        <v>أجناب</v>
      </c>
      <c r="F147" s="6" t="e" cm="1">
        <f t="array" ref="F147">visible((I141),K147)</f>
        <v>#VALUE!</v>
      </c>
      <c r="G147" s="6" t="e" cm="1">
        <f t="array" ref="G147">visible((J141),K147)</f>
        <v>#VALUE!</v>
      </c>
      <c r="H147" s="6" cm="1">
        <f t="array" ref="H147">visible((2 *C138),K147)</f>
        <v>2</v>
      </c>
      <c r="I147" s="6" t="e" cm="1">
        <f t="array" ref="I147">visible(materialNum(D147),K147)</f>
        <v>#VALUE!</v>
      </c>
      <c r="J147" s="6" t="str" cm="1">
        <f t="array" ref="J147">visible((""),K147)</f>
        <v/>
      </c>
      <c r="K147" s="6" t="b">
        <v>1</v>
      </c>
    </row>
    <row r="148" spans="1:11" x14ac:dyDescent="0.3">
      <c r="A148" s="51">
        <v>3</v>
      </c>
      <c r="B148" s="15" t="str" cm="1">
        <f t="array" ref="B148">visible(E138, K148)</f>
        <v>وحدة سفلية ادراج</v>
      </c>
      <c r="C148" s="6">
        <f>visible(3,K148)</f>
        <v>3</v>
      </c>
      <c r="D148" s="6" t="e" cm="1">
        <f t="array" ref="D148">visible((I139),K148)</f>
        <v>#VALUE!</v>
      </c>
      <c r="E148" s="6" t="str" cm="1">
        <f t="array" ref="E148">visible(("مرايا علوية 1"),K148)</f>
        <v>مرايا علوية 1</v>
      </c>
      <c r="F148" s="6" cm="1">
        <f t="array" ref="F148">visible((H141-3.6),K148)</f>
        <v>76.400000000000006</v>
      </c>
      <c r="G148" s="6" cm="1">
        <f t="array" ref="G148">visible((10),K148)</f>
        <v>10</v>
      </c>
      <c r="H148" s="6" cm="1">
        <f t="array" ref="H148">visible((C138),K148)</f>
        <v>1</v>
      </c>
      <c r="I148" s="6" t="e" cm="1">
        <f t="array" ref="I148">visible(materialNum(D148),K148)</f>
        <v>#VALUE!</v>
      </c>
      <c r="J148" s="6" t="str" cm="1">
        <f t="array" ref="J148">visible((""),K148)</f>
        <v/>
      </c>
      <c r="K148" s="6" t="b">
        <v>1</v>
      </c>
    </row>
    <row r="149" spans="1:11" x14ac:dyDescent="0.3">
      <c r="A149" s="51">
        <v>3</v>
      </c>
      <c r="B149" s="15" t="str" cm="1">
        <f t="array" ref="B149">visible(E138, K149)</f>
        <v>وحدة سفلية ادراج</v>
      </c>
      <c r="C149" s="6">
        <f>visible(4,K149)</f>
        <v>4</v>
      </c>
      <c r="D149" s="6" t="e" cm="1">
        <f t="array" ref="D149">visible((I139),K149)</f>
        <v>#VALUE!</v>
      </c>
      <c r="E149" s="6" t="str" cm="1">
        <f t="array" ref="E149">visible(("مرايا علوية 2"),K149)</f>
        <v>مرايا علوية 2</v>
      </c>
      <c r="F149" s="6" cm="1">
        <f t="array" ref="F149">visible((H141-3.6),K149)</f>
        <v>76.400000000000006</v>
      </c>
      <c r="G149" s="6" cm="1">
        <f t="array" ref="G149">visible((7),K149)</f>
        <v>7</v>
      </c>
      <c r="H149" s="6" cm="1">
        <f t="array" ref="H149">visible((C138),K149)</f>
        <v>1</v>
      </c>
      <c r="I149" s="6" t="e" cm="1">
        <f t="array" ref="I149">visible(materialNum(D149),K149)</f>
        <v>#VALUE!</v>
      </c>
      <c r="J149" s="6" t="str" cm="1">
        <f t="array" ref="J149">visible((""),K149)</f>
        <v/>
      </c>
      <c r="K149" s="6" t="b">
        <v>1</v>
      </c>
    </row>
    <row r="150" spans="1:11" x14ac:dyDescent="0.3">
      <c r="A150" s="51">
        <v>3</v>
      </c>
      <c r="B150" s="15" t="str" cm="1">
        <f t="array" ref="B150">visible(E138, K150)</f>
        <v>وحدة سفلية ادراج</v>
      </c>
      <c r="C150" s="10">
        <f>visible(5,K150)</f>
        <v>5</v>
      </c>
      <c r="D150" s="10" t="e" cm="1">
        <f t="array" ref="D150">visible((I139),K150)</f>
        <v>#VALUE!</v>
      </c>
      <c r="E150" s="10" t="str" cm="1">
        <f t="array" ref="E150">visible(("وش درج داخلي A"),K150)</f>
        <v>وش درج داخلي A</v>
      </c>
      <c r="F150" s="10" cm="1">
        <f t="array" ref="F150">visible((H141-3.6-3.6-2.5),K150)</f>
        <v>70.3</v>
      </c>
      <c r="G150" s="10" cm="1">
        <f t="array" ref="G150">visible((F142),K150)</f>
        <v>10</v>
      </c>
      <c r="H150" s="10" cm="1">
        <f t="array" ref="H150">visible((F141*C138),K150)</f>
        <v>1</v>
      </c>
      <c r="I150" s="10" t="e" cm="1">
        <f t="array" ref="I150">visible(materialNum(D150),K150)</f>
        <v>#VALUE!</v>
      </c>
      <c r="J150" s="10" t="str" cm="1">
        <f t="array" ref="J150">visible((""),K150)</f>
        <v/>
      </c>
      <c r="K150" s="10" t="b">
        <f>F141&gt;0</f>
        <v>1</v>
      </c>
    </row>
    <row r="151" spans="1:11" x14ac:dyDescent="0.3">
      <c r="A151" s="51">
        <v>3</v>
      </c>
      <c r="B151" s="15" t="str">
        <f>visible(E138, K151)</f>
        <v>وحدة سفلية ادراج</v>
      </c>
      <c r="C151" s="10">
        <f>visible(6,K151)</f>
        <v>6</v>
      </c>
      <c r="D151" s="10" t="e">
        <f>visible((I139),K151)</f>
        <v>#VALUE!</v>
      </c>
      <c r="E151" s="10" t="str" cm="1">
        <f t="array" ref="E151">visible(("جنب درج داخلي A"),K151)</f>
        <v>جنب درج داخلي A</v>
      </c>
      <c r="F151" s="10" t="e" cm="1">
        <f t="array" ref="F151">visible((C139),K151)</f>
        <v>#VALUE!</v>
      </c>
      <c r="G151" s="10" cm="1">
        <f t="array" ref="G151">visible((F142),K151)</f>
        <v>10</v>
      </c>
      <c r="H151" s="10" cm="1">
        <f t="array" ref="H151">visible((F141*C138*2),K151)</f>
        <v>2</v>
      </c>
      <c r="I151" s="10" t="e" cm="1">
        <f t="array" ref="I151">visible(materialNum(D151),K151)</f>
        <v>#VALUE!</v>
      </c>
      <c r="J151" s="10" t="str" cm="1">
        <f t="array" ref="J151">visible((""),K151)</f>
        <v/>
      </c>
      <c r="K151" s="10" t="b">
        <f>F141&gt;0</f>
        <v>1</v>
      </c>
    </row>
    <row r="152" spans="1:11" x14ac:dyDescent="0.3">
      <c r="A152" s="51">
        <v>3</v>
      </c>
      <c r="B152" s="15" t="str">
        <f>visible(E138, K152)</f>
        <v>وحدة سفلية ادراج</v>
      </c>
      <c r="C152" s="10">
        <f>visible(7,K152)</f>
        <v>7</v>
      </c>
      <c r="D152" s="10" t="e">
        <f>visible((I139),K152)</f>
        <v>#VALUE!</v>
      </c>
      <c r="E152" s="10" t="str" cm="1">
        <f t="array" ref="E152">visible(("ظهر درج داخلي A"),K152)</f>
        <v>ظهر درج داخلي A</v>
      </c>
      <c r="F152" s="10" cm="1">
        <f t="array" ref="F152">visible((H141-3.6-3.6-2.5),K152)</f>
        <v>70.3</v>
      </c>
      <c r="G152" s="10" cm="1">
        <f t="array" ref="G152">visible((F142-3),K152)</f>
        <v>7</v>
      </c>
      <c r="H152" s="10" cm="1">
        <f t="array" ref="H152">visible((F141*C138),K152)</f>
        <v>1</v>
      </c>
      <c r="I152" s="10" t="e" cm="1">
        <f t="array" ref="I152">visible(materialNum(D152),K152)</f>
        <v>#VALUE!</v>
      </c>
      <c r="J152" s="10" t="str" cm="1">
        <f t="array" ref="J152">visible((""),K152)</f>
        <v/>
      </c>
      <c r="K152" s="10" t="b">
        <f>F141&gt;0</f>
        <v>1</v>
      </c>
    </row>
    <row r="153" spans="1:11" x14ac:dyDescent="0.3">
      <c r="A153" s="51">
        <v>3</v>
      </c>
      <c r="B153" s="15" t="str">
        <f>visible(E138, K153)</f>
        <v>وحدة سفلية ادراج</v>
      </c>
      <c r="C153" s="6">
        <f>visible(8,K153)</f>
        <v>8</v>
      </c>
      <c r="D153" s="6" t="e">
        <f>visible((I139),K153)</f>
        <v>#VALUE!</v>
      </c>
      <c r="E153" s="6" t="str" cm="1">
        <f t="array" ref="E153">visible(("وش درج داخلي 20"),K153)</f>
        <v>وش درج داخلي 20</v>
      </c>
      <c r="F153" s="6" cm="1">
        <f t="array" ref="F153">visible((H141-3.6-3.6-2.5),K153)</f>
        <v>70.3</v>
      </c>
      <c r="G153" s="6" cm="1">
        <f t="array" ref="G153">visible((D142),K153)</f>
        <v>20</v>
      </c>
      <c r="H153" s="6" cm="1">
        <f t="array" ref="H153">visible((D141*C138),K153)</f>
        <v>1</v>
      </c>
      <c r="I153" s="6" t="e" cm="1">
        <f t="array" ref="I153">visible(materialNum(D153),K153)</f>
        <v>#VALUE!</v>
      </c>
      <c r="J153" s="6" t="str" cm="1">
        <f t="array" ref="J153">visible((""),K153)</f>
        <v/>
      </c>
      <c r="K153" s="6" t="b">
        <f>D141&gt;0</f>
        <v>1</v>
      </c>
    </row>
    <row r="154" spans="1:11" x14ac:dyDescent="0.3">
      <c r="A154" s="51">
        <v>3</v>
      </c>
      <c r="B154" s="15" t="str">
        <f>visible(E138, K154)</f>
        <v>وحدة سفلية ادراج</v>
      </c>
      <c r="C154" s="6">
        <f>visible(9,K154)</f>
        <v>9</v>
      </c>
      <c r="D154" s="6" t="e">
        <f>visible((I139),K154)</f>
        <v>#VALUE!</v>
      </c>
      <c r="E154" s="6" t="str" cm="1">
        <f t="array" ref="E154">visible(("جنب درج داخلي 20"),K154)</f>
        <v>جنب درج داخلي 20</v>
      </c>
      <c r="F154" s="6" t="e" cm="1">
        <f t="array" ref="F154">visible((C139),K154)</f>
        <v>#VALUE!</v>
      </c>
      <c r="G154" s="6" cm="1">
        <f t="array" ref="G154">visible((D142),K154)</f>
        <v>20</v>
      </c>
      <c r="H154" s="6" cm="1">
        <f t="array" ref="H154">visible((D141*C138*2),K154)</f>
        <v>2</v>
      </c>
      <c r="I154" s="6" t="e" cm="1">
        <f t="array" ref="I154">visible(materialNum(D154),K154)</f>
        <v>#VALUE!</v>
      </c>
      <c r="J154" s="6" t="str" cm="1">
        <f t="array" ref="J154">visible((""),K154)</f>
        <v/>
      </c>
      <c r="K154" s="6" t="b">
        <f>D141&gt;0</f>
        <v>1</v>
      </c>
    </row>
    <row r="155" spans="1:11" x14ac:dyDescent="0.3">
      <c r="A155" s="51">
        <v>3</v>
      </c>
      <c r="B155" s="15" t="str">
        <f>visible(E138, K155)</f>
        <v>وحدة سفلية ادراج</v>
      </c>
      <c r="C155" s="6">
        <f>visible(10,K155)</f>
        <v>10</v>
      </c>
      <c r="D155" s="6" t="e">
        <f>visible((I139),K155)</f>
        <v>#VALUE!</v>
      </c>
      <c r="E155" s="6" t="str" cm="1">
        <f t="array" ref="E155">visible(("ظهر درج داخلي 20"),K155)</f>
        <v>ظهر درج داخلي 20</v>
      </c>
      <c r="F155" s="6" cm="1">
        <f t="array" ref="F155">visible((H141-3.6-3.6-2.5),K155)</f>
        <v>70.3</v>
      </c>
      <c r="G155" s="6" cm="1">
        <f t="array" ref="G155">visible((D142-3),K155)</f>
        <v>17</v>
      </c>
      <c r="H155" s="6" cm="1">
        <f t="array" ref="H155">visible((D141*C138),K155)</f>
        <v>1</v>
      </c>
      <c r="I155" s="6" t="e" cm="1">
        <f t="array" ref="I155">visible(materialNum(D155),K155)</f>
        <v>#VALUE!</v>
      </c>
      <c r="J155" s="6" t="str" cm="1">
        <f t="array" ref="J155">visible((""),K155)</f>
        <v/>
      </c>
      <c r="K155" s="6" t="b">
        <f>D141&gt;0</f>
        <v>1</v>
      </c>
    </row>
    <row r="156" spans="1:11" x14ac:dyDescent="0.3">
      <c r="A156" s="51">
        <v>3</v>
      </c>
      <c r="B156" s="15" t="str">
        <f>visible(E138, K156)</f>
        <v>وحدة سفلية ادراج</v>
      </c>
      <c r="C156" s="10">
        <f>visible(11,K156)</f>
        <v>11</v>
      </c>
      <c r="D156" s="10" t="e">
        <f>visible((I139),K156)</f>
        <v>#VALUE!</v>
      </c>
      <c r="E156" s="10" t="str" cm="1">
        <f t="array" ref="E156">visible(("وش درج داخلي 30"),K156)</f>
        <v>وش درج داخلي 30</v>
      </c>
      <c r="F156" s="10" cm="1">
        <f t="array" ref="F156">visible((H141-3.6-3.6-2.5),K156)</f>
        <v>70.3</v>
      </c>
      <c r="G156" s="10" cm="1">
        <f t="array" ref="G156">visible((C142),K156)</f>
        <v>30</v>
      </c>
      <c r="H156" s="10" cm="1">
        <f t="array" ref="H156">visible((C141*C138),K156)</f>
        <v>1</v>
      </c>
      <c r="I156" s="10" t="e" cm="1">
        <f t="array" ref="I156">visible(materialNum(D156),K156)</f>
        <v>#VALUE!</v>
      </c>
      <c r="J156" s="10" t="str" cm="1">
        <f t="array" ref="J156">visible((""),K156)</f>
        <v/>
      </c>
      <c r="K156" s="10" t="b">
        <f>C141&gt;0</f>
        <v>1</v>
      </c>
    </row>
    <row r="157" spans="1:11" x14ac:dyDescent="0.3">
      <c r="A157" s="51">
        <v>3</v>
      </c>
      <c r="B157" s="15" t="str">
        <f>visible(E138, K157)</f>
        <v>وحدة سفلية ادراج</v>
      </c>
      <c r="C157" s="10">
        <f>visible(12,K157)</f>
        <v>12</v>
      </c>
      <c r="D157" s="10" t="e">
        <f>visible((I139),K157)</f>
        <v>#VALUE!</v>
      </c>
      <c r="E157" s="10" t="str" cm="1">
        <f t="array" ref="E157">visible(("جنب درج داخلي 30"),K157)</f>
        <v>جنب درج داخلي 30</v>
      </c>
      <c r="F157" s="10" t="e" cm="1">
        <f t="array" ref="F157">visible((C139),K157)</f>
        <v>#VALUE!</v>
      </c>
      <c r="G157" s="10" cm="1">
        <f t="array" ref="G157">visible((C142),K157)</f>
        <v>30</v>
      </c>
      <c r="H157" s="10" cm="1">
        <f t="array" ref="H157">visible((C141*C138*2),K157)</f>
        <v>2</v>
      </c>
      <c r="I157" s="10" t="e" cm="1">
        <f t="array" ref="I157">visible(materialNum(D157),K157)</f>
        <v>#VALUE!</v>
      </c>
      <c r="J157" s="10" t="str" cm="1">
        <f t="array" ref="J157">visible((""),K157)</f>
        <v/>
      </c>
      <c r="K157" s="10" t="b">
        <f>C141&gt;0</f>
        <v>1</v>
      </c>
    </row>
    <row r="158" spans="1:11" x14ac:dyDescent="0.3">
      <c r="A158" s="51">
        <v>3</v>
      </c>
      <c r="B158" s="15" t="str">
        <f>visible(E138, K158)</f>
        <v>وحدة سفلية ادراج</v>
      </c>
      <c r="C158" s="10">
        <f>visible(13,K158)</f>
        <v>13</v>
      </c>
      <c r="D158" s="10" t="e">
        <f>visible((I139),K158)</f>
        <v>#VALUE!</v>
      </c>
      <c r="E158" s="10" t="str" cm="1">
        <f t="array" ref="E158">visible(("ظهر درج داخلي 30"),K158)</f>
        <v>ظهر درج داخلي 30</v>
      </c>
      <c r="F158" s="10" cm="1">
        <f t="array" ref="F158">visible((H141-3.6-3.6-2.5),K158)</f>
        <v>70.3</v>
      </c>
      <c r="G158" s="10" cm="1">
        <f t="array" ref="G158">visible((C142-3),K158)</f>
        <v>27</v>
      </c>
      <c r="H158" s="10" cm="1">
        <f t="array" ref="H158">visible((C141*C138),K158)</f>
        <v>1</v>
      </c>
      <c r="I158" s="10" t="e" cm="1">
        <f t="array" ref="I158">visible(materialNum(D158),K158)</f>
        <v>#VALUE!</v>
      </c>
      <c r="J158" s="10" t="str" cm="1">
        <f t="array" ref="J158">visible((""),K158)</f>
        <v/>
      </c>
      <c r="K158" s="10" t="b">
        <f>C141&gt;0</f>
        <v>1</v>
      </c>
    </row>
    <row r="159" spans="1:11" x14ac:dyDescent="0.3">
      <c r="A159" s="51">
        <v>3</v>
      </c>
      <c r="B159" s="15" t="str">
        <f>visible(E138, K159)</f>
        <v>وحدة سفلية ادراج</v>
      </c>
      <c r="C159" s="6">
        <f>visible(14,K159)</f>
        <v>14</v>
      </c>
      <c r="D159" s="6" t="e">
        <f>visible((I139),K159)</f>
        <v>#VALUE!</v>
      </c>
      <c r="E159" s="6" t="str" cm="1">
        <f t="array" ref="E159">visible(("وش / ظهر درج تربو"),K159)</f>
        <v>وش / ظهر درج تربو</v>
      </c>
      <c r="F159" s="6" cm="1">
        <f t="array" ref="F159">visible((H141-3.6-3.6-2.5),K159)</f>
        <v>70.3</v>
      </c>
      <c r="G159" s="6" cm="1">
        <f t="array" ref="G159">visible((E142),K159)</f>
        <v>7</v>
      </c>
      <c r="H159" s="6" cm="1">
        <f t="array" ref="H159">visible((E141*C138*2),K159)</f>
        <v>2</v>
      </c>
      <c r="I159" s="6" t="e" cm="1">
        <f t="array" ref="I159">visible(materialNum(D159),K159)</f>
        <v>#VALUE!</v>
      </c>
      <c r="J159" s="6" t="str" cm="1">
        <f t="array" ref="J159">visible((""),K159)</f>
        <v/>
      </c>
      <c r="K159" s="6" t="b">
        <f>E141&gt;0</f>
        <v>1</v>
      </c>
    </row>
    <row r="160" spans="1:11" x14ac:dyDescent="0.3">
      <c r="A160" s="51">
        <v>3</v>
      </c>
      <c r="B160" s="15" t="str">
        <f>visible(E138, K160)</f>
        <v>وحدة سفلية ادراج</v>
      </c>
      <c r="C160" s="6">
        <f>visible(15,K160)</f>
        <v>15</v>
      </c>
      <c r="D160" s="6" t="e">
        <f>visible((I139),K160)</f>
        <v>#VALUE!</v>
      </c>
      <c r="E160" s="6" t="str" cm="1">
        <f t="array" ref="E160">visible(("جنب درج تربو"),K160)</f>
        <v>جنب درج تربو</v>
      </c>
      <c r="F160" s="6" t="e" cm="1">
        <f t="array" ref="F160">visible((C139),K160)</f>
        <v>#VALUE!</v>
      </c>
      <c r="G160" s="6" cm="1">
        <f t="array" ref="G160">visible((E142),K160)</f>
        <v>7</v>
      </c>
      <c r="H160" s="6" cm="1">
        <f t="array" ref="H160">visible((E141*C138*2),K160)</f>
        <v>2</v>
      </c>
      <c r="I160" s="6" t="e" cm="1">
        <f t="array" ref="I160">visible(materialNum(D160),K160)</f>
        <v>#VALUE!</v>
      </c>
      <c r="J160" s="6" t="str" cm="1">
        <f t="array" ref="J160">visible((""),K160)</f>
        <v/>
      </c>
      <c r="K160" s="6" t="b">
        <f>E141&gt;0</f>
        <v>1</v>
      </c>
    </row>
    <row r="161" spans="1:11" x14ac:dyDescent="0.3">
      <c r="A161" s="51">
        <v>0</v>
      </c>
    </row>
    <row r="162" spans="1:11" x14ac:dyDescent="0.3">
      <c r="A162" s="51">
        <v>4</v>
      </c>
      <c r="B162" s="15" t="str" cm="1">
        <f t="array" ref="B162">visible(E138, K162)</f>
        <v>وحدة سفلية ادراج</v>
      </c>
      <c r="C162" s="9">
        <f>visible(16,K162)</f>
        <v>16</v>
      </c>
      <c r="D162" s="9" t="e" cm="1">
        <f t="array" ref="D162">visible((G139),K162)</f>
        <v>#VALUE!</v>
      </c>
      <c r="E162" s="9" t="str" cm="1">
        <f t="array" ref="E162">visible(("وش درج خارجى2/3  متساوية"),K162)</f>
        <v>وش درج خارجى2/3  متساوية</v>
      </c>
      <c r="F162" s="9" cm="1">
        <f t="array" aca="1" ref="F162" ca="1">visible(((I141/G142)-0.5-G141),K162)</f>
        <v>22</v>
      </c>
      <c r="G162" s="9" cm="1">
        <f t="array" ref="G162">visible((H141-0.5),K162)</f>
        <v>79.5</v>
      </c>
      <c r="H162" s="9" cm="1">
        <f t="array" ref="H162">visible((C138*G142),K162)</f>
        <v>3</v>
      </c>
      <c r="I162" s="9" t="e" cm="1">
        <f t="array" ref="I162">visible(materialNum(D162),K162)</f>
        <v>#VALUE!</v>
      </c>
      <c r="J162" s="9" t="str" cm="1">
        <f t="array" ref="J162">visible((""),K162)</f>
        <v/>
      </c>
      <c r="K162" s="9" t="b">
        <f>G142&lt;=3</f>
        <v>1</v>
      </c>
    </row>
    <row r="163" spans="1:11" x14ac:dyDescent="0.3">
      <c r="A163" s="51">
        <v>4</v>
      </c>
      <c r="B163" s="15" t="str">
        <f>visible(E138, K163)</f>
        <v/>
      </c>
      <c r="C163" s="9" t="str">
        <f>visible(17,K163)</f>
        <v/>
      </c>
      <c r="D163" s="9" t="e">
        <f>visible((G139),K163)</f>
        <v>#VALUE!</v>
      </c>
      <c r="E163" s="9" t="str" cm="1">
        <f t="array" ref="E163">visible(("وش درج خارجى 4 متساوية"),K163)</f>
        <v/>
      </c>
      <c r="F163" s="9" t="str" cm="1">
        <f t="array" aca="1" ref="F163" ca="1">visible(((I141/G142)-0.5-G141),K163)</f>
        <v/>
      </c>
      <c r="G163" s="9" t="str" cm="1">
        <f t="array" ref="G163">visible((H141-0.5),K163)</f>
        <v/>
      </c>
      <c r="H163" s="9" t="str">
        <f>visible(G142*I142,K163)</f>
        <v/>
      </c>
      <c r="I163" s="9" t="e" cm="1">
        <f t="array" ref="I163">visible(materialNum(D163),K163)</f>
        <v>#VALUE!</v>
      </c>
      <c r="J163" s="9" t="str" cm="1">
        <f t="array" ref="J163">visible((""),K163)</f>
        <v/>
      </c>
      <c r="K163" s="9" t="b">
        <f>AND(G142=4,I142)</f>
        <v>0</v>
      </c>
    </row>
    <row r="164" spans="1:11" x14ac:dyDescent="0.3">
      <c r="A164" s="51">
        <v>4</v>
      </c>
      <c r="B164" s="15" t="str">
        <f>visible(E138, K164)</f>
        <v/>
      </c>
      <c r="C164" s="9" t="str">
        <f>visible(18,K164)</f>
        <v/>
      </c>
      <c r="D164" s="9" t="e">
        <f>visible((G139),K164)</f>
        <v>#VALUE!</v>
      </c>
      <c r="E164" s="9" t="str" cm="1">
        <f t="array" ref="E164">visible(("وش درج خارجى صغير- 3 مختلفة"),K164)</f>
        <v/>
      </c>
      <c r="F164" s="9" t="str" cm="1">
        <f t="array" aca="1" ref="F164" ca="1">visible(((I141/G142)-0.5-G141),K164)</f>
        <v/>
      </c>
      <c r="G164" s="9" t="str" cm="1">
        <f t="array" ref="G164">visible((H141-0.5),K164)</f>
        <v/>
      </c>
      <c r="H164" s="9" t="str">
        <f>visible(G142*I142,K164)</f>
        <v/>
      </c>
      <c r="I164" s="9" t="e" cm="1">
        <f t="array" ref="I164">visible(materialNum(D164),K164)</f>
        <v>#VALUE!</v>
      </c>
      <c r="J164" s="9" t="str" cm="1">
        <f t="array" ref="J164">visible((""),K164)</f>
        <v/>
      </c>
      <c r="K164" s="9" t="b">
        <f>AND(G142=4,NOT(I142))</f>
        <v>0</v>
      </c>
    </row>
    <row r="165" spans="1:11" x14ac:dyDescent="0.3">
      <c r="A165" s="51">
        <v>4</v>
      </c>
      <c r="B165" s="15" t="str">
        <f>visible(E138, K165)</f>
        <v/>
      </c>
      <c r="C165" s="9" t="str">
        <f>visible(19,K165)</f>
        <v/>
      </c>
      <c r="D165" s="9" t="e">
        <f>visible((G139),K165)</f>
        <v>#VALUE!</v>
      </c>
      <c r="E165" s="9" t="str" cm="1">
        <f t="array" ref="E165">visible(("وش درج خارجى كبير- 3 مختلفة"),K165)</f>
        <v/>
      </c>
      <c r="F165" s="9" t="str" cm="1">
        <f t="array" aca="1" ref="F165" ca="1">visible((((I141/G142)*2)-0.5-G141),K165)</f>
        <v/>
      </c>
      <c r="G165" s="9" t="str" cm="1">
        <f t="array" ref="G165">visible((H141-0.5),K165)</f>
        <v/>
      </c>
      <c r="H165" s="9" t="str">
        <f>visible(G142*I142,K165)</f>
        <v/>
      </c>
      <c r="I165" s="9" t="e" cm="1">
        <f t="array" ref="I165">visible(materialNum(D165),K165)</f>
        <v>#VALUE!</v>
      </c>
      <c r="J165" s="9" t="str" cm="1">
        <f t="array" ref="J165">visible((""),K165)</f>
        <v/>
      </c>
      <c r="K165" s="9" t="b">
        <f>AND(G142=4,NOT(I142))</f>
        <v>0</v>
      </c>
    </row>
    <row r="166" spans="1:11" x14ac:dyDescent="0.3">
      <c r="A166" s="51">
        <v>0</v>
      </c>
      <c r="C166" s="1"/>
      <c r="D166" s="1"/>
      <c r="E166" s="1"/>
      <c r="F166" s="1"/>
      <c r="G166" s="1"/>
      <c r="H166" s="1"/>
      <c r="I166" s="1"/>
      <c r="J166" s="1"/>
    </row>
    <row r="167" spans="1:11" x14ac:dyDescent="0.3">
      <c r="A167" s="51">
        <v>5</v>
      </c>
      <c r="B167" s="15" t="str" cm="1">
        <f t="array" aca="1" ref="B167" ca="1">visible(E138, K167)</f>
        <v>وحدة سفلية ادراج</v>
      </c>
      <c r="C167" s="19">
        <f ca="1">visible(20,K167)</f>
        <v>20</v>
      </c>
      <c r="D167" s="19" t="str" cm="1">
        <f t="array" aca="1" ref="D167" ca="1">visible((E139),K167)</f>
        <v>ظهر</v>
      </c>
      <c r="E167" s="19" t="str" cm="1">
        <f t="array" aca="1" ref="E167" ca="1">visible(("ظهر"),K167)</f>
        <v>ظهر</v>
      </c>
      <c r="F167" s="19" cm="1">
        <f t="array" aca="1" ref="F167" ca="1">visible((I141-2),K167)</f>
        <v>76</v>
      </c>
      <c r="G167" s="19" cm="1">
        <f t="array" aca="1" ref="G167" ca="1">visible((H141-2),K167)</f>
        <v>78</v>
      </c>
      <c r="H167" s="19" cm="1">
        <f t="array" aca="1" ref="H167" ca="1">visible((C138),K167)</f>
        <v>1</v>
      </c>
      <c r="I167" s="19" cm="1">
        <f t="array" aca="1" ref="I167" ca="1">visible(materialNum(D167),K167)</f>
        <v>2</v>
      </c>
      <c r="J167" s="19" t="str" cm="1">
        <f t="array" aca="1" ref="J167" ca="1">visible((""),K167)</f>
        <v/>
      </c>
      <c r="K167" s="19" t="b">
        <f ca="1">K141</f>
        <v>1</v>
      </c>
    </row>
    <row r="168" spans="1:11" x14ac:dyDescent="0.3">
      <c r="A168" s="51">
        <v>5</v>
      </c>
      <c r="B168" s="15" t="str">
        <f>visible(E138, K168)</f>
        <v>وحدة سفلية ادراج</v>
      </c>
      <c r="C168" s="19">
        <f>visible(21,K168)</f>
        <v>21</v>
      </c>
      <c r="D168" s="19" t="e">
        <f>visible((E139),K168)</f>
        <v>#VALUE!</v>
      </c>
      <c r="E168" s="19" t="str" cm="1">
        <f t="array" ref="E168">visible(("قعر درج داخلي"),K168)</f>
        <v>قعر درج داخلي</v>
      </c>
      <c r="F168" s="19" cm="1">
        <f t="array" ref="F168">visible((H141-3.6-3.6-2.5+2),K168)</f>
        <v>72.3</v>
      </c>
      <c r="G168" s="19" cm="1">
        <f t="array" aca="1" ref="G168" ca="1">visible((C139-1),K168)</f>
        <v>44</v>
      </c>
      <c r="H168" s="19">
        <f>visible(C138*F141,K168)</f>
        <v>1</v>
      </c>
      <c r="I168" s="19" t="e" cm="1">
        <f t="array" ref="I168">visible(materialNum(D168),K168)</f>
        <v>#VALUE!</v>
      </c>
      <c r="J168" s="19" t="str" cm="1">
        <f t="array" ref="J168">visible((""),K168)</f>
        <v/>
      </c>
      <c r="K168" s="19" t="b">
        <f>F141&gt;0</f>
        <v>1</v>
      </c>
    </row>
    <row r="169" spans="1:11" x14ac:dyDescent="0.3">
      <c r="A169" s="51">
        <v>5</v>
      </c>
      <c r="B169" s="15" t="str">
        <f>visible(E138, K169)</f>
        <v>وحدة سفلية ادراج</v>
      </c>
      <c r="C169" s="19">
        <f>visible(22,K169)</f>
        <v>22</v>
      </c>
      <c r="D169" s="19" t="e">
        <f>visible((E139),K169)</f>
        <v>#VALUE!</v>
      </c>
      <c r="E169" s="19" t="str" cm="1">
        <f t="array" ref="E169">visible(("قعر درج 30"),K169)</f>
        <v>قعر درج 30</v>
      </c>
      <c r="F169" s="19" cm="1">
        <f t="array" ref="F169">visible((H141-3.6-3.6-2.5+2),K169)</f>
        <v>72.3</v>
      </c>
      <c r="G169" s="19" cm="1">
        <f t="array" aca="1" ref="G169" ca="1">visible((C139-1),K169)</f>
        <v>44</v>
      </c>
      <c r="H169" s="19">
        <f>visible(C138*C141,K169)</f>
        <v>1</v>
      </c>
      <c r="I169" s="19" t="e" cm="1">
        <f t="array" ref="I169">visible(materialNum(D169),K169)</f>
        <v>#VALUE!</v>
      </c>
      <c r="J169" s="19" t="str" cm="1">
        <f t="array" ref="J169">visible((""),K169)</f>
        <v/>
      </c>
      <c r="K169" s="19" t="b">
        <f>C141&gt;0</f>
        <v>1</v>
      </c>
    </row>
    <row r="170" spans="1:11" x14ac:dyDescent="0.3">
      <c r="A170" s="51">
        <v>5</v>
      </c>
      <c r="B170" s="15" t="str">
        <f>visible(E138, K170)</f>
        <v>وحدة سفلية ادراج</v>
      </c>
      <c r="C170" s="19">
        <f>visible(23,K170)</f>
        <v>23</v>
      </c>
      <c r="D170" s="19" t="e">
        <f>visible((E139),K170)</f>
        <v>#VALUE!</v>
      </c>
      <c r="E170" s="19" t="str" cm="1">
        <f t="array" ref="E170">visible(("قعر درج 20"),K170)</f>
        <v>قعر درج 20</v>
      </c>
      <c r="F170" s="19" cm="1">
        <f t="array" ref="F170">visible((H141-3.6-3.6-2.5+2),K170)</f>
        <v>72.3</v>
      </c>
      <c r="G170" s="19" cm="1">
        <f t="array" aca="1" ref="G170" ca="1">visible((C139-1),K170)</f>
        <v>44</v>
      </c>
      <c r="H170" s="19">
        <f>visible(C138*D141,K170)</f>
        <v>1</v>
      </c>
      <c r="I170" s="19" t="e" cm="1">
        <f t="array" ref="I170">visible(materialNum(D170),K170)</f>
        <v>#VALUE!</v>
      </c>
      <c r="J170" s="19" t="str" cm="1">
        <f t="array" ref="J170">visible((""),K170)</f>
        <v/>
      </c>
      <c r="K170" s="19" t="b">
        <f>D141&gt;0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3">
    <mergeCell ref="C2:J2"/>
    <mergeCell ref="F14:F15"/>
    <mergeCell ref="E120:H120"/>
    <mergeCell ref="E97:H97"/>
    <mergeCell ref="E74:H74"/>
    <mergeCell ref="F75:F76"/>
    <mergeCell ref="E54:H54"/>
    <mergeCell ref="E138:H138"/>
    <mergeCell ref="J142:K142"/>
    <mergeCell ref="E13:H13"/>
    <mergeCell ref="F55:F56"/>
    <mergeCell ref="F34:F35"/>
    <mergeCell ref="E33:H33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M6" sqref="M6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8" t="s">
        <v>104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7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7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7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7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modifyBlock">
                <anchor moveWithCells="1" sizeWithCells="1">
                  <from>
                    <xdr:col>12</xdr:col>
                    <xdr:colOff>160020</xdr:colOff>
                    <xdr:row>5</xdr:row>
                    <xdr:rowOff>38100</xdr:rowOff>
                  </from>
                  <to>
                    <xdr:col>15</xdr:col>
                    <xdr:colOff>327660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K17" sqref="K17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8" t="s">
        <v>43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10" t="b">
        <f ca="1">NOT(AND(F15&gt;0,G15&gt;0))</f>
        <v>1</v>
      </c>
      <c r="G16" s="110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09">
        <f>C15+D15</f>
        <v>1</v>
      </c>
      <c r="D17" s="109"/>
      <c r="E17" s="26">
        <v>10</v>
      </c>
      <c r="F17" s="117" t="str">
        <f ca="1">IF(F16,"المقابض مظبوطة","مينفعش مقبض مخفي مع بيلت ان")</f>
        <v>المقابض مظبوطة</v>
      </c>
      <c r="G17" s="117"/>
      <c r="H17" s="110" t="str">
        <f>IF(H16,"عدد الدلف صحيح","عدد الدلف غير صحيح")</f>
        <v>عدد الدلف صحيح</v>
      </c>
      <c r="I17" s="110"/>
      <c r="J17" s="110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0" t="b">
        <f>C17&lt;=2</f>
        <v>1</v>
      </c>
      <c r="D18" s="110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8" t="b">
        <f ca="1">NOT(AND(F36&gt;0,G36&gt;0))</f>
        <v>1</v>
      </c>
      <c r="G37" s="118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09">
        <f>C36+D36</f>
        <v>2</v>
      </c>
      <c r="D38" s="109"/>
      <c r="E38" s="7">
        <v>0</v>
      </c>
      <c r="F38" s="111" t="str">
        <f ca="1">IF(F37,"المقابض مظبوطة","مينفعش مقبض مخفي مع بيلت ان")</f>
        <v>المقابض مظبوطة</v>
      </c>
      <c r="G38" s="111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0" t="b">
        <f>C38&lt;=2</f>
        <v>1</v>
      </c>
      <c r="D39" s="110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0" t="b">
        <f ca="1">NOT(AND(F57&gt;0,G57&gt;0))</f>
        <v>1</v>
      </c>
      <c r="G58" s="112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09">
        <f>C57+D57</f>
        <v>2</v>
      </c>
      <c r="D59" s="109"/>
      <c r="E59" s="7" t="s">
        <v>106</v>
      </c>
      <c r="F59" s="113" t="str">
        <f ca="1">IF(F58,"المقابض مظبوطة","مينفعش مقبض مخفي مع بيلت ان")</f>
        <v>المقابض مظبوطة</v>
      </c>
      <c r="G59" s="113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0" t="b">
        <f>C59&lt;=2</f>
        <v>1</v>
      </c>
      <c r="D60" s="110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0" t="b">
        <f ca="1">NOT(AND(F81&gt;0,G81&gt;0))</f>
        <v>1</v>
      </c>
      <c r="G82" s="112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09">
        <f>C81+D81</f>
        <v>1</v>
      </c>
      <c r="D83" s="109"/>
      <c r="E83" s="7" t="s">
        <v>106</v>
      </c>
      <c r="F83" s="113" t="str">
        <f ca="1">IF(F82,"المقابض مظبوطة","مينفعش مقبض مخفي مع بيلت ان")</f>
        <v>المقابض مظبوطة</v>
      </c>
      <c r="G83" s="113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0" t="b">
        <f>C83&lt;=2</f>
        <v>1</v>
      </c>
      <c r="D84" s="110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0" t="b">
        <f ca="1">NOT(AND(F105&gt;0,G105&gt;0))</f>
        <v>1</v>
      </c>
      <c r="G106" s="110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1" t="str">
        <f ca="1">IF(F106,"المقابض مظبوطة","مينفعش مقبض مخفي مع بيلت ان")</f>
        <v>المقابض مظبوطة</v>
      </c>
      <c r="G107" s="111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0" t="b">
        <f ca="1">NOT(AND(F131&gt;0,G131&gt;0))</f>
        <v>1</v>
      </c>
      <c r="G132" s="110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1" t="str">
        <f ca="1">IF(F132,"المقابض مظبوطة","مينفعش مقبض مخفي مع بيلت ان")</f>
        <v>المقابض مظبوطة</v>
      </c>
      <c r="G133" s="111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4">
        <f>C152+D152</f>
        <v>1</v>
      </c>
      <c r="D154" s="115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2" t="b">
        <f>C154&lt;=2</f>
        <v>1</v>
      </c>
      <c r="D155" s="116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8" t="s">
        <v>64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20" t="s">
        <v>65</v>
      </c>
      <c r="F13" s="120"/>
      <c r="G13" s="120"/>
      <c r="H13" s="120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09">
        <f>G17+H17</f>
        <v>2</v>
      </c>
      <c r="D19" s="109"/>
      <c r="E19" s="8"/>
      <c r="F19" s="46"/>
      <c r="G19" s="46"/>
      <c r="H19" s="46"/>
      <c r="I19" s="8">
        <f>SUM(I17:I18)</f>
        <v>210</v>
      </c>
      <c r="J19" s="111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0" t="b">
        <f>C19&lt;=2</f>
        <v>1</v>
      </c>
      <c r="D20" s="110"/>
      <c r="E20" s="8"/>
      <c r="F20" s="8"/>
      <c r="G20" s="8"/>
      <c r="H20" s="8"/>
      <c r="I20" s="6" t="b">
        <f>I19=I15</f>
        <v>1</v>
      </c>
      <c r="J20" s="111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20" t="s">
        <v>76</v>
      </c>
      <c r="F40" s="120"/>
      <c r="G40" s="120"/>
      <c r="H40" s="120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09">
        <f>G47+H47</f>
        <v>0</v>
      </c>
      <c r="D52" s="109"/>
      <c r="E52" s="8"/>
      <c r="F52" s="46"/>
      <c r="G52" s="46"/>
      <c r="H52" s="46"/>
      <c r="I52" s="8">
        <f>SUM(I44:I51)</f>
        <v>220</v>
      </c>
      <c r="J52" s="111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0" t="b">
        <f>C52&lt;=2</f>
        <v>1</v>
      </c>
      <c r="D53" s="110"/>
      <c r="E53" s="8"/>
      <c r="F53" s="8"/>
      <c r="G53" s="8"/>
      <c r="H53" s="8"/>
      <c r="I53" s="6" t="b">
        <f>I52=I42</f>
        <v>1</v>
      </c>
      <c r="J53" s="111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0" t="b">
        <f>NOT(AND(F100&gt;0,G100&gt;0))</f>
        <v>1</v>
      </c>
      <c r="G101" s="110"/>
      <c r="I101" s="3" t="b">
        <f>_xlfn.XOR(I100&lt;=50,C102=2)</f>
        <v>0</v>
      </c>
    </row>
    <row r="102" spans="2:10" ht="24" hidden="1" customHeight="1" x14ac:dyDescent="0.3">
      <c r="C102" s="110">
        <f>C100+E100</f>
        <v>3</v>
      </c>
      <c r="D102" s="110"/>
      <c r="E102" s="33"/>
      <c r="F102" s="113" t="str">
        <f>IF(F101,"المقابض مظبوطة","مينفعش مقبض مخفي مع بيلت ان")</f>
        <v>المقابض مظبوطة</v>
      </c>
      <c r="G102" s="113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0" t="b">
        <f>C102&lt;=2</f>
        <v>0</v>
      </c>
      <c r="D103" s="110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0" t="b">
        <f>NOT(AND(F120&gt;0,G120&gt;0))</f>
        <v>1</v>
      </c>
      <c r="G121" s="110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3" t="str">
        <f>IF(F121,"المقابض مظبوطة","مينفعش مقبض مخفي مع بيلت ان")</f>
        <v>المقابض مظبوطة</v>
      </c>
      <c r="G122" s="113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0" t="b">
        <f>NOT(AND(F140&gt;0,G140&gt;0))</f>
        <v>1</v>
      </c>
      <c r="G141" s="110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3" t="str">
        <f>IF(F141,"المقابض مظبوطة","مينفعش مقبض مخفي مع بيلت ان")</f>
        <v>المقابض مظبوطة</v>
      </c>
      <c r="G142" s="113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9" t="s">
        <v>42</v>
      </c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M21" sqref="M21"/>
    </sheetView>
  </sheetViews>
  <sheetFormatPr defaultRowHeight="15.6" x14ac:dyDescent="0.3"/>
  <cols>
    <col min="1" max="1" width="9" style="36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21" t="s">
        <v>103</v>
      </c>
      <c r="D2" s="122"/>
      <c r="E2" s="122"/>
      <c r="F2" s="122"/>
      <c r="G2" s="122"/>
      <c r="H2" s="122"/>
      <c r="I2" s="122"/>
      <c r="J2" s="123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5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2024-09-22T12:11:39Z</dcterms:modified>
</cp:coreProperties>
</file>