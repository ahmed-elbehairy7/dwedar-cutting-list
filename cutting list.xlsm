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BBEF247D-F8C5-4443-B0FC-D389EC8D16F8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1" i="5" l="1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0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84" i="5"/>
  <c r="B83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0" i="4"/>
  <c r="B29" i="4"/>
  <c r="B28" i="4"/>
  <c r="B27" i="4"/>
  <c r="F91" i="5"/>
  <c r="F85" i="5"/>
  <c r="B91" i="5"/>
  <c r="F89" i="5"/>
  <c r="G89" i="5"/>
  <c r="B85" i="5"/>
  <c r="G91" i="5"/>
  <c r="G85" i="5"/>
  <c r="F82" i="5"/>
  <c r="F81" i="5"/>
  <c r="B86" i="5"/>
  <c r="G81" i="5"/>
  <c r="F90" i="5"/>
  <c r="G90" i="5"/>
  <c r="G82" i="5"/>
  <c r="B90" i="5"/>
  <c r="B89" i="5"/>
  <c r="B82" i="5"/>
  <c r="F86" i="5"/>
  <c r="G86" i="5"/>
  <c r="B81" i="5"/>
  <c r="G80" i="5"/>
  <c r="G79" i="5"/>
  <c r="G78" i="5"/>
  <c r="F80" i="5"/>
  <c r="F79" i="5"/>
  <c r="F78" i="5"/>
  <c r="B79" i="5"/>
  <c r="B80" i="5"/>
  <c r="B78" i="5"/>
  <c r="F76" i="5"/>
  <c r="F74" i="5"/>
  <c r="G76" i="5"/>
  <c r="G75" i="5"/>
  <c r="G74" i="5"/>
  <c r="F75" i="5"/>
  <c r="B76" i="5"/>
  <c r="B75" i="5"/>
  <c r="B74" i="5"/>
  <c r="G73" i="5"/>
  <c r="G72" i="5"/>
  <c r="G71" i="5"/>
  <c r="F73" i="5"/>
  <c r="F72" i="5"/>
  <c r="B73" i="5"/>
  <c r="F71" i="5"/>
  <c r="B71" i="5"/>
  <c r="B72" i="5"/>
  <c r="G68" i="5"/>
  <c r="G69" i="5"/>
  <c r="G70" i="5"/>
  <c r="F70" i="5"/>
  <c r="F69" i="5"/>
  <c r="F68" i="5"/>
  <c r="B70" i="5"/>
  <c r="B69" i="5"/>
  <c r="B68" i="5"/>
  <c r="G170" i="4"/>
  <c r="G32" i="4"/>
  <c r="B32" i="4"/>
  <c r="F4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84" i="5"/>
  <c r="G83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84" i="5"/>
  <c r="F83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G81" i="3" a="1"/>
  <c r="G28" i="3" a="1"/>
  <c r="G82" i="3" a="1"/>
  <c r="G82" i="3" l="1"/>
  <c r="G28" i="3"/>
  <c r="G81" i="3"/>
  <c r="G84" i="3" a="1"/>
  <c r="G84" i="3" l="1"/>
  <c r="K35" i="11" l="1"/>
  <c r="K17" i="11"/>
  <c r="G44" i="11" a="1"/>
  <c r="E29" i="11" a="1"/>
  <c r="H42" i="11" a="1"/>
  <c r="H30" i="11" a="1"/>
  <c r="B48" i="11" a="1"/>
  <c r="C29" i="11" a="1"/>
  <c r="C27" i="11" a="1"/>
  <c r="B24" i="11" a="1"/>
  <c r="F32" i="11" a="1"/>
  <c r="G48" i="11" a="1"/>
  <c r="G30" i="11" a="1"/>
  <c r="C46" i="11" a="1"/>
  <c r="H24" i="11" a="1"/>
  <c r="H44" i="11" a="1"/>
  <c r="H46" i="11" a="1"/>
  <c r="B29" i="11" a="1"/>
  <c r="F24" i="11" a="1"/>
  <c r="J17" i="11"/>
  <c r="H48" i="11" a="1"/>
  <c r="H45" i="11" a="1"/>
  <c r="H32" i="11" a="1"/>
  <c r="B45" i="11" a="1"/>
  <c r="C42" i="11" a="1"/>
  <c r="G26" i="11" a="1"/>
  <c r="C32" i="11" a="1"/>
  <c r="E45" i="11" a="1"/>
  <c r="F25" i="11" a="1"/>
  <c r="F29" i="11" a="1"/>
  <c r="F42" i="11" a="1"/>
  <c r="F26" i="11" a="1"/>
  <c r="F44" i="11" a="1"/>
  <c r="J35" i="11"/>
  <c r="C25" i="11" a="1"/>
  <c r="E43" i="11" a="1"/>
  <c r="E26" i="11" a="1"/>
  <c r="E27" i="11" a="1"/>
  <c r="G29" i="11" a="1"/>
  <c r="C26" i="11" a="1"/>
  <c r="C43" i="11" a="1"/>
  <c r="B32" i="11" a="1"/>
  <c r="H43" i="11" a="1"/>
  <c r="G27" i="11" a="1"/>
  <c r="B26" i="11" a="1"/>
  <c r="H25" i="11" a="1"/>
  <c r="G45" i="11" a="1"/>
  <c r="B30" i="11" a="1"/>
  <c r="C44" i="11" a="1"/>
  <c r="E44" i="11" a="1"/>
  <c r="H26" i="11" a="1"/>
  <c r="E25" i="11" a="1"/>
  <c r="E42" i="11" a="1"/>
  <c r="G25" i="11" a="1"/>
  <c r="B27" i="11" a="1"/>
  <c r="F45" i="11" a="1"/>
  <c r="G24" i="11" a="1"/>
  <c r="B44" i="11" a="1"/>
  <c r="B42" i="11" a="1"/>
  <c r="B46" i="11" a="1"/>
  <c r="B25" i="11" a="1"/>
  <c r="E32" i="11" a="1"/>
  <c r="E46" i="11" a="1"/>
  <c r="H27" i="11" a="1"/>
  <c r="E24" i="11" a="1"/>
  <c r="E48" i="11" a="1"/>
  <c r="H29" i="11" a="1"/>
  <c r="E30" i="11" a="1"/>
  <c r="F30" i="11" a="1"/>
  <c r="C48" i="11" a="1"/>
  <c r="C45" i="11" a="1"/>
  <c r="F27" i="11" a="1"/>
  <c r="C24" i="11" a="1"/>
  <c r="B43" i="11" a="1"/>
  <c r="G32" i="11" a="1"/>
  <c r="C30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3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7" i="4"/>
  <c r="C88" i="4" s="1"/>
  <c r="D86" i="4"/>
  <c r="C86" i="4"/>
  <c r="C63" i="4"/>
  <c r="H62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09" i="4" a="1"/>
  <c r="G40" i="4" a="1"/>
  <c r="J110" i="4" a="1"/>
  <c r="I109" i="4" a="1"/>
  <c r="I40" i="4" a="1"/>
  <c r="G19" i="4" a="1"/>
  <c r="G135" i="4" a="1"/>
  <c r="I135" i="4" a="1"/>
  <c r="J19" i="4" a="1"/>
  <c r="J85" i="4" a="1"/>
  <c r="C36" i="11" a="1"/>
  <c r="G38" i="11" a="1"/>
  <c r="I61" i="4" a="1"/>
  <c r="I136" i="4" a="1"/>
  <c r="J40" i="4" a="1"/>
  <c r="G156" i="4" a="1"/>
  <c r="J136" i="4" a="1"/>
  <c r="G61" i="4" a="1"/>
  <c r="J156" i="4" a="1"/>
  <c r="I85" i="4" a="1"/>
  <c r="J61" i="4" a="1"/>
  <c r="I19" i="4" a="1"/>
  <c r="I156" i="4" a="1"/>
  <c r="G85" i="4" a="1"/>
  <c r="I110" i="4" a="1"/>
  <c r="I36" i="11" a="1"/>
  <c r="J38" i="11" a="1"/>
  <c r="J109" i="4" a="1"/>
  <c r="J135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J85" i="4"/>
  <c r="G61" i="4"/>
  <c r="I61" i="4"/>
  <c r="J61" i="4"/>
  <c r="G40" i="4"/>
  <c r="I40" i="4"/>
  <c r="J40" i="4"/>
  <c r="G19" i="4"/>
  <c r="I19" i="4"/>
  <c r="J19" i="4"/>
  <c r="J17" i="6"/>
  <c r="J44" i="5"/>
  <c r="J17" i="5"/>
  <c r="J154" i="4"/>
  <c r="J17" i="4"/>
  <c r="J133" i="4"/>
  <c r="J107" i="4"/>
  <c r="J38" i="4"/>
  <c r="J59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4" i="4"/>
  <c r="F50" i="4"/>
  <c r="F35" i="4"/>
  <c r="F33" i="4"/>
  <c r="F29" i="4"/>
  <c r="D43" i="11" a="1"/>
  <c r="E157" i="3" a="1"/>
  <c r="I114" i="3" a="1"/>
  <c r="I134" i="3" a="1"/>
  <c r="G93" i="3" a="1"/>
  <c r="J94" i="3" a="1"/>
  <c r="C50" i="11" a="1"/>
  <c r="J114" i="3" a="1"/>
  <c r="F134" i="3" a="1"/>
  <c r="J93" i="3" a="1"/>
  <c r="G157" i="3" a="1"/>
  <c r="F85" i="4" a="1"/>
  <c r="D46" i="11" a="1"/>
  <c r="I94" i="3" a="1"/>
  <c r="F156" i="4" a="1"/>
  <c r="D45" i="11" a="1"/>
  <c r="J157" i="3" a="1"/>
  <c r="G43" i="11" a="1"/>
  <c r="D42" i="11" a="1"/>
  <c r="B50" i="11" a="1"/>
  <c r="F19" i="4" a="1"/>
  <c r="I115" i="3" a="1"/>
  <c r="F135" i="4" a="1"/>
  <c r="G42" i="11" a="1"/>
  <c r="F61" i="4" a="1"/>
  <c r="G134" i="3" a="1"/>
  <c r="D44" i="11" a="1"/>
  <c r="J115" i="3" a="1"/>
  <c r="H50" i="11" a="1"/>
  <c r="F48" i="11" a="1"/>
  <c r="I157" i="3" a="1"/>
  <c r="G50" i="11" a="1"/>
  <c r="F40" i="4" a="1"/>
  <c r="F43" i="11" a="1"/>
  <c r="J134" i="3" a="1"/>
  <c r="E114" i="3" a="1"/>
  <c r="E50" i="11" a="1"/>
  <c r="F109" i="4" a="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09" i="4"/>
  <c r="F40" i="4"/>
  <c r="F61" i="4"/>
  <c r="F156" i="4"/>
  <c r="F85" i="4"/>
  <c r="F135" i="4"/>
  <c r="F19" i="4"/>
  <c r="E86" i="4"/>
  <c r="H86" i="4"/>
  <c r="H87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F170" i="4"/>
  <c r="F32" i="4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49" i="4"/>
  <c r="F124" i="4"/>
  <c r="F123" i="4"/>
  <c r="F99" i="4"/>
  <c r="F75" i="4"/>
  <c r="F53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44" i="11"/>
  <c r="I42" i="11"/>
  <c r="I45" i="11"/>
  <c r="I43" i="11"/>
  <c r="I46" i="11"/>
  <c r="F50" i="11" l="1"/>
  <c r="F86" i="4"/>
  <c r="F87" i="4" s="1"/>
  <c r="C158" i="4"/>
  <c r="F157" i="4"/>
  <c r="F158" i="4" s="1"/>
  <c r="D157" i="4"/>
  <c r="C157" i="4"/>
  <c r="G171" i="4"/>
  <c r="G171" i="3"/>
  <c r="G126" i="3"/>
  <c r="F170" i="3"/>
  <c r="F106" i="3"/>
  <c r="J42" i="11"/>
  <c r="E18" i="6" a="1"/>
  <c r="F25" i="5" a="1"/>
  <c r="J45" i="11"/>
  <c r="F112" i="4" a="1"/>
  <c r="F65" i="4" a="1"/>
  <c r="F138" i="4" a="1"/>
  <c r="J43" i="11"/>
  <c r="E18" i="11" a="1"/>
  <c r="J44" i="11"/>
  <c r="F23" i="4" a="1"/>
  <c r="J46" i="11"/>
  <c r="D29" i="11" a="1"/>
  <c r="G91" i="3" a="1"/>
  <c r="E42" i="6" a="1"/>
  <c r="F160" i="4" a="1"/>
  <c r="F58" i="5" a="1"/>
  <c r="E30" i="6" a="1"/>
  <c r="F44" i="4" a="1"/>
  <c r="F89" i="4" a="1"/>
  <c r="G155" i="3" a="1"/>
  <c r="G36" i="11" a="1"/>
  <c r="G112" i="3" a="1"/>
  <c r="D30" i="11" a="1"/>
  <c r="G132" i="3" a="1"/>
  <c r="K170" i="4" l="1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G155" i="3"/>
  <c r="G132" i="3"/>
  <c r="G112" i="3"/>
  <c r="G91" i="3"/>
  <c r="C159" i="4"/>
  <c r="H157" i="4"/>
  <c r="H158" i="4" s="1"/>
  <c r="C170" i="4"/>
  <c r="E170" i="4"/>
  <c r="H170" i="4"/>
  <c r="B170" i="4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E155" i="3" a="1"/>
  <c r="D65" i="4" a="1"/>
  <c r="I91" i="3" a="1"/>
  <c r="D32" i="11" a="1"/>
  <c r="I35" i="5"/>
  <c r="D25" i="5" a="1"/>
  <c r="H89" i="4" a="1"/>
  <c r="I32" i="4"/>
  <c r="I132" i="3" a="1"/>
  <c r="H44" i="4" a="1"/>
  <c r="D89" i="4" a="1"/>
  <c r="I126" i="3"/>
  <c r="I112" i="3" a="1"/>
  <c r="I155" i="3" a="1"/>
  <c r="D138" i="4" a="1"/>
  <c r="I170" i="4"/>
  <c r="I29" i="11"/>
  <c r="H58" i="5" a="1"/>
  <c r="D44" i="4" a="1"/>
  <c r="E132" i="3" a="1"/>
  <c r="H160" i="4" a="1"/>
  <c r="D58" i="5" a="1"/>
  <c r="H23" i="4" a="1"/>
  <c r="E112" i="3" a="1"/>
  <c r="H25" i="5" a="1"/>
  <c r="H65" i="4" a="1"/>
  <c r="H138" i="4" a="1"/>
  <c r="D160" i="4" a="1"/>
  <c r="E36" i="11" a="1"/>
  <c r="E91" i="3" a="1"/>
  <c r="I149" i="4"/>
  <c r="D23" i="4" a="1"/>
  <c r="D48" i="11" a="1"/>
  <c r="I53" i="4"/>
  <c r="D112" i="4" a="1"/>
  <c r="I30" i="11"/>
  <c r="H112" i="4" a="1"/>
  <c r="D32" i="11" l="1"/>
  <c r="D48" i="11"/>
  <c r="E36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I155" i="3"/>
  <c r="I132" i="3"/>
  <c r="I112" i="3"/>
  <c r="I91" i="3"/>
  <c r="E155" i="3"/>
  <c r="E132" i="3"/>
  <c r="E112" i="3"/>
  <c r="E9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J100" i="4"/>
  <c r="I93" i="5"/>
  <c r="I173" i="4"/>
  <c r="J35" i="5"/>
  <c r="I56" i="4"/>
  <c r="I48" i="6"/>
  <c r="I27" i="4"/>
  <c r="I24" i="6"/>
  <c r="I106" i="3"/>
  <c r="I32" i="11"/>
  <c r="J32" i="4"/>
  <c r="I150" i="3"/>
  <c r="I46" i="6"/>
  <c r="I84" i="5"/>
  <c r="I80" i="5"/>
  <c r="I37" i="6"/>
  <c r="I48" i="11"/>
  <c r="I75" i="4"/>
  <c r="I81" i="5"/>
  <c r="J79" i="5"/>
  <c r="I99" i="4"/>
  <c r="I36" i="5"/>
  <c r="J171" i="3"/>
  <c r="J170" i="4"/>
  <c r="I35" i="6"/>
  <c r="I35" i="4"/>
  <c r="J76" i="4"/>
  <c r="J30" i="11"/>
  <c r="I151" i="4"/>
  <c r="I22" i="6"/>
  <c r="I34" i="6"/>
  <c r="J126" i="3"/>
  <c r="I41" i="5"/>
  <c r="I128" i="3"/>
  <c r="I36" i="6"/>
  <c r="D50" i="11" a="1"/>
  <c r="I50" i="6"/>
  <c r="J124" i="4"/>
  <c r="I80" i="4"/>
  <c r="I85" i="5"/>
  <c r="I38" i="6"/>
  <c r="I25" i="6"/>
  <c r="I78" i="5"/>
  <c r="I173" i="3"/>
  <c r="I86" i="5"/>
  <c r="J29" i="11"/>
  <c r="I23" i="6"/>
  <c r="I49" i="6"/>
  <c r="I123" i="4"/>
  <c r="J53" i="4"/>
  <c r="J149" i="4"/>
  <c r="I170" i="3"/>
  <c r="I26" i="6"/>
  <c r="I83" i="5"/>
  <c r="I104" i="4"/>
  <c r="D50" i="11" l="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25" i="6"/>
  <c r="I33" i="5"/>
  <c r="I151" i="3"/>
  <c r="I50" i="11"/>
  <c r="I68" i="5"/>
  <c r="I66" i="5"/>
  <c r="I32" i="5"/>
  <c r="J119" i="4"/>
  <c r="I129" i="4"/>
  <c r="I29" i="4"/>
  <c r="I119" i="3"/>
  <c r="I69" i="4"/>
  <c r="I102" i="3"/>
  <c r="I121" i="3"/>
  <c r="I50" i="4"/>
  <c r="I140" i="3"/>
  <c r="I93" i="4"/>
  <c r="J36" i="6"/>
  <c r="J173" i="4"/>
  <c r="J30" i="5"/>
  <c r="I144" i="3"/>
  <c r="J35" i="6"/>
  <c r="I145" i="3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J71" i="4"/>
  <c r="J63" i="5"/>
  <c r="J85" i="5"/>
  <c r="J80" i="4"/>
  <c r="I139" i="3"/>
  <c r="J173" i="3"/>
  <c r="I123" i="3"/>
  <c r="J86" i="5"/>
  <c r="I69" i="5"/>
  <c r="I166" i="3"/>
  <c r="I147" i="4"/>
  <c r="I116" i="4"/>
  <c r="J148" i="3"/>
  <c r="J49" i="4"/>
  <c r="I143" i="3"/>
  <c r="I174" i="3"/>
  <c r="I73" i="5"/>
  <c r="J41" i="5"/>
  <c r="I29" i="5"/>
  <c r="J150" i="3"/>
  <c r="I167" i="3"/>
  <c r="J128" i="3"/>
  <c r="J50" i="6"/>
  <c r="I142" i="4"/>
  <c r="I120" i="4"/>
  <c r="J24" i="6"/>
  <c r="I70" i="5"/>
  <c r="I62" i="5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142" i="3"/>
  <c r="J83" i="5"/>
  <c r="I65" i="5"/>
  <c r="J78" i="5"/>
  <c r="J36" i="5"/>
  <c r="J35" i="4"/>
  <c r="I31" i="5"/>
  <c r="I103" i="3"/>
  <c r="I146" i="4"/>
  <c r="I56" i="5" l="1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6" i="4"/>
  <c r="F137" i="4" s="1"/>
  <c r="F110" i="4"/>
  <c r="F111" i="4" s="1"/>
  <c r="J118" i="4"/>
  <c r="J121" i="4"/>
  <c r="J166" i="4"/>
  <c r="J141" i="3"/>
  <c r="J101" i="3"/>
  <c r="J164" i="3"/>
  <c r="J97" i="4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142" i="4"/>
  <c r="J144" i="4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D150" i="5" l="1"/>
  <c r="D155" i="5" s="1"/>
  <c r="C152" i="5"/>
  <c r="C153" i="5" s="1"/>
  <c r="D157" i="5"/>
  <c r="D158" i="5" s="1"/>
  <c r="I130" i="5"/>
  <c r="I157" i="5"/>
  <c r="C133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2" i="4"/>
  <c r="C64" i="4"/>
  <c r="F62" i="4"/>
  <c r="F63" i="4" s="1"/>
  <c r="D62" i="4"/>
  <c r="C62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0" i="4"/>
  <c r="F21" i="4" s="1"/>
  <c r="F41" i="4"/>
  <c r="F42" i="4" s="1"/>
  <c r="C42" i="4"/>
  <c r="D41" i="4"/>
  <c r="C41" i="4"/>
  <c r="D20" i="4"/>
  <c r="C21" i="4"/>
  <c r="G33" i="4"/>
  <c r="H20" i="4" l="1"/>
  <c r="H21" i="4" s="1"/>
  <c r="C43" i="4"/>
  <c r="C22" i="4"/>
  <c r="I41" i="4"/>
  <c r="I42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<sst xmlns="http://schemas.openxmlformats.org/spreadsheetml/2006/main" count="678" uniqueCount="136">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</sst>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J24" sqref="J24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3" s="77" customFormat="1" ht="21" customHeight="1" x14ac:dyDescent="0.3">
      <c r="H1" s="78"/>
      <c r="K1" s="78"/>
      <c r="N1" s="78"/>
      <c r="Q1" s="78"/>
      <c r="T1" s="78"/>
      <c r="W1" s="78"/>
    </row>
    <row r="2" spans="1:23" s="77" customFormat="1" ht="31.2" x14ac:dyDescent="0.3">
      <c r="C2" s="90" t="s">
        <v>134</v>
      </c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78"/>
      <c r="T2" s="78"/>
      <c r="W2" s="78"/>
    </row>
    <row r="3" spans="1:23" s="79" customFormat="1" ht="16.8" customHeight="1" x14ac:dyDescent="0.3">
      <c r="B3" s="77" t="s">
        <v>108</v>
      </c>
    </row>
    <row r="4" spans="1:23" s="77" customFormat="1" ht="21" hidden="1" customHeight="1" x14ac:dyDescent="0.3">
      <c r="H4" s="78"/>
      <c r="K4" s="78"/>
      <c r="N4" s="78"/>
      <c r="Q4" s="78"/>
      <c r="T4" s="78"/>
      <c r="W4" s="78"/>
    </row>
    <row r="5" spans="1:23" s="77" customFormat="1" ht="21" hidden="1" customHeight="1" x14ac:dyDescent="0.3">
      <c r="H5" s="78"/>
      <c r="K5" s="78"/>
      <c r="N5" s="78"/>
      <c r="Q5" s="78"/>
      <c r="T5" s="78"/>
      <c r="W5" s="78"/>
    </row>
    <row r="6" spans="1:23" s="77" customFormat="1" ht="21" hidden="1" customHeight="1" x14ac:dyDescent="0.3">
      <c r="H6" s="78"/>
      <c r="K6" s="78"/>
      <c r="N6" s="78"/>
      <c r="Q6" s="78"/>
      <c r="T6" s="78"/>
      <c r="W6" s="78"/>
    </row>
    <row r="7" spans="1:23" s="77" customFormat="1" ht="21" hidden="1" customHeight="1" x14ac:dyDescent="0.3">
      <c r="H7" s="78"/>
      <c r="K7" s="78"/>
      <c r="N7" s="78"/>
      <c r="Q7" s="78"/>
      <c r="T7" s="78"/>
      <c r="W7" s="78"/>
    </row>
    <row r="8" spans="1:23" s="77" customFormat="1" ht="21" hidden="1" customHeight="1" x14ac:dyDescent="0.3">
      <c r="H8" s="78"/>
      <c r="K8" s="78"/>
      <c r="N8" s="78"/>
      <c r="Q8" s="78"/>
      <c r="T8" s="78"/>
      <c r="W8" s="78"/>
    </row>
    <row r="9" spans="1:23" s="77" customFormat="1" ht="21" hidden="1" customHeight="1" x14ac:dyDescent="0.3">
      <c r="H9" s="78"/>
      <c r="K9" s="78"/>
      <c r="N9" s="78"/>
      <c r="Q9" s="78"/>
      <c r="T9" s="78"/>
      <c r="W9" s="78"/>
    </row>
    <row r="10" spans="1:23" s="77" customFormat="1" ht="21" hidden="1" customHeight="1" x14ac:dyDescent="0.3">
      <c r="H10" s="78"/>
      <c r="K10" s="78"/>
      <c r="N10" s="78"/>
      <c r="Q10" s="78"/>
      <c r="T10" s="78"/>
      <c r="W10" s="78"/>
    </row>
    <row r="11" spans="1:23" s="77" customFormat="1" ht="21" hidden="1" customHeight="1" x14ac:dyDescent="0.3">
      <c r="H11" s="78"/>
      <c r="K11" s="78"/>
      <c r="N11" s="78"/>
      <c r="Q11" s="78"/>
      <c r="T11" s="78"/>
      <c r="W11" s="78"/>
    </row>
    <row r="12" spans="1:23" s="77" customFormat="1" hidden="1" x14ac:dyDescent="0.3">
      <c r="H12" s="78"/>
      <c r="K12" s="78"/>
      <c r="N12" s="78"/>
      <c r="Q12" s="78"/>
      <c r="T12" s="78"/>
      <c r="W12" s="78"/>
    </row>
    <row r="13" spans="1:23" customFormat="1" ht="21" customHeight="1" x14ac:dyDescent="0.3">
      <c r="A13" s="76"/>
    </row>
    <row r="14" spans="1:23" s="61" customFormat="1" ht="31.2" x14ac:dyDescent="0.3">
      <c r="A14" s="67"/>
    </row>
    <row r="15" spans="1:23" ht="31.2" x14ac:dyDescent="0.3">
      <c r="B15" s="47"/>
      <c r="C15" s="95" t="s">
        <v>116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61"/>
      <c r="P15" s="60"/>
      <c r="Q15" s="61"/>
      <c r="R15" s="61"/>
      <c r="S15" s="60"/>
    </row>
    <row r="16" spans="1:23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18</v>
      </c>
      <c r="L16" s="45" t="s">
        <v>35</v>
      </c>
      <c r="M16" s="45" t="s">
        <v>50</v>
      </c>
      <c r="N16" s="45"/>
      <c r="O16" s="61"/>
      <c r="P16" s="60"/>
      <c r="Q16" s="61"/>
      <c r="R16" s="61"/>
      <c r="S16" s="60"/>
    </row>
    <row r="17" spans="1:19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 t="s">
        <v>128</v>
      </c>
      <c r="O17" s="61"/>
      <c r="P17" s="60"/>
      <c r="Q17" s="61"/>
      <c r="R17" s="61"/>
      <c r="S17" s="60"/>
    </row>
    <row r="18" spans="1:19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19" ht="31.2" x14ac:dyDescent="0.3">
      <c r="A20" s="41"/>
      <c r="B20"/>
      <c r="C20" s="95" t="s">
        <v>117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P20" s="60"/>
      <c r="Q20" s="44"/>
      <c r="S20" s="60"/>
    </row>
    <row r="21" spans="1:19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19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19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19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19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19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19" ht="31.2" customHeight="1" x14ac:dyDescent="0.3">
      <c r="A27" s="40"/>
      <c r="B27"/>
      <c r="C27" s="93" t="s">
        <v>103</v>
      </c>
      <c r="D27" s="94"/>
      <c r="E27" s="61"/>
      <c r="F27" s="93" t="s">
        <v>0</v>
      </c>
      <c r="G27" s="94"/>
      <c r="H27" s="61"/>
      <c r="I27" s="93" t="s">
        <v>39</v>
      </c>
      <c r="J27" s="94"/>
      <c r="K27" s="61"/>
      <c r="L27" s="93" t="s">
        <v>54</v>
      </c>
      <c r="M27" s="94"/>
      <c r="N27" s="61"/>
      <c r="O27" s="93" t="s">
        <v>69</v>
      </c>
      <c r="P27" s="94"/>
    </row>
    <row r="28" spans="1:19" ht="21" customHeight="1" x14ac:dyDescent="0.3">
      <c r="A28" s="40"/>
      <c r="B28"/>
      <c r="C28" s="91">
        <f ca="1">_xlfn.SHEET("إعدادات")</f>
        <v>1</v>
      </c>
      <c r="D28" s="92"/>
      <c r="F28" s="91">
        <f ca="1">_xlfn.SHEET("وحدات سفلية")</f>
        <v>4</v>
      </c>
      <c r="G28" s="92"/>
      <c r="H28" s="44"/>
      <c r="I28" s="91">
        <f ca="1">_xlfn.SHEET("وحدات علوية")</f>
        <v>5</v>
      </c>
      <c r="J28" s="92"/>
      <c r="K28" s="44"/>
      <c r="L28" s="91">
        <f ca="1">_xlfn.SHEET("دواليب")</f>
        <v>6</v>
      </c>
      <c r="M28" s="92"/>
      <c r="N28" s="44"/>
      <c r="O28" s="91">
        <f ca="1">_xlfn.SHEET("تجاليد")</f>
        <v>7</v>
      </c>
      <c r="P28" s="92"/>
    </row>
    <row r="29" spans="1:19" ht="21" customHeight="1" x14ac:dyDescent="0.3">
      <c r="A29" s="40"/>
      <c r="B29"/>
      <c r="C29" s="48" t="str">
        <f>K16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19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19" ht="21" customHeight="1" x14ac:dyDescent="0.3">
      <c r="A31" s="40"/>
      <c r="B31"/>
      <c r="C31" s="53" t="str">
        <f>M16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19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52"/>
  <sheetViews>
    <sheetView zoomScale="66" zoomScaleNormal="85" workbookViewId="0">
      <pane ySplit="12" topLeftCell="A25" activePane="bottomLeft" state="frozen"/>
      <selection pane="bottomLeft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1" customFormat="1" x14ac:dyDescent="0.3">
      <c r="B1" s="81">
        <v>2</v>
      </c>
    </row>
    <row r="2" spans="1:15" s="81" customFormat="1" ht="31.2" x14ac:dyDescent="0.3">
      <c r="B2" s="81" t="s">
        <v>109</v>
      </c>
      <c r="D2" s="98" t="s">
        <v>132</v>
      </c>
      <c r="E2" s="98"/>
      <c r="F2" s="98"/>
      <c r="G2" s="98"/>
      <c r="H2" s="98"/>
      <c r="I2" s="98"/>
      <c r="J2" s="98"/>
      <c r="K2" s="98"/>
    </row>
    <row r="3" spans="1:15" s="81" customFormat="1" x14ac:dyDescent="0.3">
      <c r="B3" s="81" t="s">
        <v>108</v>
      </c>
    </row>
    <row r="4" spans="1:15" s="81" customFormat="1" ht="21" x14ac:dyDescent="0.4">
      <c r="D4" s="96" t="s">
        <v>131</v>
      </c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</row>
    <row r="5" spans="1:15" s="81" customFormat="1" x14ac:dyDescent="0.3">
      <c r="D5" s="80" cm="1">
        <f t="array" ref="D5:O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</v>
      </c>
      <c r="M5" s="80" t="str">
        <v>CPL</v>
      </c>
      <c r="N5" s="80" t="str">
        <v>ظهر</v>
      </c>
      <c r="O5" s="80">
        <v>0</v>
      </c>
    </row>
    <row r="6" spans="1:15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 t="str">
        <v>الرقم</v>
      </c>
    </row>
    <row r="7" spans="1:15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5" s="81" customFormat="1" ht="23.4" x14ac:dyDescent="0.45">
      <c r="D8" s="97" t="s">
        <v>117</v>
      </c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</row>
    <row r="9" spans="1:15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5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5" s="81" customFormat="1" x14ac:dyDescent="0.3"/>
    <row r="12" spans="1:15" s="81" customFormat="1" ht="26.4" customHeight="1" x14ac:dyDescent="0.3"/>
    <row r="13" spans="1:15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99" t="s">
        <v>110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99" t="s">
        <v>111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</sheetData>
  <mergeCells count="5"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5" sqref="H25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8.88671875" style="36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6" t="s">
        <v>133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70" t="s">
        <v>0</v>
      </c>
      <c r="S3" s="70" t="s">
        <v>70</v>
      </c>
      <c r="T3" s="70" t="s">
        <v>39</v>
      </c>
      <c r="U3" s="70" t="s">
        <v>54</v>
      </c>
      <c r="V3" s="7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4" t="s">
        <v>131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R4" s="70">
        <v>1</v>
      </c>
      <c r="S4" s="70">
        <v>2</v>
      </c>
      <c r="T4" s="70">
        <v>3</v>
      </c>
      <c r="U4" s="70">
        <v>4</v>
      </c>
      <c r="V4" s="70">
        <v>5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P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</v>
      </c>
      <c r="N5" s="72" t="str">
        <v>CPL</v>
      </c>
      <c r="O5" s="72" t="str">
        <v>ظهر</v>
      </c>
      <c r="P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05" t="s">
        <v>117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abSelected="1" zoomScale="68" zoomScaleNormal="85" workbookViewId="0">
      <pane ySplit="12" topLeftCell="A151" activePane="bottomLeft" state="frozen"/>
      <selection activeCell="B1" sqref="B1"/>
      <selection pane="bottomLeft" activeCell="K156" sqref="K156"/>
    </sheetView>
  </sheetViews>
  <sheetFormatPr defaultRowHeight="15.6" x14ac:dyDescent="0.3"/>
  <cols>
    <col min="1" max="1" width="8.21875" style="40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x14ac:dyDescent="0.3">
      <c r="A1" s="85">
        <v>13</v>
      </c>
      <c r="B1" s="84">
        <v>7</v>
      </c>
    </row>
    <row r="2" spans="1:75" s="85" customFormat="1" ht="37.200000000000003" customHeight="1" x14ac:dyDescent="0.3">
      <c r="A2" s="85">
        <v>30</v>
      </c>
      <c r="B2" s="86" t="s">
        <v>79</v>
      </c>
      <c r="C2" s="108" t="s">
        <v>0</v>
      </c>
      <c r="D2" s="108"/>
      <c r="E2" s="108"/>
      <c r="F2" s="108"/>
      <c r="G2" s="108"/>
      <c r="H2" s="108"/>
      <c r="I2" s="108"/>
      <c r="J2" s="108"/>
      <c r="K2" s="108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99" t="s">
        <v>135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 cm="1">
        <f t="array" aca="1" ref="G32"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1" t="s">
        <v>93</v>
      </c>
      <c r="C35" s="12">
        <v>1</v>
      </c>
      <c r="D35" s="20" t="s">
        <v>51</v>
      </c>
      <c r="E35" s="99" t="s">
        <v>112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02" t="s">
        <v>115</v>
      </c>
      <c r="K39" s="103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1" t="s">
        <v>89</v>
      </c>
      <c r="C70" s="12">
        <v>1</v>
      </c>
      <c r="D70" s="20" t="s">
        <v>51</v>
      </c>
      <c r="E70" s="99" t="s">
        <v>130</v>
      </c>
      <c r="F70" s="100"/>
      <c r="G70" s="100"/>
      <c r="H70" s="101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99" t="s">
        <v>22</v>
      </c>
      <c r="F90" s="100"/>
      <c r="G90" s="100"/>
      <c r="H90" s="101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visible(I93-0.5-G93, K105)</f>
        <v>74</v>
      </c>
      <c r="G105" s="9">
        <f>visible(H93-56-3,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visible(I94-0.5-G93, K106)</f>
        <v>74</v>
      </c>
      <c r="G106" s="9">
        <f>visible(H94-56-3,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99" t="s">
        <v>25</v>
      </c>
      <c r="F111" s="100"/>
      <c r="G111" s="100"/>
      <c r="H111" s="101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visible(I114-0.5-E114, K126)</f>
        <v>74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99" t="s">
        <v>71</v>
      </c>
      <c r="F131" s="100"/>
      <c r="G131" s="100"/>
      <c r="H131" s="101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visible(H134-0.5, K148)</f>
        <v>59.5</v>
      </c>
      <c r="G148" s="9">
        <f ca="1">visible(I134-G134-60.5,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6" x14ac:dyDescent="0.3">
      <c r="A154" s="41" t="s">
        <v>92</v>
      </c>
      <c r="C154" s="12">
        <v>1</v>
      </c>
      <c r="D154" s="20" t="s">
        <v>51</v>
      </c>
      <c r="E154" s="99" t="s">
        <v>95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visible(I157-0.5-E157-G171, K170)</f>
        <v>59</v>
      </c>
      <c r="G170" s="9">
        <f>visible((H157/C157)-0.5, K170)</f>
        <v>29.5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visible(H157-0.5, K171)</f>
        <v>59.5</v>
      </c>
      <c r="G171" s="9">
        <f ca="1">visible(I157-E157-59.5, K171)</f>
        <v>15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E17:H17"/>
    <mergeCell ref="E35:H35"/>
    <mergeCell ref="J39:K39"/>
    <mergeCell ref="E70:H70"/>
    <mergeCell ref="C4:N4"/>
    <mergeCell ref="C7:N7"/>
    <mergeCell ref="C2:K2"/>
    <mergeCell ref="E90:H90"/>
    <mergeCell ref="E154:H154"/>
    <mergeCell ref="E131:H131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54" activePane="bottomLeft" state="frozen"/>
      <selection activeCell="B1" sqref="B1"/>
      <selection pane="bottomLeft" activeCell="F171" sqref="F171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08" t="s">
        <v>39</v>
      </c>
      <c r="D2" s="108"/>
      <c r="E2" s="108"/>
      <c r="F2" s="108"/>
      <c r="G2" s="108"/>
      <c r="H2" s="108"/>
      <c r="I2" s="108"/>
      <c r="J2" s="108"/>
      <c r="K2" s="108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99" t="s">
        <v>40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2">
        <v>1</v>
      </c>
      <c r="C18" s="7" t="s">
        <v>48</v>
      </c>
      <c r="D18" s="7" t="s">
        <v>49</v>
      </c>
      <c r="E18" s="16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2">
        <v>1</v>
      </c>
      <c r="C19" s="8">
        <v>1</v>
      </c>
      <c r="D19" s="8">
        <v>0</v>
      </c>
      <c r="E19" s="8">
        <v>1</v>
      </c>
      <c r="F19" s="25" cm="1">
        <f t="array" aca="1" ref="F19" ca="1">defaultValue(F18,K17)</f>
        <v>3.5</v>
      </c>
      <c r="G19" s="25" cm="1">
        <f t="array" aca="1" ref="G19" ca="1">defaultValue(G18,K17)</f>
        <v>0</v>
      </c>
      <c r="H19" s="8"/>
      <c r="I19" s="25" cm="1">
        <f t="array" aca="1" ref="I19" ca="1">defaultValue(I18,K17)</f>
        <v>70</v>
      </c>
      <c r="J19" s="25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9" t="b">
        <f>C19=0</f>
        <v>0</v>
      </c>
      <c r="D20" s="9" t="b">
        <f>D19=0</f>
        <v>1</v>
      </c>
      <c r="E20" s="7" t="s">
        <v>72</v>
      </c>
      <c r="F20" s="114" t="b">
        <f ca="1">NOT(AND(F19&gt;0,G19&gt;0))</f>
        <v>1</v>
      </c>
      <c r="G20" s="114"/>
      <c r="H20" s="3" t="b">
        <f>_xlfn.XOR(H19&lt;=50,C21=2)</f>
        <v>1</v>
      </c>
      <c r="I20" s="38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113">
        <f>C19+D19</f>
        <v>1</v>
      </c>
      <c r="D21" s="113"/>
      <c r="E21" s="24">
        <v>10</v>
      </c>
      <c r="F21" s="115" t="str">
        <f ca="1">IF(F20,"المقابض مظبوطة","مينفعش مقبض مخفي مع بيلت ان")</f>
        <v>المقابض مظبوطة</v>
      </c>
      <c r="G21" s="115"/>
      <c r="H21" s="114" t="str">
        <f>IF(H20,"عدد الدلف صحيح","عدد الدلف غير صحيح")</f>
        <v>عدد الدلف صحيح</v>
      </c>
      <c r="I21" s="114"/>
      <c r="J21" s="114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4" t="b">
        <f>C21&lt;=2</f>
        <v>1</v>
      </c>
      <c r="D22" s="114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2">
        <v>1</v>
      </c>
      <c r="C23" s="8"/>
      <c r="D23" s="25" t="str" cm="1">
        <f t="array" aca="1" ref="D23" ca="1">defaultValue(E23,K17)</f>
        <v>ظهر</v>
      </c>
      <c r="E23" s="7" t="s">
        <v>50</v>
      </c>
      <c r="F23" s="25" t="str" cm="1">
        <f t="array" aca="1" ref="F23" ca="1">defaultValue(G23,K17)</f>
        <v>يوفيلاك</v>
      </c>
      <c r="G23" s="7" t="s">
        <v>28</v>
      </c>
      <c r="H23" s="25" t="str" cm="1">
        <f t="array" aca="1" ref="H23" ca="1">defaultValue(I23,K17)</f>
        <v>HPL</v>
      </c>
      <c r="I23" s="7" t="s">
        <v>27</v>
      </c>
      <c r="J23" s="23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visible(H19-3.6, K27)</f>
        <v>-3.6</v>
      </c>
      <c r="G27" s="6">
        <f ca="1">visible(J19-E21,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visible(H19-3.6, K28)</f>
        <v>-3.6</v>
      </c>
      <c r="G28" s="6">
        <f ca="1">visible(J19-G19-E21,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visible(I19, K29)</f>
        <v>70</v>
      </c>
      <c r="G29" s="6">
        <f ca="1">visible(J19,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visible(H19-3.8, K30)</f>
        <v>-3.8</v>
      </c>
      <c r="G30" s="6">
        <f ca="1">visible(J19-5-E21, K30)</f>
        <v>15</v>
      </c>
      <c r="H30" s="6">
        <f>visible(E19*C17,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visible(I19-0.5-F19, K32)</f>
        <v>66</v>
      </c>
      <c r="G32" s="9">
        <f>visible((H19/C21)-0.5, K32)</f>
        <v>-0.5</v>
      </c>
      <c r="H32" s="9">
        <f>visible(C19*C17,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NOT(C20)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visible(I19-0.5, K33)</f>
        <v>69.5</v>
      </c>
      <c r="G33" s="9">
        <f>visible((H19/C21)-0.7, K33)</f>
        <v>-0.7</v>
      </c>
      <c r="H33" s="9">
        <f>visible(C17*D19,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visible(D23, K35)</f>
        <v>ظهر</v>
      </c>
      <c r="E35" s="17" t="str">
        <f>visible("ظهر", K35)</f>
        <v>ظهر</v>
      </c>
      <c r="F35" s="17">
        <f ca="1">visible(I19-2, K35)</f>
        <v>68</v>
      </c>
      <c r="G35" s="17">
        <f>visible(H19-2,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99" t="s">
        <v>46</v>
      </c>
      <c r="F38" s="100"/>
      <c r="G38" s="100"/>
      <c r="H38" s="101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2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2">
        <v>1</v>
      </c>
      <c r="C40" s="8">
        <v>2</v>
      </c>
      <c r="D40" s="8">
        <v>0</v>
      </c>
      <c r="E40" s="7">
        <v>1</v>
      </c>
      <c r="F40" s="25" cm="1">
        <f t="array" aca="1" ref="F40" ca="1">defaultValue(F39,K38)</f>
        <v>3.5</v>
      </c>
      <c r="G40" s="25" cm="1">
        <f t="array" aca="1" ref="G40" ca="1">defaultValue(G39,K38)</f>
        <v>0</v>
      </c>
      <c r="H40" s="8"/>
      <c r="I40" s="25" cm="1">
        <f t="array" aca="1" ref="I40" ca="1">defaultValue(I39,K38)</f>
        <v>70</v>
      </c>
      <c r="J40" s="25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9" t="b">
        <f>C40=0</f>
        <v>0</v>
      </c>
      <c r="D41" s="9" t="b">
        <f>D40=0</f>
        <v>1</v>
      </c>
      <c r="E41" s="7" t="s">
        <v>72</v>
      </c>
      <c r="F41" s="116" t="b">
        <f ca="1">NOT(AND(F40&gt;0,G40&gt;0))</f>
        <v>1</v>
      </c>
      <c r="G41" s="116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2">
        <v>1</v>
      </c>
      <c r="C42" s="113">
        <f>C40+D40</f>
        <v>2</v>
      </c>
      <c r="D42" s="113"/>
      <c r="E42" s="7">
        <v>0</v>
      </c>
      <c r="F42" s="117" t="str">
        <f ca="1">IF(F41,"المقابض مظبوطة","مينفعش مقبض مخفي مع بيلت ان")</f>
        <v>المقابض مظبوطة</v>
      </c>
      <c r="G42" s="117"/>
      <c r="H42" s="27"/>
      <c r="I42" s="29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2">
        <v>1</v>
      </c>
      <c r="C43" s="114" t="b">
        <f>C42&lt;=2</f>
        <v>1</v>
      </c>
      <c r="D43" s="114"/>
      <c r="E43" s="38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2">
        <v>1</v>
      </c>
      <c r="C44" s="8"/>
      <c r="D44" s="25" t="str" cm="1">
        <f t="array" aca="1" ref="D44" ca="1">defaultValue(E44,K38)</f>
        <v>ظهر</v>
      </c>
      <c r="E44" s="7" t="s">
        <v>50</v>
      </c>
      <c r="F44" s="25" t="str" cm="1">
        <f t="array" aca="1" ref="F44" ca="1">defaultValue(G44,K38)</f>
        <v>يوفيلاك</v>
      </c>
      <c r="G44" s="7" t="s">
        <v>28</v>
      </c>
      <c r="H44" s="25" t="str" cm="1">
        <f t="array" aca="1" ref="H44" ca="1">defaultValue(I44,K38)</f>
        <v>HPL</v>
      </c>
      <c r="I44" s="7" t="s">
        <v>27</v>
      </c>
      <c r="J44" s="23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visible(H40-3.6, K48)</f>
        <v>-3.6</v>
      </c>
      <c r="G48" s="6">
        <f ca="1">visible(J40-E42,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visible(H40-3.6, K49)</f>
        <v>-3.6</v>
      </c>
      <c r="G49" s="6">
        <f ca="1">visible(J40-G40-E42,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visible(I40, K50)</f>
        <v>70</v>
      </c>
      <c r="G50" s="6">
        <f ca="1">visible(J40,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visible((H40-3.6)*E40, K51)</f>
        <v>-3.6</v>
      </c>
      <c r="G51" s="6">
        <f ca="1">visible((J40-2.5-E42)*E40, K51)</f>
        <v>27.5</v>
      </c>
      <c r="H51" s="6">
        <f>visible(E40*C38,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visible((I40/C42)-0.5-F40, K53)</f>
        <v>31</v>
      </c>
      <c r="G53" s="9">
        <f>visible(H40-0.5, K53)</f>
        <v>-0.5</v>
      </c>
      <c r="H53" s="9">
        <f>visible(C40*C38,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visible((I40/C42)-0.5, K54)</f>
        <v>34.5</v>
      </c>
      <c r="G54" s="9">
        <f>visible(H40-0.7, K54)</f>
        <v>-0.7</v>
      </c>
      <c r="H54" s="9">
        <f>visible(C38*D40, K54)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visible(D44, K56)</f>
        <v>ظهر</v>
      </c>
      <c r="E56" s="17" t="str">
        <f>visible("ظهر", K56)</f>
        <v>ظهر</v>
      </c>
      <c r="F56" s="17">
        <f ca="1">visible(I40-2, K56)</f>
        <v>68</v>
      </c>
      <c r="G56" s="17">
        <f>visible(H40-2,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99" t="s">
        <v>41</v>
      </c>
      <c r="F59" s="100"/>
      <c r="G59" s="100"/>
      <c r="H59" s="101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2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2">
        <v>1</v>
      </c>
      <c r="C61" s="8">
        <v>2</v>
      </c>
      <c r="D61" s="8"/>
      <c r="E61" s="8">
        <v>1</v>
      </c>
      <c r="F61" s="25" cm="1">
        <f t="array" aca="1" ref="F61" ca="1">defaultValue(F60,K59)</f>
        <v>3.5</v>
      </c>
      <c r="G61" s="25" cm="1">
        <f t="array" aca="1" ref="G61" ca="1">defaultValue(G60,K59)</f>
        <v>0</v>
      </c>
      <c r="H61" s="8"/>
      <c r="I61" s="25" cm="1">
        <f t="array" aca="1" ref="I61" ca="1">defaultValue(I60,K59)</f>
        <v>70</v>
      </c>
      <c r="J61" s="25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4" t="b">
        <f ca="1">NOT(AND(F61&gt;0,G61&gt;0))</f>
        <v>1</v>
      </c>
      <c r="G62" s="111"/>
      <c r="H62" s="3" t="b">
        <f>_xlfn.XOR(H61&lt;=50,C63=2)</f>
        <v>0</v>
      </c>
      <c r="I62" s="42" t="s">
        <v>97</v>
      </c>
      <c r="J62" s="43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2">
        <v>1</v>
      </c>
      <c r="C63" s="113">
        <f>C61+D61</f>
        <v>2</v>
      </c>
      <c r="D63" s="113"/>
      <c r="E63" s="7" t="s">
        <v>72</v>
      </c>
      <c r="F63" s="118" t="str">
        <f ca="1">IF(F62,"المقابض مظبوطة","مينفعش مقبض مخفي مع بيلت ان")</f>
        <v>المقابض مظبوطة</v>
      </c>
      <c r="G63" s="118"/>
      <c r="H63" s="30" t="str">
        <f>IF(H62,"عدد الدلف صحيح","عدد الدلف غير صحيح")</f>
        <v>عدد الدلف غير صحيح</v>
      </c>
      <c r="I63" s="42">
        <v>30</v>
      </c>
      <c r="J63" s="43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2">
        <v>1</v>
      </c>
      <c r="C64" s="114" t="b">
        <f>C63&lt;=2</f>
        <v>1</v>
      </c>
      <c r="D64" s="114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2">
        <v>1</v>
      </c>
      <c r="B65" s="1"/>
      <c r="C65" s="8"/>
      <c r="D65" s="25" t="str" cm="1">
        <f t="array" aca="1" ref="D65" ca="1">defaultValue(E65,K59)</f>
        <v>ظهر</v>
      </c>
      <c r="E65" s="7" t="s">
        <v>50</v>
      </c>
      <c r="F65" s="25" t="str" cm="1">
        <f t="array" aca="1" ref="F65" ca="1">defaultValue(G65,K59)</f>
        <v>يوفيلاك</v>
      </c>
      <c r="G65" s="7" t="s">
        <v>28</v>
      </c>
      <c r="H65" s="25" t="str" cm="1">
        <f t="array" aca="1" ref="H65" ca="1">defaultValue(I65,K59)</f>
        <v>HPL</v>
      </c>
      <c r="I65" s="7" t="s">
        <v>27</v>
      </c>
      <c r="J65" s="23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visible(H61-3.6, K69)</f>
        <v>-3.6</v>
      </c>
      <c r="G69" s="6">
        <f ca="1">visible(J61-E64,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visible(H61-3.6, K70)</f>
        <v>-3.6</v>
      </c>
      <c r="G70" s="6">
        <f ca="1">visible(J61-G61-E64,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visible(I61, K71)</f>
        <v>70</v>
      </c>
      <c r="G71" s="6">
        <f ca="1">visible(J61,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visible(H61-3.8, K72)</f>
        <v>-3.8</v>
      </c>
      <c r="G72" s="6">
        <f ca="1">visible(J61-6-E64, K72)</f>
        <v>24</v>
      </c>
      <c r="H72" s="6">
        <f>visible(E61*C59,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visible(I61, K73)</f>
        <v>70</v>
      </c>
      <c r="G73" s="6">
        <f>visible(I63,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visible(I61-0.5-F61, K75)</f>
        <v>66</v>
      </c>
      <c r="G75" s="9">
        <f>visible((H61-I63-J63)/C61-0.5, K75)</f>
        <v>-17.5</v>
      </c>
      <c r="H75" s="9">
        <f>visible(C61*C59,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visible(I61, K76)</f>
        <v>70</v>
      </c>
      <c r="G76" s="9">
        <f>visible(J63,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visible(I61-0.5, K78)</f>
        <v>69.5</v>
      </c>
      <c r="G78" s="9" t="e">
        <f>visible((H61-I63-J63)/D61-0.7, K78)</f>
        <v>#NAME?</v>
      </c>
      <c r="H78" s="9">
        <f>visible(C59*D61, K78)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visible(D65, K80)</f>
        <v>ظهر</v>
      </c>
      <c r="E80" s="17" t="str">
        <f>visible("ظهر", K80)</f>
        <v>ظهر</v>
      </c>
      <c r="F80" s="17">
        <f ca="1">visible(I61-2, K80)</f>
        <v>68</v>
      </c>
      <c r="G80" s="17">
        <f>visible(H61-2,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99" t="s">
        <v>99</v>
      </c>
      <c r="F83" s="100"/>
      <c r="G83" s="100"/>
      <c r="H83" s="101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2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2">
        <v>1</v>
      </c>
      <c r="C85" s="8">
        <v>1</v>
      </c>
      <c r="D85" s="8">
        <v>0</v>
      </c>
      <c r="E85" s="8">
        <v>0</v>
      </c>
      <c r="F85" s="25" cm="1">
        <f t="array" aca="1" ref="F85" ca="1">defaultValue(F84,K83)</f>
        <v>3.5</v>
      </c>
      <c r="G85" s="25" cm="1">
        <f t="array" aca="1" ref="G85" ca="1">defaultValue(G84,K83)</f>
        <v>0</v>
      </c>
      <c r="H85" s="8"/>
      <c r="I85" s="25" cm="1">
        <f t="array" aca="1" ref="I85" ca="1">defaultValue(I84,K83)</f>
        <v>70</v>
      </c>
      <c r="J85" s="25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4" t="b">
        <f ca="1">NOT(AND(F85&gt;0,G85&gt;0))</f>
        <v>1</v>
      </c>
      <c r="G86" s="111"/>
      <c r="H86" s="3" t="b">
        <f ca="1">_xlfn.XOR(I85&lt;=50,C87=2)</f>
        <v>0</v>
      </c>
      <c r="I86" s="42" t="s">
        <v>97</v>
      </c>
      <c r="J86" s="43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2">
        <v>1</v>
      </c>
      <c r="C87" s="113">
        <f>C85+D85</f>
        <v>1</v>
      </c>
      <c r="D87" s="113"/>
      <c r="E87" s="7" t="s">
        <v>72</v>
      </c>
      <c r="F87" s="118" t="str">
        <f ca="1">IF(F86,"المقابض مظبوطة","مينفعش مقبض مخفي مع بيلت ان")</f>
        <v>المقابض مظبوطة</v>
      </c>
      <c r="G87" s="118"/>
      <c r="H87" s="30" t="str">
        <f ca="1">IF(H86,"عدد الدلف صحيح","عدد الدلف غير صحيح")</f>
        <v>عدد الدلف غير صحيح</v>
      </c>
      <c r="I87" s="42">
        <v>0</v>
      </c>
      <c r="J87" s="43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2">
        <v>1</v>
      </c>
      <c r="C88" s="114" t="b">
        <f>C87&lt;=2</f>
        <v>1</v>
      </c>
      <c r="D88" s="114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2">
        <v>1</v>
      </c>
      <c r="B89" s="1"/>
      <c r="C89" s="8"/>
      <c r="D89" s="25" t="str" cm="1">
        <f t="array" aca="1" ref="D89" ca="1">defaultValue(E89,K83)</f>
        <v>ظهر</v>
      </c>
      <c r="E89" s="7" t="s">
        <v>50</v>
      </c>
      <c r="F89" s="25" t="str" cm="1">
        <f t="array" aca="1" ref="F89" ca="1">defaultValue(G89,K83)</f>
        <v>يوفيلاك</v>
      </c>
      <c r="G89" s="7" t="s">
        <v>28</v>
      </c>
      <c r="H89" s="25" t="str" cm="1">
        <f t="array" aca="1" ref="H89" ca="1">defaultValue(I89,K83)</f>
        <v>HPL</v>
      </c>
      <c r="I89" s="7" t="s">
        <v>27</v>
      </c>
      <c r="J89" s="23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visible(H85-3.6, K93)</f>
        <v>-3.6</v>
      </c>
      <c r="G93" s="6">
        <f ca="1">visible(J85-E88,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visible(H85-3.6, K94)</f>
        <v>-3.6</v>
      </c>
      <c r="G94" s="6">
        <f ca="1">visible(J85-G85-E88,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visible(I85, K95)</f>
        <v>70</v>
      </c>
      <c r="G95" s="6">
        <f ca="1">visible(J85,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visible(H85-3.6, K96)</f>
        <v>-3.6</v>
      </c>
      <c r="G96" s="6">
        <f ca="1">visible(J85-6-E88, K96)</f>
        <v>24</v>
      </c>
      <c r="H96" s="6">
        <f>visible(E85*C83,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visible(I85, K97)</f>
        <v>70</v>
      </c>
      <c r="G97" s="6">
        <f>visible(I87,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visible((I85/C87)-0.5-F85, K99)</f>
        <v>66</v>
      </c>
      <c r="G99" s="9">
        <f>visible(H85-0.5-I87-J87, K99)</f>
        <v>-44.5</v>
      </c>
      <c r="H99" s="9">
        <f>visible(C85*C83,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visible(I85, K100)</f>
        <v>70</v>
      </c>
      <c r="G100" s="9">
        <f>visible(J87,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visible((I85/C87)-0.5, K102)</f>
        <v>69.5</v>
      </c>
      <c r="G102" s="9">
        <f>visible(H85-0.7-I87-J87, K102)</f>
        <v>-44.7</v>
      </c>
      <c r="H102" s="9">
        <f>visible(C83*D85, K102)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visible(D89, K104)</f>
        <v>ظهر</v>
      </c>
      <c r="E104" s="17" t="str">
        <f>visible("ظهر", K104)</f>
        <v>ظهر</v>
      </c>
      <c r="F104" s="17">
        <f ca="1">visible(I85-2, K104)</f>
        <v>68</v>
      </c>
      <c r="G104" s="17">
        <f>visible(H85-2,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99" t="s">
        <v>42</v>
      </c>
      <c r="F107" s="100"/>
      <c r="G107" s="100"/>
      <c r="H107" s="101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2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2">
        <v>1</v>
      </c>
      <c r="C109" s="8"/>
      <c r="D109" s="8">
        <v>2</v>
      </c>
      <c r="E109" s="8"/>
      <c r="F109" s="25" cm="1">
        <f t="array" aca="1" ref="F109" ca="1">defaultValue(F108,K107)</f>
        <v>3.5</v>
      </c>
      <c r="G109" s="25" cm="1">
        <f t="array" aca="1" ref="G109" ca="1">defaultValue(G108,K107)</f>
        <v>0</v>
      </c>
      <c r="H109" s="8"/>
      <c r="I109" s="25" cm="1">
        <f t="array" aca="1" ref="I109" ca="1">defaultValue(I108,K107)</f>
        <v>70</v>
      </c>
      <c r="J109" s="25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/>
      <c r="E110" s="8"/>
      <c r="F110" s="114" t="b">
        <f ca="1">NOT(AND(F109&gt;0,G109&gt;0))</f>
        <v>1</v>
      </c>
      <c r="G110" s="114"/>
      <c r="H110" s="8">
        <v>60</v>
      </c>
      <c r="I110" s="25" cm="1">
        <f t="array" aca="1" ref="I110" ca="1">defaultValue(I108,K107)</f>
        <v>70</v>
      </c>
      <c r="J110" s="25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17" t="str">
        <f ca="1">IF(F110,"المقابض مظبوطة","مينفعش مقبض مخفي مع بيلت ان")</f>
        <v>المقابض مظبوطة</v>
      </c>
      <c r="G111" s="117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2">
        <v>1</v>
      </c>
      <c r="C112" s="8"/>
      <c r="D112" s="25" t="str" cm="1">
        <f t="array" aca="1" ref="D112" ca="1">defaultValue(E112,K107)</f>
        <v>ظهر</v>
      </c>
      <c r="E112" s="7" t="s">
        <v>50</v>
      </c>
      <c r="F112" s="25" t="str" cm="1">
        <f t="array" aca="1" ref="F112" ca="1">defaultValue(G112,K107)</f>
        <v>يوفيلاك</v>
      </c>
      <c r="G112" s="7" t="s">
        <v>28</v>
      </c>
      <c r="H112" s="25" t="str" cm="1">
        <f t="array" aca="1" ref="H112" ca="1">defaultValue(I112,K107)</f>
        <v>HPL</v>
      </c>
      <c r="I112" s="7" t="s">
        <v>27</v>
      </c>
      <c r="J112" s="23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visible(H109-1.8, K116)</f>
        <v>-1.8</v>
      </c>
      <c r="G116" s="6">
        <f>visible(H110-1.8,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visible(H109-1.8, K117)</f>
        <v>-1.8</v>
      </c>
      <c r="G117" s="6">
        <f>visible(H110-1.8,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visible(I109, K118)</f>
        <v>70</v>
      </c>
      <c r="G118" s="6">
        <f ca="1">visible(J109,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visible(I110, K119)</f>
        <v>70</v>
      </c>
      <c r="G119" s="6">
        <f ca="1">visible(J110,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visible(I109,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visible(H109-3.8, K121)</f>
        <v>-3.8</v>
      </c>
      <c r="G121" s="6">
        <f>visible(H110-3.8, K121)</f>
        <v>56.2</v>
      </c>
      <c r="H121" s="6">
        <f>visible(D109*C107,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visible(I109-0.5-F109, K123)</f>
        <v>66</v>
      </c>
      <c r="G123" s="9">
        <f ca="1">visible(H109-J109-3,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visible(I110-0.5-F109, K124)</f>
        <v>66</v>
      </c>
      <c r="G124" s="9">
        <f ca="1">visible(H110-J110-3,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visible(I109-0.5, K126)</f>
        <v>69.5</v>
      </c>
      <c r="G126" s="9">
        <f ca="1">visible(H109-J109-3.3,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visible(I110-0.5, K127)</f>
        <v>69.5</v>
      </c>
      <c r="G127" s="9">
        <f ca="1">visible(H109-J109-3.3,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visible(D112, K129)</f>
        <v>ظهر</v>
      </c>
      <c r="E129" s="17" t="str">
        <f>visible("ظهر 1", K129)</f>
        <v>ظهر 1</v>
      </c>
      <c r="F129" s="17">
        <f ca="1">visible(I109-2, K129)</f>
        <v>68</v>
      </c>
      <c r="G129" s="17">
        <f>visible(H109-1,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visible(D112, K130)</f>
        <v>ظهر</v>
      </c>
      <c r="E130" s="17" t="str">
        <f>visible("ظهر 2", K130)</f>
        <v>ظهر 2</v>
      </c>
      <c r="F130" s="17">
        <f ca="1">visible(I110-2, K130)</f>
        <v>68</v>
      </c>
      <c r="G130" s="17">
        <f>visible(H110-1,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99" t="s">
        <v>43</v>
      </c>
      <c r="F133" s="100"/>
      <c r="G133" s="100"/>
      <c r="H133" s="101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2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2">
        <v>1</v>
      </c>
      <c r="C135" s="8"/>
      <c r="D135" s="8">
        <v>1</v>
      </c>
      <c r="E135" s="8"/>
      <c r="F135" s="25" cm="1">
        <f t="array" aca="1" ref="F135" ca="1">defaultValue(F134,K133)</f>
        <v>3.5</v>
      </c>
      <c r="G135" s="25" cm="1">
        <f t="array" aca="1" ref="G135" ca="1">defaultValue(G134,K133)</f>
        <v>0</v>
      </c>
      <c r="H135" s="8"/>
      <c r="I135" s="25" cm="1">
        <f t="array" aca="1" ref="I135" ca="1">defaultValue(I134,K133)</f>
        <v>70</v>
      </c>
      <c r="J135" s="25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/>
      <c r="E136" s="8"/>
      <c r="F136" s="114" t="b">
        <f ca="1">NOT(AND(F135&gt;0,G135&gt;0))</f>
        <v>1</v>
      </c>
      <c r="G136" s="114"/>
      <c r="H136" s="8"/>
      <c r="I136" s="25" cm="1">
        <f t="array" aca="1" ref="I136" ca="1">defaultValue(I134,K133)</f>
        <v>70</v>
      </c>
      <c r="J136" s="25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17" t="str">
        <f ca="1">IF(F136,"المقابض مظبوطة","مينفعش مقبض مخفي مع بيلت ان")</f>
        <v>المقابض مظبوطة</v>
      </c>
      <c r="G137" s="117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2">
        <v>1</v>
      </c>
      <c r="C138" s="8"/>
      <c r="D138" s="25" t="str" cm="1">
        <f t="array" aca="1" ref="D138" ca="1">defaultValue(E138,K133)</f>
        <v>ظهر</v>
      </c>
      <c r="E138" s="7" t="s">
        <v>50</v>
      </c>
      <c r="F138" s="25" t="str" cm="1">
        <f t="array" aca="1" ref="F138" ca="1">defaultValue(G138,K133)</f>
        <v>يوفيلاك</v>
      </c>
      <c r="G138" s="7" t="s">
        <v>28</v>
      </c>
      <c r="H138" s="25" t="str" cm="1">
        <f t="array" aca="1" ref="H138" ca="1">defaultValue(I138,K133)</f>
        <v>HPL</v>
      </c>
      <c r="I138" s="7" t="s">
        <v>27</v>
      </c>
      <c r="J138" s="23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visible(H135-1.8, K142)</f>
        <v>-1.8</v>
      </c>
      <c r="G142" s="6">
        <f>visible(H136-1.8,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visible(H135-1.8, K143)</f>
        <v>-1.8</v>
      </c>
      <c r="G143" s="6">
        <f>visible(H136-1.8,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visible(I135, K144)</f>
        <v>70</v>
      </c>
      <c r="G144" s="6">
        <f ca="1">visible(J135,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visible(I136, K145)</f>
        <v>70</v>
      </c>
      <c r="G145" s="6">
        <f ca="1">visible(J136,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visible(I135,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visible(H135-3.8, K147)</f>
        <v>-3.8</v>
      </c>
      <c r="G147" s="6">
        <f>visible(H136-3.8, K147)</f>
        <v>-3.8</v>
      </c>
      <c r="H147" s="6">
        <f>visible(D135*C133,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visible(I135-0.5-F135, K149)</f>
        <v>66</v>
      </c>
      <c r="G149" s="15">
        <f ca="1">visible((SQRT((H135-J135)^2+(H136-J136)^2))-2,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visible(D138, K151)</f>
        <v>ظهر</v>
      </c>
      <c r="E151" s="17" t="str">
        <f>visible("ظهر", K151)</f>
        <v>ظهر</v>
      </c>
      <c r="F151" s="17">
        <f ca="1">visible(I135-2, K151)</f>
        <v>68</v>
      </c>
      <c r="G151" s="17">
        <f>visible(H135-1,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99" t="s">
        <v>73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2">
        <v>1</v>
      </c>
      <c r="C155" s="7" t="s">
        <v>48</v>
      </c>
      <c r="D155" s="7" t="s">
        <v>49</v>
      </c>
      <c r="E155" s="16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2">
        <v>1</v>
      </c>
      <c r="C156" s="8">
        <v>1</v>
      </c>
      <c r="D156" s="8">
        <v>0</v>
      </c>
      <c r="E156" s="8">
        <v>2</v>
      </c>
      <c r="F156" s="25" cm="1">
        <f t="array" aca="1" ref="F156" ca="1">defaultValue(F155,K154)</f>
        <v>3.5</v>
      </c>
      <c r="G156" s="25" cm="1">
        <f t="array" aca="1" ref="G156" ca="1">defaultValue(G155,K154)</f>
        <v>0</v>
      </c>
      <c r="H156" s="8"/>
      <c r="I156" s="25" cm="1">
        <f t="array" aca="1" ref="I156" ca="1">defaultValue(I155,K154)</f>
        <v>70</v>
      </c>
      <c r="J156" s="25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38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2">
        <v>1</v>
      </c>
      <c r="C158" s="109">
        <f>C156+D156</f>
        <v>1</v>
      </c>
      <c r="D158" s="110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2">
        <v>1</v>
      </c>
      <c r="C159" s="111" t="b">
        <f>C158&lt;=2</f>
        <v>1</v>
      </c>
      <c r="D159" s="112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2">
        <v>1</v>
      </c>
      <c r="C160" s="8"/>
      <c r="D160" s="25" t="str" cm="1">
        <f t="array" aca="1" ref="D160" ca="1">defaultValue(E160,K154)</f>
        <v>ظهر</v>
      </c>
      <c r="E160" s="7" t="s">
        <v>50</v>
      </c>
      <c r="F160" s="25" t="str" cm="1">
        <f t="array" aca="1" ref="F160" ca="1">defaultValue(G160,K154)</f>
        <v>يوفيلاك</v>
      </c>
      <c r="G160" s="7" t="s">
        <v>28</v>
      </c>
      <c r="H160" s="25" t="str" cm="1">
        <f t="array" aca="1" ref="H160" ca="1">defaultValue(I160,K154)</f>
        <v>HPL</v>
      </c>
      <c r="I160" s="7" t="s">
        <v>27</v>
      </c>
      <c r="J160" s="23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visible(H156-3.6, K164)</f>
        <v>-3.6</v>
      </c>
      <c r="G164" s="6">
        <f ca="1">visible(J156-E158,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visible(H156-3.6, K165)</f>
        <v>-3.6</v>
      </c>
      <c r="G165" s="6">
        <f ca="1">visible(40-G156-E158,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visible(I156, K166)</f>
        <v>70</v>
      </c>
      <c r="G166" s="6">
        <f ca="1">visible(J156,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visible(H156-3.8, K167)</f>
        <v>-3.8</v>
      </c>
      <c r="G167" s="6">
        <f ca="1">visible(J156-5-E158, K167)</f>
        <v>25</v>
      </c>
      <c r="H167" s="6">
        <f>visible(E156*C154,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visible(H156-3.6, K168)</f>
        <v>-3.6</v>
      </c>
      <c r="G168" s="6">
        <f ca="1">visible(J156-G156-E158,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visible(I156-0.5-F156-J158, K170)</f>
        <v>34</v>
      </c>
      <c r="G170" s="9">
        <f>visible((H156/C158)-0.5, K170)</f>
        <v>-0.5</v>
      </c>
      <c r="H170" s="9">
        <f>visible(C156*C154,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NOT(C157)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visible(I156-0.5-J158, K171)</f>
        <v>37.5</v>
      </c>
      <c r="G171" s="9">
        <f>visible((H156/C158)-0.7, K171)</f>
        <v>-0.7</v>
      </c>
      <c r="H171" s="9">
        <f>visible(C154*D156, K171)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visible(D160, K173)</f>
        <v>ظهر</v>
      </c>
      <c r="E173" s="17" t="str">
        <f>visible("ظهر", K173)</f>
        <v>ظهر</v>
      </c>
      <c r="F173" s="17">
        <f ca="1">visible(I156-2, K173)</f>
        <v>68</v>
      </c>
      <c r="G173" s="17">
        <f>visible(H156-2,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83" activePane="bottomLeft" state="frozen"/>
      <selection activeCell="B1" sqref="B1"/>
      <selection pane="bottomLeft" activeCell="F84" sqref="F84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08" t="s">
        <v>54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19" t="s">
        <v>55</v>
      </c>
      <c r="F17" s="119"/>
      <c r="G17" s="119"/>
      <c r="H17" s="119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2">
        <v>1</v>
      </c>
      <c r="C18" s="16"/>
      <c r="D18" s="16"/>
      <c r="E18" s="16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2">
        <v>1</v>
      </c>
      <c r="C19" s="16"/>
      <c r="D19" s="16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2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2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2">
        <v>1</v>
      </c>
      <c r="C22" s="9" t="b">
        <f>G21=0</f>
        <v>0</v>
      </c>
      <c r="D22" s="9" t="b">
        <f>H21=0</f>
        <v>0</v>
      </c>
      <c r="E22" s="8"/>
      <c r="F22" s="38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2">
        <v>1</v>
      </c>
      <c r="C23" s="113">
        <f>G21+H21</f>
        <v>2</v>
      </c>
      <c r="D23" s="113"/>
      <c r="E23" s="8"/>
      <c r="F23" s="38"/>
      <c r="G23" s="38"/>
      <c r="H23" s="38"/>
      <c r="I23" s="8">
        <f>SUM(I21:I22)</f>
        <v>210</v>
      </c>
      <c r="J23" s="117" t="str">
        <f>IF(I24,"مقاس الدلف صحيح","مقاس الدلف غير صحيح")</f>
        <v>مقاس الدلف صحيح</v>
      </c>
      <c r="K23" s="7"/>
    </row>
    <row r="24" spans="1:11" ht="15.6" x14ac:dyDescent="0.3">
      <c r="A24" s="32">
        <v>1</v>
      </c>
      <c r="C24" s="114" t="b">
        <f>C23&lt;=2</f>
        <v>1</v>
      </c>
      <c r="D24" s="114"/>
      <c r="E24" s="8"/>
      <c r="F24" s="8"/>
      <c r="G24" s="8"/>
      <c r="H24" s="8"/>
      <c r="I24" s="6" t="b">
        <f>I23=I19</f>
        <v>1</v>
      </c>
      <c r="J24" s="117"/>
      <c r="K24" s="7"/>
    </row>
    <row r="25" spans="1:11" ht="21" x14ac:dyDescent="0.3">
      <c r="A25" s="32">
        <v>1</v>
      </c>
      <c r="B25" s="1"/>
      <c r="C25" s="8"/>
      <c r="D25" s="25" t="str" cm="1">
        <f t="array" aca="1" ref="D25" ca="1">defaultValue(E25,K17)</f>
        <v>ظهر</v>
      </c>
      <c r="E25" s="7" t="s">
        <v>50</v>
      </c>
      <c r="F25" s="25" t="str" cm="1">
        <f t="array" aca="1" ref="F25" ca="1">defaultValue(G25,K17)</f>
        <v>يوفيلاك</v>
      </c>
      <c r="G25" s="7" t="s">
        <v>28</v>
      </c>
      <c r="H25" s="25" t="str" cm="1">
        <f t="array" aca="1" ref="H25" ca="1">defaultValue(I25,K17)</f>
        <v>HPL</v>
      </c>
      <c r="I25" s="7" t="s">
        <v>27</v>
      </c>
      <c r="J25" s="23" t="s">
        <v>75</v>
      </c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visible(D25, K41)</f>
        <v>ظهر</v>
      </c>
      <c r="E41" s="17" t="str">
        <f>visible("ظهر", K41)</f>
        <v>ظهر</v>
      </c>
      <c r="F41" s="17">
        <f>visible(I19-2, K41)</f>
        <v>208</v>
      </c>
      <c r="G41" s="17">
        <f>visible(H19-2,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19" t="s">
        <v>61</v>
      </c>
      <c r="F44" s="119"/>
      <c r="G44" s="119"/>
      <c r="H44" s="119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2">
        <v>1</v>
      </c>
      <c r="C45" s="16"/>
      <c r="D45" s="14" t="s">
        <v>17</v>
      </c>
      <c r="E45" s="16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2">
        <v>1</v>
      </c>
      <c r="C46" s="16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2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8">
        <v>1</v>
      </c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2">
        <v>1</v>
      </c>
      <c r="C55" s="9" t="b">
        <f>G51=0</f>
        <v>0</v>
      </c>
      <c r="D55" s="9" t="b">
        <f>H51=0</f>
        <v>1</v>
      </c>
      <c r="E55" s="8"/>
      <c r="F55" s="38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2">
        <v>1</v>
      </c>
      <c r="C56" s="113">
        <f>G51+H51</f>
        <v>1</v>
      </c>
      <c r="D56" s="113"/>
      <c r="E56" s="8"/>
      <c r="F56" s="38"/>
      <c r="G56" s="38"/>
      <c r="H56" s="38"/>
      <c r="I56" s="8">
        <f>SUM(I48:I55)</f>
        <v>220</v>
      </c>
      <c r="J56" s="117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2">
        <v>1</v>
      </c>
      <c r="C57" s="114" t="b">
        <f>C56&lt;=2</f>
        <v>1</v>
      </c>
      <c r="D57" s="114"/>
      <c r="E57" s="8"/>
      <c r="F57" s="8"/>
      <c r="G57" s="8"/>
      <c r="H57" s="8"/>
      <c r="I57" s="6" t="b">
        <f>I56=I46</f>
        <v>1</v>
      </c>
      <c r="J57" s="117"/>
      <c r="K57" s="7"/>
      <c r="L57" s="1"/>
      <c r="M57" s="1"/>
    </row>
    <row r="58" spans="1:13" ht="21" x14ac:dyDescent="0.3">
      <c r="A58" s="32">
        <v>1</v>
      </c>
      <c r="B58" s="1"/>
      <c r="C58" s="8"/>
      <c r="D58" s="25" t="str" cm="1">
        <f t="array" aca="1" ref="D58" ca="1">defaultValue(E58,K44)</f>
        <v>ظهر</v>
      </c>
      <c r="E58" s="7" t="s">
        <v>50</v>
      </c>
      <c r="F58" s="25" t="str" cm="1">
        <f t="array" aca="1" ref="F58" ca="1">defaultValue(G58,K44)</f>
        <v>يوفيلاك</v>
      </c>
      <c r="G58" s="7" t="s">
        <v>28</v>
      </c>
      <c r="H58" s="25" t="str" cm="1">
        <f t="array" aca="1" ref="H58" ca="1">defaultValue(I58,K44)</f>
        <v>HPL</v>
      </c>
      <c r="I58" s="7" t="s">
        <v>27</v>
      </c>
      <c r="J58" s="23" t="s">
        <v>75</v>
      </c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visible(H58, K68)</f>
        <v>HPL</v>
      </c>
      <c r="E68" s="18" t="str">
        <f>visible("وش درج 1 داخلى", K68)</f>
        <v>وش درج 1 داخلى</v>
      </c>
      <c r="F68" s="18">
        <f>visible((H46-3.6-3.6-2.5), K68)</f>
        <v>50.3</v>
      </c>
      <c r="G68" s="18">
        <f>visible((I48-6), K68)</f>
        <v>14</v>
      </c>
      <c r="H68" s="18">
        <f>visible(G48*C44,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G48&gt;0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visible(H58, K69)</f>
        <v>HPL</v>
      </c>
      <c r="E69" s="18" t="str">
        <f>visible("جنب درج 1 داخلى", K69)</f>
        <v>جنب درج 1 داخلى</v>
      </c>
      <c r="F69" s="18">
        <f>visible(D46, K69)</f>
        <v>45</v>
      </c>
      <c r="G69" s="18">
        <f>visible((I48-6), K69)</f>
        <v>14</v>
      </c>
      <c r="H69" s="18">
        <f>visible(2*G48*C44,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G48&gt;0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visible(H58, K70)</f>
        <v>HPL</v>
      </c>
      <c r="E70" s="18" t="str">
        <f>visible("ظهر درج 1 داخلى", K70)</f>
        <v>ظهر درج 1 داخلى</v>
      </c>
      <c r="F70" s="18">
        <f>visible((H46-3.6-3.6-2.5), K70)</f>
        <v>50.3</v>
      </c>
      <c r="G70" s="18">
        <f>visible((I48-6-3), K70)</f>
        <v>11</v>
      </c>
      <c r="H70" s="18">
        <f>visible(G48*C44,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G48&gt;0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visible((H46-3.6-3.6-2.5), K71)</f>
        <v>50.3</v>
      </c>
      <c r="G71" s="10">
        <f>visible((I49-6),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G49&gt;0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visible(D46, K72)</f>
        <v>45</v>
      </c>
      <c r="G72" s="10">
        <f>visible((I49-6),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G49&gt;0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visible((H46-3.6-3.6-2.5), K73)</f>
        <v>50.3</v>
      </c>
      <c r="G73" s="10">
        <f>visible((I49-6-3),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G49&gt;0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visible(H58, K74)</f>
        <v>HPL</v>
      </c>
      <c r="E74" s="18" t="str">
        <f>visible("وش درج 3 داخلى", K74)</f>
        <v>وش درج 3 داخلى</v>
      </c>
      <c r="F74" s="18">
        <f>visible((H46-3.6-3.6-2.5), K74)</f>
        <v>50.3</v>
      </c>
      <c r="G74" s="18">
        <f>visible((I50-6), K74)</f>
        <v>-6</v>
      </c>
      <c r="H74" s="18">
        <f>visible(G50*C44,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G50&gt;0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visible(H58, K75)</f>
        <v>HPL</v>
      </c>
      <c r="E75" s="18" t="str">
        <f>visible("جنب درج 3 داخلى", K75)</f>
        <v>جنب درج 3 داخلى</v>
      </c>
      <c r="F75" s="18">
        <f>visible(D46, K75)</f>
        <v>45</v>
      </c>
      <c r="G75" s="18">
        <f>visible((I50-6), K75)</f>
        <v>-6</v>
      </c>
      <c r="H75" s="18">
        <f>visible(2*G50*C44,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G50&gt;0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visible(H58, K76)</f>
        <v>HPL</v>
      </c>
      <c r="E76" s="18" t="str">
        <f>visible("ظهر درج 3 داخلى", K76)</f>
        <v>ظهر درج 3 داخلى</v>
      </c>
      <c r="F76" s="18">
        <f>visible((H46-3.6-3.6-2.5), K76)</f>
        <v>50.3</v>
      </c>
      <c r="G76" s="18">
        <f>visible((I50-6-3), K76)</f>
        <v>-9</v>
      </c>
      <c r="H76" s="18">
        <f>visible(G50*C44,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G50&gt;0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visible((I48-0.5-G46), K78)</f>
        <v>16</v>
      </c>
      <c r="G78" s="9">
        <f>visible((H46-0.5),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G48&gt;0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visible((I49-0.5-G46), K79)</f>
        <v>16</v>
      </c>
      <c r="G79" s="9">
        <f>visible((H46-0.5),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f t="shared" ref="K79:K80" si="2">G49&gt;0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>
        <f>visible((I50-0.5-G46), K80)</f>
        <v>-4</v>
      </c>
      <c r="G80" s="9">
        <f>visible((H46-0.5), K80)</f>
        <v>59.5</v>
      </c>
      <c r="H80" s="9">
        <f>visible(G50*C44, K80)</f>
        <v>1</v>
      </c>
      <c r="I80" s="9">
        <f t="shared" ca="1" si="1"/>
        <v>6</v>
      </c>
      <c r="J80" s="9">
        <f ca="1">visible(engraving(I80), K80)</f>
        <v>2</v>
      </c>
      <c r="K80" s="9" t="b">
        <f t="shared" si="2"/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>
        <f>visible((I51-0.5-G46), K81)</f>
        <v>-4</v>
      </c>
      <c r="G81" s="9">
        <f>visible(((H46/G51)-0.5), K81)</f>
        <v>59.5</v>
      </c>
      <c r="H81" s="9">
        <f>visible((G51+H51)*C44,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(G51+H51)&gt;0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visible((H46-0.5), K82)</f>
        <v>59.5</v>
      </c>
      <c r="G82" s="22">
        <f>visible((I52-60.5),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f>G52&gt;0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visible((I54-0.5-G46), K85)</f>
        <v>74</v>
      </c>
      <c r="G85" s="9">
        <f>visible((H46/G54)-0.5,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f>G54&gt;0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visible(F58, K86)</f>
        <v/>
      </c>
      <c r="E86" s="9" t="str">
        <f>visible("دلف دولاب علوية 2", K86)</f>
        <v/>
      </c>
      <c r="F86" s="9" t="str">
        <f>visible((I55-0.5-G46), K86)</f>
        <v/>
      </c>
      <c r="G86" s="9" t="str">
        <f>visible((H46/G55)-0.5, K86)</f>
        <v/>
      </c>
      <c r="H86" s="9" t="str">
        <f>visible(G55*C44,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G55&gt;0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visible((I51-0.5-G46), K89)</f>
        <v/>
      </c>
      <c r="G89" s="9" t="str">
        <f>visible((H46/G51)-0.5, K89)</f>
        <v/>
      </c>
      <c r="H89" s="9" t="str">
        <f>visible(H51*C44,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H51&gt;0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visible((I54-0.5), K90)</f>
        <v/>
      </c>
      <c r="G90" s="9" t="str">
        <f>visible((H46/H54)-0.5, K90)</f>
        <v/>
      </c>
      <c r="H90" s="9" t="str">
        <f>visible(H54*C44,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H54&gt;0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visible((I55-0.5), K91)</f>
        <v/>
      </c>
      <c r="G91" s="9" t="str">
        <f>visible((H46/H55)-0.5, K91)</f>
        <v/>
      </c>
      <c r="H91" s="9" t="str">
        <f>visible(H55*C44,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H55&gt;0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visible(D58, K93)</f>
        <v>ظهر</v>
      </c>
      <c r="E93" s="17" t="str">
        <f>visible("ظهر", K93)</f>
        <v>ظهر</v>
      </c>
      <c r="F93" s="17">
        <f>visible(I46-2, K93)</f>
        <v>218</v>
      </c>
      <c r="G93" s="17">
        <f>visible(H46-2,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255</v>
      </c>
    </row>
    <row r="95" spans="1:11" x14ac:dyDescent="0.3">
      <c r="A95" s="32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99" t="s">
        <v>56</v>
      </c>
      <c r="F102" s="100"/>
      <c r="G102" s="100"/>
      <c r="H102" s="101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4" t="b">
        <f>NOT(AND(F104&gt;0,G104&gt;0))</f>
        <v>1</v>
      </c>
      <c r="G105" s="114"/>
      <c r="I105" s="3" t="b">
        <f>_xlfn.XOR(I104&lt;=50,C106=2)</f>
        <v>0</v>
      </c>
    </row>
    <row r="106" spans="2:10" ht="24" hidden="1" customHeight="1" x14ac:dyDescent="0.3">
      <c r="C106" s="114">
        <f>C104+E104</f>
        <v>3</v>
      </c>
      <c r="D106" s="114"/>
      <c r="E106" s="30"/>
      <c r="F106" s="118" t="str">
        <f>IF(F105,"المقابض مظبوطة","مينفعش مقبض مخفي مع بيلت ان")</f>
        <v>المقابض مظبوطة</v>
      </c>
      <c r="G106" s="118"/>
      <c r="H106" s="21"/>
      <c r="I106" s="30" t="str">
        <f>IF(I105,"عدد الدلف صحيح","عدد الدلف غير صحيح")</f>
        <v>عدد الدلف غير صحيح</v>
      </c>
      <c r="J106" s="28"/>
    </row>
    <row r="107" spans="2:10" ht="15.6" hidden="1" customHeight="1" x14ac:dyDescent="0.3">
      <c r="C107" s="114" t="b">
        <f>C106&lt;=2</f>
        <v>0</v>
      </c>
      <c r="D107" s="114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3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3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3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3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4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4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99" t="s">
        <v>57</v>
      </c>
      <c r="F122" s="100"/>
      <c r="G122" s="100"/>
      <c r="H122" s="101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4" t="b">
        <f>NOT(AND(F124&gt;0,G124&gt;0))</f>
        <v>1</v>
      </c>
      <c r="G125" s="114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18" t="str">
        <f>IF(F125,"المقابض مظبوطة","مينفعش مقبض مخفي مع بيلت ان")</f>
        <v>المقابض مظبوطة</v>
      </c>
      <c r="G126" s="118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5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6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99" t="s">
        <v>58</v>
      </c>
      <c r="F142" s="100"/>
      <c r="G142" s="100"/>
      <c r="H142" s="101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4" t="b">
        <f>NOT(AND(F144&gt;0,G144&gt;0))</f>
        <v>1</v>
      </c>
      <c r="G145" s="114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18" t="str">
        <f>IF(F145,"المقابض مظبوطة","مينفعش مقبض مخفي مع بيلت ان")</f>
        <v>المقابض مظبوطة</v>
      </c>
      <c r="G146" s="118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7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8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0" t="s">
        <v>38</v>
      </c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08" t="s">
        <v>69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A7" s="84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99" t="s">
        <v>100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99" t="s">
        <v>101</v>
      </c>
      <c r="F29" s="100"/>
      <c r="G29" s="100"/>
      <c r="H29" s="101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99" t="s">
        <v>102</v>
      </c>
      <c r="F41" s="100"/>
      <c r="G41" s="100"/>
      <c r="H41" s="101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2024-09-23T15:49:11Z</dcterms:modified>
</cp:coreProperties>
</file>