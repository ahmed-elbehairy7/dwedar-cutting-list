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6B9702E3-1F30-42A3-9029-F170DBDF3A35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1" l="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K157" i="3"/>
  <c r="C31" i="8"/>
  <c r="C30" i="8"/>
  <c r="K88" i="11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B172" i="3"/>
  <c r="B171" i="3"/>
  <c r="B169" i="3"/>
  <c r="B168" i="3"/>
  <c r="B167" i="3"/>
  <c r="B166" i="3"/>
  <c r="B165" i="3"/>
  <c r="B164" i="3"/>
  <c r="B154" i="3"/>
  <c r="B153" i="3"/>
  <c r="B152" i="3"/>
  <c r="B149" i="3"/>
  <c r="B148" i="3"/>
  <c r="B147" i="3"/>
  <c r="B146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17" i="3"/>
  <c r="B115" i="3"/>
  <c r="B114" i="3"/>
  <c r="B113" i="3"/>
  <c r="B112" i="3"/>
  <c r="B111" i="3"/>
  <c r="B101" i="3"/>
  <c r="B100" i="3"/>
  <c r="B98" i="3"/>
  <c r="B97" i="3"/>
  <c r="B95" i="3"/>
  <c r="B94" i="3"/>
  <c r="B93" i="3"/>
  <c r="B92" i="3"/>
  <c r="B91" i="3"/>
  <c r="B90" i="3"/>
  <c r="B89" i="3"/>
  <c r="B88" i="3"/>
  <c r="B78" i="3"/>
  <c r="B77" i="3"/>
  <c r="B75" i="3"/>
  <c r="B74" i="3"/>
  <c r="B72" i="3"/>
  <c r="B71" i="3"/>
  <c r="B70" i="3"/>
  <c r="B69" i="3"/>
  <c r="B68" i="3"/>
  <c r="B67" i="3"/>
  <c r="B66" i="3"/>
  <c r="B65" i="3"/>
  <c r="B55" i="3"/>
  <c r="B53" i="3"/>
  <c r="B51" i="3"/>
  <c r="B50" i="3"/>
  <c r="B49" i="3"/>
  <c r="B48" i="3"/>
  <c r="B47" i="3"/>
  <c r="B46" i="3"/>
  <c r="B35" i="3"/>
  <c r="B33" i="3"/>
  <c r="B32" i="3"/>
  <c r="B30" i="3"/>
  <c r="B29" i="3"/>
  <c r="B28" i="3"/>
  <c r="B27" i="3"/>
  <c r="B26" i="3"/>
  <c r="B25" i="3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H168" i="3" a="1"/>
  <c r="E172" i="3" a="1"/>
  <c r="H166" i="3" a="1"/>
  <c r="F167" i="3" a="1"/>
  <c r="H164" i="3" a="1"/>
  <c r="F168" i="3" a="1"/>
  <c r="G172" i="3" a="1"/>
  <c r="H165" i="3" a="1"/>
  <c r="E169" i="3" a="1"/>
  <c r="H172" i="3"/>
  <c r="E166" i="3" a="1"/>
  <c r="G167" i="3" a="1"/>
  <c r="E168" i="3" a="1"/>
  <c r="E167" i="3" a="1"/>
  <c r="H167" i="3" a="1"/>
  <c r="J157" i="3"/>
  <c r="H171" i="3" a="1"/>
  <c r="F164" i="3" a="1"/>
  <c r="E171" i="3" a="1"/>
  <c r="F166" i="3" a="1"/>
  <c r="E164" i="3" a="1"/>
  <c r="G166" i="3" a="1"/>
  <c r="H169" i="3"/>
  <c r="E165" i="3" a="1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70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01" i="3"/>
  <c r="E100" i="3"/>
  <c r="E98" i="3"/>
  <c r="E97" i="3"/>
  <c r="E95" i="3"/>
  <c r="E94" i="3"/>
  <c r="E93" i="3"/>
  <c r="E92" i="3"/>
  <c r="E91" i="3"/>
  <c r="E90" i="3"/>
  <c r="E89" i="3"/>
  <c r="E88" i="3"/>
  <c r="E78" i="3"/>
  <c r="E77" i="3"/>
  <c r="E75" i="3"/>
  <c r="E74" i="3"/>
  <c r="E72" i="3"/>
  <c r="E71" i="3"/>
  <c r="E70" i="3"/>
  <c r="E69" i="3"/>
  <c r="E68" i="3"/>
  <c r="E67" i="3"/>
  <c r="E66" i="3"/>
  <c r="E65" i="3"/>
  <c r="E55" i="3"/>
  <c r="E53" i="3"/>
  <c r="E51" i="3"/>
  <c r="E50" i="3"/>
  <c r="E49" i="3"/>
  <c r="E48" i="3"/>
  <c r="E47" i="3"/>
  <c r="E46" i="3"/>
  <c r="E35" i="3"/>
  <c r="E33" i="3"/>
  <c r="E32" i="3"/>
  <c r="E30" i="3"/>
  <c r="E29" i="3"/>
  <c r="E28" i="3"/>
  <c r="E27" i="3"/>
  <c r="E26" i="3"/>
  <c r="E25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70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2" i="3"/>
  <c r="C171" i="3"/>
  <c r="C169" i="3"/>
  <c r="C168" i="3"/>
  <c r="C167" i="3"/>
  <c r="C166" i="3"/>
  <c r="C165" i="3"/>
  <c r="C164" i="3"/>
  <c r="C154" i="3"/>
  <c r="C153" i="3"/>
  <c r="C152" i="3"/>
  <c r="C149" i="3"/>
  <c r="C148" i="3"/>
  <c r="C147" i="3"/>
  <c r="C146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17" i="3"/>
  <c r="C115" i="3"/>
  <c r="C114" i="3"/>
  <c r="C113" i="3"/>
  <c r="C112" i="3"/>
  <c r="C111" i="3"/>
  <c r="C101" i="3"/>
  <c r="C100" i="3"/>
  <c r="C98" i="3"/>
  <c r="C97" i="3"/>
  <c r="C95" i="3"/>
  <c r="C94" i="3"/>
  <c r="C93" i="3"/>
  <c r="C92" i="3"/>
  <c r="C91" i="3"/>
  <c r="C90" i="3"/>
  <c r="C89" i="3"/>
  <c r="C88" i="3"/>
  <c r="C78" i="3"/>
  <c r="C77" i="3"/>
  <c r="C75" i="3"/>
  <c r="C74" i="3"/>
  <c r="C72" i="3"/>
  <c r="C71" i="3"/>
  <c r="C70" i="3"/>
  <c r="C69" i="3"/>
  <c r="C68" i="3"/>
  <c r="C67" i="3"/>
  <c r="C66" i="3"/>
  <c r="C65" i="3"/>
  <c r="C55" i="3"/>
  <c r="C53" i="3"/>
  <c r="C51" i="3"/>
  <c r="C50" i="3"/>
  <c r="C49" i="3"/>
  <c r="C48" i="3"/>
  <c r="C47" i="3"/>
  <c r="C46" i="3"/>
  <c r="C35" i="3"/>
  <c r="C33" i="3"/>
  <c r="C32" i="3"/>
  <c r="C30" i="3"/>
  <c r="C29" i="3"/>
  <c r="C28" i="3"/>
  <c r="C27" i="3"/>
  <c r="C26" i="3"/>
  <c r="C25" i="3"/>
  <c r="F166" i="3" l="1"/>
  <c r="G172" i="3"/>
  <c r="F164" i="3"/>
  <c r="F168" i="3"/>
  <c r="H164" i="3"/>
  <c r="E166" i="3"/>
  <c r="H168" i="3"/>
  <c r="H165" i="3"/>
  <c r="E167" i="3"/>
  <c r="H171" i="3"/>
  <c r="G166" i="3"/>
  <c r="F167" i="3"/>
  <c r="E164" i="3"/>
  <c r="H166" i="3"/>
  <c r="E168" i="3"/>
  <c r="G167" i="3"/>
  <c r="E169" i="3"/>
  <c r="E165" i="3"/>
  <c r="H167" i="3"/>
  <c r="E171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90" i="5"/>
  <c r="J89" i="5"/>
  <c r="J39" i="5"/>
  <c r="J38" i="5"/>
  <c r="J171" i="4"/>
  <c r="J127" i="4"/>
  <c r="J126" i="4"/>
  <c r="J102" i="4"/>
  <c r="J78" i="4"/>
  <c r="J54" i="4"/>
  <c r="J33" i="4"/>
  <c r="K122" i="3" l="1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H147" i="3"/>
  <c r="H144" i="3" a="1"/>
  <c r="G149" i="3" a="1"/>
  <c r="H132" i="3" a="1"/>
  <c r="G136" i="3" a="1"/>
  <c r="E130" i="3" a="1"/>
  <c r="F140" i="3" a="1"/>
  <c r="H138" i="3" a="1"/>
  <c r="H142" i="3" a="1"/>
  <c r="E140" i="3" a="1"/>
  <c r="E149" i="3" a="1"/>
  <c r="H152" i="3"/>
  <c r="F134" i="3" a="1"/>
  <c r="F130" i="3" a="1"/>
  <c r="E141" i="3" a="1"/>
  <c r="G133" i="3" a="1"/>
  <c r="E147" i="3" a="1"/>
  <c r="H154" i="3"/>
  <c r="E148" i="3" a="1"/>
  <c r="E134" i="3" a="1"/>
  <c r="H140" i="3" a="1"/>
  <c r="H130" i="3" a="1"/>
  <c r="F142" i="3" a="1"/>
  <c r="G143" i="3" a="1"/>
  <c r="G146" i="3" a="1"/>
  <c r="E136" i="3" a="1"/>
  <c r="J122" i="3"/>
  <c r="G142" i="3" a="1"/>
  <c r="H153" i="3"/>
  <c r="G138" i="3" a="1"/>
  <c r="F136" i="3" a="1"/>
  <c r="E153" i="3" a="1"/>
  <c r="H146" i="3" a="1"/>
  <c r="F133" i="3" a="1"/>
  <c r="H141" i="3" a="1"/>
  <c r="H149" i="3"/>
  <c r="H136" i="3" a="1"/>
  <c r="G139" i="3" a="1"/>
  <c r="H143" i="3" a="1"/>
  <c r="H137" i="3" a="1"/>
  <c r="G148" i="3" a="1"/>
  <c r="E144" i="3" a="1"/>
  <c r="E138" i="3" a="1"/>
  <c r="F132" i="3" a="1"/>
  <c r="G144" i="3" a="1"/>
  <c r="E135" i="3" a="1"/>
  <c r="H139" i="3" a="1"/>
  <c r="G132" i="3" a="1"/>
  <c r="H133" i="3" a="1"/>
  <c r="E132" i="3" a="1"/>
  <c r="G137" i="3" a="1"/>
  <c r="H135" i="3" a="1"/>
  <c r="H134" i="3" a="1"/>
  <c r="E154" i="3" a="1"/>
  <c r="F154" i="3" a="1"/>
  <c r="G135" i="3" a="1"/>
  <c r="E137" i="3" a="1"/>
  <c r="F139" i="3" a="1"/>
  <c r="F143" i="3" a="1"/>
  <c r="F152" i="3" a="1"/>
  <c r="H148" i="3"/>
  <c r="G141" i="3" a="1"/>
  <c r="G147" i="3" a="1"/>
  <c r="G140" i="3" a="1"/>
  <c r="G134" i="3" a="1"/>
  <c r="E146" i="3" a="1"/>
  <c r="E139" i="3" a="1"/>
  <c r="E143" i="3" a="1"/>
  <c r="E152" i="3" a="1"/>
  <c r="E142" i="3" a="1"/>
  <c r="E133" i="3" a="1"/>
  <c r="H131" i="3" a="1"/>
  <c r="F153" i="3" a="1"/>
  <c r="E131" i="3" a="1"/>
  <c r="F137" i="3" a="1"/>
  <c r="G139" i="3" l="1"/>
  <c r="G149" i="3"/>
  <c r="E140" i="3"/>
  <c r="E143" i="3"/>
  <c r="H133" i="3"/>
  <c r="F154" i="3"/>
  <c r="G142" i="3"/>
  <c r="E132" i="3"/>
  <c r="F134" i="3"/>
  <c r="H136" i="3"/>
  <c r="F137" i="3"/>
  <c r="H139" i="3"/>
  <c r="F140" i="3"/>
  <c r="H142" i="3"/>
  <c r="F143" i="3"/>
  <c r="G146" i="3"/>
  <c r="E147" i="3"/>
  <c r="E154" i="3"/>
  <c r="G134" i="3"/>
  <c r="G137" i="3"/>
  <c r="G140" i="3"/>
  <c r="E141" i="3"/>
  <c r="G143" i="3"/>
  <c r="E144" i="3"/>
  <c r="H146" i="3"/>
  <c r="F132" i="3"/>
  <c r="E138" i="3"/>
  <c r="E148" i="3"/>
  <c r="E152" i="3"/>
  <c r="F130" i="3"/>
  <c r="G132" i="3"/>
  <c r="H134" i="3"/>
  <c r="H137" i="3"/>
  <c r="H140" i="3"/>
  <c r="H143" i="3"/>
  <c r="G147" i="3"/>
  <c r="E133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E135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E115" i="3" a="1"/>
  <c r="E114" i="3" a="1"/>
  <c r="F111" i="3" a="1"/>
  <c r="E113" i="3" a="1"/>
  <c r="H117" i="3" a="1"/>
  <c r="F113" i="3" a="1"/>
  <c r="E111" i="3" a="1"/>
  <c r="H114" i="3" a="1"/>
  <c r="F114" i="3" a="1"/>
  <c r="H112" i="3" a="1"/>
  <c r="G113" i="3" a="1"/>
  <c r="E112" i="3" a="1"/>
  <c r="E117" i="3" a="1"/>
  <c r="H115" i="3" a="1"/>
  <c r="F115" i="3" a="1"/>
  <c r="G114" i="3" a="1"/>
  <c r="G117" i="3" a="1"/>
  <c r="H113" i="3" a="1"/>
  <c r="J104" i="3"/>
  <c r="H111" i="3" a="1"/>
  <c r="F111" i="3" l="1"/>
  <c r="F113" i="3"/>
  <c r="F115" i="3"/>
  <c r="G113" i="3"/>
  <c r="H115" i="3"/>
  <c r="E117" i="3"/>
  <c r="H113" i="3"/>
  <c r="E112" i="3"/>
  <c r="F114" i="3"/>
  <c r="E114" i="3"/>
  <c r="G114" i="3"/>
  <c r="G117" i="3"/>
  <c r="H111" i="3"/>
  <c r="E111" i="3"/>
  <c r="H112" i="3"/>
  <c r="E113" i="3"/>
  <c r="H114" i="3"/>
  <c r="E115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O29" i="8" l="1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102" i="4"/>
  <c r="G99" i="4"/>
  <c r="G100" i="4"/>
  <c r="F96" i="4"/>
  <c r="G73" i="4"/>
  <c r="G97" i="4"/>
  <c r="H104" i="4"/>
  <c r="G104" i="4"/>
  <c r="H102" i="4"/>
  <c r="H100" i="4"/>
  <c r="H99" i="4"/>
  <c r="H97" i="4"/>
  <c r="H96" i="4"/>
  <c r="H95" i="4"/>
  <c r="H94" i="4"/>
  <c r="F94" i="4"/>
  <c r="H93" i="4"/>
  <c r="F93" i="4"/>
  <c r="C87" i="4"/>
  <c r="C88" i="4" s="1"/>
  <c r="D86" i="4"/>
  <c r="C86" i="4"/>
  <c r="G78" i="4"/>
  <c r="H78" i="4"/>
  <c r="G75" i="4"/>
  <c r="H127" i="4"/>
  <c r="H126" i="4"/>
  <c r="G76" i="4"/>
  <c r="C63" i="4"/>
  <c r="H62" i="4" s="1"/>
  <c r="H98" i="3"/>
  <c r="H101" i="3"/>
  <c r="F101" i="3"/>
  <c r="F98" i="3"/>
  <c r="H95" i="3"/>
  <c r="H94" i="3"/>
  <c r="H93" i="3"/>
  <c r="G95" i="3"/>
  <c r="F95" i="3"/>
  <c r="F93" i="3"/>
  <c r="H100" i="3"/>
  <c r="G100" i="3"/>
  <c r="H97" i="3"/>
  <c r="G97" i="3"/>
  <c r="H92" i="3"/>
  <c r="F92" i="3"/>
  <c r="H91" i="3"/>
  <c r="G91" i="3"/>
  <c r="F91" i="3"/>
  <c r="H90" i="3"/>
  <c r="G90" i="3"/>
  <c r="F90" i="3"/>
  <c r="H89" i="3"/>
  <c r="H88" i="3"/>
  <c r="F88" i="3"/>
  <c r="J29" i="6"/>
  <c r="J41" i="6"/>
  <c r="J83" i="4"/>
  <c r="J81" i="3"/>
  <c r="I38" i="11" a="1"/>
  <c r="G109" i="4" a="1"/>
  <c r="G40" i="4" a="1"/>
  <c r="J110" i="4" a="1"/>
  <c r="I109" i="4" a="1"/>
  <c r="I89" i="11" a="1"/>
  <c r="I40" i="4" a="1"/>
  <c r="C89" i="11" a="1"/>
  <c r="G19" i="4" a="1"/>
  <c r="I54" i="11" a="1"/>
  <c r="G160" i="3" a="1"/>
  <c r="F107" i="3" a="1"/>
  <c r="I56" i="11" a="1"/>
  <c r="G135" i="4" a="1"/>
  <c r="K125" i="3" a="1"/>
  <c r="G125" i="3" a="1"/>
  <c r="I135" i="4" a="1"/>
  <c r="J19" i="4" a="1"/>
  <c r="J85" i="4" a="1"/>
  <c r="C36" i="11" a="1"/>
  <c r="G56" i="11" a="1"/>
  <c r="G38" i="11" a="1"/>
  <c r="I61" i="4" a="1"/>
  <c r="I136" i="4" a="1"/>
  <c r="G91" i="11" a="1"/>
  <c r="J40" i="4" a="1"/>
  <c r="G156" i="4" a="1"/>
  <c r="J125" i="3" a="1"/>
  <c r="G107" i="3" a="1"/>
  <c r="I107" i="3" a="1"/>
  <c r="J136" i="4" a="1"/>
  <c r="G61" i="4" a="1"/>
  <c r="I125" i="3" a="1"/>
  <c r="J156" i="4" a="1"/>
  <c r="C123" i="3" a="1"/>
  <c r="I85" i="4" a="1"/>
  <c r="J61" i="4" a="1"/>
  <c r="I19" i="4" a="1"/>
  <c r="F160" i="3" a="1"/>
  <c r="I91" i="11" a="1"/>
  <c r="I158" i="3" a="1"/>
  <c r="I156" i="4" a="1"/>
  <c r="I123" i="3" a="1"/>
  <c r="I160" i="3" a="1"/>
  <c r="G85" i="4" a="1"/>
  <c r="C54" i="11" a="1"/>
  <c r="I110" i="4" a="1"/>
  <c r="J91" i="11" a="1"/>
  <c r="I36" i="11" a="1"/>
  <c r="J38" i="11" a="1"/>
  <c r="I105" i="3" a="1"/>
  <c r="J56" i="11" a="1"/>
  <c r="J109" i="4" a="1"/>
  <c r="J160" i="3" a="1"/>
  <c r="J107" i="3" a="1"/>
  <c r="K56" i="11" a="1"/>
  <c r="J135" i="4" a="1"/>
  <c r="J160" i="3" l="1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F95" i="4" s="1"/>
  <c r="J85" i="4"/>
  <c r="G95" i="4" s="1"/>
  <c r="G61" i="4"/>
  <c r="I61" i="4"/>
  <c r="J61" i="4"/>
  <c r="G40" i="4"/>
  <c r="I40" i="4"/>
  <c r="J40" i="4"/>
  <c r="G19" i="4"/>
  <c r="I19" i="4"/>
  <c r="J19" i="4"/>
  <c r="H72" i="3"/>
  <c r="G72" i="3"/>
  <c r="F72" i="3"/>
  <c r="H71" i="3"/>
  <c r="H70" i="3"/>
  <c r="F70" i="3"/>
  <c r="H78" i="3"/>
  <c r="F78" i="3"/>
  <c r="H68" i="3"/>
  <c r="H67" i="3"/>
  <c r="H65" i="3"/>
  <c r="G54" i="4"/>
  <c r="G151" i="4"/>
  <c r="G130" i="4"/>
  <c r="G129" i="4"/>
  <c r="G55" i="3"/>
  <c r="G35" i="3"/>
  <c r="J17" i="6"/>
  <c r="J44" i="5"/>
  <c r="J17" i="5"/>
  <c r="J154" i="4"/>
  <c r="J17" i="4"/>
  <c r="J133" i="4"/>
  <c r="J107" i="4"/>
  <c r="J38" i="4"/>
  <c r="J59" i="4"/>
  <c r="J17" i="3"/>
  <c r="J38" i="3"/>
  <c r="J58" i="3"/>
  <c r="C174" i="3"/>
  <c r="C151" i="3"/>
  <c r="C119" i="3"/>
  <c r="G112" i="3" a="1"/>
  <c r="G62" i="11" a="1"/>
  <c r="D43" i="11" a="1"/>
  <c r="D64" i="11" a="1"/>
  <c r="I19" i="3" a="1"/>
  <c r="D75" i="11"/>
  <c r="D61" i="11" a="1"/>
  <c r="E83" i="3" a="1"/>
  <c r="D144" i="3"/>
  <c r="I40" i="3" a="1"/>
  <c r="D62" i="11" a="1"/>
  <c r="D114" i="3" a="1"/>
  <c r="I60" i="3" a="1"/>
  <c r="E19" i="3" a="1"/>
  <c r="F75" i="11" a="1"/>
  <c r="J20" i="3" a="1"/>
  <c r="D63" i="11" a="1"/>
  <c r="F174" i="3" a="1"/>
  <c r="D133" i="3" a="1"/>
  <c r="F171" i="3" a="1"/>
  <c r="C50" i="11" a="1"/>
  <c r="F135" i="3" a="1"/>
  <c r="G130" i="3" a="1"/>
  <c r="D137" i="3"/>
  <c r="E151" i="3" a="1"/>
  <c r="H151" i="3" a="1"/>
  <c r="G85" i="11" a="1"/>
  <c r="H119" i="3" a="1"/>
  <c r="D169" i="3"/>
  <c r="B105" i="11" a="1"/>
  <c r="G111" i="3" a="1"/>
  <c r="G61" i="11" a="1"/>
  <c r="D69" i="11"/>
  <c r="D66" i="11"/>
  <c r="J40" i="3" a="1"/>
  <c r="G174" i="3" a="1"/>
  <c r="G60" i="3" a="1"/>
  <c r="J19" i="3" a="1"/>
  <c r="G119" i="3" a="1"/>
  <c r="D164" i="3" a="1"/>
  <c r="D100" i="11"/>
  <c r="D141" i="3"/>
  <c r="D68" i="11"/>
  <c r="G83" i="3" a="1"/>
  <c r="F85" i="4" a="1"/>
  <c r="G151" i="3" a="1"/>
  <c r="F62" i="11" a="1"/>
  <c r="D46" i="11" a="1"/>
  <c r="I20" i="3" a="1"/>
  <c r="D72" i="11"/>
  <c r="F144" i="3" a="1"/>
  <c r="H174" i="3" a="1"/>
  <c r="D112" i="3" a="1"/>
  <c r="D139" i="3"/>
  <c r="D111" i="3" a="1"/>
  <c r="F156" i="4" a="1"/>
  <c r="F141" i="3" a="1"/>
  <c r="D98" i="11" a="1"/>
  <c r="D140" i="3"/>
  <c r="F102" i="11" a="1"/>
  <c r="D143" i="3"/>
  <c r="D45" i="11" a="1"/>
  <c r="J83" i="3" a="1"/>
  <c r="F138" i="3" a="1"/>
  <c r="F151" i="3" a="1"/>
  <c r="D65" i="11" a="1"/>
  <c r="B174" i="3"/>
  <c r="G43" i="11" a="1"/>
  <c r="F103" i="11" a="1"/>
  <c r="D42" i="11" a="1"/>
  <c r="E105" i="11" a="1"/>
  <c r="B50" i="11" a="1"/>
  <c r="D131" i="3" a="1"/>
  <c r="D134" i="3" a="1"/>
  <c r="F19" i="4" a="1"/>
  <c r="D135" i="3"/>
  <c r="D96" i="11" a="1"/>
  <c r="H105" i="11" a="1"/>
  <c r="D168" i="3" a="1"/>
  <c r="E119" i="3" a="1"/>
  <c r="D130" i="3" a="1"/>
  <c r="I41" i="3" a="1"/>
  <c r="F135" i="4" a="1"/>
  <c r="G165" i="3" a="1"/>
  <c r="F117" i="3" a="1"/>
  <c r="D95" i="11" a="1"/>
  <c r="G115" i="3" a="1"/>
  <c r="B151" i="3"/>
  <c r="G42" i="11" a="1"/>
  <c r="F96" i="11" a="1"/>
  <c r="D97" i="11" a="1"/>
  <c r="D132" i="3" a="1"/>
  <c r="B119" i="3"/>
  <c r="F131" i="3" a="1"/>
  <c r="F100" i="11" a="1"/>
  <c r="D70" i="11"/>
  <c r="D74" i="11"/>
  <c r="F61" i="4" a="1"/>
  <c r="E60" i="3" a="1"/>
  <c r="D44" i="11" a="1"/>
  <c r="J41" i="3" a="1"/>
  <c r="D165" i="3" a="1"/>
  <c r="H50" i="11" a="1"/>
  <c r="D73" i="11"/>
  <c r="D115" i="3" a="1"/>
  <c r="F165" i="3" a="1"/>
  <c r="D138" i="3"/>
  <c r="D142" i="3"/>
  <c r="F48" i="11" a="1"/>
  <c r="G168" i="3" a="1"/>
  <c r="G99" i="11" a="1"/>
  <c r="F112" i="3" a="1"/>
  <c r="D99" i="11" a="1"/>
  <c r="E174" i="3" a="1"/>
  <c r="F72" i="11" a="1"/>
  <c r="D167" i="3" a="1"/>
  <c r="G95" i="11" a="1"/>
  <c r="I83" i="3" a="1"/>
  <c r="D67" i="11"/>
  <c r="D113" i="3" a="1"/>
  <c r="D136" i="3"/>
  <c r="D166" i="3" a="1"/>
  <c r="F169" i="3" a="1"/>
  <c r="G50" i="11" a="1"/>
  <c r="F40" i="4" a="1"/>
  <c r="F105" i="11" a="1"/>
  <c r="G164" i="3" a="1"/>
  <c r="G96" i="11" a="1"/>
  <c r="F43" i="11" a="1"/>
  <c r="J60" i="3" a="1"/>
  <c r="F77" i="11" a="1"/>
  <c r="G131" i="3" a="1"/>
  <c r="F172" i="3" a="1"/>
  <c r="E40" i="3" a="1"/>
  <c r="F66" i="11" a="1"/>
  <c r="E50" i="11" a="1"/>
  <c r="G105" i="11" a="1"/>
  <c r="F69" i="11" a="1"/>
  <c r="C82" i="11"/>
  <c r="F109" i="4" a="1"/>
  <c r="C105" i="11"/>
  <c r="D71" i="11"/>
  <c r="G46" i="11" a="1"/>
  <c r="F43" i="11" l="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H119" i="3"/>
  <c r="G119" i="3"/>
  <c r="C50" i="11"/>
  <c r="E50" i="11"/>
  <c r="G50" i="11"/>
  <c r="B50" i="11"/>
  <c r="H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99" i="4" s="1"/>
  <c r="F135" i="4"/>
  <c r="F19" i="4"/>
  <c r="F102" i="4"/>
  <c r="E86" i="4"/>
  <c r="H86" i="4"/>
  <c r="H87" i="4" s="1"/>
  <c r="F97" i="4"/>
  <c r="G94" i="4"/>
  <c r="G96" i="4"/>
  <c r="G93" i="4"/>
  <c r="F100" i="4"/>
  <c r="F104" i="4"/>
  <c r="E83" i="3"/>
  <c r="E60" i="3"/>
  <c r="E40" i="3"/>
  <c r="E19" i="3"/>
  <c r="G83" i="3"/>
  <c r="G60" i="3"/>
  <c r="G78" i="3" s="1"/>
  <c r="I83" i="3"/>
  <c r="I60" i="3"/>
  <c r="I41" i="3"/>
  <c r="I40" i="3"/>
  <c r="I20" i="3"/>
  <c r="I19" i="3"/>
  <c r="J83" i="3"/>
  <c r="G92" i="3" s="1"/>
  <c r="J60" i="3"/>
  <c r="J40" i="3"/>
  <c r="J41" i="3"/>
  <c r="J20" i="3"/>
  <c r="J19" i="3"/>
  <c r="G22" i="6"/>
  <c r="F127" i="4"/>
  <c r="F126" i="4"/>
  <c r="F78" i="4"/>
  <c r="F50" i="11" a="1"/>
  <c r="I61" i="11"/>
  <c r="F80" i="11" a="1"/>
  <c r="I166" i="3"/>
  <c r="I135" i="3"/>
  <c r="I74" i="11"/>
  <c r="I69" i="11"/>
  <c r="I144" i="3"/>
  <c r="G84" i="11" a="1"/>
  <c r="I131" i="3"/>
  <c r="I111" i="3"/>
  <c r="I140" i="3"/>
  <c r="I113" i="3"/>
  <c r="I130" i="3"/>
  <c r="I44" i="11"/>
  <c r="I95" i="11"/>
  <c r="I42" i="11"/>
  <c r="I137" i="3"/>
  <c r="I72" i="11"/>
  <c r="F78" i="11" a="1"/>
  <c r="I97" i="11"/>
  <c r="I169" i="3"/>
  <c r="I114" i="3"/>
  <c r="I143" i="3"/>
  <c r="I164" i="3"/>
  <c r="I45" i="11"/>
  <c r="G152" i="3" a="1"/>
  <c r="I165" i="3"/>
  <c r="F147" i="3" a="1"/>
  <c r="F79" i="11" a="1"/>
  <c r="I133" i="3"/>
  <c r="I68" i="11"/>
  <c r="I142" i="3"/>
  <c r="F119" i="3" a="1"/>
  <c r="H82" i="11" a="1"/>
  <c r="I75" i="11"/>
  <c r="I134" i="3"/>
  <c r="I168" i="3"/>
  <c r="I65" i="11"/>
  <c r="I136" i="3"/>
  <c r="I99" i="11"/>
  <c r="I62" i="11"/>
  <c r="G154" i="3" a="1"/>
  <c r="I71" i="11"/>
  <c r="E82" i="11" a="1"/>
  <c r="I96" i="11"/>
  <c r="G153" i="3" a="1"/>
  <c r="G83" i="11" a="1"/>
  <c r="I43" i="11"/>
  <c r="F146" i="3" a="1"/>
  <c r="F149" i="3" a="1"/>
  <c r="I98" i="11"/>
  <c r="I112" i="3"/>
  <c r="G171" i="3" a="1"/>
  <c r="I132" i="3"/>
  <c r="G169" i="3" a="1"/>
  <c r="I63" i="11"/>
  <c r="I67" i="11"/>
  <c r="G82" i="11" a="1"/>
  <c r="I139" i="3"/>
  <c r="I100" i="11"/>
  <c r="B82" i="11" a="1"/>
  <c r="G102" i="11" a="1"/>
  <c r="I138" i="3"/>
  <c r="I46" i="11"/>
  <c r="I64" i="11"/>
  <c r="I167" i="3"/>
  <c r="I66" i="11"/>
  <c r="G100" i="11" a="1"/>
  <c r="I141" i="3"/>
  <c r="F82" i="11" a="1"/>
  <c r="F148" i="3" a="1"/>
  <c r="I73" i="11"/>
  <c r="I115" i="3"/>
  <c r="I70" i="11"/>
  <c r="F119" i="3" l="1"/>
  <c r="F78" i="11"/>
  <c r="F50" i="11"/>
  <c r="G169" i="3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9" i="3"/>
  <c r="G101" i="3"/>
  <c r="F86" i="4"/>
  <c r="F87" i="4" s="1"/>
  <c r="F94" i="3"/>
  <c r="G89" i="3"/>
  <c r="G88" i="3"/>
  <c r="G98" i="3"/>
  <c r="F97" i="3" s="1"/>
  <c r="F100" i="3"/>
  <c r="F71" i="3"/>
  <c r="G48" i="4"/>
  <c r="G51" i="4"/>
  <c r="G49" i="4"/>
  <c r="G126" i="4"/>
  <c r="G127" i="4"/>
  <c r="G72" i="4"/>
  <c r="G70" i="4"/>
  <c r="G69" i="4"/>
  <c r="G75" i="3"/>
  <c r="H173" i="4"/>
  <c r="G173" i="4"/>
  <c r="F173" i="4"/>
  <c r="H171" i="4"/>
  <c r="F171" i="4"/>
  <c r="H170" i="4"/>
  <c r="H168" i="4"/>
  <c r="G168" i="4"/>
  <c r="F168" i="4"/>
  <c r="H167" i="4"/>
  <c r="G167" i="4"/>
  <c r="F167" i="4"/>
  <c r="H166" i="4"/>
  <c r="G166" i="4"/>
  <c r="F166" i="4"/>
  <c r="H165" i="4"/>
  <c r="G165" i="4"/>
  <c r="F165" i="4"/>
  <c r="H164" i="4"/>
  <c r="G164" i="4"/>
  <c r="F164" i="4"/>
  <c r="C158" i="4"/>
  <c r="F157" i="4"/>
  <c r="F158" i="4" s="1"/>
  <c r="D157" i="4"/>
  <c r="C157" i="4"/>
  <c r="F170" i="4" s="1"/>
  <c r="H77" i="3"/>
  <c r="G77" i="3"/>
  <c r="F77" i="3"/>
  <c r="H75" i="3"/>
  <c r="F75" i="3"/>
  <c r="H74" i="3"/>
  <c r="F74" i="3" s="1"/>
  <c r="H69" i="3"/>
  <c r="G69" i="3"/>
  <c r="F69" i="3"/>
  <c r="F68" i="3"/>
  <c r="F67" i="3"/>
  <c r="H66" i="3"/>
  <c r="G66" i="3"/>
  <c r="F66" i="3"/>
  <c r="G65" i="3"/>
  <c r="F65" i="3"/>
  <c r="J99" i="11"/>
  <c r="J42" i="11"/>
  <c r="J168" i="3"/>
  <c r="J63" i="11"/>
  <c r="E18" i="6" a="1"/>
  <c r="F25" i="5" a="1"/>
  <c r="J66" i="11"/>
  <c r="J97" i="11"/>
  <c r="J74" i="11"/>
  <c r="J96" i="11"/>
  <c r="J141" i="3"/>
  <c r="J45" i="11"/>
  <c r="J143" i="3"/>
  <c r="F112" i="4" a="1"/>
  <c r="F65" i="4" a="1"/>
  <c r="F138" i="4" a="1"/>
  <c r="J134" i="3"/>
  <c r="J114" i="3"/>
  <c r="G89" i="11" a="1"/>
  <c r="J131" i="3"/>
  <c r="J139" i="3"/>
  <c r="J67" i="11"/>
  <c r="J113" i="3"/>
  <c r="J68" i="11"/>
  <c r="J132" i="3"/>
  <c r="J167" i="3"/>
  <c r="J166" i="3"/>
  <c r="J111" i="3"/>
  <c r="J64" i="11"/>
  <c r="J138" i="3"/>
  <c r="J71" i="11"/>
  <c r="J75" i="11"/>
  <c r="J43" i="11"/>
  <c r="J136" i="3"/>
  <c r="J73" i="11"/>
  <c r="J169" i="3"/>
  <c r="J70" i="11"/>
  <c r="J95" i="11"/>
  <c r="J140" i="3"/>
  <c r="J164" i="3"/>
  <c r="E18" i="11" a="1"/>
  <c r="G123" i="3" a="1"/>
  <c r="J44" i="11"/>
  <c r="F23" i="4" a="1"/>
  <c r="J46" i="11"/>
  <c r="D29" i="11" a="1"/>
  <c r="J115" i="3"/>
  <c r="F21" i="3" a="1"/>
  <c r="E42" i="6" a="1"/>
  <c r="J62" i="11"/>
  <c r="F160" i="4" a="1"/>
  <c r="F58" i="5" a="1"/>
  <c r="J72" i="11"/>
  <c r="E30" i="6" a="1"/>
  <c r="F44" i="4" a="1"/>
  <c r="J165" i="3"/>
  <c r="G158" i="3" a="1"/>
  <c r="J100" i="11"/>
  <c r="J61" i="11"/>
  <c r="J137" i="3"/>
  <c r="J69" i="11"/>
  <c r="G105" i="3" a="1"/>
  <c r="F89" i="4" a="1"/>
  <c r="F84" i="3" a="1"/>
  <c r="J135" i="3"/>
  <c r="G36" i="11" a="1"/>
  <c r="J112" i="3"/>
  <c r="J133" i="3"/>
  <c r="J98" i="11"/>
  <c r="J142" i="3"/>
  <c r="F42" i="3" a="1"/>
  <c r="D30" i="11" a="1"/>
  <c r="J65" i="11"/>
  <c r="F61" i="3" a="1"/>
  <c r="J144" i="3"/>
  <c r="J130" i="3"/>
  <c r="G54" i="11" a="1"/>
  <c r="G158" i="3" l="1"/>
  <c r="G54" i="11"/>
  <c r="G89" i="11"/>
  <c r="G105" i="3"/>
  <c r="G123" i="3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84" i="3"/>
  <c r="F61" i="3"/>
  <c r="F42" i="3"/>
  <c r="F21" i="3"/>
  <c r="C159" i="4"/>
  <c r="G171" i="4"/>
  <c r="H157" i="4"/>
  <c r="H158" i="4" s="1"/>
  <c r="G170" i="4"/>
  <c r="G74" i="3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98" i="3"/>
  <c r="D97" i="3"/>
  <c r="D75" i="3"/>
  <c r="D74" i="3"/>
  <c r="D53" i="3"/>
  <c r="D33" i="3"/>
  <c r="D32" i="3"/>
  <c r="D172" i="3"/>
  <c r="D84" i="3" a="1"/>
  <c r="D65" i="4" a="1"/>
  <c r="E54" i="11" a="1"/>
  <c r="E158" i="3" a="1"/>
  <c r="H21" i="3" a="1"/>
  <c r="D146" i="3" a="1"/>
  <c r="D32" i="11" a="1"/>
  <c r="I35" i="5"/>
  <c r="E123" i="3" a="1"/>
  <c r="D117" i="3" a="1"/>
  <c r="D25" i="5" a="1"/>
  <c r="D78" i="11"/>
  <c r="H89" i="4" a="1"/>
  <c r="I32" i="4"/>
  <c r="D77" i="11" a="1"/>
  <c r="H61" i="3" a="1"/>
  <c r="H44" i="4" a="1"/>
  <c r="D89" i="4" a="1"/>
  <c r="I53" i="3"/>
  <c r="D80" i="11"/>
  <c r="H42" i="3" a="1"/>
  <c r="D103" i="11"/>
  <c r="I74" i="3"/>
  <c r="E105" i="3" a="1"/>
  <c r="H84" i="3" a="1"/>
  <c r="D138" i="4" a="1"/>
  <c r="I170" i="4"/>
  <c r="I29" i="11"/>
  <c r="H58" i="5" a="1"/>
  <c r="D44" i="4" a="1"/>
  <c r="D61" i="3" a="1"/>
  <c r="D102" i="11" a="1"/>
  <c r="H160" i="4" a="1"/>
  <c r="D148" i="3"/>
  <c r="D58" i="5" a="1"/>
  <c r="E89" i="11" a="1"/>
  <c r="H23" i="4" a="1"/>
  <c r="D42" i="3" a="1"/>
  <c r="H25" i="5" a="1"/>
  <c r="D171" i="3" a="1"/>
  <c r="D147" i="3"/>
  <c r="H65" i="4" a="1"/>
  <c r="H138" i="4" a="1"/>
  <c r="D160" i="4" a="1"/>
  <c r="E36" i="11" a="1"/>
  <c r="D21" i="3" a="1"/>
  <c r="I149" i="4"/>
  <c r="D23" i="4" a="1"/>
  <c r="D48" i="11" a="1"/>
  <c r="I53" i="4"/>
  <c r="D112" i="4" a="1"/>
  <c r="D79" i="11"/>
  <c r="I30" i="11"/>
  <c r="D149" i="3"/>
  <c r="H112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84" i="3"/>
  <c r="H61" i="3"/>
  <c r="H42" i="3"/>
  <c r="H21" i="3"/>
  <c r="D84" i="3"/>
  <c r="D61" i="3"/>
  <c r="D42" i="3"/>
  <c r="D2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01" i="3"/>
  <c r="D100" i="3"/>
  <c r="I98" i="3"/>
  <c r="D95" i="3"/>
  <c r="D94" i="3"/>
  <c r="D93" i="3"/>
  <c r="D92" i="3"/>
  <c r="D91" i="3"/>
  <c r="D90" i="3"/>
  <c r="D89" i="3"/>
  <c r="D88" i="3"/>
  <c r="D78" i="3"/>
  <c r="D77" i="3"/>
  <c r="D72" i="3"/>
  <c r="D71" i="3"/>
  <c r="D70" i="3"/>
  <c r="D69" i="3"/>
  <c r="D68" i="3"/>
  <c r="D67" i="3"/>
  <c r="D66" i="3"/>
  <c r="D65" i="3"/>
  <c r="D55" i="3"/>
  <c r="D51" i="3"/>
  <c r="D50" i="3"/>
  <c r="D49" i="3"/>
  <c r="D48" i="3"/>
  <c r="D47" i="3"/>
  <c r="D46" i="3"/>
  <c r="D35" i="3"/>
  <c r="D30" i="3"/>
  <c r="D29" i="3"/>
  <c r="D27" i="3"/>
  <c r="D28" i="3"/>
  <c r="D26" i="3"/>
  <c r="D25" i="3"/>
  <c r="I82" i="5"/>
  <c r="I32" i="3"/>
  <c r="I47" i="6"/>
  <c r="I75" i="3"/>
  <c r="I35" i="3"/>
  <c r="I78" i="11"/>
  <c r="J100" i="4"/>
  <c r="I93" i="5"/>
  <c r="J74" i="3"/>
  <c r="I173" i="4"/>
  <c r="J35" i="5"/>
  <c r="I56" i="4"/>
  <c r="I48" i="6"/>
  <c r="I27" i="4"/>
  <c r="I24" i="6"/>
  <c r="I33" i="3"/>
  <c r="I32" i="11"/>
  <c r="J32" i="4"/>
  <c r="I103" i="11"/>
  <c r="D174" i="3" a="1"/>
  <c r="I77" i="3"/>
  <c r="I46" i="6"/>
  <c r="I146" i="3"/>
  <c r="I84" i="5"/>
  <c r="D83" i="11"/>
  <c r="I80" i="5"/>
  <c r="I37" i="6"/>
  <c r="I48" i="11"/>
  <c r="I148" i="3"/>
  <c r="D82" i="11" a="1"/>
  <c r="I75" i="4"/>
  <c r="I81" i="5"/>
  <c r="D154" i="3"/>
  <c r="D153" i="3"/>
  <c r="I79" i="11"/>
  <c r="J79" i="5"/>
  <c r="I99" i="4"/>
  <c r="I36" i="5"/>
  <c r="D105" i="11" a="1"/>
  <c r="J98" i="3"/>
  <c r="J170" i="4"/>
  <c r="I35" i="6"/>
  <c r="I35" i="4"/>
  <c r="J76" i="4"/>
  <c r="J30" i="11"/>
  <c r="I80" i="11"/>
  <c r="I151" i="4"/>
  <c r="I22" i="6"/>
  <c r="I34" i="6"/>
  <c r="J53" i="3"/>
  <c r="I41" i="5"/>
  <c r="I55" i="3"/>
  <c r="I36" i="6"/>
  <c r="D50" i="11" a="1"/>
  <c r="I50" i="6"/>
  <c r="D119" i="3" a="1"/>
  <c r="I77" i="11"/>
  <c r="I102" i="11"/>
  <c r="J124" i="4"/>
  <c r="I80" i="4"/>
  <c r="I85" i="5"/>
  <c r="I38" i="6"/>
  <c r="I171" i="3"/>
  <c r="I147" i="3"/>
  <c r="I172" i="3"/>
  <c r="I25" i="6"/>
  <c r="I78" i="5"/>
  <c r="I100" i="3"/>
  <c r="I86" i="5"/>
  <c r="J29" i="11"/>
  <c r="I149" i="3"/>
  <c r="D85" i="11"/>
  <c r="I23" i="6"/>
  <c r="I49" i="6"/>
  <c r="I123" i="4"/>
  <c r="J53" i="4"/>
  <c r="J149" i="4"/>
  <c r="I97" i="3"/>
  <c r="D152" i="3"/>
  <c r="D84" i="11"/>
  <c r="D151" i="3" a="1"/>
  <c r="I26" i="6"/>
  <c r="I83" i="5"/>
  <c r="I104" i="4"/>
  <c r="I117" i="3"/>
  <c r="D174" i="3" l="1"/>
  <c r="D105" i="11"/>
  <c r="D119" i="3"/>
  <c r="D151" i="3"/>
  <c r="D82" i="11"/>
  <c r="D50" i="11"/>
  <c r="H130" i="4"/>
  <c r="H129" i="4"/>
  <c r="F130" i="4"/>
  <c r="G30" i="4"/>
  <c r="G28" i="4"/>
  <c r="G27" i="4"/>
  <c r="I63" i="5"/>
  <c r="I30" i="5"/>
  <c r="I168" i="4"/>
  <c r="I143" i="4"/>
  <c r="I130" i="4"/>
  <c r="I119" i="4"/>
  <c r="I94" i="4"/>
  <c r="I71" i="4"/>
  <c r="I49" i="4"/>
  <c r="I49" i="3"/>
  <c r="I26" i="3"/>
  <c r="I121" i="4"/>
  <c r="I145" i="4"/>
  <c r="I144" i="4"/>
  <c r="I27" i="3"/>
  <c r="I51" i="3"/>
  <c r="J130" i="4"/>
  <c r="I68" i="3"/>
  <c r="J23" i="6"/>
  <c r="J78" i="11"/>
  <c r="J25" i="6"/>
  <c r="I33" i="5"/>
  <c r="I78" i="3"/>
  <c r="I50" i="11"/>
  <c r="I68" i="5"/>
  <c r="I66" i="5"/>
  <c r="I32" i="5"/>
  <c r="I82" i="11"/>
  <c r="J119" i="4"/>
  <c r="I129" i="4"/>
  <c r="I29" i="4"/>
  <c r="I46" i="3"/>
  <c r="I69" i="4"/>
  <c r="I29" i="3"/>
  <c r="I48" i="3"/>
  <c r="I50" i="4"/>
  <c r="I67" i="3"/>
  <c r="I93" i="4"/>
  <c r="J36" i="6"/>
  <c r="J173" i="4"/>
  <c r="J80" i="11"/>
  <c r="J171" i="3"/>
  <c r="J102" i="11"/>
  <c r="J30" i="5"/>
  <c r="I71" i="3"/>
  <c r="J35" i="6"/>
  <c r="I72" i="3"/>
  <c r="J77" i="11"/>
  <c r="I117" i="4"/>
  <c r="I95" i="3"/>
  <c r="I70" i="4"/>
  <c r="J34" i="6"/>
  <c r="J35" i="3"/>
  <c r="J48" i="6"/>
  <c r="J99" i="4"/>
  <c r="I154" i="3"/>
  <c r="J38" i="6"/>
  <c r="I166" i="4"/>
  <c r="I88" i="3"/>
  <c r="J146" i="3"/>
  <c r="J84" i="5"/>
  <c r="J32" i="3"/>
  <c r="J97" i="3"/>
  <c r="J27" i="4"/>
  <c r="I47" i="3"/>
  <c r="I164" i="4"/>
  <c r="J104" i="4"/>
  <c r="J46" i="6"/>
  <c r="I152" i="3"/>
  <c r="J48" i="11"/>
  <c r="I76" i="5"/>
  <c r="J149" i="3"/>
  <c r="I151" i="3"/>
  <c r="I51" i="4"/>
  <c r="J26" i="6"/>
  <c r="J47" i="6"/>
  <c r="I167" i="4"/>
  <c r="I153" i="3"/>
  <c r="I72" i="4"/>
  <c r="I28" i="4"/>
  <c r="J33" i="3"/>
  <c r="J151" i="4"/>
  <c r="J81" i="5"/>
  <c r="I64" i="5"/>
  <c r="J49" i="6"/>
  <c r="J37" i="6"/>
  <c r="I72" i="5"/>
  <c r="J49" i="3"/>
  <c r="I96" i="4"/>
  <c r="J123" i="4"/>
  <c r="I73" i="4"/>
  <c r="J94" i="4"/>
  <c r="I30" i="4"/>
  <c r="I65" i="3"/>
  <c r="J75" i="4"/>
  <c r="I174" i="3"/>
  <c r="I83" i="11"/>
  <c r="J71" i="4"/>
  <c r="J63" i="5"/>
  <c r="J85" i="5"/>
  <c r="J80" i="4"/>
  <c r="I66" i="3"/>
  <c r="J100" i="3"/>
  <c r="I50" i="3"/>
  <c r="J86" i="5"/>
  <c r="I69" i="5"/>
  <c r="I93" i="3"/>
  <c r="J147" i="3"/>
  <c r="I147" i="4"/>
  <c r="I105" i="11"/>
  <c r="I116" i="4"/>
  <c r="J75" i="3"/>
  <c r="J103" i="11"/>
  <c r="J49" i="4"/>
  <c r="I70" i="3"/>
  <c r="I101" i="3"/>
  <c r="J79" i="11"/>
  <c r="I73" i="5"/>
  <c r="J41" i="5"/>
  <c r="I29" i="5"/>
  <c r="J77" i="3"/>
  <c r="I94" i="3"/>
  <c r="J55" i="3"/>
  <c r="J50" i="6"/>
  <c r="I142" i="4"/>
  <c r="I120" i="4"/>
  <c r="J24" i="6"/>
  <c r="I70" i="5"/>
  <c r="I62" i="5"/>
  <c r="I84" i="11"/>
  <c r="J172" i="3"/>
  <c r="I48" i="4"/>
  <c r="I92" i="3"/>
  <c r="J168" i="4"/>
  <c r="I75" i="5"/>
  <c r="J93" i="5"/>
  <c r="I119" i="3"/>
  <c r="J148" i="3"/>
  <c r="I25" i="3"/>
  <c r="J56" i="4"/>
  <c r="I91" i="3"/>
  <c r="J143" i="4"/>
  <c r="J32" i="11"/>
  <c r="I95" i="4"/>
  <c r="I89" i="3"/>
  <c r="J26" i="3"/>
  <c r="J80" i="5"/>
  <c r="I165" i="4"/>
  <c r="J22" i="6"/>
  <c r="I97" i="4"/>
  <c r="I71" i="5"/>
  <c r="I28" i="3"/>
  <c r="I118" i="4"/>
  <c r="I90" i="3"/>
  <c r="J117" i="3"/>
  <c r="J82" i="5"/>
  <c r="I74" i="5"/>
  <c r="I85" i="11"/>
  <c r="I69" i="3"/>
  <c r="J83" i="5"/>
  <c r="I65" i="5"/>
  <c r="J78" i="5"/>
  <c r="J36" i="5"/>
  <c r="J35" i="4"/>
  <c r="I31" i="5"/>
  <c r="I30" i="3"/>
  <c r="I146" i="4"/>
  <c r="H91" i="5" l="1"/>
  <c r="F91" i="5" s="1"/>
  <c r="H90" i="5"/>
  <c r="F90" i="5" s="1"/>
  <c r="H86" i="5"/>
  <c r="F86" i="5" s="1"/>
  <c r="H85" i="5"/>
  <c r="H82" i="5"/>
  <c r="H81" i="5"/>
  <c r="G81" i="5" s="1"/>
  <c r="L82" i="5"/>
  <c r="L83" i="5"/>
  <c r="H80" i="5"/>
  <c r="L79" i="5" s="1"/>
  <c r="H79" i="5"/>
  <c r="L78" i="5" s="1"/>
  <c r="H78" i="5"/>
  <c r="F78" i="5" s="1"/>
  <c r="F36" i="5"/>
  <c r="F35" i="5"/>
  <c r="H76" i="5"/>
  <c r="G76" i="5" s="1"/>
  <c r="H75" i="5"/>
  <c r="G75" i="5" s="1"/>
  <c r="H74" i="5"/>
  <c r="F74" i="5" s="1"/>
  <c r="H73" i="5"/>
  <c r="G73" i="5" s="1"/>
  <c r="H72" i="5"/>
  <c r="G72" i="5" s="1"/>
  <c r="H71" i="5"/>
  <c r="G71" i="5" s="1"/>
  <c r="H70" i="5"/>
  <c r="F70" i="5" s="1"/>
  <c r="H69" i="5"/>
  <c r="F69" i="5" s="1"/>
  <c r="H68" i="5"/>
  <c r="I56" i="5"/>
  <c r="I57" i="5" s="1"/>
  <c r="J56" i="5" s="1"/>
  <c r="H93" i="5"/>
  <c r="G93" i="5"/>
  <c r="F93" i="5"/>
  <c r="H89" i="5"/>
  <c r="G89" i="5" s="1"/>
  <c r="H66" i="5"/>
  <c r="G66" i="5"/>
  <c r="F66" i="5"/>
  <c r="H65" i="5"/>
  <c r="G65" i="5"/>
  <c r="F65" i="5"/>
  <c r="H64" i="5"/>
  <c r="G64" i="5"/>
  <c r="F64" i="5"/>
  <c r="H63" i="5"/>
  <c r="G63" i="5"/>
  <c r="F63" i="5"/>
  <c r="H62" i="5"/>
  <c r="G62" i="5"/>
  <c r="F62" i="5"/>
  <c r="C56" i="5"/>
  <c r="D55" i="5"/>
  <c r="C55" i="5"/>
  <c r="H39" i="5"/>
  <c r="I23" i="5"/>
  <c r="I24" i="5" s="1"/>
  <c r="J23" i="5" s="1"/>
  <c r="F39" i="5"/>
  <c r="H36" i="5"/>
  <c r="H31" i="5"/>
  <c r="G31" i="5"/>
  <c r="G30" i="5"/>
  <c r="F31" i="5"/>
  <c r="H38" i="5"/>
  <c r="F38" i="5"/>
  <c r="F33" i="4"/>
  <c r="H33" i="4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H41" i="5"/>
  <c r="G41" i="5"/>
  <c r="F41" i="5"/>
  <c r="H35" i="5"/>
  <c r="H33" i="5"/>
  <c r="G33" i="5"/>
  <c r="F33" i="5"/>
  <c r="H32" i="5"/>
  <c r="G32" i="5"/>
  <c r="F32" i="5"/>
  <c r="H30" i="5"/>
  <c r="F30" i="5"/>
  <c r="H29" i="5"/>
  <c r="G29" i="5"/>
  <c r="F29" i="5"/>
  <c r="C23" i="5"/>
  <c r="C24" i="5" s="1"/>
  <c r="D22" i="5"/>
  <c r="C22" i="5"/>
  <c r="I140" i="5"/>
  <c r="D130" i="5"/>
  <c r="D133" i="5" s="1"/>
  <c r="F149" i="4"/>
  <c r="F136" i="4"/>
  <c r="F137" i="4" s="1"/>
  <c r="F124" i="4"/>
  <c r="F123" i="4"/>
  <c r="F110" i="4"/>
  <c r="F111" i="4" s="1"/>
  <c r="H149" i="4"/>
  <c r="H147" i="4"/>
  <c r="G147" i="4"/>
  <c r="F147" i="4"/>
  <c r="H146" i="4"/>
  <c r="F146" i="4"/>
  <c r="H145" i="4"/>
  <c r="G145" i="4"/>
  <c r="F145" i="4"/>
  <c r="H144" i="4"/>
  <c r="G144" i="4"/>
  <c r="F144" i="4"/>
  <c r="H143" i="4"/>
  <c r="G143" i="4"/>
  <c r="F143" i="4"/>
  <c r="H142" i="4"/>
  <c r="G142" i="4"/>
  <c r="F142" i="4"/>
  <c r="H151" i="4"/>
  <c r="F151" i="4"/>
  <c r="F129" i="4"/>
  <c r="H80" i="4"/>
  <c r="G80" i="4"/>
  <c r="F80" i="4"/>
  <c r="H56" i="4"/>
  <c r="G56" i="4"/>
  <c r="F56" i="4"/>
  <c r="H35" i="4"/>
  <c r="G35" i="4"/>
  <c r="F35" i="4"/>
  <c r="H124" i="4"/>
  <c r="H123" i="4"/>
  <c r="H121" i="4"/>
  <c r="H120" i="4"/>
  <c r="H119" i="4"/>
  <c r="H118" i="4"/>
  <c r="H117" i="4"/>
  <c r="H116" i="4"/>
  <c r="G124" i="4"/>
  <c r="G123" i="4"/>
  <c r="J118" i="4"/>
  <c r="J121" i="4"/>
  <c r="J166" i="4"/>
  <c r="J68" i="3"/>
  <c r="J28" i="3"/>
  <c r="J91" i="3"/>
  <c r="J97" i="4"/>
  <c r="J82" i="11"/>
  <c r="J62" i="5"/>
  <c r="J68" i="5"/>
  <c r="J50" i="3"/>
  <c r="J129" i="4"/>
  <c r="J92" i="3"/>
  <c r="J65" i="3"/>
  <c r="J73" i="5"/>
  <c r="J32" i="5"/>
  <c r="J69" i="4"/>
  <c r="J78" i="3"/>
  <c r="J48" i="4"/>
  <c r="J31" i="5"/>
  <c r="J116" i="4"/>
  <c r="J64" i="5"/>
  <c r="J88" i="3"/>
  <c r="J90" i="3"/>
  <c r="J165" i="4"/>
  <c r="J47" i="3"/>
  <c r="J147" i="4"/>
  <c r="J74" i="5"/>
  <c r="J29" i="4"/>
  <c r="J73" i="4"/>
  <c r="J89" i="3"/>
  <c r="J46" i="3"/>
  <c r="J30" i="3"/>
  <c r="J50" i="11"/>
  <c r="J67" i="3"/>
  <c r="J76" i="5"/>
  <c r="J70" i="3"/>
  <c r="J65" i="5"/>
  <c r="J93" i="3"/>
  <c r="J101" i="3"/>
  <c r="J167" i="4"/>
  <c r="J30" i="4"/>
  <c r="J66" i="5"/>
  <c r="J70" i="5"/>
  <c r="J105" i="11"/>
  <c r="J83" i="11"/>
  <c r="J95" i="3"/>
  <c r="J28" i="4"/>
  <c r="J146" i="4"/>
  <c r="J96" i="4"/>
  <c r="J72" i="3"/>
  <c r="J117" i="4"/>
  <c r="J50" i="4"/>
  <c r="J145" i="4"/>
  <c r="J69" i="5"/>
  <c r="J93" i="4"/>
  <c r="J94" i="3"/>
  <c r="J66" i="3"/>
  <c r="J25" i="3"/>
  <c r="J33" i="5"/>
  <c r="J75" i="5"/>
  <c r="J85" i="11"/>
  <c r="J142" i="4"/>
  <c r="J144" i="4"/>
  <c r="J174" i="3"/>
  <c r="J154" i="3"/>
  <c r="J84" i="11"/>
  <c r="J71" i="3"/>
  <c r="J119" i="3"/>
  <c r="J95" i="4"/>
  <c r="J51" i="3"/>
  <c r="J71" i="5"/>
  <c r="J69" i="3"/>
  <c r="J151" i="3"/>
  <c r="J51" i="4"/>
  <c r="J29" i="3"/>
  <c r="J29" i="5"/>
  <c r="J164" i="4"/>
  <c r="J153" i="3"/>
  <c r="J72" i="5"/>
  <c r="J152" i="3"/>
  <c r="J70" i="4"/>
  <c r="J72" i="4"/>
  <c r="J48" i="3"/>
  <c r="J27" i="3"/>
  <c r="J120" i="4"/>
  <c r="G85" i="5" l="1"/>
  <c r="F85" i="5"/>
  <c r="L81" i="5"/>
  <c r="G82" i="5"/>
  <c r="F71" i="5"/>
  <c r="D150" i="5"/>
  <c r="D155" i="5" s="1"/>
  <c r="F79" i="5"/>
  <c r="G86" i="5"/>
  <c r="G79" i="5"/>
  <c r="G90" i="5"/>
  <c r="C152" i="5"/>
  <c r="C153" i="5" s="1"/>
  <c r="G80" i="5"/>
  <c r="F80" i="5"/>
  <c r="D157" i="5"/>
  <c r="D158" i="5" s="1"/>
  <c r="G91" i="5"/>
  <c r="G38" i="5"/>
  <c r="I130" i="5"/>
  <c r="G39" i="5"/>
  <c r="F72" i="5"/>
  <c r="I157" i="5"/>
  <c r="F73" i="5"/>
  <c r="G36" i="5"/>
  <c r="C133" i="5"/>
  <c r="F89" i="5"/>
  <c r="F81" i="5"/>
  <c r="F82" i="5"/>
  <c r="F75" i="5"/>
  <c r="G74" i="5"/>
  <c r="G70" i="5"/>
  <c r="G69" i="5"/>
  <c r="G78" i="5"/>
  <c r="L77" i="5"/>
  <c r="F76" i="5"/>
  <c r="G68" i="5"/>
  <c r="F68" i="5"/>
  <c r="C57" i="5"/>
  <c r="G35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F117" i="4"/>
  <c r="G117" i="4"/>
  <c r="F119" i="4"/>
  <c r="G119" i="4"/>
  <c r="F73" i="4"/>
  <c r="H76" i="4"/>
  <c r="H75" i="4"/>
  <c r="H73" i="4"/>
  <c r="H72" i="4"/>
  <c r="H71" i="4"/>
  <c r="H69" i="4"/>
  <c r="H70" i="4"/>
  <c r="F70" i="4"/>
  <c r="E62" i="4"/>
  <c r="C64" i="4"/>
  <c r="F62" i="4"/>
  <c r="F63" i="4" s="1"/>
  <c r="D62" i="4"/>
  <c r="C62" i="4"/>
  <c r="H54" i="4"/>
  <c r="H53" i="4"/>
  <c r="H51" i="4"/>
  <c r="H50" i="4"/>
  <c r="H49" i="4"/>
  <c r="H48" i="4"/>
  <c r="H32" i="4"/>
  <c r="H30" i="4"/>
  <c r="H29" i="4"/>
  <c r="H28" i="4"/>
  <c r="H27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H55" i="3"/>
  <c r="H53" i="3"/>
  <c r="H51" i="3"/>
  <c r="H50" i="3"/>
  <c r="H49" i="3"/>
  <c r="H48" i="3"/>
  <c r="H47" i="3"/>
  <c r="H46" i="3"/>
  <c r="H35" i="3"/>
  <c r="H28" i="3"/>
  <c r="H27" i="3"/>
  <c r="H26" i="3"/>
  <c r="H33" i="3"/>
  <c r="H32" i="3"/>
  <c r="H30" i="3"/>
  <c r="H29" i="3"/>
  <c r="H25" i="3"/>
  <c r="C116" i="5" l="1"/>
  <c r="C158" i="5"/>
  <c r="C160" i="5" s="1"/>
  <c r="C138" i="5"/>
  <c r="F35" i="3"/>
  <c r="F55" i="3"/>
  <c r="C117" i="5" l="1"/>
  <c r="C140" i="5"/>
  <c r="C118" i="5" l="1"/>
  <c r="C120" i="5" s="1"/>
  <c r="F20" i="4"/>
  <c r="F21" i="4" s="1"/>
  <c r="F41" i="4"/>
  <c r="F42" i="4" s="1"/>
  <c r="C42" i="4"/>
  <c r="D41" i="4"/>
  <c r="C41" i="4"/>
  <c r="C20" i="4"/>
  <c r="F32" i="4" s="1"/>
  <c r="D20" i="4"/>
  <c r="C21" i="4"/>
  <c r="G33" i="4" s="1"/>
  <c r="F51" i="4"/>
  <c r="F49" i="4"/>
  <c r="G29" i="4"/>
  <c r="F29" i="4"/>
  <c r="F28" i="4"/>
  <c r="G149" i="4"/>
  <c r="G121" i="4"/>
  <c r="F121" i="4"/>
  <c r="F120" i="4"/>
  <c r="G118" i="4"/>
  <c r="F118" i="4"/>
  <c r="G116" i="4"/>
  <c r="F116" i="4"/>
  <c r="F76" i="4"/>
  <c r="F75" i="4"/>
  <c r="F72" i="4"/>
  <c r="G71" i="4"/>
  <c r="F71" i="4"/>
  <c r="F69" i="4"/>
  <c r="G53" i="4"/>
  <c r="G50" i="4"/>
  <c r="F50" i="4"/>
  <c r="F48" i="4"/>
  <c r="F30" i="4"/>
  <c r="F27" i="4"/>
  <c r="H20" i="4" l="1"/>
  <c r="H21" i="4" s="1"/>
  <c r="C43" i="4"/>
  <c r="F54" i="4"/>
  <c r="F53" i="4"/>
  <c r="C22" i="4"/>
  <c r="I41" i="4"/>
  <c r="I42" i="4" s="1"/>
  <c r="G32" i="4"/>
  <c r="F53" i="3"/>
  <c r="G53" i="3"/>
  <c r="F51" i="3"/>
  <c r="G51" i="3"/>
  <c r="F49" i="3"/>
  <c r="F48" i="3"/>
  <c r="F47" i="3"/>
  <c r="G47" i="3"/>
  <c r="F46" i="3"/>
  <c r="G46" i="3"/>
  <c r="F33" i="3"/>
  <c r="G33" i="3"/>
  <c r="F32" i="3"/>
  <c r="G32" i="3"/>
  <c r="F30" i="3"/>
  <c r="G30" i="3"/>
  <c r="F29" i="3"/>
  <c r="F28" i="3"/>
  <c r="F27" i="3"/>
  <c r="F26" i="3"/>
  <c r="G26" i="3"/>
  <c r="F25" i="3"/>
  <c r="G2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<sst xmlns="http://schemas.openxmlformats.org/spreadsheetml/2006/main" count="732" uniqueCount="137">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</sst>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9</xdr:row>
          <xdr:rowOff>152400</xdr:rowOff>
        </xdr:from>
        <xdr:to>
          <xdr:col>7</xdr:col>
          <xdr:colOff>502920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9</xdr:row>
          <xdr:rowOff>167640</xdr:rowOff>
        </xdr:from>
        <xdr:to>
          <xdr:col>10</xdr:col>
          <xdr:colOff>548640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396240</xdr:colOff>
          <xdr:row>9</xdr:row>
          <xdr:rowOff>167640</xdr:rowOff>
        </xdr:from>
        <xdr:to>
          <xdr:col>10</xdr:col>
          <xdr:colOff>53340</xdr:colOff>
          <xdr:row>11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9</xdr:row>
          <xdr:rowOff>167640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9</xdr:row>
          <xdr:rowOff>167640</xdr:rowOff>
        </xdr:from>
        <xdr:to>
          <xdr:col>6</xdr:col>
          <xdr:colOff>708660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9</xdr:row>
          <xdr:rowOff>144780</xdr:rowOff>
        </xdr:from>
        <xdr:to>
          <xdr:col>13</xdr:col>
          <xdr:colOff>342900</xdr:colOff>
          <xdr:row>11</xdr:row>
          <xdr:rowOff>137160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10</xdr:row>
          <xdr:rowOff>0</xdr:rowOff>
        </xdr:from>
        <xdr:to>
          <xdr:col>10</xdr:col>
          <xdr:colOff>579120</xdr:colOff>
          <xdr:row>11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10</xdr:row>
          <xdr:rowOff>22860</xdr:rowOff>
        </xdr:from>
        <xdr:to>
          <xdr:col>4</xdr:col>
          <xdr:colOff>685800</xdr:colOff>
          <xdr:row>11</xdr:row>
          <xdr:rowOff>213360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213360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10</xdr:row>
          <xdr:rowOff>22860</xdr:rowOff>
        </xdr:from>
        <xdr:to>
          <xdr:col>14</xdr:col>
          <xdr:colOff>365760</xdr:colOff>
          <xdr:row>11</xdr:row>
          <xdr:rowOff>213360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76200</xdr:rowOff>
        </xdr:from>
        <xdr:to>
          <xdr:col>11</xdr:col>
          <xdr:colOff>45720</xdr:colOff>
          <xdr:row>11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76200</xdr:rowOff>
        </xdr:from>
        <xdr:to>
          <xdr:col>4</xdr:col>
          <xdr:colOff>754380</xdr:colOff>
          <xdr:row>11</xdr:row>
          <xdr:rowOff>198120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891540</xdr:colOff>
          <xdr:row>10</xdr:row>
          <xdr:rowOff>76200</xdr:rowOff>
        </xdr:from>
        <xdr:to>
          <xdr:col>7</xdr:col>
          <xdr:colOff>601980</xdr:colOff>
          <xdr:row>11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10</xdr:row>
          <xdr:rowOff>76200</xdr:rowOff>
        </xdr:from>
        <xdr:to>
          <xdr:col>14</xdr:col>
          <xdr:colOff>289560</xdr:colOff>
          <xdr:row>11</xdr:row>
          <xdr:rowOff>190500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10</xdr:row>
          <xdr:rowOff>7620</xdr:rowOff>
        </xdr:from>
        <xdr:to>
          <xdr:col>10</xdr:col>
          <xdr:colOff>434340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</xdr:colOff>
          <xdr:row>9</xdr:row>
          <xdr:rowOff>213360</xdr:rowOff>
        </xdr:from>
        <xdr:to>
          <xdr:col>14</xdr:col>
          <xdr:colOff>259080</xdr:colOff>
          <xdr:row>11</xdr:row>
          <xdr:rowOff>129540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136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118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130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119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124</v>
      </c>
      <c r="E21" s="47" t="s">
        <v>120</v>
      </c>
      <c r="F21" s="47" t="s">
        <v>121</v>
      </c>
      <c r="G21" s="47" t="s">
        <v>122</v>
      </c>
      <c r="H21" s="47" t="s">
        <v>123</v>
      </c>
      <c r="I21" s="47" t="s">
        <v>125</v>
      </c>
      <c r="J21" s="47" t="s">
        <v>126</v>
      </c>
      <c r="K21" s="47" t="s">
        <v>127</v>
      </c>
      <c r="L21" s="47" t="s">
        <v>128</v>
      </c>
      <c r="M21" s="47" t="s">
        <v>129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130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49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4</v>
      </c>
    </row>
    <row r="2" spans="1:15" s="83" customFormat="1" ht="31.2" x14ac:dyDescent="0.3">
      <c r="B2" s="83" t="s">
        <v>109</v>
      </c>
      <c r="D2" s="100" t="s">
        <v>134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133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119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131</v>
      </c>
      <c r="K22" s="6" t="s">
        <v>114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131</v>
      </c>
      <c r="K40" s="6" t="s">
        <v>114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89</v>
      </c>
      <c r="B53" s="14"/>
      <c r="C53" s="13">
        <v>1</v>
      </c>
      <c r="D53" s="21" t="s">
        <v>51</v>
      </c>
      <c r="E53" s="101" t="s">
        <v>112</v>
      </c>
      <c r="F53" s="102"/>
      <c r="G53" s="102"/>
      <c r="H53" s="103"/>
      <c r="I53" s="2" t="s">
        <v>26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77</v>
      </c>
      <c r="E54" s="26" t="str" cm="1">
        <f t="array" aca="1" ref="E54" ca="1">defaultValue(F54,K53)</f>
        <v>ظهر</v>
      </c>
      <c r="F54" s="7" t="s">
        <v>50</v>
      </c>
      <c r="G54" s="26" t="str" cm="1">
        <f t="array" aca="1" ref="G54" ca="1">defaultValue(H54,K53)</f>
        <v>يوفيلاك</v>
      </c>
      <c r="H54" s="7" t="s">
        <v>28</v>
      </c>
      <c r="I54" s="26" t="str" cm="1">
        <f t="array" aca="1" ref="I54" ca="1">defaultValue(J54,K53)</f>
        <v>HPL</v>
      </c>
      <c r="J54" s="7" t="s">
        <v>27</v>
      </c>
      <c r="K54" s="24" t="s">
        <v>75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86</v>
      </c>
      <c r="D55" s="7" t="s">
        <v>85</v>
      </c>
      <c r="E55" s="70" t="s">
        <v>84</v>
      </c>
      <c r="F55" s="70" t="s">
        <v>115</v>
      </c>
      <c r="G55" s="7" t="s">
        <v>14</v>
      </c>
      <c r="H55" s="7" t="s">
        <v>19</v>
      </c>
      <c r="I55" s="7" t="s">
        <v>3</v>
      </c>
      <c r="J55" s="7" t="s">
        <v>76</v>
      </c>
      <c r="K55" s="7" t="s">
        <v>17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87</v>
      </c>
      <c r="I57" s="26">
        <v>0</v>
      </c>
      <c r="J57" s="104" t="s">
        <v>116</v>
      </c>
      <c r="K57" s="105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29</v>
      </c>
      <c r="J59" s="6" t="s">
        <v>131</v>
      </c>
      <c r="K59" s="6" t="s">
        <v>114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94</v>
      </c>
      <c r="B88" s="14"/>
      <c r="C88" s="13">
        <v>1</v>
      </c>
      <c r="D88" s="21" t="s">
        <v>51</v>
      </c>
      <c r="E88" s="101" t="s">
        <v>117</v>
      </c>
      <c r="F88" s="102"/>
      <c r="G88" s="102"/>
      <c r="H88" s="103"/>
      <c r="I88" s="2" t="s">
        <v>26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77</v>
      </c>
      <c r="E89" s="26" t="str" cm="1">
        <f t="array" aca="1" ref="E89" ca="1">defaultValue(F89,K88)</f>
        <v>ظهر</v>
      </c>
      <c r="F89" s="7" t="s">
        <v>50</v>
      </c>
      <c r="G89" s="26" t="str" cm="1">
        <f t="array" aca="1" ref="G89" ca="1">defaultValue(H89,K88)</f>
        <v>يوفيلاك</v>
      </c>
      <c r="H89" s="7" t="s">
        <v>28</v>
      </c>
      <c r="I89" s="26" t="str" cm="1">
        <f t="array" aca="1" ref="I89" ca="1">defaultValue(J89,K88)</f>
        <v>HPL</v>
      </c>
      <c r="J89" s="7" t="s">
        <v>27</v>
      </c>
      <c r="K89" s="24" t="s">
        <v>75</v>
      </c>
    </row>
    <row r="90" spans="1:62" ht="15.6" x14ac:dyDescent="0.3">
      <c r="A90" s="42">
        <v>1</v>
      </c>
      <c r="B90" s="14"/>
      <c r="C90" s="7" t="s">
        <v>12</v>
      </c>
      <c r="D90" s="7" t="s">
        <v>16</v>
      </c>
      <c r="E90" s="70" t="s">
        <v>20</v>
      </c>
      <c r="F90" s="7"/>
      <c r="G90" s="7" t="s">
        <v>14</v>
      </c>
      <c r="H90" s="7" t="s">
        <v>19</v>
      </c>
      <c r="I90" s="7" t="s">
        <v>3</v>
      </c>
      <c r="J90" s="7" t="s">
        <v>76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29</v>
      </c>
      <c r="J93" s="6" t="s">
        <v>131</v>
      </c>
      <c r="K93" s="6" t="s">
        <v>114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E53:H53"/>
    <mergeCell ref="J57:K57"/>
    <mergeCell ref="E88:H88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135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133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119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abSelected="1" topLeftCell="B1" zoomScale="68" zoomScaleNormal="85" workbookViewId="0">
      <pane ySplit="12" topLeftCell="A13" activePane="bottomLeft" state="frozen"/>
      <selection activeCell="B1" sqref="B1"/>
      <selection pane="bottomLeft" activeCell="E28" sqref="E28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42" t="s">
        <v>88</v>
      </c>
      <c r="C17" s="13">
        <v>1</v>
      </c>
      <c r="D17" s="21" t="s">
        <v>51</v>
      </c>
      <c r="E17" s="101" t="s">
        <v>22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16</v>
      </c>
      <c r="E18" s="7" t="s">
        <v>14</v>
      </c>
      <c r="F18" s="109"/>
      <c r="G18" s="7"/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109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50</v>
      </c>
      <c r="F21" s="26" t="str" cm="1">
        <f t="array" aca="1" ref="F21" ca="1">defaultValue(G21,K17)</f>
        <v>يوفيلاك</v>
      </c>
      <c r="G21" s="7" t="s">
        <v>28</v>
      </c>
      <c r="H21" s="26" t="str" cm="1">
        <f t="array" aca="1" ref="H21" ca="1">defaultValue(I21,K17)</f>
        <v>HPL</v>
      </c>
      <c r="I21" s="7" t="s">
        <v>27</v>
      </c>
      <c r="J21" s="24" t="s">
        <v>75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29</v>
      </c>
      <c r="J23" s="6" t="s">
        <v>131</v>
      </c>
      <c r="K23" s="6" t="s">
        <v>114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>
        <f>visible(E17, K25)</f>
        <v>وحدة سفلية  زاوية 90</v>
      </c>
      <c r="C25" s="6">
        <f>visible(1,K25)</f>
        <v>1</v>
      </c>
      <c r="D25" s="6" t="str">
        <f ca="1">visible(H21, K25)</f>
        <v>HPL</v>
      </c>
      <c r="E25" s="6" t="str">
        <f>visible("قاعدة", K25)</f>
        <v>قاعدة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>
        <f>visible(E17, K26)</f>
        <v>وحدة سفلية  زاوية 90</v>
      </c>
      <c r="C26" s="6">
        <f>visible(2,K26)</f>
        <v>2</v>
      </c>
      <c r="D26" s="6" t="str">
        <f ca="1">visible(H21, K26)</f>
        <v>HPL</v>
      </c>
      <c r="E26" s="6" t="str">
        <f>visible("أجناب", K26)</f>
        <v>أجناب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>
        <f>visible(E17, K27)</f>
        <v>وحدة سفلية  زاوية 90</v>
      </c>
      <c r="C27" s="6">
        <f>visible(3,K27)</f>
        <v>3</v>
      </c>
      <c r="D27" s="6" t="str">
        <f ca="1">visible(H21, K27)</f>
        <v>HPL</v>
      </c>
      <c r="E27" s="6" t="str">
        <f>visible("مرايا علوية 1", K27)</f>
        <v>مرايا علوية 1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>
        <f>visible(E17, K28)</f>
        <v>وحدة سفلية  زاوية 90</v>
      </c>
      <c r="C28" s="6">
        <f>visible(4,K28)</f>
        <v>4</v>
      </c>
      <c r="D28" s="6" t="str">
        <f ca="1">visible(H21, K28)</f>
        <v>HPL</v>
      </c>
      <c r="E28" s="6" t="str">
        <f>visible("مرايا علوية 2", K28)</f>
        <v>مرايا علوية 2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 t="str">
        <f>visible(E17, K29)</f>
        <v>وحدة سفلية  زاوية 90</v>
      </c>
      <c r="C29" s="6">
        <f>visible(5,K29)</f>
        <v>5</v>
      </c>
      <c r="D29" s="6" t="str">
        <f ca="1">visible(H21, K29)</f>
        <v>HPL</v>
      </c>
      <c r="E29" s="6" t="str">
        <f>visible("قائم خلفى", K29)</f>
        <v>قائم خلفى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 t="str">
        <f>visible(E17, K30)</f>
        <v>وحدة سفلية  زاوية 90</v>
      </c>
      <c r="C30" s="6">
        <f>visible(6,K30)</f>
        <v>6</v>
      </c>
      <c r="D30" s="6" t="str">
        <f ca="1">visible(H21, K30)</f>
        <v>HPL</v>
      </c>
      <c r="E30" s="6" t="str">
        <f>visible("رف", K30)</f>
        <v>رف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 t="str">
        <f>visible(E17, K32)</f>
        <v>وحدة سفلية  زاوية 90</v>
      </c>
      <c r="C32" s="9">
        <f>visible(7,K32)</f>
        <v>7</v>
      </c>
      <c r="D32" s="9" t="str">
        <f ca="1">visible(F21, K32)</f>
        <v>يوفيلاك</v>
      </c>
      <c r="E32" s="9" t="str">
        <f>visible("دلف 1", K32)</f>
        <v>دلف 1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 t="str">
        <f>visible(E17, K33)</f>
        <v>وحدة سفلية  زاوية 90</v>
      </c>
      <c r="C33" s="9">
        <f>visible(8,K33)</f>
        <v>8</v>
      </c>
      <c r="D33" s="9" t="str">
        <f ca="1">visible(F21, K33)</f>
        <v>يوفيلاك</v>
      </c>
      <c r="E33" s="9" t="str">
        <f>visible("دلف 2", K33)</f>
        <v>دلف 2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 t="str">
        <f>visible(E17, K35)</f>
        <v>وحدة سفلية  زاوية 90</v>
      </c>
      <c r="C35" s="18">
        <f>visible(9,K35)</f>
        <v>9</v>
      </c>
      <c r="D35" s="18" t="str">
        <f ca="1">visible(D21, K35)</f>
        <v>ظهر</v>
      </c>
      <c r="E35" s="18" t="str">
        <f>visible("ظهر", K35)</f>
        <v>ظهر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1.2" x14ac:dyDescent="0.3">
      <c r="A38" s="42" t="s">
        <v>93</v>
      </c>
      <c r="C38" s="13">
        <v>1</v>
      </c>
      <c r="D38" s="21" t="s">
        <v>51</v>
      </c>
      <c r="E38" s="101" t="s">
        <v>25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16</v>
      </c>
      <c r="E39" s="7" t="s">
        <v>14</v>
      </c>
      <c r="F39" s="109"/>
      <c r="G39" s="7"/>
      <c r="H39" s="7" t="s">
        <v>19</v>
      </c>
      <c r="I39" s="7" t="s">
        <v>3</v>
      </c>
      <c r="J39" s="7" t="s">
        <v>76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109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50</v>
      </c>
      <c r="F42" s="26" t="str" cm="1">
        <f t="array" aca="1" ref="F42" ca="1">defaultValue(G42,K38)</f>
        <v>يوفيلاك</v>
      </c>
      <c r="G42" s="7" t="s">
        <v>28</v>
      </c>
      <c r="H42" s="26" t="str" cm="1">
        <f t="array" aca="1" ref="H42" ca="1">defaultValue(I42,K38)</f>
        <v>HPL</v>
      </c>
      <c r="I42" s="7" t="s">
        <v>27</v>
      </c>
      <c r="J42" s="24" t="s">
        <v>75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131</v>
      </c>
      <c r="K44" s="6" t="s">
        <v>114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visible(E38, K46)</f>
        <v>وحدة سفلية  ركنة 45</v>
      </c>
      <c r="C46" s="6">
        <f>visible(1,K46)</f>
        <v>1</v>
      </c>
      <c r="D46" s="6" t="str">
        <f ca="1">visible(H42, K46)</f>
        <v>HPL</v>
      </c>
      <c r="E46" s="6" t="str">
        <f>visible("قاعدة", K46)</f>
        <v>قاعدة</v>
      </c>
      <c r="F46" s="6">
        <f>H40-1.8</f>
        <v>-1.8</v>
      </c>
      <c r="G46" s="6">
        <f>H41-1.8</f>
        <v>-1.8</v>
      </c>
      <c r="H46" s="6">
        <f>1*C38</f>
        <v>1</v>
      </c>
      <c r="I46" s="6">
        <f t="shared" ref="I46:I51" ca="1" si="1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visible(E38, K47)</f>
        <v>وحدة سفلية  ركنة 45</v>
      </c>
      <c r="C47" s="6">
        <f>visible(2,K47)</f>
        <v>2</v>
      </c>
      <c r="D47" s="6" t="str">
        <f ca="1">visible(H42, K47)</f>
        <v>HPL</v>
      </c>
      <c r="E47" s="6" t="str">
        <f>visible("أجناب", K47)</f>
        <v>أجناب</v>
      </c>
      <c r="F47" s="6">
        <f ca="1">I40</f>
        <v>78</v>
      </c>
      <c r="G47" s="6">
        <f ca="1">J40</f>
        <v>56</v>
      </c>
      <c r="H47" s="6">
        <f>2*C38</f>
        <v>2</v>
      </c>
      <c r="I47" s="6">
        <f t="shared" ca="1" si="1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visible(E38, K48)</f>
        <v>وحدة سفلية  ركنة 45</v>
      </c>
      <c r="C48" s="6">
        <f>visible(3,K48)</f>
        <v>3</v>
      </c>
      <c r="D48" s="6" t="str">
        <f ca="1">visible(H42, K48)</f>
        <v>HPL</v>
      </c>
      <c r="E48" s="6" t="str">
        <f>visible("مرايا علوية 1", K48)</f>
        <v>مرايا علوية 1</v>
      </c>
      <c r="F48" s="6">
        <f>H40-1.8</f>
        <v>-1.8</v>
      </c>
      <c r="G48" s="6">
        <v>10</v>
      </c>
      <c r="H48" s="6">
        <f>3*C38</f>
        <v>3</v>
      </c>
      <c r="I48" s="6">
        <f t="shared" ca="1" si="1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visible(E38, K49)</f>
        <v>وحدة سفلية  ركنة 45</v>
      </c>
      <c r="C49" s="6">
        <f>visible(4,K49)</f>
        <v>4</v>
      </c>
      <c r="D49" s="6" t="str">
        <f ca="1">visible(H42, K49)</f>
        <v>HPL</v>
      </c>
      <c r="E49" s="6" t="str">
        <f>visible("مرايا علوية 2", K49)</f>
        <v>مرايا علوية 2</v>
      </c>
      <c r="F49" s="6">
        <f>H40-1.8</f>
        <v>-1.8</v>
      </c>
      <c r="G49" s="6">
        <v>7</v>
      </c>
      <c r="H49" s="6">
        <f>2*C38</f>
        <v>2</v>
      </c>
      <c r="I49" s="6">
        <f t="shared" ca="1" si="1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visible(E38, K50)</f>
        <v>وحدة سفلية  ركنة 45</v>
      </c>
      <c r="C50" s="6">
        <f>visible(5,K50)</f>
        <v>5</v>
      </c>
      <c r="D50" s="6" t="str">
        <f ca="1">visible(H42, K50)</f>
        <v>HPL</v>
      </c>
      <c r="E50" s="6" t="str">
        <f>visible("قائم خلفى", K50)</f>
        <v>قائم خلفى</v>
      </c>
      <c r="F50" s="6">
        <v>70</v>
      </c>
      <c r="G50" s="6">
        <v>10</v>
      </c>
      <c r="H50" s="6">
        <f>1*C38</f>
        <v>1</v>
      </c>
      <c r="I50" s="6">
        <f t="shared" ca="1" si="1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visible(E38, K51)</f>
        <v>وحدة سفلية  ركنة 45</v>
      </c>
      <c r="C51" s="6">
        <f>visible(6,K51)</f>
        <v>6</v>
      </c>
      <c r="D51" s="6" t="str">
        <f ca="1">visible(H42, K51)</f>
        <v>HPL</v>
      </c>
      <c r="E51" s="6" t="str">
        <f>visible("رف", K51)</f>
        <v>رف</v>
      </c>
      <c r="F51" s="6">
        <f>H40-3.8</f>
        <v>-3.8</v>
      </c>
      <c r="G51" s="6">
        <f>H41-3.8</f>
        <v>-3.8</v>
      </c>
      <c r="H51" s="6">
        <f>D40*C38</f>
        <v>1</v>
      </c>
      <c r="I51" s="6">
        <f t="shared" ca="1" si="1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visible(E38, K53)</f>
        <v>وحدة سفلية  ركنة 45</v>
      </c>
      <c r="C53" s="9">
        <f>visible(7,K53)</f>
        <v>7</v>
      </c>
      <c r="D53" s="9" t="str">
        <f ca="1">visible(F42, K53)</f>
        <v>يوفيلاك</v>
      </c>
      <c r="E53" s="9" t="str">
        <f>visible("دلف 1", K53)</f>
        <v>دلف 1</v>
      </c>
      <c r="F53" s="9">
        <f ca="1">I40-0.5-E40</f>
        <v>74</v>
      </c>
      <c r="G53" s="16">
        <f ca="1">(SQRT((H40-J40)^2+(H41-J41)^2))-2</f>
        <v>77.195959492893323</v>
      </c>
      <c r="H53" s="9">
        <f>1*C38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visible(E38, K55)</f>
        <v>وحدة سفلية  ركنة 45</v>
      </c>
      <c r="C55" s="18">
        <f>visible(8,K55)</f>
        <v>8</v>
      </c>
      <c r="D55" s="18" t="str">
        <f ca="1">visible(D42, K55)</f>
        <v>ظهر</v>
      </c>
      <c r="E55" s="18" t="str">
        <f>visible("ظهر", K55)</f>
        <v>ظهر</v>
      </c>
      <c r="F55" s="18">
        <f ca="1">I40-1</f>
        <v>77</v>
      </c>
      <c r="G55" s="18">
        <f>H40-1</f>
        <v>-1</v>
      </c>
      <c r="H55" s="18">
        <f>1*C38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1.2" x14ac:dyDescent="0.3">
      <c r="A58" s="42" t="s">
        <v>89</v>
      </c>
      <c r="B58" s="3"/>
      <c r="C58" s="13">
        <v>1</v>
      </c>
      <c r="D58" s="21" t="s">
        <v>51</v>
      </c>
      <c r="E58" s="101" t="s">
        <v>71</v>
      </c>
      <c r="F58" s="102"/>
      <c r="G58" s="102"/>
      <c r="H58" s="103"/>
      <c r="I58" s="2" t="s">
        <v>26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16</v>
      </c>
      <c r="E59" s="7" t="s">
        <v>14</v>
      </c>
      <c r="F59" s="109"/>
      <c r="G59" s="15" t="s">
        <v>17</v>
      </c>
      <c r="H59" s="7" t="s">
        <v>19</v>
      </c>
      <c r="I59" s="7" t="s">
        <v>3</v>
      </c>
      <c r="J59" s="7" t="s">
        <v>76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109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50</v>
      </c>
      <c r="F61" s="26" t="str" cm="1">
        <f t="array" aca="1" ref="F61" ca="1">defaultValue(G61,K58)</f>
        <v>يوفيلاك</v>
      </c>
      <c r="G61" s="7" t="s">
        <v>28</v>
      </c>
      <c r="H61" s="26" t="str" cm="1">
        <f t="array" aca="1" ref="H61" ca="1">defaultValue(I61,K58)</f>
        <v>HPL</v>
      </c>
      <c r="I61" s="7" t="s">
        <v>27</v>
      </c>
      <c r="J61" s="24" t="s">
        <v>75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29</v>
      </c>
      <c r="J63" s="6" t="s">
        <v>131</v>
      </c>
      <c r="K63" s="6" t="s">
        <v>114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visible(E58, K65)</f>
        <v xml:space="preserve">وحدة سفلية  فرن </v>
      </c>
      <c r="C65" s="6">
        <f>visible(1,K65)</f>
        <v>1</v>
      </c>
      <c r="D65" s="6" t="str">
        <f ca="1">visible(H61, K65)</f>
        <v>HPL</v>
      </c>
      <c r="E65" s="6" t="str">
        <f>visible("قاعدة", K65)</f>
        <v>قاعدة</v>
      </c>
      <c r="F65" s="6">
        <f>H60-3.6</f>
        <v>56.4</v>
      </c>
      <c r="G65" s="6">
        <f ca="1">J60</f>
        <v>56</v>
      </c>
      <c r="H65" s="6">
        <f>2*C58</f>
        <v>2</v>
      </c>
      <c r="I65" s="6">
        <f t="shared" ref="I65:I72" ca="1" si="2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visible(E58, K66)</f>
        <v xml:space="preserve">وحدة سفلية  فرن </v>
      </c>
      <c r="C66" s="6">
        <f>visible(2,K66)</f>
        <v>2</v>
      </c>
      <c r="D66" s="6" t="str">
        <f ca="1">visible(H61, K66)</f>
        <v>HPL</v>
      </c>
      <c r="E66" s="6" t="str">
        <f>visible("أجناب", K66)</f>
        <v>أجناب</v>
      </c>
      <c r="F66" s="6">
        <f ca="1">I60</f>
        <v>78</v>
      </c>
      <c r="G66" s="6">
        <f ca="1">J60</f>
        <v>56</v>
      </c>
      <c r="H66" s="6">
        <f>2*C58</f>
        <v>2</v>
      </c>
      <c r="I66" s="6">
        <f t="shared" ca="1" si="2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visible(E58, K67)</f>
        <v xml:space="preserve">وحدة سفلية  فرن </v>
      </c>
      <c r="C67" s="6">
        <f>visible(3,K67)</f>
        <v>3</v>
      </c>
      <c r="D67" s="6" t="str">
        <f ca="1">visible(H61, K67)</f>
        <v>HPL</v>
      </c>
      <c r="E67" s="6" t="str">
        <f>visible("مرايا علوية 1", K67)</f>
        <v>مرايا علوية 1</v>
      </c>
      <c r="F67" s="6">
        <f>H60-3.6</f>
        <v>56.4</v>
      </c>
      <c r="G67" s="6">
        <v>10</v>
      </c>
      <c r="H67" s="6">
        <f>2*C58</f>
        <v>2</v>
      </c>
      <c r="I67" s="6">
        <f t="shared" ca="1" si="2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visible(E58, K68)</f>
        <v xml:space="preserve">وحدة سفلية  فرن </v>
      </c>
      <c r="C68" s="6">
        <f>visible(4,K68)</f>
        <v>4</v>
      </c>
      <c r="D68" s="6" t="str">
        <f ca="1">visible(H61, K68)</f>
        <v>HPL</v>
      </c>
      <c r="E68" s="6" t="str">
        <f>visible("مرايا علوية 2", K68)</f>
        <v>مرايا علوية 2</v>
      </c>
      <c r="F68" s="6">
        <f>H60-3.6</f>
        <v>56.4</v>
      </c>
      <c r="G68" s="6">
        <v>7</v>
      </c>
      <c r="H68" s="6">
        <f>2*C58</f>
        <v>2</v>
      </c>
      <c r="I68" s="6">
        <f t="shared" ca="1" si="2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visible(E58, K69)</f>
        <v xml:space="preserve">وحدة سفلية  فرن </v>
      </c>
      <c r="C69" s="6">
        <f>visible(5,K69)</f>
        <v>5</v>
      </c>
      <c r="D69" s="6" t="str">
        <f ca="1">visible(H61, K69)</f>
        <v>HPL</v>
      </c>
      <c r="E69" s="6" t="str">
        <f>visible("رف", K69)</f>
        <v>رف</v>
      </c>
      <c r="F69" s="6">
        <f>H60-3.8</f>
        <v>56.2</v>
      </c>
      <c r="G69" s="6">
        <f ca="1">J60-6</f>
        <v>50</v>
      </c>
      <c r="H69" s="6">
        <f>D60*C58</f>
        <v>0</v>
      </c>
      <c r="I69" s="6">
        <f t="shared" ca="1" si="2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visible(E58, K70)</f>
        <v xml:space="preserve">وحدة سفلية  فرن </v>
      </c>
      <c r="C70" s="10">
        <f>visible(6,K70)</f>
        <v>6</v>
      </c>
      <c r="D70" s="10" t="str">
        <f ca="1">visible(H61, K70)</f>
        <v>HPL</v>
      </c>
      <c r="E70" s="10" t="str">
        <f>visible("وش درج داخلى", K70)</f>
        <v>وش درج داخلى</v>
      </c>
      <c r="F70" s="10">
        <f>H60-3.6-3.6-2.5</f>
        <v>50.3</v>
      </c>
      <c r="G70" s="10">
        <v>10</v>
      </c>
      <c r="H70" s="10">
        <f>1*C58</f>
        <v>1</v>
      </c>
      <c r="I70" s="10">
        <f t="shared" ca="1" si="2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visible(E58, K71)</f>
        <v xml:space="preserve">وحدة سفلية  فرن </v>
      </c>
      <c r="C71" s="10">
        <f>visible(7,K71)</f>
        <v>7</v>
      </c>
      <c r="D71" s="10" t="str">
        <f ca="1">visible(H61, K71)</f>
        <v>HPL</v>
      </c>
      <c r="E71" s="10" t="str">
        <f>visible("جنب درج داخلى ", K71)</f>
        <v xml:space="preserve">جنب درج داخلى </v>
      </c>
      <c r="F71" s="10">
        <f ca="1">G60</f>
        <v>45</v>
      </c>
      <c r="G71" s="10">
        <v>10</v>
      </c>
      <c r="H71" s="10">
        <f>2*C58</f>
        <v>2</v>
      </c>
      <c r="I71" s="10">
        <f t="shared" ca="1" si="2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visible(E58, K72)</f>
        <v xml:space="preserve">وحدة سفلية  فرن </v>
      </c>
      <c r="C72" s="10">
        <f>visible(8,K72)</f>
        <v>8</v>
      </c>
      <c r="D72" s="10" t="str">
        <f ca="1">visible(H61, K72)</f>
        <v>HPL</v>
      </c>
      <c r="E72" s="10" t="str">
        <f>visible("ظهر درج داخلى ", K72)</f>
        <v xml:space="preserve">ظهر درج داخلى </v>
      </c>
      <c r="F72" s="10">
        <f>H60-3.6-3.6-2.5</f>
        <v>50.3</v>
      </c>
      <c r="G72" s="10">
        <f>10-3</f>
        <v>7</v>
      </c>
      <c r="H72" s="10">
        <f>1*C58</f>
        <v>1</v>
      </c>
      <c r="I72" s="10">
        <f t="shared" ca="1" si="2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visible(E58, K74)</f>
        <v xml:space="preserve">وحدة سفلية  فرن </v>
      </c>
      <c r="C74" s="9">
        <f>visible(9,K74)</f>
        <v>9</v>
      </c>
      <c r="D74" s="9" t="str">
        <f ca="1">visible(F61, K74)</f>
        <v>يوفيلاك</v>
      </c>
      <c r="E74" s="9" t="str">
        <f>visible("دلف ", K74)</f>
        <v xml:space="preserve">دلف </v>
      </c>
      <c r="F74" s="9" t="str">
        <f>IF(H74=0,"",(I60-0.5-E60))</f>
        <v/>
      </c>
      <c r="G74" s="9" t="str">
        <f>IF(H74=0, "",(H60/C60)-0.5)</f>
        <v/>
      </c>
      <c r="H74" s="9">
        <f>C60*C58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visible(E58, K75)</f>
        <v xml:space="preserve">وحدة سفلية  فرن </v>
      </c>
      <c r="C75" s="9">
        <f>visible(10,K75)</f>
        <v>10</v>
      </c>
      <c r="D75" s="9" t="str">
        <f ca="1">visible(F61, K75)</f>
        <v>يوفيلاك</v>
      </c>
      <c r="E75" s="9" t="str">
        <f>visible("وش درج فرن", K75)</f>
        <v>وش درج فرن</v>
      </c>
      <c r="F75" s="9">
        <f>H60-0.5</f>
        <v>59.5</v>
      </c>
      <c r="G75" s="9">
        <f ca="1">I60-E60-60.5</f>
        <v>14</v>
      </c>
      <c r="H75" s="9">
        <f>1*C58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visible(E58, K77)</f>
        <v xml:space="preserve">وحدة سفلية  فرن </v>
      </c>
      <c r="C77" s="18">
        <f>visible(11,K77)</f>
        <v>11</v>
      </c>
      <c r="D77" s="18" t="str">
        <f ca="1">visible(D61, K77)</f>
        <v>ظهر</v>
      </c>
      <c r="E77" s="18" t="str">
        <f>visible("ظهر", K77)</f>
        <v>ظهر</v>
      </c>
      <c r="F77" s="18">
        <f ca="1">I60-2</f>
        <v>76</v>
      </c>
      <c r="G77" s="18">
        <f>H60-2</f>
        <v>58</v>
      </c>
      <c r="H77" s="18">
        <f>1*C58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visible(E58, K78)</f>
        <v xml:space="preserve">وحدة سفلية  فرن </v>
      </c>
      <c r="C78" s="18">
        <f>visible(12,K78)</f>
        <v>12</v>
      </c>
      <c r="D78" s="18" t="str">
        <f ca="1">visible(D61, K78)</f>
        <v>ظهر</v>
      </c>
      <c r="E78" s="18" t="str">
        <f>visible("قعر درج  A", K78)</f>
        <v>قعر درج  A</v>
      </c>
      <c r="F78" s="18">
        <f>H60-3.6-3.6-2.5+2</f>
        <v>52.3</v>
      </c>
      <c r="G78" s="18">
        <f ca="1">G60-1</f>
        <v>44</v>
      </c>
      <c r="H78" s="18">
        <f>1*C58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1.2" x14ac:dyDescent="0.3">
      <c r="A81" s="43" t="s">
        <v>94</v>
      </c>
      <c r="C81" s="13">
        <v>1</v>
      </c>
      <c r="D81" s="21" t="s">
        <v>51</v>
      </c>
      <c r="E81" s="101" t="s">
        <v>95</v>
      </c>
      <c r="F81" s="102"/>
      <c r="G81" s="102"/>
      <c r="H81" s="103"/>
      <c r="I81" s="2" t="s">
        <v>26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16</v>
      </c>
      <c r="E82" s="7" t="s">
        <v>14</v>
      </c>
      <c r="F82" s="17" t="s">
        <v>96</v>
      </c>
      <c r="G82" s="15" t="s">
        <v>17</v>
      </c>
      <c r="H82" s="7" t="s">
        <v>19</v>
      </c>
      <c r="I82" s="7" t="s">
        <v>3</v>
      </c>
      <c r="J82" s="7" t="s">
        <v>76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50</v>
      </c>
      <c r="F84" s="26" t="str" cm="1">
        <f t="array" aca="1" ref="F84" ca="1">defaultValue(G84,K81)</f>
        <v>يوفيلاك</v>
      </c>
      <c r="G84" s="7" t="s">
        <v>28</v>
      </c>
      <c r="H84" s="26" t="str" cm="1">
        <f t="array" aca="1" ref="H84" ca="1">defaultValue(I84,K81)</f>
        <v>HPL</v>
      </c>
      <c r="I84" s="7" t="s">
        <v>27</v>
      </c>
      <c r="J84" s="24" t="s">
        <v>75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29</v>
      </c>
      <c r="J86" s="6" t="s">
        <v>131</v>
      </c>
      <c r="K86" s="6" t="s">
        <v>114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visible(E81, K88)</f>
        <v>وحدة سفلية دلفة /دلفتين + درج</v>
      </c>
      <c r="C88" s="6">
        <f>visible(1,K88)</f>
        <v>1</v>
      </c>
      <c r="D88" s="6" t="str">
        <f ca="1">visible(H84, K88)</f>
        <v>HPL</v>
      </c>
      <c r="E88" s="6" t="str">
        <f>visible("قاعدة", K88)</f>
        <v>قاعدة</v>
      </c>
      <c r="F88" s="6">
        <f>H83-3.6</f>
        <v>56.4</v>
      </c>
      <c r="G88" s="6">
        <f ca="1">J83</f>
        <v>56</v>
      </c>
      <c r="H88" s="6">
        <f>1*C81</f>
        <v>1</v>
      </c>
      <c r="I88" s="6">
        <f t="shared" ref="I88:I95" ca="1" si="3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visible(E81, K89)</f>
        <v>وحدة سفلية دلفة /دلفتين + درج</v>
      </c>
      <c r="C89" s="6">
        <f>visible(2,K89)</f>
        <v>2</v>
      </c>
      <c r="D89" s="6" t="str">
        <f ca="1">visible(H84, K89)</f>
        <v>HPL</v>
      </c>
      <c r="E89" s="6" t="str">
        <f>visible("أجناب", K89)</f>
        <v>أجناب</v>
      </c>
      <c r="F89" s="6">
        <f ca="1">I83</f>
        <v>78</v>
      </c>
      <c r="G89" s="6">
        <f ca="1">J83</f>
        <v>56</v>
      </c>
      <c r="H89" s="6">
        <f>2*C81</f>
        <v>2</v>
      </c>
      <c r="I89" s="6">
        <f t="shared" ca="1" si="3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visible(E81, K90)</f>
        <v>وحدة سفلية دلفة /دلفتين + درج</v>
      </c>
      <c r="C90" s="6">
        <f>visible(3,K90)</f>
        <v>3</v>
      </c>
      <c r="D90" s="6" t="str">
        <f ca="1">visible(H84, K90)</f>
        <v>HPL</v>
      </c>
      <c r="E90" s="6" t="str">
        <f>visible("مرايا علوية 1", K90)</f>
        <v>مرايا علوية 1</v>
      </c>
      <c r="F90" s="6">
        <f>H83-3.6</f>
        <v>56.4</v>
      </c>
      <c r="G90" s="6">
        <f>10</f>
        <v>10</v>
      </c>
      <c r="H90" s="6">
        <f>1*C81</f>
        <v>1</v>
      </c>
      <c r="I90" s="6">
        <f t="shared" ca="1" si="3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visible(E81, K91)</f>
        <v>وحدة سفلية دلفة /دلفتين + درج</v>
      </c>
      <c r="C91" s="6">
        <f>visible(4,K91)</f>
        <v>4</v>
      </c>
      <c r="D91" s="6" t="str">
        <f ca="1">visible(H84, K91)</f>
        <v>HPL</v>
      </c>
      <c r="E91" s="6" t="str">
        <f>visible("مرايا علوية 2", K91)</f>
        <v>مرايا علوية 2</v>
      </c>
      <c r="F91" s="6">
        <f>H83-3.6</f>
        <v>56.4</v>
      </c>
      <c r="G91" s="6">
        <f>7</f>
        <v>7</v>
      </c>
      <c r="H91" s="6">
        <f>1*C81</f>
        <v>1</v>
      </c>
      <c r="I91" s="6">
        <f t="shared" ca="1" si="3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visible(E81, K92)</f>
        <v>وحدة سفلية دلفة /دلفتين + درج</v>
      </c>
      <c r="C92" s="6">
        <f>visible(5,K92)</f>
        <v>5</v>
      </c>
      <c r="D92" s="6" t="str">
        <f ca="1">visible(H84, K92)</f>
        <v>HPL</v>
      </c>
      <c r="E92" s="6" t="str">
        <f>visible("رف", K92)</f>
        <v>رف</v>
      </c>
      <c r="F92" s="6">
        <f>H83-3.8</f>
        <v>56.2</v>
      </c>
      <c r="G92" s="6">
        <f ca="1">J83-6</f>
        <v>50</v>
      </c>
      <c r="H92" s="6">
        <f>D83*C81</f>
        <v>1</v>
      </c>
      <c r="I92" s="6">
        <f t="shared" ca="1" si="3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visible(E81, K93)</f>
        <v>وحدة سفلية دلفة /دلفتين + درج</v>
      </c>
      <c r="C93" s="10">
        <f>visible(6,K93)</f>
        <v>6</v>
      </c>
      <c r="D93" s="10" t="str">
        <f ca="1">visible(H84, K93)</f>
        <v>HPL</v>
      </c>
      <c r="E93" s="10" t="str">
        <f>visible("وش درج داخلى", K93)</f>
        <v>وش درج داخلى</v>
      </c>
      <c r="F93" s="10">
        <f>H83-3.6-3.6-2.5</f>
        <v>50.3</v>
      </c>
      <c r="G93" s="10">
        <v>10</v>
      </c>
      <c r="H93" s="10">
        <f>F83*C81</f>
        <v>1</v>
      </c>
      <c r="I93" s="10">
        <f t="shared" ca="1" si="3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visible(E81, K94)</f>
        <v>وحدة سفلية دلفة /دلفتين + درج</v>
      </c>
      <c r="C94" s="10">
        <f>visible(7,K94)</f>
        <v>7</v>
      </c>
      <c r="D94" s="10" t="str">
        <f ca="1">visible(H84, K94)</f>
        <v>HPL</v>
      </c>
      <c r="E94" s="10" t="str">
        <f>visible("جنب درج داخلى ", K94)</f>
        <v xml:space="preserve">جنب درج داخلى </v>
      </c>
      <c r="F94" s="10">
        <f ca="1">G83</f>
        <v>45</v>
      </c>
      <c r="G94" s="10">
        <v>10</v>
      </c>
      <c r="H94" s="10">
        <f>2*C81*F83</f>
        <v>2</v>
      </c>
      <c r="I94" s="10">
        <f t="shared" ca="1" si="3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visible(E81, K95)</f>
        <v>وحدة سفلية دلفة /دلفتين + درج</v>
      </c>
      <c r="C95" s="10">
        <f>visible(8,K95)</f>
        <v>8</v>
      </c>
      <c r="D95" s="10" t="str">
        <f ca="1">visible(H84, K95)</f>
        <v>HPL</v>
      </c>
      <c r="E95" s="10" t="str">
        <f>visible("ظهر درج داخلى ", K95)</f>
        <v xml:space="preserve">ظهر درج داخلى </v>
      </c>
      <c r="F95" s="10">
        <f>H83-3.6-3.6-2.5</f>
        <v>50.3</v>
      </c>
      <c r="G95" s="10">
        <f>10-3</f>
        <v>7</v>
      </c>
      <c r="H95" s="10">
        <f>F83*C81</f>
        <v>1</v>
      </c>
      <c r="I95" s="10">
        <f t="shared" ca="1" si="3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visible(E81, K97)</f>
        <v>وحدة سفلية دلفة /دلفتين + درج</v>
      </c>
      <c r="C97" s="9">
        <f>visible(9,K97)</f>
        <v>9</v>
      </c>
      <c r="D97" s="9" t="str">
        <f ca="1">visible(F84, K97)</f>
        <v>يوفيلاك</v>
      </c>
      <c r="E97" s="9" t="str">
        <f>visible("دلف ", K97)</f>
        <v xml:space="preserve">دلف </v>
      </c>
      <c r="F97" s="9">
        <f ca="1">I83-0.5-E83-G98</f>
        <v>59</v>
      </c>
      <c r="G97" s="9">
        <f>(H83/C83)-0.5</f>
        <v>29.5</v>
      </c>
      <c r="H97" s="9">
        <f>C83*C81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visible(E81, K98)</f>
        <v>وحدة سفلية دلفة /دلفتين + درج</v>
      </c>
      <c r="C98" s="9">
        <f>visible(10,K98)</f>
        <v>10</v>
      </c>
      <c r="D98" s="9" t="str">
        <f ca="1">visible(F84, K98)</f>
        <v>يوفيلاك</v>
      </c>
      <c r="E98" s="9" t="str">
        <f>visible("وش درج ", K98)</f>
        <v xml:space="preserve">وش درج </v>
      </c>
      <c r="F98" s="9">
        <f>H83-0.5</f>
        <v>59.5</v>
      </c>
      <c r="G98" s="9">
        <f ca="1">I83-E83-59.5</f>
        <v>15</v>
      </c>
      <c r="H98" s="9">
        <f>F83*C81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visible(E81, K100)</f>
        <v>وحدة سفلية دلفة /دلفتين + درج</v>
      </c>
      <c r="C100" s="18">
        <f>visible(11,K100)</f>
        <v>11</v>
      </c>
      <c r="D100" s="18" t="str">
        <f ca="1">visible(D84, K100)</f>
        <v>ظهر</v>
      </c>
      <c r="E100" s="18" t="str">
        <f>visible("ظهر", K100)</f>
        <v>ظهر</v>
      </c>
      <c r="F100" s="18">
        <f ca="1">I83-2</f>
        <v>76</v>
      </c>
      <c r="G100" s="18">
        <f>H83-2</f>
        <v>58</v>
      </c>
      <c r="H100" s="18">
        <f>1*C81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visible(E81, K101)</f>
        <v>وحدة سفلية دلفة /دلفتين + درج</v>
      </c>
      <c r="C101" s="18">
        <f>visible(12,K101)</f>
        <v>12</v>
      </c>
      <c r="D101" s="18" t="str">
        <f ca="1">visible(D84, K101)</f>
        <v>ظهر</v>
      </c>
      <c r="E101" s="18" t="str">
        <f>visible("قعر درج  ", K101)</f>
        <v xml:space="preserve">قعر درج  </v>
      </c>
      <c r="F101" s="18">
        <f>H83-3.6-3.6-2.5+2</f>
        <v>52.3</v>
      </c>
      <c r="G101" s="18">
        <f ca="1">G83-1</f>
        <v>44</v>
      </c>
      <c r="H101" s="18">
        <f>1*C81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1.2" x14ac:dyDescent="0.3">
      <c r="A104" s="43" t="s">
        <v>90</v>
      </c>
      <c r="C104" s="13">
        <v>1</v>
      </c>
      <c r="D104" s="21" t="s">
        <v>51</v>
      </c>
      <c r="E104" s="101" t="s">
        <v>113</v>
      </c>
      <c r="F104" s="102"/>
      <c r="G104" s="102"/>
      <c r="H104" s="103"/>
      <c r="I104" s="2" t="s">
        <v>26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50</v>
      </c>
      <c r="G105" s="26" t="str" cm="1">
        <f t="array" aca="1" ref="G105" ca="1">defaultValue(H105,K104)</f>
        <v>يوفيلاك</v>
      </c>
      <c r="H105" s="7" t="s">
        <v>28</v>
      </c>
      <c r="I105" s="26" t="str" cm="1">
        <f t="array" aca="1" ref="I105" ca="1">defaultValue(J105,K104)</f>
        <v>HPL</v>
      </c>
      <c r="J105" s="7" t="s">
        <v>27</v>
      </c>
      <c r="K105" s="24" t="s">
        <v>75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16</v>
      </c>
      <c r="E106" s="70"/>
      <c r="F106" s="70" t="s">
        <v>77</v>
      </c>
      <c r="G106" s="7" t="s">
        <v>14</v>
      </c>
      <c r="H106" s="7" t="s">
        <v>19</v>
      </c>
      <c r="I106" s="7" t="s">
        <v>3</v>
      </c>
      <c r="J106" s="7" t="s">
        <v>76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29</v>
      </c>
      <c r="J109" s="6" t="s">
        <v>131</v>
      </c>
      <c r="K109" s="6" t="s">
        <v>114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>
        <f>visible(E104, K111)</f>
        <v>وحدة سفلية دلفة/ دلفتين</v>
      </c>
      <c r="C111" s="6">
        <f>visible(1,K111)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>
        <f>visible(E104, K112)</f>
        <v>وحدة سفلية دلفة/ دلفتين</v>
      </c>
      <c r="C112" s="6">
        <f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>
        <f>visible(E104, K113)</f>
        <v>وحدة سفلية دلفة/ دلفتين</v>
      </c>
      <c r="C113" s="6">
        <f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>
        <f>visible(E104, K114)</f>
        <v>وحدة سفلية دلفة/ دلفتين</v>
      </c>
      <c r="C114" s="6">
        <f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>
        <f>visible(E104, K115)</f>
        <v>وحدة سفلية دلفة/ دلفتين</v>
      </c>
      <c r="C115" s="6">
        <f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>
        <f>visible(E104, K117)</f>
        <v>وحدة سفلية دلفة/ دلفتين</v>
      </c>
      <c r="C117" s="9">
        <f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>
        <f ca="1">visible(E104, K119)</f>
        <v>وحدة سفلية دلفة/ دلفتين</v>
      </c>
      <c r="C119" s="18">
        <f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43" t="s">
        <v>91</v>
      </c>
      <c r="C122" s="13">
        <v>1</v>
      </c>
      <c r="D122" s="21" t="s">
        <v>51</v>
      </c>
      <c r="E122" s="101" t="s">
        <v>112</v>
      </c>
      <c r="F122" s="102"/>
      <c r="G122" s="102"/>
      <c r="H122" s="103"/>
      <c r="I122" s="2" t="s">
        <v>26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17</v>
      </c>
      <c r="E123" s="26" t="str" cm="1">
        <f t="array" aca="1" ref="E123" ca="1">defaultValue(F123,K122)</f>
        <v>ظهر</v>
      </c>
      <c r="F123" s="7" t="s">
        <v>50</v>
      </c>
      <c r="G123" s="26" t="str" cm="1">
        <f t="array" aca="1" ref="G123" ca="1">defaultValue(H123,K122)</f>
        <v>يوفيلاك</v>
      </c>
      <c r="H123" s="7" t="s">
        <v>28</v>
      </c>
      <c r="I123" s="26" t="str" cm="1">
        <f t="array" aca="1" ref="I123" ca="1">defaultValue(J123,K122)</f>
        <v>HPL</v>
      </c>
      <c r="J123" s="7" t="s">
        <v>27</v>
      </c>
      <c r="K123" s="24" t="s">
        <v>75</v>
      </c>
    </row>
    <row r="124" spans="1:62" ht="31.2" x14ac:dyDescent="0.3">
      <c r="A124" s="42">
        <v>1</v>
      </c>
      <c r="C124" s="7" t="s">
        <v>86</v>
      </c>
      <c r="D124" s="7" t="s">
        <v>85</v>
      </c>
      <c r="E124" s="70" t="s">
        <v>84</v>
      </c>
      <c r="F124" s="70" t="s">
        <v>115</v>
      </c>
      <c r="G124" s="7" t="s">
        <v>14</v>
      </c>
      <c r="H124" s="7" t="s">
        <v>19</v>
      </c>
      <c r="I124" s="7" t="s">
        <v>3</v>
      </c>
      <c r="J124" s="7" t="s">
        <v>76</v>
      </c>
      <c r="K124" s="7" t="s">
        <v>77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87</v>
      </c>
      <c r="I126" s="26">
        <v>0</v>
      </c>
      <c r="J126" s="104" t="s">
        <v>116</v>
      </c>
      <c r="K126" s="105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131</v>
      </c>
      <c r="K128" s="6" t="s">
        <v>114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>
        <f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4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>
        <f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4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>
        <f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4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>
        <f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4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>
        <f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4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4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4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4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4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4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4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4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4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4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4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>
        <f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>
        <f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1.2" x14ac:dyDescent="0.3">
      <c r="A157" s="43" t="s">
        <v>92</v>
      </c>
      <c r="C157" s="13">
        <v>1</v>
      </c>
      <c r="D157" s="21" t="s">
        <v>51</v>
      </c>
      <c r="E157" s="101" t="s">
        <v>132</v>
      </c>
      <c r="F157" s="102"/>
      <c r="G157" s="102"/>
      <c r="H157" s="103"/>
      <c r="I157" s="2" t="s">
        <v>26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50</v>
      </c>
      <c r="G158" s="26" t="str" cm="1">
        <f t="array" aca="1" ref="G158" ca="1">defaultValue(H158,K157)</f>
        <v>يوفيلاك</v>
      </c>
      <c r="H158" s="7" t="s">
        <v>28</v>
      </c>
      <c r="I158" s="26" t="str" cm="1">
        <f t="array" aca="1" ref="I158" ca="1">defaultValue(J158,K157)</f>
        <v>HPL</v>
      </c>
      <c r="J158" s="7" t="s">
        <v>27</v>
      </c>
      <c r="K158" s="24" t="s">
        <v>75</v>
      </c>
    </row>
    <row r="159" spans="1:11" ht="31.2" x14ac:dyDescent="0.3">
      <c r="A159" s="42">
        <v>1</v>
      </c>
      <c r="C159" s="7" t="s">
        <v>12</v>
      </c>
      <c r="D159" s="7" t="s">
        <v>16</v>
      </c>
      <c r="E159" s="70" t="s">
        <v>20</v>
      </c>
      <c r="F159" s="70" t="s">
        <v>77</v>
      </c>
      <c r="G159" s="7" t="s">
        <v>14</v>
      </c>
      <c r="H159" s="7" t="s">
        <v>19</v>
      </c>
      <c r="I159" s="7" t="s">
        <v>3</v>
      </c>
      <c r="J159" s="7" t="s">
        <v>76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131</v>
      </c>
      <c r="K162" s="6" t="s">
        <v>114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>
        <f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5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>
        <f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5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>
        <f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5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>
        <f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5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>
        <f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5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5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>
        <f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>
        <f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C4:N4"/>
    <mergeCell ref="C7:N7"/>
    <mergeCell ref="C2:K2"/>
    <mergeCell ref="E157:H157"/>
    <mergeCell ref="E122:H122"/>
    <mergeCell ref="J126:K126"/>
    <mergeCell ref="F39:F40"/>
    <mergeCell ref="F18:F19"/>
    <mergeCell ref="E17:H17"/>
    <mergeCell ref="E104:H104"/>
    <mergeCell ref="E81:H81"/>
    <mergeCell ref="E58:H58"/>
    <mergeCell ref="F59:F60"/>
    <mergeCell ref="E38:H38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62" activePane="bottomLeft" state="frozen"/>
      <selection activeCell="B1" sqref="B1"/>
      <selection pane="bottomLeft" activeCell="E117" sqref="E117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131</v>
      </c>
      <c r="K25" s="6" t="s">
        <v>114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H19-3.6</f>
        <v>-3.6</v>
      </c>
      <c r="G27" s="6">
        <f ca="1">J19-E21</f>
        <v>20</v>
      </c>
      <c r="H27" s="6">
        <f>1*C17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H19-3.6</f>
        <v>-3.6</v>
      </c>
      <c r="G28" s="6">
        <f ca="1">J19-G19-E21</f>
        <v>20</v>
      </c>
      <c r="H28" s="6">
        <f>1*C17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I19</f>
        <v>70</v>
      </c>
      <c r="G29" s="6">
        <f ca="1">J19</f>
        <v>30</v>
      </c>
      <c r="H29" s="6">
        <f>2*C17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H19-3.8</f>
        <v>-3.8</v>
      </c>
      <c r="G30" s="6">
        <f ca="1">J19-5-E21</f>
        <v>15</v>
      </c>
      <c r="H30" s="6">
        <f>E19*C17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IF(C20,"",I19-0.5-F19)</f>
        <v>66</v>
      </c>
      <c r="G32" s="9">
        <f>IF(C20,"",(H19/C21)-0.5)</f>
        <v>-0.5</v>
      </c>
      <c r="H32" s="9">
        <f>C19*C17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I19-0.5</f>
        <v>69.5</v>
      </c>
      <c r="G33" s="9">
        <f>(H19/C21)-0.7</f>
        <v>-0.7</v>
      </c>
      <c r="H33" s="9">
        <f>C17*D19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I19-2</f>
        <v>68</v>
      </c>
      <c r="G35" s="18">
        <f>H19-2</f>
        <v>-2</v>
      </c>
      <c r="H35" s="18">
        <f>1*C17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131</v>
      </c>
      <c r="K46" s="6" t="s">
        <v>114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H40-3.6</f>
        <v>-3.6</v>
      </c>
      <c r="G48" s="6">
        <f ca="1">J40-E42</f>
        <v>30</v>
      </c>
      <c r="H48" s="6">
        <f>1*C38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H40-3.6</f>
        <v>-3.6</v>
      </c>
      <c r="G49" s="6">
        <f ca="1">J40-G40-E42</f>
        <v>30</v>
      </c>
      <c r="H49" s="6">
        <f>1*C38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I40</f>
        <v>70</v>
      </c>
      <c r="G50" s="6">
        <f ca="1">J40</f>
        <v>30</v>
      </c>
      <c r="H50" s="6">
        <f>2*C38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(H40-3.6)*E40</f>
        <v>-3.6</v>
      </c>
      <c r="G51" s="6">
        <f ca="1">(J40-2.5-E42)*E40</f>
        <v>27.5</v>
      </c>
      <c r="H51" s="6">
        <f>E40*C38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(I40/C42)-0.5-F40</f>
        <v>31</v>
      </c>
      <c r="G53" s="9">
        <f>H40-0.5</f>
        <v>-0.5</v>
      </c>
      <c r="H53" s="9">
        <f>C40*C38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(I40/C42)-0.5</f>
        <v>34.5</v>
      </c>
      <c r="G54" s="9">
        <f>H40-0.7</f>
        <v>-0.7</v>
      </c>
      <c r="H54" s="9">
        <f>C38*D40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I40-2</f>
        <v>68</v>
      </c>
      <c r="G56" s="18">
        <f>H40-2</f>
        <v>-2</v>
      </c>
      <c r="H56" s="18">
        <f>1*C38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131</v>
      </c>
      <c r="K67" s="6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H61-3.6</f>
        <v>-3.6</v>
      </c>
      <c r="G69" s="6">
        <f ca="1">J61-E64</f>
        <v>30</v>
      </c>
      <c r="H69" s="6">
        <f>1*C59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H61-3.6</f>
        <v>-3.6</v>
      </c>
      <c r="G70" s="6">
        <f ca="1">J61-G61-E64</f>
        <v>30</v>
      </c>
      <c r="H70" s="6">
        <f>1*C59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I61</f>
        <v>70</v>
      </c>
      <c r="G71" s="6">
        <f ca="1">J61</f>
        <v>30</v>
      </c>
      <c r="H71" s="6">
        <f>2*C59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H61-3.8</f>
        <v>-3.8</v>
      </c>
      <c r="G72" s="6">
        <f ca="1">J61-6-E64</f>
        <v>24</v>
      </c>
      <c r="H72" s="6">
        <f>E61*C59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I61</f>
        <v>70</v>
      </c>
      <c r="G73" s="6">
        <f>I63</f>
        <v>30</v>
      </c>
      <c r="H73" s="6">
        <f>1*C59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I61-0.5-F61</f>
        <v>66</v>
      </c>
      <c r="G75" s="9">
        <f>(H61-I63-J63)/C61-0.5</f>
        <v>-17.5</v>
      </c>
      <c r="H75" s="9">
        <f>C61*C59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I61</f>
        <v>70</v>
      </c>
      <c r="G76" s="9">
        <f>J63</f>
        <v>4</v>
      </c>
      <c r="H76" s="9">
        <f>1*C59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I61-0.5</f>
        <v>69.5</v>
      </c>
      <c r="G78" s="9" t="e">
        <f>(H61-I63-J63)/D61-0.7</f>
        <v>#DIV/0!</v>
      </c>
      <c r="H78" s="9">
        <f>C59*D61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I61-2</f>
        <v>68</v>
      </c>
      <c r="G80" s="18">
        <f>H61-2</f>
        <v>-2</v>
      </c>
      <c r="H80" s="18">
        <f>1*C59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131</v>
      </c>
      <c r="K91" s="6" t="s">
        <v>114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H85-3.6</f>
        <v>-3.6</v>
      </c>
      <c r="G93" s="6">
        <f ca="1">J85-E88</f>
        <v>30</v>
      </c>
      <c r="H93" s="6">
        <f>1*C83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H85-3.6</f>
        <v>-3.6</v>
      </c>
      <c r="G94" s="6">
        <f ca="1">J85-G85-E88</f>
        <v>30</v>
      </c>
      <c r="H94" s="6">
        <f>1*C83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I85</f>
        <v>70</v>
      </c>
      <c r="G95" s="6">
        <f ca="1">J85</f>
        <v>30</v>
      </c>
      <c r="H95" s="6">
        <f>2*C83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H85-3.6</f>
        <v>-3.6</v>
      </c>
      <c r="G96" s="6">
        <f ca="1">J85-6-E88</f>
        <v>24</v>
      </c>
      <c r="H96" s="6">
        <f>E85*C83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I85</f>
        <v>70</v>
      </c>
      <c r="G97" s="6">
        <f>I87</f>
        <v>0</v>
      </c>
      <c r="H97" s="6">
        <f>1*C83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(I85/C87)-0.5-F85</f>
        <v>66</v>
      </c>
      <c r="G99" s="9">
        <f>H85-0.5-I87-J87</f>
        <v>-44.5</v>
      </c>
      <c r="H99" s="9">
        <f>C85*C83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I85</f>
        <v>70</v>
      </c>
      <c r="G100" s="9">
        <f>J87</f>
        <v>44</v>
      </c>
      <c r="H100" s="9">
        <f>1*C83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(I85/C87)-0.5</f>
        <v>69.5</v>
      </c>
      <c r="G102" s="9">
        <f>H85-0.7-I87-J87</f>
        <v>-44.7</v>
      </c>
      <c r="H102" s="9">
        <f>C83*D85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I85-2</f>
        <v>68</v>
      </c>
      <c r="G104" s="18">
        <f>H85-2</f>
        <v>-2</v>
      </c>
      <c r="H104" s="18">
        <f>1*C83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131</v>
      </c>
      <c r="K114" s="6" t="s">
        <v>114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H109-1.8</f>
        <v>-1.8</v>
      </c>
      <c r="G116" s="6">
        <f>H110-1.8</f>
        <v>58.2</v>
      </c>
      <c r="H116" s="6">
        <f>1*C107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H109-1.8</f>
        <v>-1.8</v>
      </c>
      <c r="G117" s="6">
        <f>H110-1.8</f>
        <v>58.2</v>
      </c>
      <c r="H117" s="6">
        <f>1*C107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I109</f>
        <v>70</v>
      </c>
      <c r="G118" s="6">
        <f ca="1">J109</f>
        <v>30</v>
      </c>
      <c r="H118" s="6">
        <f>1*C107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I110</f>
        <v>70</v>
      </c>
      <c r="G119" s="6">
        <f ca="1">J110</f>
        <v>30</v>
      </c>
      <c r="H119" s="6">
        <f>1*C107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I109</f>
        <v>70</v>
      </c>
      <c r="G120" s="6">
        <v>10</v>
      </c>
      <c r="H120" s="6">
        <f>1*C107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H109-3.8</f>
        <v>-3.8</v>
      </c>
      <c r="G121" s="6">
        <f>H110-3.8</f>
        <v>56.2</v>
      </c>
      <c r="H121" s="6">
        <f>D109*C107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I109-0.5-F109</f>
        <v>66</v>
      </c>
      <c r="G123" s="9">
        <f ca="1">H109-J109-3</f>
        <v>-33</v>
      </c>
      <c r="H123" s="9">
        <f>1*C107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I110-0.5-F109</f>
        <v>66</v>
      </c>
      <c r="G124" s="9">
        <f ca="1">H110-J110-3</f>
        <v>27</v>
      </c>
      <c r="H124" s="9">
        <f>1*C107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I109-0.5</f>
        <v>69.5</v>
      </c>
      <c r="G126" s="9">
        <f ca="1">H109-J109-3.3</f>
        <v>-33.299999999999997</v>
      </c>
      <c r="H126" s="9">
        <f>C107*1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I110-0.5</f>
        <v>69.5</v>
      </c>
      <c r="G127" s="9">
        <f ca="1">H109-J109-3.3</f>
        <v>-33.299999999999997</v>
      </c>
      <c r="H127" s="9">
        <f>C107*1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I109-2</f>
        <v>68</v>
      </c>
      <c r="G129" s="18">
        <f>H109-1</f>
        <v>-1</v>
      </c>
      <c r="H129" s="18">
        <f>1*C107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I110-2</f>
        <v>68</v>
      </c>
      <c r="G130" s="18">
        <f>H110-1</f>
        <v>59</v>
      </c>
      <c r="H130" s="18">
        <f>1*C107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131</v>
      </c>
      <c r="K140" s="6" t="s">
        <v>114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H135-1.8</f>
        <v>-1.8</v>
      </c>
      <c r="G142" s="6">
        <f>H136-1.8</f>
        <v>-1.8</v>
      </c>
      <c r="H142" s="6">
        <f>1*C133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H135-1.8</f>
        <v>-1.8</v>
      </c>
      <c r="G143" s="6">
        <f>H136-1.8</f>
        <v>-1.8</v>
      </c>
      <c r="H143" s="6">
        <f>1*C133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I135</f>
        <v>70</v>
      </c>
      <c r="G144" s="6">
        <f ca="1">J135</f>
        <v>30</v>
      </c>
      <c r="H144" s="6">
        <f>1*C133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I136</f>
        <v>70</v>
      </c>
      <c r="G145" s="6">
        <f ca="1">J136</f>
        <v>30</v>
      </c>
      <c r="H145" s="6">
        <f>1*C133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I135</f>
        <v>70</v>
      </c>
      <c r="G146" s="6">
        <v>10</v>
      </c>
      <c r="H146" s="6">
        <f>1*C133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H135-3.8</f>
        <v>-3.8</v>
      </c>
      <c r="G147" s="6">
        <f>H136-3.8</f>
        <v>-3.8</v>
      </c>
      <c r="H147" s="6">
        <f>D135*C133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I135-0.5-F135</f>
        <v>66</v>
      </c>
      <c r="G149" s="16">
        <f ca="1">(SQRT((H135-J135)^2+(H136-J136)^2))-2</f>
        <v>40.426406871192853</v>
      </c>
      <c r="H149" s="9">
        <f>1*C133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I135-2</f>
        <v>68</v>
      </c>
      <c r="G151" s="18">
        <f>H135-1</f>
        <v>-1</v>
      </c>
      <c r="H151" s="18">
        <f>1*C133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131</v>
      </c>
      <c r="K162" s="6" t="s">
        <v>114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H156-3.6</f>
        <v>-3.6</v>
      </c>
      <c r="G164" s="6">
        <f ca="1">J156-E158</f>
        <v>30</v>
      </c>
      <c r="H164" s="6">
        <f>1*C154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H156-3.6</f>
        <v>-3.6</v>
      </c>
      <c r="G165" s="6">
        <f ca="1">40-G156-E158</f>
        <v>40</v>
      </c>
      <c r="H165" s="6">
        <f>1*C154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I156</f>
        <v>70</v>
      </c>
      <c r="G166" s="6">
        <f ca="1">J156</f>
        <v>30</v>
      </c>
      <c r="H166" s="6">
        <f>2*C154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H156-3.8</f>
        <v>-3.8</v>
      </c>
      <c r="G167" s="6">
        <f ca="1">J156-5-E158</f>
        <v>25</v>
      </c>
      <c r="H167" s="6">
        <f>E156*C154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H156-3.6</f>
        <v>-3.6</v>
      </c>
      <c r="G168" s="6">
        <f ca="1">J156-G156-E158</f>
        <v>30</v>
      </c>
      <c r="H168" s="6">
        <f>1*C154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IF(C157,"",I156-0.5-F156-J158)</f>
        <v>34</v>
      </c>
      <c r="G170" s="9">
        <f>IF(C157,"",(H156/C158)-0.5)</f>
        <v>-0.5</v>
      </c>
      <c r="H170" s="9">
        <f>C156*C154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I156-0.5-J158</f>
        <v>37.5</v>
      </c>
      <c r="G171" s="9">
        <f>(H156/C158)-0.7</f>
        <v>-0.7</v>
      </c>
      <c r="H171" s="9">
        <f>C154*D156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I156-2</f>
        <v>68</v>
      </c>
      <c r="G173" s="18">
        <f>H156-2</f>
        <v>-2</v>
      </c>
      <c r="H173" s="18">
        <f>1*C154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3" activePane="bottomLeft" state="frozen"/>
      <selection activeCell="B1" sqref="B1"/>
      <selection pane="bottomLeft" activeCell="E63" sqref="E63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131</v>
      </c>
      <c r="K27" s="6" t="s">
        <v>114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H19-3.6</f>
        <v>-3.6</v>
      </c>
      <c r="G29" s="6">
        <f>J19</f>
        <v>56</v>
      </c>
      <c r="H29" s="6">
        <f>1*C17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H19-3.6</f>
        <v>-3.6</v>
      </c>
      <c r="G30" s="6">
        <f>J19</f>
        <v>56</v>
      </c>
      <c r="H30" s="6">
        <f>1*C17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H19-3.6</f>
        <v>-3.6</v>
      </c>
      <c r="G31" s="6">
        <f>J19-2.5</f>
        <v>53.5</v>
      </c>
      <c r="H31" s="6">
        <f>1*C17*F19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I19</f>
        <v>210</v>
      </c>
      <c r="G32" s="6">
        <f>J19</f>
        <v>56</v>
      </c>
      <c r="H32" s="6">
        <f>2*C17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H19-3.8</f>
        <v>-3.8</v>
      </c>
      <c r="G33" s="6">
        <f>J19-5</f>
        <v>51</v>
      </c>
      <c r="H33" s="6">
        <f>E19*C17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I21-0.5-G19</f>
        <v>136</v>
      </c>
      <c r="G35" s="9">
        <f>(H19/C23)-0.5</f>
        <v>-0.5</v>
      </c>
      <c r="H35" s="9">
        <f>G21*C17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I22-0.5-G19</f>
        <v>66</v>
      </c>
      <c r="G36" s="9">
        <f>(H19/C23)-0.5</f>
        <v>-0.5</v>
      </c>
      <c r="H36" s="9">
        <f>G22*C17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I21-0.5</f>
        <v>139.5</v>
      </c>
      <c r="G38" s="9">
        <f>(H19/C23)-0.5</f>
        <v>-0.5</v>
      </c>
      <c r="H38" s="9">
        <f>H21*C17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I22-0.5</f>
        <v>69.5</v>
      </c>
      <c r="G39" s="9">
        <f>(H19/C23)-0.5</f>
        <v>-0.5</v>
      </c>
      <c r="H39" s="9">
        <f>H22*C17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I19-2</f>
        <v>208</v>
      </c>
      <c r="G41" s="18">
        <f>H19-2</f>
        <v>-2</v>
      </c>
      <c r="H41" s="18">
        <f>1*C17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131</v>
      </c>
      <c r="K60" s="6" t="s">
        <v>114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H46-3.6</f>
        <v>56.4</v>
      </c>
      <c r="G62" s="6">
        <f>J46</f>
        <v>56</v>
      </c>
      <c r="H62" s="6">
        <f>1*C44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H46-3.6</f>
        <v>56.4</v>
      </c>
      <c r="G63" s="6">
        <f>J46</f>
        <v>56</v>
      </c>
      <c r="H63" s="6">
        <f>1*C44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H46-3.6</f>
        <v>56.4</v>
      </c>
      <c r="G64" s="6">
        <f>J46-2.5</f>
        <v>53.5</v>
      </c>
      <c r="H64" s="6">
        <f>1*C44*F46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I46</f>
        <v>220</v>
      </c>
      <c r="G65" s="6">
        <f>J46</f>
        <v>56</v>
      </c>
      <c r="H65" s="6">
        <f>2*C44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H46-3.8</f>
        <v>56.2</v>
      </c>
      <c r="G66" s="6">
        <f>J46-5</f>
        <v>51</v>
      </c>
      <c r="H66" s="6">
        <f>E46*C44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IF(H68=0, "",(H46-3.6-3.6-2.5))</f>
        <v>50.3</v>
      </c>
      <c r="G68" s="19">
        <f>IF(H68=0, "",(I48-6))</f>
        <v>14</v>
      </c>
      <c r="H68" s="19">
        <f>G48*C44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IF(H69=0, "",D46)</f>
        <v>45</v>
      </c>
      <c r="G69" s="19">
        <f>IF(H69=0, "",(I48-6))</f>
        <v>14</v>
      </c>
      <c r="H69" s="19">
        <f>2*G48*C44</f>
        <v>2</v>
      </c>
      <c r="I69" s="19">
        <f t="shared" ca="1" si="0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IF(H70=0, "",(H46-3.6-3.6-2.5))</f>
        <v>50.3</v>
      </c>
      <c r="G70" s="19">
        <f>IF(H70=0, "",(I48-6-3))</f>
        <v>11</v>
      </c>
      <c r="H70" s="19">
        <f>G48*C44</f>
        <v>1</v>
      </c>
      <c r="I70" s="19">
        <f t="shared" ca="1" si="0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IF(H71=0, "",(H46-3.6-3.6-2.5))</f>
        <v>50.3</v>
      </c>
      <c r="G71" s="10">
        <f>IF(H71=0, "",(I49-6))</f>
        <v>14</v>
      </c>
      <c r="H71" s="10">
        <f>G49*C44</f>
        <v>1</v>
      </c>
      <c r="I71" s="10">
        <f t="shared" ca="1" si="0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IF(H72=0, "",D46)</f>
        <v>45</v>
      </c>
      <c r="G72" s="10">
        <f>IF(H72=0, "",(I49-6))</f>
        <v>14</v>
      </c>
      <c r="H72" s="10">
        <f>2*G49*C44</f>
        <v>2</v>
      </c>
      <c r="I72" s="10">
        <f t="shared" ca="1" si="0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IF(H73=0, "",(H46-3.6-3.6-2.5))</f>
        <v>50.3</v>
      </c>
      <c r="G73" s="10">
        <f>IF(H73=0, "",(I49-6-3))</f>
        <v>11</v>
      </c>
      <c r="H73" s="10">
        <f>G49*C44</f>
        <v>1</v>
      </c>
      <c r="I73" s="10">
        <f t="shared" ca="1" si="0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 t="str">
        <f>IF(H74=0, "",(H46-3.6-3.6-2.5))</f>
        <v/>
      </c>
      <c r="G74" s="19" t="str">
        <f>IF(H74=0, "",(I50-6))</f>
        <v/>
      </c>
      <c r="H74" s="19">
        <f>G50*C44</f>
        <v>0</v>
      </c>
      <c r="I74" s="19">
        <f t="shared" ca="1" si="0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 t="str">
        <f>IF(H75=0, "",D46)</f>
        <v/>
      </c>
      <c r="G75" s="19" t="str">
        <f>IF(H75=0, "",(I50-6))</f>
        <v/>
      </c>
      <c r="H75" s="19">
        <f>2*G50*C44</f>
        <v>0</v>
      </c>
      <c r="I75" s="19">
        <f t="shared" ca="1" si="0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 t="str">
        <f>IF(H76=0, "",(H46-3.6-3.6-2.5))</f>
        <v/>
      </c>
      <c r="G76" s="19" t="str">
        <f>IF(H76=0, "",(I50-6-3))</f>
        <v/>
      </c>
      <c r="H76" s="19">
        <f>G50*C44</f>
        <v>0</v>
      </c>
      <c r="I76" s="19">
        <f t="shared" ca="1" si="0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IF(H78=0, "",(I48-0.5-G46))</f>
        <v>16</v>
      </c>
      <c r="G78" s="9">
        <f>IF(H78=0, "",(H46-0.5))</f>
        <v>59.5</v>
      </c>
      <c r="H78" s="9">
        <f>G48*C44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IF(H79=0, "",(I49-0.5-G46))</f>
        <v>16</v>
      </c>
      <c r="G79" s="9">
        <f>IF(H79=0, "",(H46-0.5))</f>
        <v>59.5</v>
      </c>
      <c r="H79" s="9">
        <f>G49*C44</f>
        <v>1</v>
      </c>
      <c r="I79" s="9">
        <f t="shared" ca="1" si="1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 t="str">
        <f>IF(H80=0, "",(I50-0.5-G46))</f>
        <v/>
      </c>
      <c r="G80" s="9" t="str">
        <f>IF(H80=0, "",(H46-0.5))</f>
        <v/>
      </c>
      <c r="H80" s="9">
        <f>G50*C44</f>
        <v>0</v>
      </c>
      <c r="I80" s="9">
        <f t="shared" ca="1" si="1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 t="str">
        <f>IF(H81=0, "",(I51-0.5-G46))</f>
        <v/>
      </c>
      <c r="G81" s="9" t="str">
        <f>IF(H81=0, "",((H46/G51)-0.5))</f>
        <v/>
      </c>
      <c r="H81" s="9">
        <f>(G51+H51)*C44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IF(H82=0, "",(H46-0.5))</f>
        <v>59.5</v>
      </c>
      <c r="G82" s="23">
        <f>IF(H82=0, "",(I52-60.5))</f>
        <v>6.5</v>
      </c>
      <c r="H82" s="9">
        <f>G52*C44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 t="str">
        <f>IF(H83=0, "",(I53-0.5-G51))</f>
        <v/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/>
      <c r="G83" s="9"/>
      <c r="H83" s="9"/>
      <c r="I83" s="9">
        <f t="shared" ca="1" si="1"/>
        <v>6</v>
      </c>
      <c r="J83" s="9">
        <f ca="1">visible(engraving(I83), K83)</f>
        <v>2</v>
      </c>
      <c r="K83" s="9" t="b">
        <v>1</v>
      </c>
      <c r="L83" s="3" t="str">
        <f>IF(H84=0, "",(I54-0.5-G52))</f>
        <v/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/>
      <c r="G84" s="9"/>
      <c r="H84" s="9"/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IF(H85=0, "",(I54-0.5-G46))</f>
        <v>74</v>
      </c>
      <c r="G85" s="9">
        <f>IF(H85=0, "",((H46/G54)-0.5))</f>
        <v>29.5</v>
      </c>
      <c r="H85" s="9">
        <f>G54*C44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tr">
        <f>visible("دلف دولاب علوية 2", K86)</f>
        <v>دلف دولاب علوية 2</v>
      </c>
      <c r="F86" s="9" t="str">
        <f>IF(H86=0, "",(I55-0.5-G46))</f>
        <v/>
      </c>
      <c r="G86" s="9" t="str">
        <f>IF(H86=0, "",((H46/G55)-0.5))</f>
        <v/>
      </c>
      <c r="H86" s="9">
        <f>G55*C44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tr">
        <f>visible("دلفة  زجاج سفلية", K89)</f>
        <v>دلفة  زجاج سفلية</v>
      </c>
      <c r="F89" s="9" t="str">
        <f>IF(H89=0, "",(I51-0.5-G46))</f>
        <v/>
      </c>
      <c r="G89" s="9" t="str">
        <f>IF(H89=0, "",((H46/G51)-0.5))</f>
        <v/>
      </c>
      <c r="H89" s="9">
        <f>H51*C44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tr">
        <f>visible("دلفة  زجاج علوية 1", K90)</f>
        <v>دلفة  زجاج علوية 1</v>
      </c>
      <c r="F90" s="9" t="str">
        <f>IF(H90=0, "",(I54-0.5))</f>
        <v/>
      </c>
      <c r="G90" s="9" t="str">
        <f>IF(H90=0, "",((H46/H54)-0.5))</f>
        <v/>
      </c>
      <c r="H90" s="9">
        <f>H54*C44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tr">
        <f>visible("دلفة  زجاج علوية2", K91)</f>
        <v>دلفة  زجاج علوية2</v>
      </c>
      <c r="F91" s="9" t="str">
        <f>IF(H91=0, "",(I55-0.5))</f>
        <v/>
      </c>
      <c r="G91" s="9" t="str">
        <f>IF(H91=0, "",((H46/H55)-0.5))</f>
        <v/>
      </c>
      <c r="H91" s="9">
        <f>H55*C44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I46-2</f>
        <v>218</v>
      </c>
      <c r="G93" s="18">
        <f>H46-2</f>
        <v>58</v>
      </c>
      <c r="H93" s="18">
        <f>1*C44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30" activePane="bottomLeft" state="frozen"/>
      <selection activeCell="B1" sqref="B1"/>
      <selection pane="bottomLeft" activeCell="E35" sqref="E35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131</v>
      </c>
      <c r="K20" s="6" t="s">
        <v>114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/>
      <c r="G22" s="9">
        <f>G18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/>
      <c r="G23" s="9">
        <f>G18</f>
        <v>62</v>
      </c>
      <c r="H23" s="9"/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/>
      <c r="G24" s="9">
        <f>G18</f>
        <v>62</v>
      </c>
      <c r="H24" s="9"/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/>
      <c r="G25" s="9">
        <f>G18</f>
        <v>62</v>
      </c>
      <c r="H25" s="9"/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/>
      <c r="G26" s="9">
        <f>G18</f>
        <v>62</v>
      </c>
      <c r="H26" s="9"/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131</v>
      </c>
      <c r="K32" s="6" t="s">
        <v>114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/>
      <c r="G34" s="9">
        <f>G30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/>
      <c r="G35" s="9">
        <f>G30</f>
        <v>32</v>
      </c>
      <c r="H35" s="9"/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/>
      <c r="G36" s="9">
        <f>G30</f>
        <v>32</v>
      </c>
      <c r="H36" s="9"/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/>
      <c r="G37" s="9">
        <f>G30</f>
        <v>32</v>
      </c>
      <c r="H37" s="9"/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/>
      <c r="G38" s="9">
        <f>G30</f>
        <v>32</v>
      </c>
      <c r="H38" s="9"/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131</v>
      </c>
      <c r="K44" s="6" t="s">
        <v>114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/>
      <c r="G46" s="9">
        <f>G42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/>
      <c r="G47" s="9">
        <f>G42</f>
        <v>20</v>
      </c>
      <c r="H47" s="9"/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/>
      <c r="G48" s="9">
        <f>G42</f>
        <v>20</v>
      </c>
      <c r="H48" s="9"/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/>
      <c r="G49" s="9">
        <f>G42</f>
        <v>20</v>
      </c>
      <c r="H49" s="9"/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/>
      <c r="G50" s="9">
        <f>G42</f>
        <v>20</v>
      </c>
      <c r="H50" s="9"/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2024-09-23T14:18:00Z</dcterms:modified>
</cp:coreProperties>
</file>