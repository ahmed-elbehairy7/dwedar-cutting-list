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57F94974-739A-4C67-9787-26AE0BBDB938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8" l="1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G16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J81" i="4" a="1"/>
  <c r="I106" i="4" a="1"/>
  <c r="J79" i="4"/>
  <c r="AA26" i="8" a="1"/>
  <c r="I57" i="4" a="1"/>
  <c r="J37" i="6"/>
  <c r="J127" i="7"/>
  <c r="AA24" i="8" a="1"/>
  <c r="X29" i="8" a="1"/>
  <c r="U25" i="8" a="1"/>
  <c r="I152" i="4" a="1"/>
  <c r="G105" i="4" a="1"/>
  <c r="G15" i="4" a="1"/>
  <c r="G36" i="4" a="1"/>
  <c r="X26" i="8" a="1"/>
  <c r="G81" i="4" a="1"/>
  <c r="X33" i="8" a="1"/>
  <c r="AA28" i="8" a="1"/>
  <c r="U24" i="8" a="1"/>
  <c r="AA25" i="8" a="1"/>
  <c r="U33" i="8" a="1"/>
  <c r="I81" i="4" a="1"/>
  <c r="AA29" i="8" a="1"/>
  <c r="AA33" i="8" a="1"/>
  <c r="J106" i="4" a="1"/>
  <c r="U30" i="8" a="1"/>
  <c r="U31" i="8" a="1"/>
  <c r="J36" i="4" a="1"/>
  <c r="R31" i="8" a="1"/>
  <c r="J31" i="7"/>
  <c r="J15" i="4" a="1"/>
  <c r="I105" i="4" a="1"/>
  <c r="J131" i="4" a="1"/>
  <c r="AA30" i="8" a="1"/>
  <c r="J105" i="4" a="1"/>
  <c r="X30" i="8" a="1"/>
  <c r="R27" i="8" a="1"/>
  <c r="X32" i="8" a="1"/>
  <c r="G131" i="4" a="1"/>
  <c r="J57" i="4" a="1"/>
  <c r="U29" i="8" a="1"/>
  <c r="I36" i="4" a="1"/>
  <c r="J152" i="4" a="1"/>
  <c r="R28" i="8" a="1"/>
  <c r="J25" i="6"/>
  <c r="AA32" i="8" a="1"/>
  <c r="J150" i="3"/>
  <c r="G152" i="4" a="1"/>
  <c r="I132" i="4" a="1"/>
  <c r="X31" i="8" a="1"/>
  <c r="U32" i="8" a="1"/>
  <c r="G57" i="4" a="1"/>
  <c r="X27" i="8" a="1"/>
  <c r="AA31" i="8" a="1"/>
  <c r="R33" i="8" a="1"/>
  <c r="I15" i="4" a="1"/>
  <c r="I131" i="4" a="1"/>
  <c r="R30" i="8" a="1"/>
  <c r="J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103" i="4"/>
  <c r="J13" i="4"/>
  <c r="E152" i="3" a="1"/>
  <c r="I129" i="3" a="1"/>
  <c r="E129" i="3" a="1"/>
  <c r="J109" i="3" a="1"/>
  <c r="I88" i="7" a="1"/>
  <c r="U28" i="8" a="1"/>
  <c r="F81" i="4" a="1"/>
  <c r="F57" i="4" a="1"/>
  <c r="J66" i="7"/>
  <c r="J13" i="6"/>
  <c r="I109" i="7" a="1"/>
  <c r="I129" i="7" a="1"/>
  <c r="E109" i="3" a="1"/>
  <c r="J86" i="7"/>
  <c r="J40" i="5"/>
  <c r="J13" i="7"/>
  <c r="J89" i="3" a="1"/>
  <c r="J110" i="3" a="1"/>
  <c r="J129" i="7" a="1"/>
  <c r="I34" i="3" a="1"/>
  <c r="F36" i="4" a="1"/>
  <c r="J127" i="3"/>
  <c r="I68" i="3" a="1"/>
  <c r="I109" i="3" a="1"/>
  <c r="F105" i="4" a="1"/>
  <c r="I89" i="3" a="1"/>
  <c r="I15" i="3" a="1"/>
  <c r="F152" i="4" a="1"/>
  <c r="I88" i="3" a="1"/>
  <c r="G129" i="3" a="1"/>
  <c r="J107" i="3"/>
  <c r="J89" i="7" a="1"/>
  <c r="J150" i="4"/>
  <c r="J86" i="3"/>
  <c r="J88" i="3" a="1"/>
  <c r="J34" i="3" a="1"/>
  <c r="E15" i="3" a="1"/>
  <c r="J109" i="7" a="1"/>
  <c r="J68" i="3" a="1"/>
  <c r="J152" i="3" a="1"/>
  <c r="I110" i="7" a="1"/>
  <c r="U26" i="8" a="1"/>
  <c r="J13" i="3"/>
  <c r="G152" i="3" a="1"/>
  <c r="J15" i="3" a="1"/>
  <c r="J129" i="3" a="1"/>
  <c r="I89" i="7" a="1"/>
  <c r="J34" i="4"/>
  <c r="J55" i="4"/>
  <c r="J34" i="7" a="1"/>
  <c r="I32" i="3" a="1"/>
  <c r="I152" i="3" a="1"/>
  <c r="J110" i="7" a="1"/>
  <c r="J66" i="3"/>
  <c r="J107" i="7"/>
  <c r="F15" i="4" a="1"/>
  <c r="J88" i="7" a="1"/>
  <c r="G34" i="3" a="1"/>
  <c r="F131" i="4" a="1"/>
  <c r="J68" i="7" a="1"/>
  <c r="I34" i="7" a="1"/>
  <c r="E88" i="3" a="1"/>
  <c r="J13" i="5"/>
  <c r="I68" i="7" a="1"/>
  <c r="J31" i="3"/>
  <c r="J129" i="4"/>
  <c r="E68" i="3" a="1"/>
  <c r="U27" i="8" a="1"/>
  <c r="I110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G14" i="8" a="1"/>
  <c r="X22" i="8" a="1"/>
  <c r="R22" i="8" a="1"/>
  <c r="AA22" i="8" a="1"/>
  <c r="AD21" i="8" a="1"/>
  <c r="G129" i="7" a="1"/>
  <c r="F129" i="7" a="1"/>
  <c r="G34" i="7" a="1"/>
  <c r="I32" i="7" a="1"/>
  <c r="E68" i="7" a="1"/>
  <c r="F88" i="7" a="1"/>
  <c r="F15" i="7" a="1"/>
  <c r="E88" i="7" a="1"/>
  <c r="I15" i="7" a="1"/>
  <c r="B34" i="7" a="1"/>
  <c r="J15" i="7" a="1"/>
  <c r="E109" i="7" a="1"/>
  <c r="E129" i="7" a="1"/>
  <c r="E15" i="7" a="1"/>
  <c r="F109" i="7" a="1"/>
  <c r="F68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3" i="3"/>
  <c r="B98" i="3" s="1"/>
  <c r="B73" i="3"/>
  <c r="B75" i="3" s="1"/>
  <c r="B39" i="3"/>
  <c r="B20" i="3"/>
  <c r="B28" i="3" s="1"/>
  <c r="D26" i="8" a="1"/>
  <c r="D25" i="8" a="1"/>
  <c r="E14" i="8" a="1"/>
  <c r="I14" i="8" a="1"/>
  <c r="E14" i="6" a="1"/>
  <c r="E26" i="6" a="1"/>
  <c r="E38" i="6" a="1"/>
  <c r="F21" i="5" a="1"/>
  <c r="F54" i="5" a="1"/>
  <c r="U22" i="8" a="1"/>
  <c r="AA23" i="8" a="1"/>
  <c r="R23" i="8" a="1"/>
  <c r="X23" i="8" a="1"/>
  <c r="F40" i="4" a="1"/>
  <c r="F61" i="4" a="1"/>
  <c r="F134" i="4" a="1"/>
  <c r="F19" i="4" a="1"/>
  <c r="F85" i="4" a="1"/>
  <c r="F108" i="4" a="1"/>
  <c r="F156" i="4" a="1"/>
  <c r="R21" i="8" a="1"/>
  <c r="X21" i="8" a="1"/>
  <c r="AA21" i="8" a="1"/>
  <c r="F90" i="3" a="1"/>
  <c r="F130" i="3" a="1"/>
  <c r="F35" i="3" a="1"/>
  <c r="F153" i="3" a="1"/>
  <c r="F16" i="3" a="1"/>
  <c r="F69" i="3" a="1"/>
  <c r="F111" i="3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D81" i="5"/>
  <c r="I81" i="5" s="1"/>
  <c r="D79" i="5"/>
  <c r="I79" i="5" s="1"/>
  <c r="D78" i="5"/>
  <c r="I78" i="5" s="1"/>
  <c r="D80" i="5"/>
  <c r="I80" i="5" s="1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48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D28" i="8" a="1"/>
  <c r="I26" i="8" a="1"/>
  <c r="I25" i="8" a="1"/>
  <c r="D23" i="8" a="1"/>
  <c r="D22" i="8" a="1"/>
  <c r="D21" i="8" a="1"/>
  <c r="D20" i="8" a="1"/>
  <c r="H54" i="5" a="1"/>
  <c r="H21" i="5" a="1"/>
  <c r="D21" i="5" a="1"/>
  <c r="D54" i="5" a="1"/>
  <c r="H40" i="4" a="1"/>
  <c r="H108" i="4" a="1"/>
  <c r="H61" i="4" a="1"/>
  <c r="H19" i="4" a="1"/>
  <c r="H134" i="4" a="1"/>
  <c r="H156" i="4" a="1"/>
  <c r="H85" i="4" a="1"/>
  <c r="F130" i="7" a="1"/>
  <c r="F16" i="7" a="1"/>
  <c r="F90" i="7" a="1"/>
  <c r="F69" i="7" a="1"/>
  <c r="F35" i="7" a="1"/>
  <c r="F111" i="7" a="1"/>
  <c r="U21" i="8" a="1"/>
  <c r="D40" i="4" a="1"/>
  <c r="D108" i="4" a="1"/>
  <c r="D156" i="4" a="1"/>
  <c r="D19" i="4" a="1"/>
  <c r="D85" i="4" a="1"/>
  <c r="D61" i="4" a="1"/>
  <c r="D134" i="4" a="1"/>
  <c r="U23" i="8" a="1"/>
  <c r="H130" i="3" a="1"/>
  <c r="D153" i="3" a="1"/>
  <c r="H153" i="3" a="1"/>
  <c r="H69" i="3" a="1"/>
  <c r="D111" i="3" a="1"/>
  <c r="D69" i="3" a="1"/>
  <c r="H35" i="3" a="1"/>
  <c r="D16" i="3" a="1"/>
  <c r="D90" i="3" a="1"/>
  <c r="H90" i="3" a="1"/>
  <c r="H16" i="3" a="1"/>
  <c r="D130" i="3" a="1"/>
  <c r="H111" i="3" a="1"/>
  <c r="D28" i="8" l="1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8" i="8" a="1"/>
  <c r="I23" i="8" a="1"/>
  <c r="I22" i="8" a="1"/>
  <c r="I21" i="8" a="1"/>
  <c r="I20" i="8" a="1"/>
  <c r="D90" i="7" a="1"/>
  <c r="D69" i="7" a="1"/>
  <c r="D16" i="7" a="1"/>
  <c r="D130" i="7" a="1"/>
  <c r="D111" i="7" a="1"/>
  <c r="H16" i="7" a="1"/>
  <c r="H111" i="7" a="1"/>
  <c r="H90" i="7" a="1"/>
  <c r="H69" i="7" a="1"/>
  <c r="H35" i="7" a="1"/>
  <c r="H130" i="7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<sst xmlns="http://schemas.openxmlformats.org/spreadsheetml/2006/main" count="1028" uniqueCount="184">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</sst>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abSelected="1" zoomScale="55" zoomScaleNormal="55" workbookViewId="0">
      <selection activeCell="J28" sqref="J28"/>
    </sheetView>
  </sheetViews>
  <sheetFormatPr defaultRowHeight="21" customHeight="1" x14ac:dyDescent="0.3"/>
  <cols>
    <col min="1" max="1" width="8.88671875" style="114"/>
    <col min="2" max="4" width="8.88671875" style="63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114" customFormat="1" ht="21" customHeight="1" x14ac:dyDescent="0.3">
      <c r="H1" s="116"/>
      <c r="K1" s="116"/>
      <c r="N1" s="116"/>
      <c r="Q1" s="116"/>
      <c r="T1" s="116"/>
      <c r="W1" s="116"/>
    </row>
    <row r="2" spans="1:31" s="114" customFormat="1" ht="21" customHeight="1" x14ac:dyDescent="0.3">
      <c r="H2" s="116"/>
      <c r="K2" s="116"/>
      <c r="N2" s="116"/>
      <c r="Q2" s="116"/>
      <c r="T2" s="116"/>
      <c r="W2" s="116"/>
    </row>
    <row r="3" spans="1:31" s="113" customFormat="1" ht="31.2" x14ac:dyDescent="0.3">
      <c r="B3" s="114" t="s">
        <v>180</v>
      </c>
    </row>
    <row r="4" spans="1:31" s="114" customFormat="1" ht="21" customHeight="1" x14ac:dyDescent="0.3">
      <c r="H4" s="116"/>
      <c r="K4" s="116"/>
      <c r="N4" s="116"/>
      <c r="Q4" s="116"/>
      <c r="T4" s="116"/>
      <c r="W4" s="116"/>
    </row>
    <row r="5" spans="1:31" s="114" customFormat="1" ht="21" customHeight="1" x14ac:dyDescent="0.3">
      <c r="H5" s="116"/>
      <c r="K5" s="116"/>
      <c r="N5" s="116"/>
      <c r="Q5" s="116"/>
      <c r="T5" s="116"/>
      <c r="W5" s="116"/>
    </row>
    <row r="6" spans="1:31" s="114" customFormat="1" ht="21" customHeight="1" x14ac:dyDescent="0.3">
      <c r="H6" s="116"/>
      <c r="K6" s="116"/>
      <c r="N6" s="116"/>
      <c r="Q6" s="116"/>
      <c r="T6" s="116"/>
      <c r="W6" s="116"/>
    </row>
    <row r="7" spans="1:31" s="114" customFormat="1" ht="21" customHeight="1" x14ac:dyDescent="0.3">
      <c r="H7" s="116"/>
      <c r="K7" s="116"/>
      <c r="N7" s="116"/>
      <c r="Q7" s="116"/>
      <c r="T7" s="116"/>
      <c r="W7" s="116"/>
    </row>
    <row r="8" spans="1:31" s="114" customFormat="1" ht="21" customHeight="1" x14ac:dyDescent="0.3">
      <c r="H8" s="116"/>
      <c r="K8" s="116"/>
      <c r="N8" s="116"/>
      <c r="Q8" s="116"/>
      <c r="T8" s="116"/>
      <c r="W8" s="116"/>
    </row>
    <row r="9" spans="1:31" s="84" customFormat="1" ht="31.2" x14ac:dyDescent="0.3">
      <c r="A9" s="115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93" t="s">
        <v>181</v>
      </c>
      <c r="F13" s="94"/>
      <c r="G13" s="94"/>
      <c r="H13" s="95"/>
      <c r="I13" s="2" t="s">
        <v>31</v>
      </c>
      <c r="J13" s="2">
        <f>letterToNumber(A13)</f>
        <v>1</v>
      </c>
      <c r="K13" s="27">
        <f ca="1">_xlfn.SHEET("إعدادات")</f>
        <v>1</v>
      </c>
      <c r="O13" s="89" t="s">
        <v>112</v>
      </c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1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122"/>
      <c r="D14" s="7"/>
      <c r="E14" s="123" t="str" cm="1">
        <f t="array" aca="1" ref="E14" ca="1">defaultValue(F14,K13)</f>
        <v>ظهر</v>
      </c>
      <c r="F14" s="7" t="s">
        <v>59</v>
      </c>
      <c r="G14" s="123" t="str" cm="1">
        <f t="array" aca="1" ref="G14" ca="1">defaultValue(H14,K13)</f>
        <v>يوفيلاك</v>
      </c>
      <c r="H14" s="7" t="s">
        <v>33</v>
      </c>
      <c r="I14" s="123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11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122"/>
      <c r="D16" s="122"/>
      <c r="E16" s="123"/>
      <c r="F16" s="124"/>
      <c r="G16" s="123" cm="1">
        <f t="array" aca="1" ref="G16" ca="1">defaultValue(G15,K13)</f>
        <v>3.5</v>
      </c>
      <c r="H16" s="122"/>
      <c r="I16" s="123"/>
      <c r="J16" s="123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18" t="s">
        <v>174</v>
      </c>
      <c r="P19" s="119"/>
      <c r="Q19" s="84"/>
      <c r="R19" s="118" t="s">
        <v>0</v>
      </c>
      <c r="S19" s="119"/>
      <c r="T19" s="84"/>
      <c r="U19" s="118" t="s">
        <v>105</v>
      </c>
      <c r="V19" s="119"/>
      <c r="W19" s="84"/>
      <c r="X19" s="118" t="s">
        <v>44</v>
      </c>
      <c r="Y19" s="119"/>
      <c r="Z19" s="84"/>
      <c r="AA19" s="118" t="s">
        <v>65</v>
      </c>
      <c r="AB19" s="119"/>
      <c r="AC19" s="84"/>
      <c r="AD19" s="118" t="s">
        <v>104</v>
      </c>
      <c r="AE19" s="119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20">
        <v>1</v>
      </c>
      <c r="P20" s="121"/>
      <c r="Q20" s="63"/>
      <c r="R20" s="120">
        <v>3</v>
      </c>
      <c r="S20" s="121"/>
      <c r="T20" s="63"/>
      <c r="U20" s="120">
        <v>4</v>
      </c>
      <c r="V20" s="121"/>
      <c r="W20" s="63"/>
      <c r="X20" s="120">
        <v>5</v>
      </c>
      <c r="Y20" s="121"/>
      <c r="AA20" s="120">
        <v>6</v>
      </c>
      <c r="AB20" s="121"/>
      <c r="AD20" s="120">
        <v>7</v>
      </c>
      <c r="AE20" s="121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opLeftCell="B1" zoomScale="70" zoomScaleNormal="70" workbookViewId="0">
      <pane ySplit="8" topLeftCell="A9" activePane="bottomLeft" state="frozen"/>
      <selection pane="bottomLeft" activeCell="F14" sqref="F14"/>
    </sheetView>
  </sheetViews>
  <sheetFormatPr defaultRowHeight="14.4" x14ac:dyDescent="0.3"/>
  <cols>
    <col min="1" max="1" width="10.77734375" style="41" hidden="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92" t="s">
        <v>113</v>
      </c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B3" zoomScale="85" zoomScaleNormal="85" workbookViewId="0">
      <selection activeCell="H21" sqref="H21"/>
    </sheetView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122</v>
      </c>
      <c r="C2" s="97" t="s">
        <v>0</v>
      </c>
      <c r="D2" s="97"/>
      <c r="E2" s="97"/>
      <c r="F2" s="97"/>
      <c r="G2" s="97"/>
      <c r="H2" s="97"/>
      <c r="I2" s="97"/>
      <c r="J2" s="9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3" t="s">
        <v>16</v>
      </c>
      <c r="F13" s="94"/>
      <c r="G13" s="94"/>
      <c r="H13" s="95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96"/>
      <c r="G14" s="96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96"/>
      <c r="G15" s="9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51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3" t="s">
        <v>143</v>
      </c>
      <c r="F31" s="94"/>
      <c r="G31" s="94"/>
      <c r="H31" s="95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3" t="s">
        <v>24</v>
      </c>
      <c r="F66" s="94"/>
      <c r="G66" s="94"/>
      <c r="H66" s="95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96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9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0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51">
        <v>0</v>
      </c>
      <c r="C72" s="6"/>
      <c r="D72" s="6"/>
      <c r="E72" s="6"/>
      <c r="F72" s="6"/>
      <c r="G72" s="6"/>
      <c r="H72" s="6"/>
      <c r="I72" s="6"/>
      <c r="J72" s="6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0</v>
      </c>
      <c r="C79" s="6"/>
      <c r="D79" s="6"/>
      <c r="E79" s="6"/>
      <c r="F79" s="6"/>
      <c r="G79" s="6"/>
      <c r="H79" s="6"/>
      <c r="I79" s="6"/>
      <c r="J79" s="6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51">
        <v>0</v>
      </c>
      <c r="C82" s="6"/>
      <c r="D82" s="6"/>
      <c r="E82" s="6"/>
      <c r="F82" s="6"/>
      <c r="G82" s="6"/>
      <c r="H82" s="6"/>
      <c r="I82" s="6"/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3" t="s">
        <v>27</v>
      </c>
      <c r="F86" s="94"/>
      <c r="G86" s="94"/>
      <c r="H86" s="95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96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9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0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51">
        <v>0</v>
      </c>
      <c r="B93" s="15" t="str">
        <f>E86</f>
        <v>وحدة سفلية  زاوية 90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 t="str">
        <f>B93</f>
        <v>وحدة سفلية  زاوية 90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 t="str">
        <f>B93</f>
        <v>وحدة سفلية  زاوية 90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 t="str">
        <f>B93</f>
        <v>وحدة سفلية  زاوية 90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 t="str">
        <f>B93</f>
        <v>وحدة سفلية  زاوية 90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 t="str">
        <f>B93</f>
        <v>وحدة سفلية  زاوية 90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 t="str">
        <f>B93</f>
        <v>وحدة سفلية  زاوية 90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51">
        <v>0</v>
      </c>
      <c r="C100" s="6"/>
      <c r="D100" s="6"/>
      <c r="E100" s="6"/>
      <c r="F100" s="6"/>
      <c r="G100" s="6"/>
      <c r="H100" s="6"/>
      <c r="I100" s="6"/>
      <c r="J100" s="6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 t="str">
        <f>B93</f>
        <v>وحدة سفلية  زاوية 90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 t="str">
        <f>B93</f>
        <v>وحدة سفلية  زاوية 90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51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 t="str">
        <f>B93</f>
        <v>وحدة سفلية  زاوية 90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3" t="s">
        <v>30</v>
      </c>
      <c r="F107" s="94"/>
      <c r="G107" s="94"/>
      <c r="H107" s="95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96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9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51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51">
        <v>0</v>
      </c>
      <c r="C114" s="6"/>
      <c r="D114" s="6"/>
      <c r="E114" s="6"/>
      <c r="F114" s="6"/>
      <c r="G114" s="6"/>
      <c r="H114" s="6"/>
      <c r="I114" s="6"/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3" t="s">
        <v>106</v>
      </c>
      <c r="F127" s="94"/>
      <c r="G127" s="94"/>
      <c r="H127" s="95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96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9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 s="2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 s="21"/>
      <c r="C133" s="6"/>
      <c r="D133" s="6"/>
      <c r="E133" s="6"/>
      <c r="F133" s="6"/>
      <c r="G133" s="6"/>
      <c r="H133" s="6"/>
      <c r="I133" s="6"/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51">
        <v>0</v>
      </c>
      <c r="C142" s="6"/>
      <c r="D142" s="6"/>
      <c r="E142" s="6"/>
      <c r="F142" s="6"/>
      <c r="G142" s="6"/>
      <c r="H142" s="6"/>
      <c r="I142" s="6"/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51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3" t="s">
        <v>163</v>
      </c>
      <c r="F150" s="94"/>
      <c r="G150" s="94"/>
      <c r="H150" s="95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x14ac:dyDescent="0.3">
      <c r="A154" s="51">
        <v>0</v>
      </c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x14ac:dyDescent="0.3">
      <c r="A156" s="51">
        <v>0</v>
      </c>
      <c r="C156" s="6"/>
      <c r="D156" s="6"/>
      <c r="E156" s="6"/>
      <c r="F156" s="6"/>
      <c r="G156" s="6"/>
      <c r="H156" s="6"/>
      <c r="I156" s="6"/>
      <c r="J156" s="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</row>
    <row r="161" spans="1:10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</row>
    <row r="162" spans="1:10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</row>
    <row r="163" spans="1:10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</row>
    <row r="164" spans="1:10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</row>
    <row r="165" spans="1:10" x14ac:dyDescent="0.3">
      <c r="A165" s="51">
        <v>0</v>
      </c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</row>
    <row r="167" spans="1:10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</row>
    <row r="168" spans="1:10" x14ac:dyDescent="0.3">
      <c r="A168" s="51">
        <v>0</v>
      </c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</row>
    <row r="170" spans="1:10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</row>
    <row r="171" spans="1:10" x14ac:dyDescent="0.3">
      <c r="A171" s="51">
        <v>255</v>
      </c>
    </row>
    <row r="172" spans="1:10" x14ac:dyDescent="0.3">
      <c r="A172" s="51">
        <v>255</v>
      </c>
    </row>
  </sheetData>
  <mergeCells count="14">
    <mergeCell ref="C2:J2"/>
    <mergeCell ref="G14:G15"/>
    <mergeCell ref="F14:F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C111" sqref="C111:J111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7</v>
      </c>
    </row>
    <row r="2" spans="1:25" s="35" customFormat="1" ht="31.2" x14ac:dyDescent="0.3">
      <c r="A2" s="36">
        <v>96</v>
      </c>
      <c r="B2" s="48" t="s">
        <v>123</v>
      </c>
      <c r="C2" s="97" t="s">
        <v>105</v>
      </c>
      <c r="D2" s="97"/>
      <c r="E2" s="97"/>
      <c r="F2" s="97"/>
      <c r="G2" s="97"/>
      <c r="H2" s="97"/>
      <c r="I2" s="97"/>
      <c r="J2" s="9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3" t="s">
        <v>117</v>
      </c>
      <c r="F13" s="94"/>
      <c r="G13" s="94"/>
      <c r="H13" s="95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96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9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x14ac:dyDescent="0.3">
      <c r="A17" s="35">
        <v>0</v>
      </c>
      <c r="B17" s="15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x14ac:dyDescent="0.3">
      <c r="A19" s="51">
        <v>0</v>
      </c>
      <c r="B19" s="15"/>
      <c r="C19" s="6"/>
      <c r="D19" s="6"/>
      <c r="E19" s="6"/>
      <c r="F19" s="6"/>
      <c r="G19" s="6"/>
      <c r="H19" s="6"/>
      <c r="I19" s="6"/>
      <c r="J19" s="6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</row>
    <row r="25" spans="1:75" x14ac:dyDescent="0.3">
      <c r="A25" s="51">
        <v>0</v>
      </c>
      <c r="B25" s="15"/>
      <c r="C25" s="6"/>
      <c r="D25" s="6"/>
      <c r="E25" s="6"/>
      <c r="F25" s="6"/>
      <c r="G25" s="6"/>
      <c r="H25" s="6"/>
      <c r="I25" s="6"/>
      <c r="J25" s="6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</row>
    <row r="27" spans="1:75" x14ac:dyDescent="0.3">
      <c r="A27" s="51">
        <v>0</v>
      </c>
      <c r="B27" s="15"/>
      <c r="C27" s="6"/>
      <c r="D27" s="6"/>
      <c r="E27" s="6"/>
      <c r="F27" s="6"/>
      <c r="G27" s="6"/>
      <c r="H27" s="6"/>
      <c r="I27" s="6"/>
      <c r="J27" s="6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3" t="s">
        <v>143</v>
      </c>
      <c r="F31" s="94"/>
      <c r="G31" s="94"/>
      <c r="H31" s="95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B36" s="1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B38" s="15"/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B54" s="15"/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B59" s="15"/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3" t="s">
        <v>120</v>
      </c>
      <c r="F66" s="94"/>
      <c r="G66" s="94"/>
      <c r="H66" s="95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96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9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x14ac:dyDescent="0.3">
      <c r="A70" s="35">
        <v>0</v>
      </c>
      <c r="B70" s="15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 s="15"/>
      <c r="C72" s="6"/>
      <c r="D72" s="6"/>
      <c r="E72" s="6"/>
      <c r="F72" s="6"/>
      <c r="G72" s="6"/>
      <c r="H72" s="6"/>
      <c r="I72" s="6"/>
      <c r="J72" s="6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</row>
    <row r="79" spans="1:75" ht="15.6" customHeight="1" x14ac:dyDescent="0.3">
      <c r="A79" s="51">
        <v>0</v>
      </c>
      <c r="B79" s="15"/>
      <c r="C79" s="6"/>
      <c r="D79" s="6"/>
      <c r="E79" s="6"/>
      <c r="F79" s="6"/>
      <c r="G79" s="6"/>
      <c r="H79" s="6"/>
      <c r="I79" s="6"/>
      <c r="J79" s="6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</row>
    <row r="82" spans="1:11" ht="15.6" customHeight="1" x14ac:dyDescent="0.3">
      <c r="A82" s="51">
        <v>0</v>
      </c>
      <c r="B82" s="15"/>
      <c r="C82" s="6"/>
      <c r="D82" s="6"/>
      <c r="E82" s="6"/>
      <c r="F82" s="6"/>
      <c r="G82" s="6"/>
      <c r="H82" s="6"/>
      <c r="I82" s="6"/>
      <c r="J82" s="6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3" t="s">
        <v>118</v>
      </c>
      <c r="F86" s="94"/>
      <c r="G86" s="94"/>
      <c r="H86" s="95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x14ac:dyDescent="0.3">
      <c r="A91" s="35">
        <v>0</v>
      </c>
      <c r="B91" s="15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x14ac:dyDescent="0.3">
      <c r="A93" s="51">
        <v>0</v>
      </c>
      <c r="B93" s="15"/>
      <c r="C93" s="6"/>
      <c r="D93" s="6"/>
      <c r="E93" s="6"/>
      <c r="F93" s="6"/>
      <c r="G93" s="6"/>
      <c r="H93" s="6"/>
      <c r="I93" s="6"/>
      <c r="J93" s="6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</row>
    <row r="100" spans="1:11" x14ac:dyDescent="0.3">
      <c r="A100" s="51">
        <v>0</v>
      </c>
      <c r="B100" s="15"/>
      <c r="C100" s="6"/>
      <c r="D100" s="6"/>
      <c r="E100" s="6"/>
      <c r="F100" s="6"/>
      <c r="G100" s="6"/>
      <c r="H100" s="6"/>
      <c r="I100" s="6"/>
      <c r="J100" s="6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</row>
    <row r="103" spans="1:11" x14ac:dyDescent="0.3">
      <c r="A103" s="51">
        <v>0</v>
      </c>
      <c r="B103" s="15"/>
      <c r="C103" s="6"/>
      <c r="D103" s="6"/>
      <c r="E103" s="6"/>
      <c r="F103" s="6"/>
      <c r="G103" s="6"/>
      <c r="H103" s="6"/>
      <c r="I103" s="6"/>
      <c r="J103" s="6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3" t="s">
        <v>119</v>
      </c>
      <c r="F107" s="94"/>
      <c r="G107" s="94"/>
      <c r="H107" s="95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x14ac:dyDescent="0.3">
      <c r="A112" s="35">
        <v>0</v>
      </c>
      <c r="B112" s="15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x14ac:dyDescent="0.3">
      <c r="A114" s="51">
        <v>0</v>
      </c>
      <c r="B114" s="15"/>
      <c r="C114" s="6"/>
      <c r="D114" s="6"/>
      <c r="E114" s="6"/>
      <c r="F114" s="6"/>
      <c r="G114" s="6"/>
      <c r="H114" s="6"/>
      <c r="I114" s="6"/>
      <c r="J114" s="6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</row>
    <row r="121" spans="1:11" x14ac:dyDescent="0.3">
      <c r="A121" s="51">
        <v>0</v>
      </c>
      <c r="B121" s="15"/>
      <c r="C121" s="6"/>
      <c r="D121" s="6"/>
      <c r="E121" s="6"/>
      <c r="F121" s="6"/>
      <c r="G121" s="6"/>
      <c r="H121" s="6"/>
      <c r="I121" s="6"/>
      <c r="J121" s="6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</row>
    <row r="123" spans="1:11" ht="14.4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3" t="s">
        <v>163</v>
      </c>
      <c r="F127" s="94"/>
      <c r="G127" s="94"/>
      <c r="H127" s="95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0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0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0" x14ac:dyDescent="0.3">
      <c r="A131" s="51">
        <v>0</v>
      </c>
      <c r="B131" s="15"/>
    </row>
    <row r="132" spans="1:10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0" x14ac:dyDescent="0.3">
      <c r="A133" s="51">
        <v>0</v>
      </c>
      <c r="B133" s="15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</row>
    <row r="135" spans="1:10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</row>
    <row r="136" spans="1:10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</row>
    <row r="137" spans="1:10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</row>
    <row r="138" spans="1:10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</row>
    <row r="139" spans="1:10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</row>
    <row r="140" spans="1:10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</row>
    <row r="141" spans="1:10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</row>
    <row r="142" spans="1:10" x14ac:dyDescent="0.3">
      <c r="A142" s="51">
        <v>0</v>
      </c>
      <c r="B142" s="15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</row>
    <row r="144" spans="1:10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</row>
    <row r="145" spans="1:10" x14ac:dyDescent="0.3">
      <c r="A145" s="51">
        <v>0</v>
      </c>
      <c r="B145" s="15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</row>
    <row r="147" spans="1:10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</row>
    <row r="148" spans="1:10" x14ac:dyDescent="0.3">
      <c r="A148" s="51">
        <v>255</v>
      </c>
      <c r="B148" s="15"/>
    </row>
    <row r="149" spans="1:10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9" zoomScale="86" zoomScaleNormal="70" workbookViewId="0">
      <selection activeCell="E15" sqref="E15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6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97" t="s">
        <v>44</v>
      </c>
      <c r="D2" s="97"/>
      <c r="E2" s="97"/>
      <c r="F2" s="97"/>
      <c r="G2" s="97"/>
      <c r="H2" s="97"/>
      <c r="I2" s="97"/>
      <c r="J2" s="9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3" t="s">
        <v>45</v>
      </c>
      <c r="F13" s="94"/>
      <c r="G13" s="94"/>
      <c r="H13" s="95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03" t="b">
        <f ca="1">NOT(AND(F15&gt;0,G15&gt;0))</f>
        <v>1</v>
      </c>
      <c r="G16" s="103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2">
        <f>C15+D15</f>
        <v>1</v>
      </c>
      <c r="D17" s="102"/>
      <c r="E17" s="26">
        <v>10</v>
      </c>
      <c r="F17" s="104" t="str">
        <f ca="1">IF(F16,"المقابض مظبوطة","مينفعش مقبض مخفي مع بيلت ان")</f>
        <v>المقابض مظبوطة</v>
      </c>
      <c r="G17" s="104"/>
      <c r="H17" s="103" t="str">
        <f>IF(H16,"عدد الدلف صحيح","عدد الدلف غير صحيح")</f>
        <v>عدد الدلف صحيح</v>
      </c>
      <c r="I17" s="103"/>
      <c r="J17" s="10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03" t="b">
        <f>C17&lt;=2</f>
        <v>1</v>
      </c>
      <c r="D18" s="103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3" t="s">
        <v>51</v>
      </c>
      <c r="F34" s="94"/>
      <c r="G34" s="94"/>
      <c r="H34" s="95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05" t="b">
        <f ca="1">NOT(AND(F36&gt;0,G36&gt;0))</f>
        <v>1</v>
      </c>
      <c r="G37" s="105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2">
        <f>C36+D36</f>
        <v>2</v>
      </c>
      <c r="D38" s="102"/>
      <c r="E38" s="7">
        <v>0</v>
      </c>
      <c r="F38" s="106" t="str">
        <f ca="1">IF(F37,"المقابض مظبوطة","مينفعش مقبض مخفي مع بيلت ان")</f>
        <v>المقابض مظبوطة</v>
      </c>
      <c r="G38" s="106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03" t="b">
        <f>C38&lt;=2</f>
        <v>1</v>
      </c>
      <c r="D39" s="103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3" t="s">
        <v>46</v>
      </c>
      <c r="F55" s="94"/>
      <c r="G55" s="94"/>
      <c r="H55" s="95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3" t="b">
        <f ca="1">NOT(AND(F57&gt;0,G57&gt;0))</f>
        <v>1</v>
      </c>
      <c r="G58" s="100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2">
        <f>C57+D57</f>
        <v>2</v>
      </c>
      <c r="D59" s="102"/>
      <c r="E59" s="7" t="s">
        <v>107</v>
      </c>
      <c r="F59" s="107" t="str">
        <f ca="1">IF(F58,"المقابض مظبوطة","مينفعش مقبض مخفي مع بيلت ان")</f>
        <v>المقابض مظبوطة</v>
      </c>
      <c r="G59" s="10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03" t="b">
        <f>C59&lt;=2</f>
        <v>1</v>
      </c>
      <c r="D60" s="103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C75" s="6"/>
      <c r="D75" s="6"/>
      <c r="E75" s="6"/>
      <c r="F75" s="6"/>
      <c r="G75" s="6"/>
      <c r="H75" s="6"/>
      <c r="I75" s="6"/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3" t="s">
        <v>169</v>
      </c>
      <c r="F79" s="94"/>
      <c r="G79" s="94"/>
      <c r="H79" s="95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3" t="b">
        <f ca="1">NOT(AND(F81&gt;0,G81&gt;0))</f>
        <v>1</v>
      </c>
      <c r="G82" s="100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2">
        <f>C81+D81</f>
        <v>1</v>
      </c>
      <c r="D83" s="102"/>
      <c r="E83" s="7" t="s">
        <v>107</v>
      </c>
      <c r="F83" s="107" t="str">
        <f ca="1">IF(F82,"المقابض مظبوطة","مينفعش مقبض مخفي مع بيلت ان")</f>
        <v>المقابض مظبوطة</v>
      </c>
      <c r="G83" s="10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03" t="b">
        <f>C83&lt;=2</f>
        <v>1</v>
      </c>
      <c r="D84" s="103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 s="1"/>
      <c r="C86" s="1"/>
      <c r="D86" s="1"/>
      <c r="E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C94" s="6"/>
      <c r="D94" s="6"/>
      <c r="E94" s="6"/>
      <c r="F94" s="6"/>
      <c r="G94" s="6"/>
      <c r="H94" s="6"/>
      <c r="I94" s="6"/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C97" s="6"/>
      <c r="D97" s="6"/>
      <c r="E97" s="6"/>
      <c r="F97" s="6"/>
      <c r="G97" s="6"/>
      <c r="H97" s="6"/>
      <c r="I97" s="6"/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C99" s="6"/>
      <c r="D99" s="6"/>
      <c r="E99" s="6"/>
      <c r="F99" s="6"/>
      <c r="G99" s="6"/>
      <c r="H99" s="6"/>
      <c r="I99" s="6"/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3" t="s">
        <v>47</v>
      </c>
      <c r="F103" s="94"/>
      <c r="G103" s="94"/>
      <c r="H103" s="95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03" t="b">
        <f ca="1">NOT(AND(F105&gt;0,G105&gt;0))</f>
        <v>1</v>
      </c>
      <c r="G106" s="10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06" t="str">
        <f ca="1">IF(F106,"المقابض مظبوطة","مينفعش مقبض مخفي مع بيلت ان")</f>
        <v>المقابض مظبوطة</v>
      </c>
      <c r="G107" s="106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C111" s="6"/>
      <c r="D111" s="6"/>
      <c r="E111" s="6"/>
      <c r="F111" s="6"/>
      <c r="G111" s="6"/>
      <c r="H111" s="6"/>
      <c r="I111" s="6"/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C118" s="6"/>
      <c r="D118" s="6"/>
      <c r="E118" s="6"/>
      <c r="F118" s="6"/>
      <c r="G118" s="6"/>
      <c r="H118" s="6"/>
      <c r="I118" s="6"/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C124" s="6"/>
      <c r="D124" s="6"/>
      <c r="E124" s="6"/>
      <c r="F124" s="6"/>
      <c r="G124" s="6"/>
      <c r="H124" s="6"/>
      <c r="I124" s="6"/>
      <c r="J124" s="6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3" t="s">
        <v>48</v>
      </c>
      <c r="F129" s="94"/>
      <c r="G129" s="94"/>
      <c r="H129" s="95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03" t="b">
        <f ca="1">NOT(AND(F131&gt;0,G131&gt;0))</f>
        <v>1</v>
      </c>
      <c r="G132" s="10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06" t="str">
        <f ca="1">IF(F132,"المقابض مظبوطة","مينفعش مقبض مخفي مع بيلت ان")</f>
        <v>المقابض مظبوطة</v>
      </c>
      <c r="G133" s="106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C137" s="6"/>
      <c r="D137" s="6"/>
      <c r="E137" s="6"/>
      <c r="F137" s="6"/>
      <c r="G137" s="6"/>
      <c r="H137" s="6"/>
      <c r="I137" s="6"/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C144" s="6"/>
      <c r="D144" s="6"/>
      <c r="E144" s="6"/>
      <c r="F144" s="6"/>
      <c r="G144" s="6"/>
      <c r="H144" s="6"/>
      <c r="I144" s="6"/>
      <c r="J144" s="6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C146" s="6"/>
      <c r="D146" s="6"/>
      <c r="E146" s="6"/>
      <c r="F146" s="6"/>
      <c r="G146" s="6"/>
      <c r="H146" s="6"/>
      <c r="I146" s="6"/>
      <c r="J146" s="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3" t="s">
        <v>110</v>
      </c>
      <c r="F150" s="94"/>
      <c r="G150" s="94"/>
      <c r="H150" s="95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98">
        <f>C152+D152</f>
        <v>1</v>
      </c>
      <c r="D154" s="9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00" t="b">
        <f>C154&lt;=2</f>
        <v>1</v>
      </c>
      <c r="D155" s="101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C157" s="1"/>
      <c r="D157" s="1"/>
      <c r="E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C159" s="6"/>
      <c r="D159" s="6"/>
      <c r="E159" s="6"/>
      <c r="F159" s="6"/>
      <c r="G159" s="6"/>
      <c r="H159" s="6"/>
      <c r="I159" s="6"/>
      <c r="J159" s="6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C165" s="6"/>
      <c r="D165" s="6"/>
      <c r="E165" s="6"/>
      <c r="F165" s="6"/>
      <c r="G165" s="6"/>
      <c r="H165" s="6"/>
      <c r="I165" s="6"/>
      <c r="J165" s="6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C168" s="6"/>
      <c r="D168" s="6"/>
      <c r="E168" s="6"/>
      <c r="F168" s="6"/>
      <c r="G168" s="6"/>
      <c r="H168" s="6"/>
      <c r="I168" s="6"/>
      <c r="J168" s="6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H55" sqref="H55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97" t="s">
        <v>65</v>
      </c>
      <c r="D2" s="97"/>
      <c r="E2" s="97"/>
      <c r="F2" s="97"/>
      <c r="G2" s="97"/>
      <c r="H2" s="97"/>
      <c r="I2" s="97"/>
      <c r="J2" s="9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08" t="s">
        <v>66</v>
      </c>
      <c r="F13" s="108"/>
      <c r="G13" s="108"/>
      <c r="H13" s="108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02">
        <f>G17+H17</f>
        <v>2</v>
      </c>
      <c r="D19" s="102"/>
      <c r="E19" s="8"/>
      <c r="F19" s="46"/>
      <c r="G19" s="46"/>
      <c r="H19" s="46"/>
      <c r="I19" s="8">
        <f>SUM(I17:I18)</f>
        <v>210</v>
      </c>
      <c r="J19" s="106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03" t="b">
        <f>C19&lt;=2</f>
        <v>1</v>
      </c>
      <c r="D20" s="103"/>
      <c r="E20" s="8"/>
      <c r="F20" s="8"/>
      <c r="G20" s="8"/>
      <c r="H20" s="8"/>
      <c r="I20" s="6" t="b">
        <f>I19=I15</f>
        <v>1</v>
      </c>
      <c r="J20" s="106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</row>
    <row r="30" spans="1:13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</row>
    <row r="33" spans="1:13" x14ac:dyDescent="0.3">
      <c r="A33" s="35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</row>
    <row r="36" spans="1:13" x14ac:dyDescent="0.3">
      <c r="A36" s="35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08" t="s">
        <v>77</v>
      </c>
      <c r="F40" s="108"/>
      <c r="G40" s="108"/>
      <c r="H40" s="108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02">
        <f>G47+H47</f>
        <v>0</v>
      </c>
      <c r="D52" s="102"/>
      <c r="E52" s="8"/>
      <c r="F52" s="46"/>
      <c r="G52" s="46"/>
      <c r="H52" s="46"/>
      <c r="I52" s="8">
        <f>SUM(I44:I51)</f>
        <v>220</v>
      </c>
      <c r="J52" s="106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03" t="b">
        <f>C52&lt;=2</f>
        <v>1</v>
      </c>
      <c r="D53" s="103"/>
      <c r="E53" s="8"/>
      <c r="F53" s="8"/>
      <c r="G53" s="8"/>
      <c r="H53" s="8"/>
      <c r="I53" s="6" t="b">
        <f>I52=I42</f>
        <v>1</v>
      </c>
      <c r="J53" s="106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/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/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/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/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/>
      <c r="L62" s="1"/>
      <c r="M62" s="1"/>
    </row>
    <row r="63" spans="1:13" x14ac:dyDescent="0.3">
      <c r="A63" s="35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</row>
    <row r="73" spans="1:12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</row>
    <row r="81" spans="1:10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</row>
    <row r="82" spans="1:10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</row>
    <row r="83" spans="1:10" x14ac:dyDescent="0.3">
      <c r="A83" s="35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35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</row>
    <row r="86" spans="1:10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</row>
    <row r="87" spans="1:10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</row>
    <row r="88" spans="1:10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</row>
    <row r="90" spans="1:10" x14ac:dyDescent="0.3">
      <c r="A90" s="35">
        <v>255</v>
      </c>
    </row>
    <row r="91" spans="1:10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3" t="s">
        <v>67</v>
      </c>
      <c r="F98" s="94"/>
      <c r="G98" s="94"/>
      <c r="H98" s="95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3" t="b">
        <f>NOT(AND(F100&gt;0,G100&gt;0))</f>
        <v>1</v>
      </c>
      <c r="G101" s="103"/>
      <c r="I101" s="3" t="b">
        <f>_xlfn.XOR(I100&lt;=50,C102=2)</f>
        <v>0</v>
      </c>
    </row>
    <row r="102" spans="2:10" ht="24" hidden="1" customHeight="1" x14ac:dyDescent="0.3">
      <c r="C102" s="103">
        <f>C100+E100</f>
        <v>3</v>
      </c>
      <c r="D102" s="103"/>
      <c r="E102" s="33"/>
      <c r="F102" s="107" t="str">
        <f>IF(F101,"المقابض مظبوطة","مينفعش مقبض مخفي مع بيلت ان")</f>
        <v>المقابض مظبوطة</v>
      </c>
      <c r="G102" s="10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03" t="b">
        <f>C102&lt;=2</f>
        <v>0</v>
      </c>
      <c r="D103" s="10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3" t="s">
        <v>68</v>
      </c>
      <c r="F118" s="94"/>
      <c r="G118" s="94"/>
      <c r="H118" s="95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03" t="b">
        <f>NOT(AND(F120&gt;0,G120&gt;0))</f>
        <v>1</v>
      </c>
      <c r="G121" s="10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07" t="str">
        <f>IF(F121,"المقابض مظبوطة","مينفعش مقبض مخفي مع بيلت ان")</f>
        <v>المقابض مظبوطة</v>
      </c>
      <c r="G122" s="10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3" t="s">
        <v>69</v>
      </c>
      <c r="F138" s="94"/>
      <c r="G138" s="94"/>
      <c r="H138" s="95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03" t="b">
        <f>NOT(AND(F140&gt;0,G140&gt;0))</f>
        <v>1</v>
      </c>
      <c r="G141" s="10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07" t="str">
        <f>IF(F141,"المقابض مظبوطة","مينفعش مقبض مخفي مع بيلت ان")</f>
        <v>المقابض مظبوطة</v>
      </c>
      <c r="G142" s="10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09" t="s">
        <v>43</v>
      </c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>
      <selection activeCell="L19" sqref="L19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1</v>
      </c>
    </row>
    <row r="2" spans="1:23" s="35" customFormat="1" ht="31.2" x14ac:dyDescent="0.3">
      <c r="A2" s="36">
        <v>20</v>
      </c>
      <c r="B2" s="50" t="s">
        <v>126</v>
      </c>
      <c r="C2" s="110" t="s">
        <v>104</v>
      </c>
      <c r="D2" s="111"/>
      <c r="E2" s="111"/>
      <c r="F2" s="111"/>
      <c r="G2" s="111"/>
      <c r="H2" s="111"/>
      <c r="I2" s="111"/>
      <c r="J2" s="112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93" t="s">
        <v>171</v>
      </c>
      <c r="F13" s="94"/>
      <c r="G13" s="94"/>
      <c r="H13" s="95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 s="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 s="15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93" t="s">
        <v>172</v>
      </c>
      <c r="F25" s="94"/>
      <c r="G25" s="94"/>
      <c r="H25" s="95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 s="15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 s="15"/>
      <c r="C29" s="6"/>
      <c r="D29" s="6"/>
      <c r="E29" s="6"/>
      <c r="F29" s="6"/>
      <c r="G29" s="6"/>
      <c r="H29" s="6"/>
      <c r="I29" s="6"/>
      <c r="J29" s="6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93" t="s">
        <v>173</v>
      </c>
      <c r="F37" s="94"/>
      <c r="G37" s="94"/>
      <c r="H37" s="95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 s="15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 s="15"/>
      <c r="C41" s="6"/>
      <c r="D41" s="6"/>
      <c r="E41" s="6"/>
      <c r="F41" s="6"/>
      <c r="G41" s="6"/>
      <c r="H41" s="6"/>
      <c r="I41" s="6"/>
      <c r="J41" s="6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2024-09-19T09:45:31Z</dcterms:modified>
</cp:coreProperties>
</file>