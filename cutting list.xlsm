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B01EE52F-1534-4FBC-9756-7D0A430F9AE9}" xr6:coauthVersionLast="47" xr6:coauthVersionMax="47" xr10:uidLastSave="{00000000-0000-0000-0000-000000000000}"/>
  <bookViews>
    <workbookView xWindow="-108" yWindow="-108" windowWidth="23256" windowHeight="12456" tabRatio="627" activeTab="6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3" i="8" l="1"/>
  <c r="J28" i="8" a="1"/>
  <c r="J26" i="8" a="1"/>
  <c r="J25" i="8" a="1"/>
  <c r="J23" i="8" a="1"/>
  <c r="J21" i="8" a="1"/>
  <c r="J22" i="8" a="1"/>
  <c r="J20" i="8" a="1"/>
  <c r="C28" i="8" a="1"/>
  <c r="C26" i="8" a="1"/>
  <c r="C25" i="8" a="1"/>
  <c r="C23" i="8" a="1"/>
  <c r="C22" i="8" a="1"/>
  <c r="C21" i="8" a="1"/>
  <c r="B28" i="8" a="1"/>
  <c r="B25" i="8" a="1"/>
  <c r="B26" i="8" a="1"/>
  <c r="H26" i="8" a="1"/>
  <c r="F28" i="8" a="1"/>
  <c r="G28" i="8" a="1"/>
  <c r="H28" i="8" a="1"/>
  <c r="E26" i="8" a="1"/>
  <c r="G26" i="8" a="1"/>
  <c r="F26" i="8" a="1"/>
  <c r="E28" i="8" a="1"/>
  <c r="G25" i="8" a="1"/>
  <c r="F25" i="8" a="1"/>
  <c r="E25" i="8" a="1"/>
  <c r="H25" i="8" a="1"/>
  <c r="B23" i="8" a="1"/>
  <c r="B22" i="8" a="1"/>
  <c r="B21" i="8" a="1"/>
  <c r="E22" i="8" a="1"/>
  <c r="F21" i="8" a="1"/>
  <c r="H23" i="8" a="1"/>
  <c r="G23" i="8" a="1"/>
  <c r="E21" i="8" a="1"/>
  <c r="F23" i="8" a="1"/>
  <c r="H22" i="8" a="1"/>
  <c r="G22" i="8" a="1"/>
  <c r="E23" i="8" a="1"/>
  <c r="F22" i="8" a="1"/>
  <c r="H21" i="8" a="1"/>
  <c r="G21" i="8" a="1"/>
  <c r="C20" i="8" a="1"/>
  <c r="H20" i="8" a="1"/>
  <c r="G20" i="8" a="1"/>
  <c r="F20" i="8" a="1"/>
  <c r="E20" i="8" a="1"/>
  <c r="B20" i="8" a="1"/>
  <c r="J13" i="8"/>
  <c r="G16" i="8" a="1"/>
  <c r="J28" i="8" l="1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G141" i="7"/>
  <c r="F141" i="7"/>
  <c r="F139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39" i="7" s="1"/>
  <c r="C140" i="7" s="1"/>
  <c r="C141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2" i="3"/>
  <c r="C163" i="3" s="1"/>
  <c r="C164" i="3" s="1"/>
  <c r="C166" i="3" s="1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AD23" i="8" a="1"/>
  <c r="AD28" i="8" a="1"/>
  <c r="AD29" i="8" a="1"/>
  <c r="AD31" i="8" a="1"/>
  <c r="AD27" i="8" a="1"/>
  <c r="AD22" i="8" a="1"/>
  <c r="AD30" i="8" a="1"/>
  <c r="AD24" i="8" a="1"/>
  <c r="AD25" i="8" a="1"/>
  <c r="AD32" i="8" a="1"/>
  <c r="AD26" i="8" a="1"/>
  <c r="AD33" i="8" a="1"/>
  <c r="R26" i="8" a="1"/>
  <c r="R32" i="8" a="1"/>
  <c r="R29" i="8" a="1"/>
  <c r="AA27" i="8" a="1"/>
  <c r="AA26" i="8" a="1"/>
  <c r="AA24" i="8" a="1"/>
  <c r="X29" i="8" a="1"/>
  <c r="U25" i="8" a="1"/>
  <c r="X26" i="8" a="1"/>
  <c r="X33" i="8" a="1"/>
  <c r="AA28" i="8" a="1"/>
  <c r="U24" i="8" a="1"/>
  <c r="AA25" i="8" a="1"/>
  <c r="U33" i="8" a="1"/>
  <c r="AA29" i="8" a="1"/>
  <c r="AA33" i="8" a="1"/>
  <c r="U30" i="8" a="1"/>
  <c r="U31" i="8" a="1"/>
  <c r="R31" i="8" a="1"/>
  <c r="AA30" i="8" a="1"/>
  <c r="X30" i="8" a="1"/>
  <c r="R27" i="8" a="1"/>
  <c r="X32" i="8" a="1"/>
  <c r="U29" i="8" a="1"/>
  <c r="R28" i="8" a="1"/>
  <c r="AA32" i="8" a="1"/>
  <c r="X31" i="8" a="1"/>
  <c r="U32" i="8" a="1"/>
  <c r="X27" i="8" a="1"/>
  <c r="AA31" i="8" a="1"/>
  <c r="R33" i="8" a="1"/>
  <c r="R30" i="8" a="1"/>
  <c r="J37" i="6"/>
  <c r="J25" i="6"/>
  <c r="J79" i="4"/>
  <c r="J127" i="7"/>
  <c r="J31" i="7"/>
  <c r="J150" i="3"/>
  <c r="G152" i="4" a="1"/>
  <c r="I15" i="4" a="1"/>
  <c r="I132" i="4" a="1"/>
  <c r="I57" i="4" a="1"/>
  <c r="G57" i="4" a="1"/>
  <c r="J15" i="4" a="1"/>
  <c r="G36" i="4" a="1"/>
  <c r="G131" i="4" a="1"/>
  <c r="G81" i="4" a="1"/>
  <c r="J57" i="4" a="1"/>
  <c r="J131" i="4" a="1"/>
  <c r="J81" i="4" a="1"/>
  <c r="I36" i="4" a="1"/>
  <c r="I106" i="4" a="1"/>
  <c r="I131" i="4" a="1"/>
  <c r="G15" i="4" a="1"/>
  <c r="J152" i="4" a="1"/>
  <c r="J106" i="4" a="1"/>
  <c r="I152" i="4" a="1"/>
  <c r="J105" i="4" a="1"/>
  <c r="G105" i="4" a="1"/>
  <c r="I81" i="4" a="1"/>
  <c r="I105" i="4" a="1"/>
  <c r="J132" i="4" a="1"/>
  <c r="J36" i="4" a="1"/>
  <c r="AD33" i="8" l="1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U28" i="8" a="1"/>
  <c r="U26" i="8" a="1"/>
  <c r="U27" i="8" a="1"/>
  <c r="J13" i="6"/>
  <c r="J40" i="5"/>
  <c r="J13" i="5"/>
  <c r="J150" i="4"/>
  <c r="J129" i="4"/>
  <c r="J103" i="4"/>
  <c r="J55" i="4"/>
  <c r="J34" i="4"/>
  <c r="J13" i="4"/>
  <c r="J107" i="7"/>
  <c r="J86" i="7"/>
  <c r="J66" i="7"/>
  <c r="J13" i="7"/>
  <c r="J127" i="3"/>
  <c r="J107" i="3"/>
  <c r="J86" i="3"/>
  <c r="J66" i="3"/>
  <c r="J31" i="3"/>
  <c r="J13" i="3"/>
  <c r="I88" i="7" a="1"/>
  <c r="J68" i="7" a="1"/>
  <c r="J109" i="7" a="1"/>
  <c r="F81" i="4" a="1"/>
  <c r="J15" i="3" a="1"/>
  <c r="F152" i="4" a="1"/>
  <c r="J110" i="3" a="1"/>
  <c r="G34" i="3" a="1"/>
  <c r="I34" i="7" a="1"/>
  <c r="G129" i="3" a="1"/>
  <c r="F57" i="4" a="1"/>
  <c r="F36" i="4" a="1"/>
  <c r="J34" i="7" a="1"/>
  <c r="I15" i="3" a="1"/>
  <c r="J129" i="7" a="1"/>
  <c r="I152" i="3" a="1"/>
  <c r="J89" i="3" a="1"/>
  <c r="G152" i="3" a="1"/>
  <c r="E68" i="3" a="1"/>
  <c r="I109" i="3" a="1"/>
  <c r="J68" i="3" a="1"/>
  <c r="E88" i="3" a="1"/>
  <c r="J129" i="3" a="1"/>
  <c r="E15" i="3" a="1"/>
  <c r="I34" i="3" a="1"/>
  <c r="J88" i="3" a="1"/>
  <c r="I110" i="7" a="1"/>
  <c r="J89" i="7" a="1"/>
  <c r="J88" i="7" a="1"/>
  <c r="I88" i="3" a="1"/>
  <c r="I110" i="3" a="1"/>
  <c r="F131" i="4" a="1"/>
  <c r="E152" i="3" a="1"/>
  <c r="I68" i="3" a="1"/>
  <c r="I89" i="3" a="1"/>
  <c r="E129" i="3" a="1"/>
  <c r="F105" i="4" a="1"/>
  <c r="J109" i="3" a="1"/>
  <c r="F15" i="4" a="1"/>
  <c r="J152" i="3" a="1"/>
  <c r="I129" i="7" a="1"/>
  <c r="I32" i="3" a="1"/>
  <c r="I89" i="7" a="1"/>
  <c r="J34" i="3" a="1"/>
  <c r="I109" i="7" a="1"/>
  <c r="E109" i="3" a="1"/>
  <c r="I68" i="7" a="1"/>
  <c r="J110" i="7" a="1"/>
  <c r="I129" i="3" a="1"/>
  <c r="U27" i="8" l="1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70" i="3" s="1"/>
  <c r="G129" i="3"/>
  <c r="G147" i="3" s="1"/>
  <c r="I32" i="3"/>
  <c r="I152" i="3"/>
  <c r="F158" i="3" s="1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E3" i="10" s="1"/>
  <c r="G23" i="3"/>
  <c r="G22" i="3"/>
  <c r="X22" i="8" a="1"/>
  <c r="R22" i="8" a="1"/>
  <c r="AA22" i="8" a="1"/>
  <c r="AD21" i="8" a="1"/>
  <c r="F68" i="7" a="1"/>
  <c r="B34" i="7" a="1"/>
  <c r="J15" i="7" a="1"/>
  <c r="F15" i="7" a="1"/>
  <c r="G34" i="7" a="1"/>
  <c r="F88" i="7" a="1"/>
  <c r="I32" i="7" a="1"/>
  <c r="E109" i="7" a="1"/>
  <c r="G14" i="8" a="1"/>
  <c r="I15" i="7" a="1"/>
  <c r="F109" i="7" a="1"/>
  <c r="E129" i="7" a="1"/>
  <c r="E68" i="7" a="1"/>
  <c r="E88" i="7" a="1"/>
  <c r="F129" i="7" a="1"/>
  <c r="G129" i="7" a="1"/>
  <c r="E15" i="7" a="1"/>
  <c r="G14" i="8" l="1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G144" i="7" s="1"/>
  <c r="F143" i="7" s="1"/>
  <c r="E109" i="7"/>
  <c r="E68" i="7"/>
  <c r="E88" i="7"/>
  <c r="E15" i="7"/>
  <c r="G129" i="7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39" i="3" s="1"/>
  <c r="C140" i="3" s="1"/>
  <c r="C141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3" i="3"/>
  <c r="B98" i="3" s="1"/>
  <c r="B73" i="3"/>
  <c r="B75" i="3" s="1"/>
  <c r="B39" i="3"/>
  <c r="B20" i="3"/>
  <c r="B28" i="3" s="1"/>
  <c r="U22" i="8" a="1"/>
  <c r="AA23" i="8" a="1"/>
  <c r="R23" i="8" a="1"/>
  <c r="X23" i="8" a="1"/>
  <c r="R21" i="8" a="1"/>
  <c r="X21" i="8" a="1"/>
  <c r="AA21" i="8" a="1"/>
  <c r="F69" i="3" a="1"/>
  <c r="F153" i="3" a="1"/>
  <c r="D26" i="8" a="1"/>
  <c r="F40" i="4" a="1"/>
  <c r="F108" i="4" a="1"/>
  <c r="I14" i="8" a="1"/>
  <c r="F85" i="4" a="1"/>
  <c r="E14" i="6" a="1"/>
  <c r="F130" i="3" a="1"/>
  <c r="F90" i="3" a="1"/>
  <c r="F19" i="4" a="1"/>
  <c r="F156" i="4" a="1"/>
  <c r="E26" i="6" a="1"/>
  <c r="E14" i="8" a="1"/>
  <c r="D25" i="8" a="1"/>
  <c r="E38" i="6" a="1"/>
  <c r="F35" i="3" a="1"/>
  <c r="F61" i="4" a="1"/>
  <c r="F21" i="5" a="1"/>
  <c r="F16" i="3" a="1"/>
  <c r="F111" i="3" a="1"/>
  <c r="F134" i="4" a="1"/>
  <c r="F54" i="5" a="1"/>
  <c r="D26" i="8" l="1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140" i="7"/>
  <c r="F28" i="7"/>
  <c r="H141" i="7"/>
  <c r="H139" i="7"/>
  <c r="H140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48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U21" i="8" a="1"/>
  <c r="U23" i="8" a="1"/>
  <c r="I26" i="8" a="1"/>
  <c r="D19" i="4" a="1"/>
  <c r="D16" i="3" a="1"/>
  <c r="H16" i="3" a="1"/>
  <c r="F69" i="7" a="1"/>
  <c r="H61" i="4" a="1"/>
  <c r="D21" i="8" a="1"/>
  <c r="H85" i="4" a="1"/>
  <c r="D21" i="5" a="1"/>
  <c r="D20" i="8" a="1"/>
  <c r="F130" i="7" a="1"/>
  <c r="H111" i="3" a="1"/>
  <c r="D153" i="3" a="1"/>
  <c r="D40" i="4" a="1"/>
  <c r="D85" i="4" a="1"/>
  <c r="D90" i="3" a="1"/>
  <c r="D54" i="5" a="1"/>
  <c r="D111" i="3" a="1"/>
  <c r="F35" i="7" a="1"/>
  <c r="D61" i="4" a="1"/>
  <c r="F111" i="7" a="1"/>
  <c r="H130" i="3" a="1"/>
  <c r="H153" i="3" a="1"/>
  <c r="D134" i="4" a="1"/>
  <c r="H21" i="5" a="1"/>
  <c r="H35" i="3" a="1"/>
  <c r="H69" i="3" a="1"/>
  <c r="H156" i="4" a="1"/>
  <c r="H90" i="3" a="1"/>
  <c r="H54" i="5" a="1"/>
  <c r="H108" i="4" a="1"/>
  <c r="D130" i="3" a="1"/>
  <c r="H40" i="4" a="1"/>
  <c r="I25" i="8" a="1"/>
  <c r="D23" i="8" a="1"/>
  <c r="F16" i="7" a="1"/>
  <c r="H19" i="4" a="1"/>
  <c r="D108" i="4" a="1"/>
  <c r="D156" i="4" a="1"/>
  <c r="F90" i="7" a="1"/>
  <c r="D69" i="3" a="1"/>
  <c r="H134" i="4" a="1"/>
  <c r="D22" i="8" a="1"/>
  <c r="D28" i="8" a="1"/>
  <c r="D80" i="5" l="1"/>
  <c r="I80" i="5" s="1"/>
  <c r="D79" i="5"/>
  <c r="I79" i="5" s="1"/>
  <c r="D78" i="5"/>
  <c r="I78" i="5" s="1"/>
  <c r="D81" i="5"/>
  <c r="I81" i="5" s="1"/>
  <c r="D28" i="8"/>
  <c r="I26" i="8"/>
  <c r="I25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D164" i="3" s="1"/>
  <c r="I164" i="3" s="1"/>
  <c r="H130" i="3"/>
  <c r="D141" i="3" s="1"/>
  <c r="I141" i="3" s="1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D16" i="7" a="1"/>
  <c r="D111" i="7" a="1"/>
  <c r="H111" i="7" a="1"/>
  <c r="I22" i="8" a="1"/>
  <c r="H16" i="7" a="1"/>
  <c r="H35" i="7" a="1"/>
  <c r="I21" i="8" a="1"/>
  <c r="H90" i="7" a="1"/>
  <c r="H69" i="7" a="1"/>
  <c r="H130" i="7" a="1"/>
  <c r="I28" i="8" a="1"/>
  <c r="I23" i="8" a="1"/>
  <c r="D69" i="7" a="1"/>
  <c r="D130" i="7" a="1"/>
  <c r="I20" i="8" a="1"/>
  <c r="D90" i="7" a="1"/>
  <c r="D113" i="4" l="1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D139" i="3"/>
  <c r="I139" i="3" s="1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140" i="3"/>
  <c r="I140" i="3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62" i="3"/>
  <c r="I162" i="3" s="1"/>
  <c r="D159" i="3"/>
  <c r="I159" i="3" s="1"/>
  <c r="D160" i="3"/>
  <c r="I160" i="3" s="1"/>
  <c r="D163" i="3"/>
  <c r="I163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47" i="7" l="1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41" i="7"/>
  <c r="I141" i="7" s="1"/>
  <c r="D140" i="7"/>
  <c r="I140" i="7" s="1"/>
  <c r="D135" i="7"/>
  <c r="I135" i="7" s="1"/>
  <c r="D139" i="7"/>
  <c r="I139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<sst xmlns="http://schemas.openxmlformats.org/spreadsheetml/2006/main" count="1028" uniqueCount="184">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</sst>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opLeftCell="B1" zoomScale="55" zoomScaleNormal="55" workbookViewId="0">
      <selection activeCell="B1" sqref="B1"/>
    </sheetView>
  </sheetViews>
  <sheetFormatPr defaultRowHeight="21" customHeight="1" x14ac:dyDescent="0.3"/>
  <cols>
    <col min="1" max="1" width="0" style="90" hidden="1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90" customFormat="1" ht="21" customHeight="1" x14ac:dyDescent="0.3">
      <c r="H1" s="92"/>
      <c r="K1" s="92"/>
      <c r="N1" s="92"/>
      <c r="Q1" s="92"/>
      <c r="T1" s="92"/>
      <c r="W1" s="92"/>
    </row>
    <row r="2" spans="1:31" s="90" customFormat="1" ht="21" customHeight="1" x14ac:dyDescent="0.3">
      <c r="H2" s="92"/>
      <c r="K2" s="92"/>
      <c r="N2" s="92"/>
      <c r="Q2" s="92"/>
      <c r="T2" s="92"/>
      <c r="W2" s="92"/>
    </row>
    <row r="3" spans="1:31" s="89" customFormat="1" ht="31.2" x14ac:dyDescent="0.3">
      <c r="B3" s="90" t="s">
        <v>180</v>
      </c>
    </row>
    <row r="4" spans="1:31" s="90" customFormat="1" ht="21" customHeight="1" x14ac:dyDescent="0.3">
      <c r="H4" s="92"/>
      <c r="K4" s="92"/>
      <c r="N4" s="92"/>
      <c r="Q4" s="92"/>
      <c r="T4" s="92"/>
      <c r="W4" s="92"/>
    </row>
    <row r="5" spans="1:31" s="90" customFormat="1" ht="21" customHeight="1" x14ac:dyDescent="0.3">
      <c r="H5" s="92"/>
      <c r="K5" s="92"/>
      <c r="N5" s="92"/>
      <c r="Q5" s="92"/>
      <c r="T5" s="92"/>
      <c r="W5" s="92"/>
    </row>
    <row r="6" spans="1:31" s="90" customFormat="1" ht="21" customHeight="1" x14ac:dyDescent="0.3">
      <c r="H6" s="92"/>
      <c r="K6" s="92"/>
      <c r="N6" s="92"/>
      <c r="Q6" s="92"/>
      <c r="T6" s="92"/>
      <c r="W6" s="92"/>
    </row>
    <row r="7" spans="1:31" s="90" customFormat="1" ht="21" customHeight="1" x14ac:dyDescent="0.3">
      <c r="H7" s="92"/>
      <c r="K7" s="92"/>
      <c r="N7" s="92"/>
      <c r="Q7" s="92"/>
      <c r="T7" s="92"/>
      <c r="W7" s="92"/>
    </row>
    <row r="8" spans="1:31" s="90" customFormat="1" ht="21" customHeight="1" x14ac:dyDescent="0.3">
      <c r="H8" s="92"/>
      <c r="K8" s="92"/>
      <c r="N8" s="92"/>
      <c r="Q8" s="92"/>
      <c r="T8" s="92"/>
      <c r="W8" s="92"/>
    </row>
    <row r="9" spans="1:31" s="84" customFormat="1" ht="31.2" x14ac:dyDescent="0.3">
      <c r="A9" s="91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100" t="s">
        <v>181</v>
      </c>
      <c r="F13" s="101"/>
      <c r="G13" s="101"/>
      <c r="H13" s="102"/>
      <c r="I13" s="2" t="s">
        <v>31</v>
      </c>
      <c r="J13" s="2">
        <f>letterToNumber(A13)</f>
        <v>1</v>
      </c>
      <c r="K13" s="27">
        <f ca="1">_xlfn.SHEET("إعدادات")</f>
        <v>1</v>
      </c>
      <c r="O13" s="97" t="s">
        <v>112</v>
      </c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9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94"/>
      <c r="D14" s="7"/>
      <c r="E14" s="95" t="str" cm="1">
        <f t="array" aca="1" ref="E14" ca="1">defaultValue(F14,K13)</f>
        <v>ظهر</v>
      </c>
      <c r="F14" s="7" t="s">
        <v>59</v>
      </c>
      <c r="G14" s="95" t="str" cm="1">
        <f t="array" aca="1" ref="G14" ca="1">defaultValue(H14,K13)</f>
        <v>يوفيلاك</v>
      </c>
      <c r="H14" s="7" t="s">
        <v>33</v>
      </c>
      <c r="I14" s="95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93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94"/>
      <c r="D16" s="94"/>
      <c r="E16" s="95"/>
      <c r="F16" s="96"/>
      <c r="G16" s="95" cm="1">
        <f t="array" aca="1" ref="G16" ca="1">defaultValue(G15,K13)</f>
        <v>3.5</v>
      </c>
      <c r="H16" s="94"/>
      <c r="I16" s="95"/>
      <c r="J16" s="95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05" t="s">
        <v>174</v>
      </c>
      <c r="P19" s="106"/>
      <c r="Q19" s="84"/>
      <c r="R19" s="105" t="s">
        <v>0</v>
      </c>
      <c r="S19" s="106"/>
      <c r="T19" s="84"/>
      <c r="U19" s="105" t="s">
        <v>105</v>
      </c>
      <c r="V19" s="106"/>
      <c r="W19" s="84"/>
      <c r="X19" s="105" t="s">
        <v>44</v>
      </c>
      <c r="Y19" s="106"/>
      <c r="Z19" s="84"/>
      <c r="AA19" s="105" t="s">
        <v>65</v>
      </c>
      <c r="AB19" s="106"/>
      <c r="AC19" s="84"/>
      <c r="AD19" s="105" t="s">
        <v>104</v>
      </c>
      <c r="AE19" s="106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03">
        <v>1</v>
      </c>
      <c r="P20" s="104"/>
      <c r="Q20" s="63"/>
      <c r="R20" s="103">
        <v>3</v>
      </c>
      <c r="S20" s="104"/>
      <c r="T20" s="63"/>
      <c r="U20" s="103">
        <v>4</v>
      </c>
      <c r="V20" s="104"/>
      <c r="W20" s="63"/>
      <c r="X20" s="103">
        <v>5</v>
      </c>
      <c r="Y20" s="104"/>
      <c r="AA20" s="103">
        <v>6</v>
      </c>
      <c r="AB20" s="104"/>
      <c r="AD20" s="103">
        <v>7</v>
      </c>
      <c r="AE20" s="104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7" t="s">
        <v>113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B15" zoomScale="85" zoomScaleNormal="85" workbookViewId="0"/>
  </sheetViews>
  <sheetFormatPr defaultRowHeight="15.6" x14ac:dyDescent="0.3"/>
  <cols>
    <col min="1" max="1" width="8.21875" style="51" hidden="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9" t="s">
        <v>0</v>
      </c>
      <c r="D2" s="109"/>
      <c r="E2" s="109"/>
      <c r="F2" s="109"/>
      <c r="G2" s="109"/>
      <c r="H2" s="109"/>
      <c r="I2" s="109"/>
      <c r="J2" s="109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100" t="s">
        <v>16</v>
      </c>
      <c r="F13" s="101"/>
      <c r="G13" s="101"/>
      <c r="H13" s="102"/>
      <c r="I13" s="2" t="s">
        <v>31</v>
      </c>
      <c r="J13" s="2">
        <f>letterToNumber(A13)</f>
        <v>1</v>
      </c>
      <c r="K13" s="1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108"/>
      <c r="G14" s="108"/>
      <c r="H14" s="7" t="s">
        <v>23</v>
      </c>
      <c r="I14" s="7" t="s">
        <v>3</v>
      </c>
      <c r="J14" s="7" t="s">
        <v>114</v>
      </c>
      <c r="K14" s="1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108"/>
      <c r="G15" s="108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1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1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x14ac:dyDescent="0.3">
      <c r="A17" s="51">
        <v>0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0</v>
      </c>
      <c r="C19" s="6"/>
      <c r="D19" s="6"/>
      <c r="E19" s="6"/>
      <c r="F19" s="6"/>
      <c r="G19" s="6"/>
      <c r="H19" s="6"/>
      <c r="I19" s="6"/>
      <c r="J19" s="6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0</v>
      </c>
      <c r="C25" s="6"/>
      <c r="D25" s="6"/>
      <c r="E25" s="6"/>
      <c r="F25" s="6"/>
      <c r="G25" s="6"/>
      <c r="H25" s="6"/>
      <c r="I25" s="6"/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1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1">
        <v>0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0</v>
      </c>
      <c r="C38" s="6"/>
      <c r="D38" s="6"/>
      <c r="E38" s="6"/>
      <c r="F38" s="6"/>
      <c r="G38" s="6"/>
      <c r="H38" s="6"/>
      <c r="I38" s="6"/>
      <c r="J38" s="6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51">
        <v>0</v>
      </c>
      <c r="C54" s="6"/>
      <c r="D54" s="6"/>
      <c r="E54" s="6"/>
      <c r="F54" s="6"/>
      <c r="G54" s="6"/>
      <c r="H54" s="6"/>
      <c r="I54" s="6"/>
      <c r="J54" s="6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0</v>
      </c>
      <c r="C59" s="6"/>
      <c r="D59" s="6"/>
      <c r="E59" s="6"/>
      <c r="F59" s="6"/>
      <c r="G59" s="6"/>
      <c r="H59" s="6"/>
      <c r="I59" s="6"/>
      <c r="J59" s="6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100" t="s">
        <v>24</v>
      </c>
      <c r="F66" s="101"/>
      <c r="G66" s="101"/>
      <c r="H66" s="102"/>
      <c r="I66" s="2" t="s">
        <v>31</v>
      </c>
      <c r="J66" s="2">
        <f>letterToNumber(A66)</f>
        <v>3</v>
      </c>
      <c r="K66" s="1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8"/>
      <c r="G67" s="7" t="s">
        <v>25</v>
      </c>
      <c r="H67" s="7" t="s">
        <v>23</v>
      </c>
      <c r="I67" s="7" t="s">
        <v>3</v>
      </c>
      <c r="J67" s="7" t="s">
        <v>114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8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0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x14ac:dyDescent="0.3">
      <c r="A72" s="51">
        <v>0</v>
      </c>
      <c r="C72" s="6"/>
      <c r="D72" s="6"/>
      <c r="E72" s="6"/>
      <c r="F72" s="6"/>
      <c r="G72" s="6"/>
      <c r="H72" s="6"/>
      <c r="I72" s="6"/>
      <c r="J72" s="6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0</v>
      </c>
      <c r="C79" s="6"/>
      <c r="D79" s="6"/>
      <c r="E79" s="6"/>
      <c r="F79" s="6"/>
      <c r="G79" s="6"/>
      <c r="H79" s="6"/>
      <c r="I79" s="6"/>
      <c r="J79" s="6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51">
        <v>0</v>
      </c>
      <c r="C82" s="6"/>
      <c r="D82" s="6"/>
      <c r="E82" s="6"/>
      <c r="F82" s="6"/>
      <c r="G82" s="6"/>
      <c r="H82" s="6"/>
      <c r="I82" s="6"/>
      <c r="J82" s="6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100" t="s">
        <v>27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8"/>
      <c r="G87" s="7"/>
      <c r="H87" s="7" t="s">
        <v>23</v>
      </c>
      <c r="I87" s="7" t="s">
        <v>3</v>
      </c>
      <c r="J87" s="7" t="s">
        <v>114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8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0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51">
        <v>0</v>
      </c>
      <c r="B93" s="15" t="str">
        <f>E86</f>
        <v>وحدة سفلية  زاوية 90</v>
      </c>
      <c r="C93" s="6"/>
      <c r="D93" s="6"/>
      <c r="E93" s="6"/>
      <c r="F93" s="6"/>
      <c r="G93" s="6"/>
      <c r="H93" s="6"/>
      <c r="I93" s="6"/>
      <c r="J93" s="6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 t="str">
        <f>B93</f>
        <v>وحدة سفلية  زاوية 90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 t="str">
        <f>B93</f>
        <v>وحدة سفلية  زاوية 90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 t="str">
        <f>B93</f>
        <v>وحدة سفلية  زاوية 90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 t="str">
        <f>B93</f>
        <v>وحدة سفلية  زاوية 90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 t="str">
        <f>B93</f>
        <v>وحدة سفلية  زاوية 90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 t="str">
        <f>B93</f>
        <v>وحدة سفلية  زاوية 90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51">
        <v>0</v>
      </c>
      <c r="C100" s="6"/>
      <c r="D100" s="6"/>
      <c r="E100" s="6"/>
      <c r="F100" s="6"/>
      <c r="G100" s="6"/>
      <c r="H100" s="6"/>
      <c r="I100" s="6"/>
      <c r="J100" s="6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 t="str">
        <f>B93</f>
        <v>وحدة سفلية  زاوية 90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 t="str">
        <f>B93</f>
        <v>وحدة سفلية  زاوية 90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51">
        <v>0</v>
      </c>
      <c r="C103" s="6"/>
      <c r="D103" s="6"/>
      <c r="E103" s="6"/>
      <c r="F103" s="6"/>
      <c r="G103" s="6"/>
      <c r="H103" s="6"/>
      <c r="I103" s="6"/>
      <c r="J103" s="6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 t="str">
        <f>B93</f>
        <v>وحدة سفلية  زاوية 90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100" t="s">
        <v>30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8"/>
      <c r="G108" s="7"/>
      <c r="H108" s="7" t="s">
        <v>23</v>
      </c>
      <c r="I108" s="7" t="s">
        <v>3</v>
      </c>
      <c r="J108" s="7" t="s">
        <v>114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8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51">
        <v>0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51">
        <v>0</v>
      </c>
      <c r="C114" s="6"/>
      <c r="D114" s="6"/>
      <c r="E114" s="6"/>
      <c r="F114" s="6"/>
      <c r="G114" s="6"/>
      <c r="H114" s="6"/>
      <c r="I114" s="6"/>
      <c r="J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0</v>
      </c>
      <c r="C121" s="6"/>
      <c r="D121" s="6"/>
      <c r="E121" s="6"/>
      <c r="F121" s="6"/>
      <c r="G121" s="6"/>
      <c r="H121" s="6"/>
      <c r="I121" s="6"/>
      <c r="J121" s="6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0</v>
      </c>
      <c r="C123" s="6"/>
      <c r="D123" s="6"/>
      <c r="E123" s="6"/>
      <c r="F123" s="6"/>
      <c r="G123" s="6"/>
      <c r="H123" s="6"/>
      <c r="I123" s="6"/>
      <c r="J123" s="6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100" t="s">
        <v>106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8"/>
      <c r="G128" s="16" t="s">
        <v>20</v>
      </c>
      <c r="H128" s="7" t="s">
        <v>23</v>
      </c>
      <c r="I128" s="7" t="s">
        <v>3</v>
      </c>
      <c r="J128" s="7" t="s">
        <v>114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8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 s="2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 s="21"/>
      <c r="C133" s="6"/>
      <c r="D133" s="6"/>
      <c r="E133" s="6"/>
      <c r="F133" s="6"/>
      <c r="G133" s="6"/>
      <c r="H133" s="6"/>
      <c r="I133" s="6"/>
      <c r="J133" s="6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6">
        <f ca="1">HLOOKUP(D139, materials[], 2,FALSE)</f>
        <v>2</v>
      </c>
      <c r="J139" s="6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6">
        <f ca="1">HLOOKUP(D140, materials[], 2,FALSE)</f>
        <v>2</v>
      </c>
      <c r="J140" s="6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6">
        <f ca="1">HLOOKUP(D141, materials[], 2,FALSE)</f>
        <v>2</v>
      </c>
      <c r="J141" s="6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51">
        <v>0</v>
      </c>
      <c r="C142" s="6"/>
      <c r="D142" s="6"/>
      <c r="E142" s="6"/>
      <c r="F142" s="6"/>
      <c r="G142" s="6"/>
      <c r="H142" s="6"/>
      <c r="I142" s="6"/>
      <c r="J142" s="6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51">
        <v>0</v>
      </c>
      <c r="C145" s="6"/>
      <c r="D145" s="6"/>
      <c r="E145" s="6"/>
      <c r="F145" s="6"/>
      <c r="G145" s="6"/>
      <c r="H145" s="6"/>
      <c r="I145" s="6"/>
      <c r="J145" s="6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100" t="s">
        <v>163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</row>
    <row r="154" spans="1:79" x14ac:dyDescent="0.3">
      <c r="A154" s="51">
        <v>0</v>
      </c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</row>
    <row r="156" spans="1:79" x14ac:dyDescent="0.3">
      <c r="A156" s="51">
        <v>0</v>
      </c>
      <c r="C156" s="6"/>
      <c r="D156" s="6"/>
      <c r="E156" s="6"/>
      <c r="F156" s="6"/>
      <c r="G156" s="6"/>
      <c r="H156" s="6"/>
      <c r="I156" s="6"/>
      <c r="J156" s="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</row>
    <row r="161" spans="1:10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</row>
    <row r="162" spans="1:10" x14ac:dyDescent="0.3">
      <c r="A162" s="51">
        <v>3</v>
      </c>
      <c r="B162" s="15" t="str">
        <f>B158</f>
        <v>وحدة سفلية دلفة /دلفتين + درج</v>
      </c>
      <c r="C162" s="6">
        <f t="shared" si="8"/>
        <v>6</v>
      </c>
      <c r="D162" s="6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6">
        <f ca="1">HLOOKUP(D162, materials[], 2,FALSE)</f>
        <v>2</v>
      </c>
      <c r="J162" s="6"/>
    </row>
    <row r="163" spans="1:10" x14ac:dyDescent="0.3">
      <c r="A163" s="51">
        <v>3</v>
      </c>
      <c r="B163" s="15" t="str">
        <f>B159</f>
        <v>وحدة سفلية دلفة /دلفتين + درج</v>
      </c>
      <c r="C163" s="6">
        <f t="shared" si="8"/>
        <v>7</v>
      </c>
      <c r="D163" s="6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6">
        <f ca="1">HLOOKUP(D163, materials[], 2,FALSE)</f>
        <v>2</v>
      </c>
      <c r="J163" s="6"/>
    </row>
    <row r="164" spans="1:10" x14ac:dyDescent="0.3">
      <c r="A164" s="51">
        <v>3</v>
      </c>
      <c r="B164" s="15" t="str">
        <f>B160</f>
        <v>وحدة سفلية دلفة /دلفتين + درج</v>
      </c>
      <c r="C164" s="6">
        <f t="shared" si="8"/>
        <v>8</v>
      </c>
      <c r="D164" s="6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6">
        <f ca="1">HLOOKUP(D164, materials[], 2,FALSE)</f>
        <v>2</v>
      </c>
      <c r="J164" s="6"/>
    </row>
    <row r="165" spans="1:10" x14ac:dyDescent="0.3">
      <c r="A165" s="51">
        <v>0</v>
      </c>
      <c r="C165" s="6"/>
      <c r="D165" s="6"/>
      <c r="E165" s="6"/>
      <c r="F165" s="6"/>
      <c r="G165" s="6"/>
      <c r="H165" s="6"/>
      <c r="I165" s="6"/>
      <c r="J165" s="6"/>
    </row>
    <row r="166" spans="1:10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</row>
    <row r="167" spans="1:10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</row>
    <row r="168" spans="1:10" x14ac:dyDescent="0.3">
      <c r="A168" s="51">
        <v>0</v>
      </c>
      <c r="C168" s="6"/>
      <c r="D168" s="6"/>
      <c r="E168" s="6"/>
      <c r="F168" s="6"/>
      <c r="G168" s="6"/>
      <c r="H168" s="6"/>
      <c r="I168" s="6"/>
      <c r="J168" s="6"/>
    </row>
    <row r="169" spans="1:10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</row>
    <row r="170" spans="1:10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</row>
    <row r="171" spans="1:10" x14ac:dyDescent="0.3">
      <c r="A171" s="51">
        <v>255</v>
      </c>
    </row>
    <row r="172" spans="1:10" x14ac:dyDescent="0.3">
      <c r="A172" s="51">
        <v>255</v>
      </c>
    </row>
  </sheetData>
  <mergeCells count="14">
    <mergeCell ref="C2:J2"/>
    <mergeCell ref="G14:G15"/>
    <mergeCell ref="F14:F15"/>
    <mergeCell ref="F67:F68"/>
    <mergeCell ref="E13:H13"/>
    <mergeCell ref="E31:H31"/>
    <mergeCell ref="E150:H150"/>
    <mergeCell ref="E127:H127"/>
    <mergeCell ref="F128:F129"/>
    <mergeCell ref="E107:H107"/>
    <mergeCell ref="E66:H66"/>
    <mergeCell ref="F108:F109"/>
    <mergeCell ref="F87:F88"/>
    <mergeCell ref="E86:H86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/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9" t="s">
        <v>105</v>
      </c>
      <c r="D2" s="109"/>
      <c r="E2" s="109"/>
      <c r="F2" s="109"/>
      <c r="G2" s="109"/>
      <c r="H2" s="109"/>
      <c r="I2" s="109"/>
      <c r="J2" s="109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100" t="s">
        <v>117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8"/>
      <c r="H14" s="7" t="s">
        <v>23</v>
      </c>
      <c r="I14" s="7" t="s">
        <v>3</v>
      </c>
      <c r="J14" s="7" t="s">
        <v>114</v>
      </c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8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</row>
    <row r="17" spans="1:75" x14ac:dyDescent="0.3">
      <c r="A17" s="35">
        <v>0</v>
      </c>
      <c r="B17" s="15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</row>
    <row r="19" spans="1:75" x14ac:dyDescent="0.3">
      <c r="A19" s="51">
        <v>0</v>
      </c>
      <c r="B19" s="15"/>
      <c r="C19" s="6"/>
      <c r="D19" s="6"/>
      <c r="E19" s="6"/>
      <c r="F19" s="6"/>
      <c r="G19" s="6"/>
      <c r="H19" s="6"/>
      <c r="I19" s="6"/>
      <c r="J19" s="6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</row>
    <row r="25" spans="1:75" x14ac:dyDescent="0.3">
      <c r="A25" s="51">
        <v>0</v>
      </c>
      <c r="B25" s="15"/>
      <c r="C25" s="6"/>
      <c r="D25" s="6"/>
      <c r="E25" s="6"/>
      <c r="F25" s="6"/>
      <c r="G25" s="6"/>
      <c r="H25" s="6"/>
      <c r="I25" s="6"/>
      <c r="J25" s="6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</row>
    <row r="27" spans="1:75" x14ac:dyDescent="0.3">
      <c r="A27" s="51">
        <v>0</v>
      </c>
      <c r="B27" s="15"/>
      <c r="C27" s="6"/>
      <c r="D27" s="6"/>
      <c r="E27" s="6"/>
      <c r="F27" s="6"/>
      <c r="G27" s="6"/>
      <c r="H27" s="6"/>
      <c r="I27" s="6"/>
      <c r="J27" s="6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3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1">
        <v>0</v>
      </c>
      <c r="B36" s="1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0</v>
      </c>
      <c r="B38" s="15"/>
      <c r="C38" s="6"/>
      <c r="D38" s="6"/>
      <c r="E38" s="6"/>
      <c r="F38" s="6"/>
      <c r="G38" s="6"/>
      <c r="H38" s="6"/>
      <c r="I38" s="6"/>
      <c r="J38" s="6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51">
        <v>0</v>
      </c>
      <c r="B54" s="15"/>
      <c r="C54" s="6"/>
      <c r="D54" s="6"/>
      <c r="E54" s="6"/>
      <c r="F54" s="6"/>
      <c r="G54" s="6"/>
      <c r="H54" s="6"/>
      <c r="I54" s="6"/>
      <c r="J54" s="6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0</v>
      </c>
      <c r="B59" s="15"/>
      <c r="C59" s="6"/>
      <c r="D59" s="6"/>
      <c r="E59" s="6"/>
      <c r="F59" s="6"/>
      <c r="G59" s="6"/>
      <c r="H59" s="6"/>
      <c r="I59" s="6"/>
      <c r="J59" s="6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100" t="s">
        <v>120</v>
      </c>
      <c r="F66" s="101"/>
      <c r="G66" s="101"/>
      <c r="H66" s="102"/>
      <c r="I66" s="2" t="s">
        <v>31</v>
      </c>
      <c r="J66" s="2">
        <f>letterToNumber(A66)</f>
        <v>3</v>
      </c>
      <c r="K66" s="3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8"/>
      <c r="H67" s="7" t="s">
        <v>23</v>
      </c>
      <c r="I67" s="7" t="s">
        <v>3</v>
      </c>
      <c r="J67" s="7" t="s">
        <v>114</v>
      </c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8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</row>
    <row r="70" spans="1:75" x14ac:dyDescent="0.3">
      <c r="A70" s="35">
        <v>0</v>
      </c>
      <c r="B70" s="15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</row>
    <row r="72" spans="1:75" ht="15.6" customHeight="1" x14ac:dyDescent="0.3">
      <c r="A72" s="51">
        <v>0</v>
      </c>
      <c r="B72" s="15"/>
      <c r="C72" s="6"/>
      <c r="D72" s="6"/>
      <c r="E72" s="6"/>
      <c r="F72" s="6"/>
      <c r="G72" s="6"/>
      <c r="H72" s="6"/>
      <c r="I72" s="6"/>
      <c r="J72" s="6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</row>
    <row r="79" spans="1:75" ht="15.6" customHeight="1" x14ac:dyDescent="0.3">
      <c r="A79" s="51">
        <v>0</v>
      </c>
      <c r="B79" s="15"/>
      <c r="C79" s="6"/>
      <c r="D79" s="6"/>
      <c r="E79" s="6"/>
      <c r="F79" s="6"/>
      <c r="G79" s="6"/>
      <c r="H79" s="6"/>
      <c r="I79" s="6"/>
      <c r="J79" s="6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</row>
    <row r="82" spans="1:11" ht="15.6" customHeight="1" x14ac:dyDescent="0.3">
      <c r="A82" s="51">
        <v>0</v>
      </c>
      <c r="B82" s="15"/>
      <c r="C82" s="6"/>
      <c r="D82" s="6"/>
      <c r="E82" s="6"/>
      <c r="F82" s="6"/>
      <c r="G82" s="6"/>
      <c r="H82" s="6"/>
      <c r="I82" s="6"/>
      <c r="J82" s="6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100" t="s">
        <v>118</v>
      </c>
      <c r="F86" s="101"/>
      <c r="G86" s="101"/>
      <c r="H86" s="102"/>
      <c r="I86" s="2" t="s">
        <v>31</v>
      </c>
      <c r="J86" s="2">
        <f>letterToNumber(A86)</f>
        <v>4</v>
      </c>
      <c r="K86" s="3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</row>
    <row r="91" spans="1:11" x14ac:dyDescent="0.3">
      <c r="A91" s="35">
        <v>0</v>
      </c>
      <c r="B91" s="15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</row>
    <row r="93" spans="1:11" x14ac:dyDescent="0.3">
      <c r="A93" s="51">
        <v>0</v>
      </c>
      <c r="B93" s="15"/>
      <c r="C93" s="6"/>
      <c r="D93" s="6"/>
      <c r="E93" s="6"/>
      <c r="F93" s="6"/>
      <c r="G93" s="6"/>
      <c r="H93" s="6"/>
      <c r="I93" s="6"/>
      <c r="J93" s="6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</row>
    <row r="100" spans="1:11" x14ac:dyDescent="0.3">
      <c r="A100" s="51">
        <v>0</v>
      </c>
      <c r="B100" s="15"/>
      <c r="C100" s="6"/>
      <c r="D100" s="6"/>
      <c r="E100" s="6"/>
      <c r="F100" s="6"/>
      <c r="G100" s="6"/>
      <c r="H100" s="6"/>
      <c r="I100" s="6"/>
      <c r="J100" s="6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</row>
    <row r="103" spans="1:11" x14ac:dyDescent="0.3">
      <c r="A103" s="51">
        <v>0</v>
      </c>
      <c r="B103" s="15"/>
      <c r="C103" s="6"/>
      <c r="D103" s="6"/>
      <c r="E103" s="6"/>
      <c r="F103" s="6"/>
      <c r="G103" s="6"/>
      <c r="H103" s="6"/>
      <c r="I103" s="6"/>
      <c r="J103" s="6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100" t="s">
        <v>119</v>
      </c>
      <c r="F107" s="101"/>
      <c r="G107" s="101"/>
      <c r="H107" s="102"/>
      <c r="I107" s="2" t="s">
        <v>31</v>
      </c>
      <c r="J107" s="2">
        <f>letterToNumber(A107)</f>
        <v>5</v>
      </c>
      <c r="K107" s="3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</row>
    <row r="112" spans="1:11" x14ac:dyDescent="0.3">
      <c r="A112" s="35">
        <v>0</v>
      </c>
      <c r="B112" s="15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</row>
    <row r="114" spans="1:11" x14ac:dyDescent="0.3">
      <c r="A114" s="51">
        <v>0</v>
      </c>
      <c r="B114" s="15"/>
      <c r="C114" s="6"/>
      <c r="D114" s="6"/>
      <c r="E114" s="6"/>
      <c r="F114" s="6"/>
      <c r="G114" s="6"/>
      <c r="H114" s="6"/>
      <c r="I114" s="6"/>
      <c r="J114" s="6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</row>
    <row r="121" spans="1:11" x14ac:dyDescent="0.3">
      <c r="A121" s="51">
        <v>0</v>
      </c>
      <c r="B121" s="15"/>
      <c r="C121" s="6"/>
      <c r="D121" s="6"/>
      <c r="E121" s="6"/>
      <c r="F121" s="6"/>
      <c r="G121" s="6"/>
      <c r="H121" s="6"/>
      <c r="I121" s="6"/>
      <c r="J121" s="6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</row>
    <row r="123" spans="1:11" ht="14.4" x14ac:dyDescent="0.3">
      <c r="A123" s="51">
        <v>0</v>
      </c>
      <c r="C123" s="6"/>
      <c r="D123" s="6"/>
      <c r="E123" s="6"/>
      <c r="F123" s="6"/>
      <c r="G123" s="6"/>
      <c r="H123" s="6"/>
      <c r="I123" s="6"/>
      <c r="J123" s="6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100" t="s">
        <v>163</v>
      </c>
      <c r="F127" s="101"/>
      <c r="G127" s="101"/>
      <c r="H127" s="102"/>
      <c r="I127" s="2" t="s">
        <v>31</v>
      </c>
      <c r="J127" s="2">
        <f>letterToNumber(A127)</f>
        <v>6</v>
      </c>
      <c r="K127" s="3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</row>
    <row r="129" spans="1:10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</row>
    <row r="130" spans="1:10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</row>
    <row r="131" spans="1:10" x14ac:dyDescent="0.3">
      <c r="A131" s="51">
        <v>0</v>
      </c>
      <c r="B131" s="15"/>
    </row>
    <row r="132" spans="1:10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</row>
    <row r="133" spans="1:10" x14ac:dyDescent="0.3">
      <c r="A133" s="51">
        <v>0</v>
      </c>
      <c r="B133" s="15"/>
      <c r="C133" s="6"/>
      <c r="D133" s="6"/>
      <c r="E133" s="6"/>
      <c r="F133" s="6"/>
      <c r="G133" s="6"/>
      <c r="H133" s="6"/>
      <c r="I133" s="6"/>
      <c r="J133" s="6"/>
    </row>
    <row r="134" spans="1:10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</row>
    <row r="135" spans="1:10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</row>
    <row r="136" spans="1:10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</row>
    <row r="137" spans="1:10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</row>
    <row r="138" spans="1:10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</row>
    <row r="139" spans="1:10" x14ac:dyDescent="0.3">
      <c r="A139" s="51">
        <v>3</v>
      </c>
      <c r="B139" s="15" t="str">
        <f>B135</f>
        <v>وحدة سفلية دلفة /دلفتين + درج</v>
      </c>
      <c r="C139" s="6">
        <f t="shared" si="7"/>
        <v>6</v>
      </c>
      <c r="D139" s="6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6">
        <f ca="1">HLOOKUP(D139, materials[], 2,FALSE)</f>
        <v>2</v>
      </c>
      <c r="J139" s="6"/>
    </row>
    <row r="140" spans="1:10" x14ac:dyDescent="0.3">
      <c r="A140" s="51">
        <v>3</v>
      </c>
      <c r="B140" s="15" t="str">
        <f>B136</f>
        <v>وحدة سفلية دلفة /دلفتين + درج</v>
      </c>
      <c r="C140" s="6">
        <f t="shared" si="7"/>
        <v>7</v>
      </c>
      <c r="D140" s="6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6">
        <f ca="1">HLOOKUP(D140, materials[], 2,FALSE)</f>
        <v>2</v>
      </c>
      <c r="J140" s="6"/>
    </row>
    <row r="141" spans="1:10" x14ac:dyDescent="0.3">
      <c r="A141" s="51">
        <v>3</v>
      </c>
      <c r="B141" s="15" t="str">
        <f>B137</f>
        <v>وحدة سفلية دلفة /دلفتين + درج</v>
      </c>
      <c r="C141" s="6">
        <f t="shared" si="7"/>
        <v>8</v>
      </c>
      <c r="D141" s="6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6">
        <f ca="1">HLOOKUP(D141, materials[], 2,FALSE)</f>
        <v>2</v>
      </c>
      <c r="J141" s="6"/>
    </row>
    <row r="142" spans="1:10" x14ac:dyDescent="0.3">
      <c r="A142" s="51">
        <v>0</v>
      </c>
      <c r="B142" s="15"/>
      <c r="C142" s="6"/>
      <c r="D142" s="6"/>
      <c r="E142" s="6"/>
      <c r="F142" s="6"/>
      <c r="G142" s="6"/>
      <c r="H142" s="6"/>
      <c r="I142" s="6"/>
      <c r="J142" s="6"/>
    </row>
    <row r="143" spans="1:10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</row>
    <row r="144" spans="1:10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</row>
    <row r="145" spans="1:10" x14ac:dyDescent="0.3">
      <c r="A145" s="51">
        <v>0</v>
      </c>
      <c r="B145" s="15"/>
      <c r="C145" s="6"/>
      <c r="D145" s="6"/>
      <c r="E145" s="6"/>
      <c r="F145" s="6"/>
      <c r="G145" s="6"/>
      <c r="H145" s="6"/>
      <c r="I145" s="6"/>
      <c r="J145" s="6"/>
    </row>
    <row r="146" spans="1:10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</row>
    <row r="147" spans="1:10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</row>
    <row r="148" spans="1:10" x14ac:dyDescent="0.3">
      <c r="A148" s="51">
        <v>255</v>
      </c>
      <c r="B148" s="15"/>
    </row>
    <row r="149" spans="1:10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/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9" t="s">
        <v>44</v>
      </c>
      <c r="D2" s="109"/>
      <c r="E2" s="109"/>
      <c r="F2" s="109"/>
      <c r="G2" s="109"/>
      <c r="H2" s="109"/>
      <c r="I2" s="109"/>
      <c r="J2" s="109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100" t="s">
        <v>45</v>
      </c>
      <c r="F13" s="101"/>
      <c r="G13" s="101"/>
      <c r="H13" s="102"/>
      <c r="I13" s="2" t="s">
        <v>31</v>
      </c>
      <c r="J13" s="2">
        <f>letterToNumber(A13)</f>
        <v>1</v>
      </c>
      <c r="K13" s="4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5" t="b">
        <f ca="1">NOT(AND(F15&gt;0,G15&gt;0))</f>
        <v>1</v>
      </c>
      <c r="G16" s="115"/>
      <c r="H16" s="3" t="b">
        <f>_xlfn.XOR(H15&lt;=50,C17=2)</f>
        <v>1</v>
      </c>
      <c r="I16" s="46"/>
      <c r="J16" s="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4">
        <f>C15+D15</f>
        <v>1</v>
      </c>
      <c r="D17" s="114"/>
      <c r="E17" s="26">
        <v>10</v>
      </c>
      <c r="F17" s="116" t="str">
        <f ca="1">IF(F16,"المقابض مظبوطة","مينفعش مقبض مخفي مع بيلت ان")</f>
        <v>المقابض مظبوطة</v>
      </c>
      <c r="G17" s="116"/>
      <c r="H17" s="115" t="str">
        <f>IF(H16,"عدد الدلف صحيح","عدد الدلف غير صحيح")</f>
        <v>عدد الدلف صحيح</v>
      </c>
      <c r="I17" s="115"/>
      <c r="J17" s="115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35">
        <v>1</v>
      </c>
      <c r="C18" s="115" t="b">
        <f>C17&lt;=2</f>
        <v>1</v>
      </c>
      <c r="D18" s="115"/>
      <c r="E18" s="8"/>
      <c r="F18" s="8"/>
      <c r="G18" s="8"/>
      <c r="H18" s="8"/>
      <c r="I18" s="8"/>
      <c r="J18" s="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C20" s="1"/>
      <c r="D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C22" s="6"/>
      <c r="D22" s="6"/>
      <c r="E22" s="6"/>
      <c r="F22" s="6"/>
      <c r="G22" s="6"/>
      <c r="H22" s="6"/>
      <c r="I22" s="6"/>
      <c r="J22" s="6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C27" s="6"/>
      <c r="D27" s="6"/>
      <c r="E27" s="6"/>
      <c r="F27" s="6"/>
      <c r="G27" s="6"/>
      <c r="H27" s="6"/>
      <c r="I27" s="6"/>
      <c r="J27" s="6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C30" s="6"/>
      <c r="D30" s="6"/>
      <c r="E30" s="6"/>
      <c r="F30" s="6"/>
      <c r="G30" s="6"/>
      <c r="H30" s="6"/>
      <c r="I30" s="6"/>
      <c r="J30" s="6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100" t="s">
        <v>51</v>
      </c>
      <c r="F34" s="101"/>
      <c r="G34" s="101"/>
      <c r="H34" s="102"/>
      <c r="I34" s="2" t="s">
        <v>31</v>
      </c>
      <c r="J34" s="2">
        <f>letterToNumber(A34)</f>
        <v>2</v>
      </c>
      <c r="K34" s="3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7" t="b">
        <f ca="1">NOT(AND(F36&gt;0,G36&gt;0))</f>
        <v>1</v>
      </c>
      <c r="G37" s="117"/>
      <c r="H37" s="8"/>
      <c r="I37" s="3" t="b">
        <f ca="1">_xlfn.XOR(I36&lt;=50,C38=2)</f>
        <v>1</v>
      </c>
      <c r="J37" s="8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4">
        <f>C36+D36</f>
        <v>2</v>
      </c>
      <c r="D38" s="114"/>
      <c r="E38" s="7">
        <v>0</v>
      </c>
      <c r="F38" s="118" t="str">
        <f ca="1">IF(F37,"المقابض مظبوطة","مينفعش مقبض مخفي مع بيلت ان")</f>
        <v>المقابض مظبوطة</v>
      </c>
      <c r="G38" s="118"/>
      <c r="H38" s="30"/>
      <c r="I38" s="32" t="str">
        <f ca="1">IF(I37,"عدد الدلف صحيح","عدد الدلف غير صحيح")</f>
        <v>عدد الدلف صحيح</v>
      </c>
      <c r="J38" s="8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35">
        <v>1</v>
      </c>
      <c r="C39" s="115" t="b">
        <f>C38&lt;=2</f>
        <v>1</v>
      </c>
      <c r="D39" s="115"/>
      <c r="E39" s="46"/>
      <c r="F39" s="8"/>
      <c r="G39" s="8"/>
      <c r="H39" s="8"/>
      <c r="I39" s="8"/>
      <c r="J39" s="8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C41" s="1"/>
      <c r="D41" s="1"/>
      <c r="E41" s="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C43" s="6"/>
      <c r="D43" s="6"/>
      <c r="E43" s="6"/>
      <c r="F43" s="6"/>
      <c r="G43" s="6"/>
      <c r="H43" s="6"/>
      <c r="I43" s="6"/>
      <c r="J43" s="6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 s="3" t="str">
        <f>B44</f>
        <v>وحدة علوية  قلاب / 2 قلاب</v>
      </c>
      <c r="C48" s="6"/>
      <c r="D48" s="6"/>
      <c r="E48" s="6"/>
      <c r="F48" s="6"/>
      <c r="G48" s="6"/>
      <c r="H48" s="6"/>
      <c r="I48" s="6"/>
      <c r="J48" s="6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C51" s="6"/>
      <c r="D51" s="6"/>
      <c r="E51" s="6"/>
      <c r="F51" s="6"/>
      <c r="G51" s="6"/>
      <c r="H51" s="6"/>
      <c r="I51" s="6"/>
      <c r="J51" s="6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100" t="s">
        <v>46</v>
      </c>
      <c r="F55" s="101"/>
      <c r="G55" s="101"/>
      <c r="H55" s="102"/>
      <c r="I55" s="2" t="s">
        <v>31</v>
      </c>
      <c r="J55" s="2">
        <f>letterToNumber(A55)</f>
        <v>3</v>
      </c>
      <c r="K55" s="3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5" t="b">
        <f ca="1">NOT(AND(F57&gt;0,G57&gt;0))</f>
        <v>1</v>
      </c>
      <c r="G58" s="112"/>
      <c r="H58" s="3" t="b">
        <f>_xlfn.XOR(H57&lt;=50,C59=2)</f>
        <v>0</v>
      </c>
      <c r="I58" s="61" t="s">
        <v>167</v>
      </c>
      <c r="J58" s="62" t="s">
        <v>168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4">
        <f>C57+D57</f>
        <v>2</v>
      </c>
      <c r="D59" s="114"/>
      <c r="E59" s="7" t="s">
        <v>107</v>
      </c>
      <c r="F59" s="119" t="str">
        <f ca="1">IF(F58,"المقابض مظبوطة","مينفعش مقبض مخفي مع بيلت ان")</f>
        <v>المقابض مظبوطة</v>
      </c>
      <c r="G59" s="119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5" t="b">
        <f>C59&lt;=2</f>
        <v>1</v>
      </c>
      <c r="D60" s="115"/>
      <c r="E60" s="7">
        <v>0</v>
      </c>
      <c r="F60" s="8"/>
      <c r="G60" s="8"/>
      <c r="H60" s="8"/>
      <c r="I60" s="8"/>
      <c r="J60" s="8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 s="1"/>
      <c r="C62" s="1"/>
      <c r="D62" s="1"/>
      <c r="E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C64" s="6"/>
      <c r="D64" s="6"/>
      <c r="E64" s="6"/>
      <c r="F64" s="6"/>
      <c r="G64" s="6"/>
      <c r="H64" s="6"/>
      <c r="I64" s="6"/>
      <c r="J64" s="6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C70" s="6"/>
      <c r="D70" s="6"/>
      <c r="E70" s="6"/>
      <c r="F70" s="6"/>
      <c r="G70" s="6"/>
      <c r="H70" s="6"/>
      <c r="I70" s="6"/>
      <c r="J70" s="6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C73" s="6"/>
      <c r="D73" s="6"/>
      <c r="E73" s="6"/>
      <c r="F73" s="6"/>
      <c r="G73" s="6"/>
      <c r="H73" s="6"/>
      <c r="I73" s="6"/>
      <c r="J73" s="6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C75" s="6"/>
      <c r="D75" s="6"/>
      <c r="E75" s="6"/>
      <c r="F75" s="6"/>
      <c r="G75" s="6"/>
      <c r="H75" s="6"/>
      <c r="I75" s="6"/>
      <c r="J75" s="6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100" t="s">
        <v>169</v>
      </c>
      <c r="F79" s="101"/>
      <c r="G79" s="101"/>
      <c r="H79" s="102"/>
      <c r="I79" s="2" t="s">
        <v>31</v>
      </c>
      <c r="J79" s="2">
        <f>letterToNumber(A79)</f>
        <v>4</v>
      </c>
      <c r="K79" s="3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5" t="b">
        <f ca="1">NOT(AND(F81&gt;0,G81&gt;0))</f>
        <v>1</v>
      </c>
      <c r="G82" s="112"/>
      <c r="H82" s="3" t="b">
        <f ca="1">_xlfn.XOR(I81&lt;=50,C83=2)</f>
        <v>0</v>
      </c>
      <c r="I82" s="61" t="s">
        <v>167</v>
      </c>
      <c r="J82" s="62" t="s">
        <v>168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4">
        <f>C81+D81</f>
        <v>1</v>
      </c>
      <c r="D83" s="114"/>
      <c r="E83" s="7" t="s">
        <v>107</v>
      </c>
      <c r="F83" s="119" t="str">
        <f ca="1">IF(F82,"المقابض مظبوطة","مينفعش مقبض مخفي مع بيلت ان")</f>
        <v>المقابض مظبوطة</v>
      </c>
      <c r="G83" s="119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5" t="b">
        <f>C83&lt;=2</f>
        <v>1</v>
      </c>
      <c r="D84" s="115"/>
      <c r="E84" s="7">
        <v>0</v>
      </c>
      <c r="F84" s="8"/>
      <c r="G84" s="8"/>
      <c r="H84" s="8"/>
      <c r="I84" s="8"/>
      <c r="J84" s="8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 s="1"/>
      <c r="C86" s="1"/>
      <c r="D86" s="1"/>
      <c r="E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C88" s="6"/>
      <c r="D88" s="6"/>
      <c r="E88" s="6"/>
      <c r="F88" s="6"/>
      <c r="G88" s="6"/>
      <c r="H88" s="6"/>
      <c r="I88" s="6"/>
      <c r="J88" s="6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C94" s="6"/>
      <c r="D94" s="6"/>
      <c r="E94" s="6"/>
      <c r="F94" s="6"/>
      <c r="G94" s="6"/>
      <c r="H94" s="6"/>
      <c r="I94" s="6"/>
      <c r="J94" s="6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C97" s="6"/>
      <c r="D97" s="6"/>
      <c r="E97" s="6"/>
      <c r="F97" s="6"/>
      <c r="G97" s="6"/>
      <c r="H97" s="6"/>
      <c r="I97" s="6"/>
      <c r="J97" s="6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C99" s="6"/>
      <c r="D99" s="6"/>
      <c r="E99" s="6"/>
      <c r="F99" s="6"/>
      <c r="G99" s="6"/>
      <c r="H99" s="6"/>
      <c r="I99" s="6"/>
      <c r="J99" s="6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100" t="s">
        <v>47</v>
      </c>
      <c r="F103" s="101"/>
      <c r="G103" s="101"/>
      <c r="H103" s="102"/>
      <c r="I103" s="2" t="s">
        <v>31</v>
      </c>
      <c r="J103" s="2">
        <f>letterToNumber(A103)</f>
        <v>5</v>
      </c>
      <c r="K103" s="3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5" t="b">
        <f ca="1">NOT(AND(F105&gt;0,G105&gt;0))</f>
        <v>1</v>
      </c>
      <c r="G106" s="115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35">
        <v>1</v>
      </c>
      <c r="C107" s="8"/>
      <c r="D107" s="8"/>
      <c r="E107" s="8"/>
      <c r="F107" s="118" t="str">
        <f ca="1">IF(F106,"المقابض مظبوطة","مينفعش مقبض مخفي مع بيلت ان")</f>
        <v>المقابض مظبوطة</v>
      </c>
      <c r="G107" s="118"/>
      <c r="H107" s="8"/>
      <c r="I107" s="8"/>
      <c r="J107" s="8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C111" s="6"/>
      <c r="D111" s="6"/>
      <c r="E111" s="6"/>
      <c r="F111" s="6"/>
      <c r="G111" s="6"/>
      <c r="H111" s="6"/>
      <c r="I111" s="6"/>
      <c r="J111" s="6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C118" s="6"/>
      <c r="D118" s="6"/>
      <c r="E118" s="6"/>
      <c r="F118" s="6"/>
      <c r="G118" s="6"/>
      <c r="H118" s="6"/>
      <c r="I118" s="6"/>
      <c r="J118" s="6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C121" s="6"/>
      <c r="D121" s="6"/>
      <c r="E121" s="6"/>
      <c r="F121" s="6"/>
      <c r="G121" s="6"/>
      <c r="H121" s="6"/>
      <c r="I121" s="6"/>
      <c r="J121" s="6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C124" s="6"/>
      <c r="D124" s="6"/>
      <c r="E124" s="6"/>
      <c r="F124" s="6"/>
      <c r="G124" s="6"/>
      <c r="H124" s="6"/>
      <c r="I124" s="6"/>
      <c r="J124" s="6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100" t="s">
        <v>48</v>
      </c>
      <c r="F129" s="101"/>
      <c r="G129" s="101"/>
      <c r="H129" s="102"/>
      <c r="I129" s="2" t="s">
        <v>31</v>
      </c>
      <c r="J129" s="2">
        <f>letterToNumber(A129)</f>
        <v>6</v>
      </c>
      <c r="K129" s="3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5" t="b">
        <f ca="1">NOT(AND(F131&gt;0,G131&gt;0))</f>
        <v>1</v>
      </c>
      <c r="G132" s="115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35">
        <v>1</v>
      </c>
      <c r="C133" s="8"/>
      <c r="D133" s="8"/>
      <c r="E133" s="8"/>
      <c r="F133" s="118" t="str">
        <f ca="1">IF(F132,"المقابض مظبوطة","مينفعش مقبض مخفي مع بيلت ان")</f>
        <v>المقابض مظبوطة</v>
      </c>
      <c r="G133" s="118"/>
      <c r="H133" s="8"/>
      <c r="I133" s="8"/>
      <c r="J133" s="8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C137" s="6"/>
      <c r="D137" s="6"/>
      <c r="E137" s="6"/>
      <c r="F137" s="6"/>
      <c r="G137" s="6"/>
      <c r="H137" s="6"/>
      <c r="I137" s="6"/>
      <c r="J137" s="6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C144" s="6"/>
      <c r="D144" s="6"/>
      <c r="E144" s="6"/>
      <c r="F144" s="6"/>
      <c r="G144" s="6"/>
      <c r="H144" s="6"/>
      <c r="I144" s="6"/>
      <c r="J144" s="6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C146" s="6"/>
      <c r="D146" s="6"/>
      <c r="E146" s="6"/>
      <c r="F146" s="6"/>
      <c r="G146" s="6"/>
      <c r="H146" s="6"/>
      <c r="I146" s="6"/>
      <c r="J146" s="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100" t="s">
        <v>110</v>
      </c>
      <c r="F150" s="101"/>
      <c r="G150" s="101"/>
      <c r="H150" s="102"/>
      <c r="I150" s="2" t="s">
        <v>31</v>
      </c>
      <c r="J150" s="2">
        <f>letterToNumber(A150)</f>
        <v>7</v>
      </c>
      <c r="K150" s="3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0">
        <f>C152+D152</f>
        <v>1</v>
      </c>
      <c r="D154" s="111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x14ac:dyDescent="0.3">
      <c r="A155" s="35">
        <v>1</v>
      </c>
      <c r="C155" s="112" t="b">
        <f>C154&lt;=2</f>
        <v>1</v>
      </c>
      <c r="D155" s="113"/>
      <c r="E155" s="8"/>
      <c r="F155" s="8"/>
      <c r="G155" s="8"/>
      <c r="H155" s="8"/>
      <c r="I155" s="8"/>
      <c r="J155" s="8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C157" s="1"/>
      <c r="D157" s="1"/>
      <c r="E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C159" s="6"/>
      <c r="D159" s="6"/>
      <c r="E159" s="6"/>
      <c r="F159" s="6"/>
      <c r="G159" s="6"/>
      <c r="H159" s="6"/>
      <c r="I159" s="6"/>
      <c r="J159" s="6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C165" s="6"/>
      <c r="D165" s="6"/>
      <c r="E165" s="6"/>
      <c r="F165" s="6"/>
      <c r="G165" s="6"/>
      <c r="H165" s="6"/>
      <c r="I165" s="6"/>
      <c r="J165" s="6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C168" s="6"/>
      <c r="D168" s="6"/>
      <c r="E168" s="6"/>
      <c r="F168" s="6"/>
      <c r="G168" s="6"/>
      <c r="H168" s="6"/>
      <c r="I168" s="6"/>
      <c r="J168" s="6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/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9" t="s">
        <v>65</v>
      </c>
      <c r="D2" s="109"/>
      <c r="E2" s="109"/>
      <c r="F2" s="109"/>
      <c r="G2" s="109"/>
      <c r="H2" s="109"/>
      <c r="I2" s="109"/>
      <c r="J2" s="109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20" t="s">
        <v>66</v>
      </c>
      <c r="F13" s="120"/>
      <c r="G13" s="120"/>
      <c r="H13" s="120"/>
      <c r="I13" s="2" t="s">
        <v>31</v>
      </c>
      <c r="J13" s="2">
        <f>letterToNumber(A13)</f>
        <v>1</v>
      </c>
      <c r="K13" s="4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</row>
    <row r="15" spans="1:23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</row>
    <row r="17" spans="1:13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</row>
    <row r="19" spans="1:13" x14ac:dyDescent="0.3">
      <c r="A19" s="35">
        <v>1</v>
      </c>
      <c r="C19" s="114">
        <f>G17+H17</f>
        <v>2</v>
      </c>
      <c r="D19" s="114"/>
      <c r="E19" s="8"/>
      <c r="F19" s="46"/>
      <c r="G19" s="46"/>
      <c r="H19" s="46"/>
      <c r="I19" s="8">
        <f>SUM(I17:I18)</f>
        <v>210</v>
      </c>
      <c r="J19" s="118" t="str">
        <f>IF(I20,"مقاس الدلف صحيح","مقاس الدلف غير صحيح")</f>
        <v>مقاس الدلف صحيح</v>
      </c>
    </row>
    <row r="20" spans="1:13" x14ac:dyDescent="0.3">
      <c r="A20" s="35">
        <v>1</v>
      </c>
      <c r="C20" s="115" t="b">
        <f>C19&lt;=2</f>
        <v>1</v>
      </c>
      <c r="D20" s="115"/>
      <c r="E20" s="8"/>
      <c r="F20" s="8"/>
      <c r="G20" s="8"/>
      <c r="H20" s="8"/>
      <c r="I20" s="6" t="b">
        <f>I19=I15</f>
        <v>1</v>
      </c>
      <c r="J20" s="118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</row>
    <row r="22" spans="1:13" x14ac:dyDescent="0.3">
      <c r="A22" s="35">
        <v>0</v>
      </c>
      <c r="B22" s="1"/>
      <c r="C22" s="1"/>
      <c r="D22" s="1"/>
      <c r="E22" s="1"/>
      <c r="F22" s="1"/>
      <c r="G22" s="1"/>
      <c r="H22" s="1"/>
      <c r="I22" s="1"/>
      <c r="J22" s="1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</row>
    <row r="24" spans="1:13" x14ac:dyDescent="0.3">
      <c r="A24" s="35">
        <v>0</v>
      </c>
      <c r="C24" s="6"/>
      <c r="D24" s="6"/>
      <c r="E24" s="6"/>
      <c r="F24" s="6"/>
      <c r="G24" s="6"/>
      <c r="H24" s="6"/>
      <c r="I24" s="6"/>
      <c r="J24" s="6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</row>
    <row r="30" spans="1:13" x14ac:dyDescent="0.3">
      <c r="A30" s="35">
        <v>0</v>
      </c>
      <c r="C30" s="6"/>
      <c r="D30" s="6"/>
      <c r="E30" s="6"/>
      <c r="F30" s="6"/>
      <c r="G30" s="6"/>
      <c r="H30" s="6"/>
      <c r="I30" s="6"/>
      <c r="J30" s="6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6"/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6"/>
    </row>
    <row r="33" spans="1:13" x14ac:dyDescent="0.3">
      <c r="A33" s="35">
        <v>0</v>
      </c>
      <c r="C33" s="6"/>
      <c r="D33" s="6"/>
      <c r="E33" s="6"/>
      <c r="F33" s="6"/>
      <c r="G33" s="6"/>
      <c r="H33" s="6"/>
      <c r="I33" s="6"/>
      <c r="J33" s="6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</row>
    <row r="36" spans="1:13" x14ac:dyDescent="0.3">
      <c r="A36" s="35">
        <v>0</v>
      </c>
      <c r="C36" s="6"/>
      <c r="D36" s="6"/>
      <c r="E36" s="6"/>
      <c r="F36" s="6"/>
      <c r="G36" s="6"/>
      <c r="H36" s="6"/>
      <c r="I36" s="6"/>
      <c r="J36" s="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20" t="s">
        <v>77</v>
      </c>
      <c r="F40" s="120"/>
      <c r="G40" s="120"/>
      <c r="H40" s="120"/>
      <c r="I40" s="2" t="s">
        <v>31</v>
      </c>
      <c r="J40" s="2">
        <f>letterToNumber(A40)</f>
        <v>2</v>
      </c>
      <c r="K40" s="1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1"/>
      <c r="L41" s="1"/>
      <c r="M41" s="1"/>
    </row>
    <row r="42" spans="1:13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1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1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1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1"/>
      <c r="L46" s="1"/>
      <c r="M46" s="1"/>
    </row>
    <row r="47" spans="1:13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1"/>
      <c r="L47" s="1"/>
      <c r="M47" s="1"/>
    </row>
    <row r="48" spans="1:13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1"/>
      <c r="L48" s="1"/>
      <c r="M48" s="1"/>
    </row>
    <row r="49" spans="1:13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1"/>
      <c r="L49" s="1"/>
      <c r="M49" s="1"/>
    </row>
    <row r="50" spans="1:13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1"/>
      <c r="L50" s="1"/>
      <c r="M50" s="1"/>
    </row>
    <row r="51" spans="1:13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1"/>
      <c r="L51" s="1"/>
      <c r="M51" s="1"/>
    </row>
    <row r="52" spans="1:13" x14ac:dyDescent="0.3">
      <c r="A52" s="35">
        <v>1</v>
      </c>
      <c r="C52" s="114">
        <f>G47+H47</f>
        <v>0</v>
      </c>
      <c r="D52" s="114"/>
      <c r="E52" s="8"/>
      <c r="F52" s="46"/>
      <c r="G52" s="46"/>
      <c r="H52" s="46"/>
      <c r="I52" s="8">
        <f>SUM(I44:I51)</f>
        <v>220</v>
      </c>
      <c r="J52" s="118" t="str">
        <f>IF(I53,"مقاس الدلف صحيح","مقاس الدلف غير صحيح")</f>
        <v>مقاس الدلف صحيح</v>
      </c>
      <c r="K52" s="1"/>
      <c r="L52" s="1"/>
      <c r="M52" s="1"/>
    </row>
    <row r="53" spans="1:13" x14ac:dyDescent="0.3">
      <c r="A53" s="35">
        <v>1</v>
      </c>
      <c r="C53" s="115" t="b">
        <f>C52&lt;=2</f>
        <v>1</v>
      </c>
      <c r="D53" s="115"/>
      <c r="E53" s="8"/>
      <c r="F53" s="8"/>
      <c r="G53" s="8"/>
      <c r="H53" s="8"/>
      <c r="I53" s="6" t="b">
        <f>I52=I42</f>
        <v>1</v>
      </c>
      <c r="J53" s="118"/>
      <c r="K53" s="1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1"/>
      <c r="L54" s="1"/>
      <c r="M54" s="1"/>
    </row>
    <row r="55" spans="1:13" ht="15.6" customHeight="1" x14ac:dyDescent="0.3">
      <c r="A55" s="35">
        <v>0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1"/>
      <c r="L56" s="1"/>
      <c r="M56" s="1"/>
    </row>
    <row r="57" spans="1:13" ht="15.6" customHeight="1" x14ac:dyDescent="0.3">
      <c r="A57" s="35">
        <v>0</v>
      </c>
      <c r="C57" s="6"/>
      <c r="D57" s="6"/>
      <c r="E57" s="6"/>
      <c r="F57" s="6"/>
      <c r="G57" s="6"/>
      <c r="H57" s="6"/>
      <c r="I57" s="6"/>
      <c r="J57" s="6"/>
      <c r="K57" s="1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1"/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1"/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1"/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1"/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1"/>
      <c r="L62" s="1"/>
      <c r="M62" s="1"/>
    </row>
    <row r="63" spans="1:13" x14ac:dyDescent="0.3">
      <c r="A63" s="35">
        <v>0</v>
      </c>
      <c r="C63" s="6"/>
      <c r="D63" s="6"/>
      <c r="E63" s="6"/>
      <c r="F63" s="6"/>
      <c r="G63" s="6"/>
      <c r="H63" s="6"/>
      <c r="I63" s="6"/>
      <c r="J63" s="6"/>
      <c r="K63" s="1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6"/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6"/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6"/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6"/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6"/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6"/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6"/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6"/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6"/>
    </row>
    <row r="73" spans="1:12" x14ac:dyDescent="0.3">
      <c r="A73" s="35">
        <v>0</v>
      </c>
      <c r="C73" s="6"/>
      <c r="D73" s="6"/>
      <c r="E73" s="6"/>
      <c r="F73" s="6"/>
      <c r="G73" s="6"/>
      <c r="H73" s="6"/>
      <c r="I73" s="6"/>
      <c r="J73" s="6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6"/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6"/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6"/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6"/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6"/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6"/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6"/>
    </row>
    <row r="81" spans="1:10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6"/>
    </row>
    <row r="82" spans="1:10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6"/>
    </row>
    <row r="83" spans="1:10" x14ac:dyDescent="0.3">
      <c r="A83" s="35">
        <v>0</v>
      </c>
      <c r="C83" s="6"/>
      <c r="D83" s="6"/>
      <c r="E83" s="6"/>
      <c r="F83" s="6"/>
      <c r="G83" s="6"/>
      <c r="H83" s="6"/>
      <c r="I83" s="6"/>
      <c r="J83" s="6"/>
    </row>
    <row r="84" spans="1:10" x14ac:dyDescent="0.3">
      <c r="A84" s="35">
        <v>0</v>
      </c>
      <c r="C84" s="6"/>
      <c r="D84" s="6"/>
      <c r="E84" s="6"/>
      <c r="F84" s="6"/>
      <c r="G84" s="6"/>
      <c r="H84" s="6"/>
      <c r="I84" s="6"/>
      <c r="J84" s="6"/>
    </row>
    <row r="85" spans="1:10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</row>
    <row r="86" spans="1:10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</row>
    <row r="87" spans="1:10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</row>
    <row r="88" spans="1:10" x14ac:dyDescent="0.3">
      <c r="A88" s="35">
        <v>0</v>
      </c>
      <c r="C88" s="6"/>
      <c r="D88" s="6"/>
      <c r="E88" s="6"/>
      <c r="F88" s="6"/>
      <c r="G88" s="6"/>
      <c r="H88" s="6"/>
      <c r="I88" s="6"/>
      <c r="J88" s="6"/>
    </row>
    <row r="89" spans="1:10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</row>
    <row r="90" spans="1:10" x14ac:dyDescent="0.3">
      <c r="A90" s="35">
        <v>255</v>
      </c>
    </row>
    <row r="91" spans="1:10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100" t="s">
        <v>67</v>
      </c>
      <c r="F98" s="101"/>
      <c r="G98" s="101"/>
      <c r="H98" s="102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5" t="b">
        <f>NOT(AND(F100&gt;0,G100&gt;0))</f>
        <v>1</v>
      </c>
      <c r="G101" s="115"/>
      <c r="I101" s="3" t="b">
        <f>_xlfn.XOR(I100&lt;=50,C102=2)</f>
        <v>0</v>
      </c>
    </row>
    <row r="102" spans="2:10" ht="24" hidden="1" customHeight="1" x14ac:dyDescent="0.3">
      <c r="C102" s="115">
        <f>C100+E100</f>
        <v>3</v>
      </c>
      <c r="D102" s="115"/>
      <c r="E102" s="33"/>
      <c r="F102" s="119" t="str">
        <f>IF(F101,"المقابض مظبوطة","مينفعش مقبض مخفي مع بيلت ان")</f>
        <v>المقابض مظبوطة</v>
      </c>
      <c r="G102" s="119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5" t="b">
        <f>C102&lt;=2</f>
        <v>0</v>
      </c>
      <c r="D103" s="115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100" t="s">
        <v>68</v>
      </c>
      <c r="F118" s="101"/>
      <c r="G118" s="101"/>
      <c r="H118" s="102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5" t="b">
        <f>NOT(AND(F120&gt;0,G120&gt;0))</f>
        <v>1</v>
      </c>
      <c r="G121" s="115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9" t="str">
        <f>IF(F121,"المقابض مظبوطة","مينفعش مقبض مخفي مع بيلت ان")</f>
        <v>المقابض مظبوطة</v>
      </c>
      <c r="G122" s="119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100" t="s">
        <v>69</v>
      </c>
      <c r="F138" s="101"/>
      <c r="G138" s="101"/>
      <c r="H138" s="102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5" t="b">
        <f>NOT(AND(F140&gt;0,G140&gt;0))</f>
        <v>1</v>
      </c>
      <c r="G141" s="115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9" t="str">
        <f>IF(F141,"المقابض مظبوطة","مينفعش مقبض مخفي مع بيلت ان")</f>
        <v>المقابض مظبوطة</v>
      </c>
      <c r="G142" s="119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1" t="s">
        <v>43</v>
      </c>
      <c r="D273" s="121"/>
      <c r="E273" s="121"/>
      <c r="F273" s="121"/>
      <c r="G273" s="121"/>
      <c r="H273" s="121"/>
      <c r="I273" s="121"/>
      <c r="J273" s="121"/>
      <c r="K273" s="121"/>
      <c r="L273" s="121"/>
      <c r="M273" s="121"/>
      <c r="N273" s="121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abSelected="1" topLeftCell="B1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2" t="s">
        <v>104</v>
      </c>
      <c r="D2" s="123"/>
      <c r="E2" s="123"/>
      <c r="F2" s="123"/>
      <c r="G2" s="123"/>
      <c r="H2" s="123"/>
      <c r="I2" s="123"/>
      <c r="J2" s="12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3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</row>
    <row r="15" spans="1:23" ht="15.6" customHeight="1" x14ac:dyDescent="0.3">
      <c r="A15" s="36">
        <v>0</v>
      </c>
      <c r="B15" s="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</row>
    <row r="17" spans="1:11" x14ac:dyDescent="0.3">
      <c r="A17" s="36">
        <v>0</v>
      </c>
      <c r="B17" s="15"/>
      <c r="C17" s="6"/>
      <c r="D17" s="6"/>
      <c r="E17" s="6"/>
      <c r="F17" s="6"/>
      <c r="G17" s="6"/>
      <c r="H17" s="6"/>
      <c r="I17" s="6"/>
      <c r="J17" s="6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100" t="s">
        <v>172</v>
      </c>
      <c r="F25" s="101"/>
      <c r="G25" s="101"/>
      <c r="H25" s="102"/>
      <c r="I25" s="2" t="s">
        <v>31</v>
      </c>
      <c r="J25" s="2">
        <f>letterToNumber(A25)</f>
        <v>2</v>
      </c>
      <c r="K25" s="3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</row>
    <row r="27" spans="1:11" ht="15.6" customHeight="1" x14ac:dyDescent="0.3">
      <c r="A27" s="36">
        <v>0</v>
      </c>
      <c r="B27" s="15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</row>
    <row r="29" spans="1:11" x14ac:dyDescent="0.3">
      <c r="A29" s="36">
        <v>0</v>
      </c>
      <c r="B29" s="15"/>
      <c r="C29" s="6"/>
      <c r="D29" s="6"/>
      <c r="E29" s="6"/>
      <c r="F29" s="6"/>
      <c r="G29" s="6"/>
      <c r="H29" s="6"/>
      <c r="I29" s="6"/>
      <c r="J29" s="6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100" t="s">
        <v>173</v>
      </c>
      <c r="F37" s="101"/>
      <c r="G37" s="101"/>
      <c r="H37" s="102"/>
      <c r="I37" s="2" t="s">
        <v>31</v>
      </c>
      <c r="J37" s="2">
        <f>letterToNumber(A37)</f>
        <v>3</v>
      </c>
      <c r="K37" s="3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</row>
    <row r="39" spans="1:11" ht="15.6" customHeight="1" x14ac:dyDescent="0.3">
      <c r="A39" s="36">
        <v>0</v>
      </c>
      <c r="B39" s="15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</row>
    <row r="41" spans="1:11" x14ac:dyDescent="0.3">
      <c r="A41" s="36">
        <v>0</v>
      </c>
      <c r="B41" s="15"/>
      <c r="C41" s="6"/>
      <c r="D41" s="6"/>
      <c r="E41" s="6"/>
      <c r="F41" s="6"/>
      <c r="G41" s="6"/>
      <c r="H41" s="6"/>
      <c r="I41" s="6"/>
      <c r="J41" s="6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2024-09-19T10:41:55Z</dcterms:modified>
</cp:coreProperties>
</file>