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D2C603B7-1147-47F3-B6AD-1A5DF8EAC6F0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1" l="1"/>
  <c r="K13" i="11"/>
  <c r="K31" i="11"/>
  <c r="H22" i="11" a="1"/>
  <c r="J46" i="11" a="1"/>
  <c r="J44" i="11" a="1"/>
  <c r="J42" i="11" a="1"/>
  <c r="J41" i="11" a="1"/>
  <c r="J40" i="11" a="1"/>
  <c r="J39" i="11" a="1"/>
  <c r="J38" i="11" a="1"/>
  <c r="H46" i="11" a="1"/>
  <c r="H44" i="11" a="1"/>
  <c r="H42" i="11" a="1"/>
  <c r="H41" i="11" a="1"/>
  <c r="H40" i="11" a="1"/>
  <c r="H39" i="11" a="1"/>
  <c r="H38" i="11" a="1"/>
  <c r="G46" i="11" a="1"/>
  <c r="G44" i="11" a="1"/>
  <c r="G41" i="11" a="1"/>
  <c r="G40" i="11" a="1"/>
  <c r="F42" i="11" a="1"/>
  <c r="F41" i="11" a="1"/>
  <c r="F40" i="11" a="1"/>
  <c r="F38" i="11" a="1"/>
  <c r="E46" i="11" a="1"/>
  <c r="E44" i="11" a="1"/>
  <c r="E42" i="11" a="1"/>
  <c r="E41" i="11" a="1"/>
  <c r="E40" i="11" a="1"/>
  <c r="E39" i="11" a="1"/>
  <c r="E38" i="11" a="1"/>
  <c r="C39" i="11" a="1"/>
  <c r="C42" i="11" a="1"/>
  <c r="C46" i="11" a="1"/>
  <c r="C44" i="11" a="1"/>
  <c r="C41" i="11" a="1"/>
  <c r="C40" i="11" a="1"/>
  <c r="C38" i="11" a="1"/>
  <c r="B46" i="11" a="1"/>
  <c r="B44" i="11" a="1"/>
  <c r="B42" i="11" a="1"/>
  <c r="B41" i="11" a="1"/>
  <c r="B40" i="11" a="1"/>
  <c r="B39" i="11" a="1"/>
  <c r="B38" i="11" a="1"/>
  <c r="J31" i="11"/>
  <c r="H26" i="11" a="1"/>
  <c r="H25" i="11" a="1"/>
  <c r="H23" i="11" a="1"/>
  <c r="H21" i="11" a="1"/>
  <c r="H20" i="11" a="1"/>
  <c r="G22" i="11" a="1"/>
  <c r="H28" i="11" a="1"/>
  <c r="G28" i="11" a="1"/>
  <c r="G26" i="11" a="1"/>
  <c r="G25" i="11" a="1"/>
  <c r="G23" i="11" a="1"/>
  <c r="G21" i="11" a="1"/>
  <c r="G20" i="11" a="1"/>
  <c r="F28" i="11" a="1"/>
  <c r="F26" i="11" a="1"/>
  <c r="F25" i="11" a="1"/>
  <c r="F23" i="11" a="1"/>
  <c r="F22" i="11" a="1"/>
  <c r="F21" i="11" a="1"/>
  <c r="F20" i="11" a="1"/>
  <c r="E28" i="11" a="1"/>
  <c r="E26" i="11" a="1"/>
  <c r="E25" i="11" a="1"/>
  <c r="E23" i="11" a="1"/>
  <c r="E21" i="11" a="1"/>
  <c r="E22" i="11" a="1"/>
  <c r="E20" i="11" a="1"/>
  <c r="C28" i="11" a="1"/>
  <c r="C26" i="11" a="1"/>
  <c r="C25" i="11" a="1"/>
  <c r="C23" i="11" a="1"/>
  <c r="C22" i="11" a="1"/>
  <c r="C21" i="11" a="1"/>
  <c r="C20" i="11" a="1"/>
  <c r="B28" i="11" a="1"/>
  <c r="B26" i="11" a="1"/>
  <c r="B25" i="11" a="1"/>
  <c r="B23" i="11" a="1"/>
  <c r="B22" i="11" a="1"/>
  <c r="B21" i="11" a="1"/>
  <c r="B20" i="11" a="1"/>
  <c r="J28" i="11" a="1"/>
  <c r="J26" i="11" a="1"/>
  <c r="J25" i="11" a="1"/>
  <c r="J22" i="11" a="1"/>
  <c r="J21" i="11" a="1"/>
  <c r="J23" i="11" a="1"/>
  <c r="J20" i="11" a="1"/>
  <c r="J13" i="11"/>
  <c r="B170" i="3" a="1"/>
  <c r="H170" i="3" a="1"/>
  <c r="G170" i="3" a="1"/>
  <c r="E170" i="3" a="1"/>
  <c r="C170" i="3" a="1"/>
  <c r="J170" i="3" a="1"/>
  <c r="H168" i="3" a="1"/>
  <c r="G168" i="3" a="1"/>
  <c r="E168" i="3" a="1"/>
  <c r="H166" i="3" a="1"/>
  <c r="F166" i="3" a="1"/>
  <c r="E166" i="3" a="1"/>
  <c r="C166" i="3" a="1"/>
  <c r="B166" i="3" a="1"/>
  <c r="J166" i="3" a="1"/>
  <c r="C168" i="3" a="1"/>
  <c r="B168" i="3" a="1"/>
  <c r="J168" i="3" a="1"/>
  <c r="H165" i="3" a="1"/>
  <c r="H164" i="3" a="1"/>
  <c r="H163" i="3" a="1"/>
  <c r="H162" i="3" a="1"/>
  <c r="F165" i="3" a="1"/>
  <c r="F164" i="3" a="1"/>
  <c r="G165" i="3" a="1"/>
  <c r="G164" i="3" a="1"/>
  <c r="F162" i="3" a="1"/>
  <c r="E165" i="3" a="1"/>
  <c r="E164" i="3" a="1"/>
  <c r="E163" i="3" a="1"/>
  <c r="E162" i="3" a="1"/>
  <c r="J64" i="11" a="1"/>
  <c r="G62" i="11" a="1"/>
  <c r="J60" i="11" a="1"/>
  <c r="G59" i="11" a="1"/>
  <c r="J58" i="11" a="1"/>
  <c r="J56" i="11" a="1"/>
  <c r="C60" i="11" a="1"/>
  <c r="C58" i="11" a="1"/>
  <c r="C56" i="11" a="1"/>
  <c r="F59" i="11" a="1"/>
  <c r="H64" i="11" a="1"/>
  <c r="B64" i="11" a="1"/>
  <c r="E62" i="11" a="1"/>
  <c r="H60" i="11" a="1"/>
  <c r="B60" i="11" a="1"/>
  <c r="E59" i="11" a="1"/>
  <c r="H58" i="11" a="1"/>
  <c r="B58" i="11" a="1"/>
  <c r="E57" i="11" a="1"/>
  <c r="H56" i="11" a="1"/>
  <c r="B56" i="11" a="1"/>
  <c r="G64" i="11" a="1"/>
  <c r="J62" i="11" a="1"/>
  <c r="J59" i="11" a="1"/>
  <c r="G58" i="11" a="1"/>
  <c r="J57" i="11" a="1"/>
  <c r="J52" i="11" a="1"/>
  <c r="J49" i="11"/>
  <c r="C62" i="11" a="1"/>
  <c r="F60" i="11" a="1"/>
  <c r="C59" i="11" a="1"/>
  <c r="F58" i="11" a="1"/>
  <c r="C57" i="11" a="1"/>
  <c r="F56" i="11" a="1"/>
  <c r="I52" i="11" a="1"/>
  <c r="E64" i="11" a="1"/>
  <c r="H62" i="11" a="1"/>
  <c r="B62" i="11" a="1"/>
  <c r="E60" i="11" a="1"/>
  <c r="H59" i="11" a="1"/>
  <c r="B59" i="11" a="1"/>
  <c r="E58" i="11" a="1"/>
  <c r="H57" i="11" a="1"/>
  <c r="B57" i="11" a="1"/>
  <c r="E56" i="11" a="1"/>
  <c r="C64" i="11" a="1"/>
  <c r="J34" i="11" a="1"/>
  <c r="I34" i="11" a="1"/>
  <c r="C64" i="11" l="1"/>
  <c r="E56" i="11"/>
  <c r="B57" i="11"/>
  <c r="H57" i="11"/>
  <c r="E58" i="11"/>
  <c r="B59" i="11"/>
  <c r="H59" i="11"/>
  <c r="E60" i="11"/>
  <c r="B62" i="11"/>
  <c r="H62" i="11"/>
  <c r="E64" i="11"/>
  <c r="I52" i="11"/>
  <c r="F56" i="11"/>
  <c r="C57" i="11"/>
  <c r="F58" i="11"/>
  <c r="C59" i="11"/>
  <c r="F60" i="11"/>
  <c r="C62" i="11"/>
  <c r="J52" i="11"/>
  <c r="J57" i="11"/>
  <c r="G58" i="11"/>
  <c r="J59" i="11"/>
  <c r="J62" i="11"/>
  <c r="G64" i="11"/>
  <c r="B56" i="11"/>
  <c r="H56" i="11"/>
  <c r="E57" i="11"/>
  <c r="B58" i="11"/>
  <c r="H58" i="11"/>
  <c r="E59" i="11"/>
  <c r="B60" i="11"/>
  <c r="H60" i="11"/>
  <c r="E62" i="11"/>
  <c r="B64" i="11"/>
  <c r="H64" i="11"/>
  <c r="F59" i="11"/>
  <c r="C56" i="11"/>
  <c r="C58" i="11"/>
  <c r="C60" i="11"/>
  <c r="J56" i="11"/>
  <c r="J58" i="11"/>
  <c r="G59" i="11"/>
  <c r="J60" i="11"/>
  <c r="G62" i="11"/>
  <c r="J64" i="11"/>
  <c r="H22" i="11"/>
  <c r="J46" i="11"/>
  <c r="J44" i="11"/>
  <c r="J42" i="11"/>
  <c r="J41" i="11"/>
  <c r="J40" i="11"/>
  <c r="J39" i="11"/>
  <c r="J38" i="11"/>
  <c r="H46" i="11"/>
  <c r="H44" i="11"/>
  <c r="H42" i="11"/>
  <c r="H41" i="11"/>
  <c r="H40" i="11"/>
  <c r="H39" i="11"/>
  <c r="H38" i="11"/>
  <c r="G46" i="11"/>
  <c r="G44" i="11"/>
  <c r="G41" i="11"/>
  <c r="G40" i="11"/>
  <c r="F42" i="11"/>
  <c r="F41" i="11"/>
  <c r="F40" i="11"/>
  <c r="F38" i="11"/>
  <c r="E46" i="11"/>
  <c r="E44" i="11"/>
  <c r="E42" i="11"/>
  <c r="E41" i="11"/>
  <c r="E40" i="11"/>
  <c r="E39" i="11"/>
  <c r="E38" i="11"/>
  <c r="C39" i="11"/>
  <c r="C42" i="11"/>
  <c r="C46" i="11"/>
  <c r="C44" i="11"/>
  <c r="C41" i="11"/>
  <c r="C40" i="11"/>
  <c r="C38" i="11"/>
  <c r="B46" i="11"/>
  <c r="B44" i="11"/>
  <c r="B42" i="11"/>
  <c r="B41" i="11"/>
  <c r="B40" i="11"/>
  <c r="B39" i="11"/>
  <c r="B38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4" i="11"/>
  <c r="I34" i="11"/>
  <c r="B170" i="3"/>
  <c r="H170" i="3"/>
  <c r="G170" i="3"/>
  <c r="E170" i="3"/>
  <c r="C170" i="3"/>
  <c r="J170" i="3"/>
  <c r="H168" i="3"/>
  <c r="G168" i="3"/>
  <c r="E168" i="3"/>
  <c r="H166" i="3"/>
  <c r="F166" i="3"/>
  <c r="E166" i="3"/>
  <c r="C166" i="3"/>
  <c r="B166" i="3"/>
  <c r="J166" i="3"/>
  <c r="C168" i="3"/>
  <c r="B168" i="3"/>
  <c r="J168" i="3"/>
  <c r="H165" i="3"/>
  <c r="H164" i="3"/>
  <c r="H163" i="3"/>
  <c r="H162" i="3"/>
  <c r="F165" i="3"/>
  <c r="F164" i="3"/>
  <c r="G165" i="3"/>
  <c r="G164" i="3"/>
  <c r="F162" i="3"/>
  <c r="E165" i="3"/>
  <c r="E164" i="3"/>
  <c r="E163" i="3"/>
  <c r="E162" i="3"/>
  <c r="G56" i="11" a="1"/>
  <c r="G57" i="11" a="1"/>
  <c r="F57" i="11" a="1"/>
  <c r="G39" i="11" a="1"/>
  <c r="F39" i="11" a="1"/>
  <c r="G42" i="11" a="1"/>
  <c r="G38" i="11" a="1"/>
  <c r="F57" i="11" l="1"/>
  <c r="G57" i="11"/>
  <c r="G56" i="11"/>
  <c r="F39" i="11"/>
  <c r="G39" i="11"/>
  <c r="G38" i="11"/>
  <c r="G42" i="11"/>
  <c r="F64" i="11" a="1"/>
  <c r="G60" i="11" a="1"/>
  <c r="F46" i="11" a="1"/>
  <c r="G60" i="11" l="1"/>
  <c r="F64" i="11"/>
  <c r="F46" i="11"/>
  <c r="K155" i="3" l="1"/>
  <c r="O22" i="8" a="1"/>
  <c r="C162" i="3" a="1"/>
  <c r="J165" i="3" a="1"/>
  <c r="C163" i="3" a="1"/>
  <c r="J164" i="3" a="1"/>
  <c r="J162" i="3" a="1"/>
  <c r="B164" i="3" a="1"/>
  <c r="B162" i="3" a="1"/>
  <c r="C164" i="3" a="1"/>
  <c r="J155" i="3"/>
  <c r="J163" i="3" a="1"/>
  <c r="C165" i="3" a="1"/>
  <c r="B163" i="3" a="1"/>
  <c r="B165" i="3" a="1"/>
  <c r="I14" i="11" a="1"/>
  <c r="I158" i="3" a="1"/>
  <c r="E14" i="11" a="1"/>
  <c r="J158" i="3" a="1"/>
  <c r="G16" i="11" a="1"/>
  <c r="G14" i="11" a="1"/>
  <c r="I158" i="3" l="1"/>
  <c r="J158" i="3"/>
  <c r="B165" i="3"/>
  <c r="B163" i="3"/>
  <c r="C165" i="3"/>
  <c r="J163" i="3"/>
  <c r="C164" i="3"/>
  <c r="B162" i="3"/>
  <c r="B164" i="3"/>
  <c r="J162" i="3"/>
  <c r="J164" i="3"/>
  <c r="C163" i="3"/>
  <c r="J165" i="3"/>
  <c r="C162" i="3"/>
  <c r="G14" i="11"/>
  <c r="I14" i="11"/>
  <c r="G16" i="11"/>
  <c r="E14" i="11"/>
  <c r="O22" i="8"/>
  <c r="O23" i="8" a="1"/>
  <c r="F163" i="3" a="1"/>
  <c r="G163" i="3" a="1"/>
  <c r="G162" i="3" a="1"/>
  <c r="D21" i="11" a="1"/>
  <c r="D20" i="11" a="1"/>
  <c r="D28" i="11" a="1"/>
  <c r="D25" i="11" a="1"/>
  <c r="D23" i="11" a="1"/>
  <c r="G166" i="3" a="1"/>
  <c r="D22" i="11" a="1"/>
  <c r="D26" i="11" a="1"/>
  <c r="F170" i="3" a="1"/>
  <c r="D28" i="11" l="1"/>
  <c r="D26" i="11"/>
  <c r="D25" i="11"/>
  <c r="D23" i="11"/>
  <c r="D22" i="11"/>
  <c r="D21" i="11"/>
  <c r="D20" i="11"/>
  <c r="F170" i="3"/>
  <c r="G166" i="3"/>
  <c r="F163" i="3"/>
  <c r="G163" i="3"/>
  <c r="G162" i="3"/>
  <c r="O23" i="8"/>
  <c r="O24" i="8" a="1"/>
  <c r="I20" i="11" a="1"/>
  <c r="I26" i="11" a="1"/>
  <c r="I28" i="11" a="1"/>
  <c r="I25" i="11" a="1"/>
  <c r="I21" i="11" a="1"/>
  <c r="I22" i="11" a="1"/>
  <c r="I23" i="11" a="1"/>
  <c r="I20" i="11" l="1"/>
  <c r="I26" i="11"/>
  <c r="I25" i="11"/>
  <c r="I21" i="11"/>
  <c r="I23" i="11"/>
  <c r="I22" i="11"/>
  <c r="I28" i="11"/>
  <c r="O24" i="8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F26" i="8" a="1"/>
  <c r="R19" i="8" a="1"/>
  <c r="I26" i="8" a="1"/>
  <c r="I23" i="8" a="1"/>
  <c r="O19" i="8" a="1"/>
  <c r="L20" i="8" a="1"/>
  <c r="F24" i="8" a="1"/>
  <c r="F20" i="8" a="1"/>
  <c r="O20" i="8" a="1"/>
  <c r="F25" i="8" a="1"/>
  <c r="L21" i="8" a="1"/>
  <c r="F21" i="8" a="1"/>
  <c r="F19" i="8" a="1"/>
  <c r="L19" i="8" a="1"/>
  <c r="I22" i="8" a="1"/>
  <c r="O21" i="8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J132" i="3"/>
  <c r="I50" i="11" a="1"/>
  <c r="E50" i="11" a="1"/>
  <c r="G52" i="11" a="1"/>
  <c r="G50" i="11" a="1"/>
  <c r="I156" i="3" a="1"/>
  <c r="J81" i="4" a="1"/>
  <c r="G152" i="4" a="1"/>
  <c r="I15" i="4" a="1"/>
  <c r="G32" i="11" a="1"/>
  <c r="G156" i="3" a="1"/>
  <c r="G131" i="4" a="1"/>
  <c r="G57" i="4" a="1"/>
  <c r="I152" i="4" a="1"/>
  <c r="G36" i="4" a="1"/>
  <c r="J36" i="4" a="1"/>
  <c r="J132" i="4" a="1"/>
  <c r="I81" i="4" a="1"/>
  <c r="I20" i="8" a="1"/>
  <c r="J105" i="4" a="1"/>
  <c r="G15" i="4" a="1"/>
  <c r="G81" i="4" a="1"/>
  <c r="G158" i="3" a="1"/>
  <c r="I25" i="8" a="1"/>
  <c r="I36" i="4" a="1"/>
  <c r="G105" i="4" a="1"/>
  <c r="I105" i="4" a="1"/>
  <c r="I132" i="4" a="1"/>
  <c r="I21" i="8" a="1"/>
  <c r="I106" i="4" a="1"/>
  <c r="J131" i="4" a="1"/>
  <c r="I131" i="4" a="1"/>
  <c r="I24" i="8" a="1"/>
  <c r="E156" i="3" a="1"/>
  <c r="J106" i="4" a="1"/>
  <c r="I57" i="4" a="1"/>
  <c r="E32" i="11" a="1"/>
  <c r="J152" i="4" a="1"/>
  <c r="I32" i="11" a="1"/>
  <c r="G34" i="11" a="1"/>
  <c r="J15" i="4" a="1"/>
  <c r="J57" i="4" a="1"/>
  <c r="G50" i="11" l="1"/>
  <c r="G52" i="11"/>
  <c r="E50" i="11"/>
  <c r="I50" i="11"/>
  <c r="G34" i="11"/>
  <c r="G32" i="11"/>
  <c r="I32" i="11"/>
  <c r="E32" i="11"/>
  <c r="G158" i="3"/>
  <c r="G156" i="3"/>
  <c r="I156" i="3"/>
  <c r="E156" i="3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D162" i="3" a="1"/>
  <c r="D170" i="3" a="1"/>
  <c r="D168" i="3" a="1"/>
  <c r="D166" i="3" a="1"/>
  <c r="J89" i="3"/>
  <c r="J48" i="3"/>
  <c r="J13" i="3"/>
  <c r="J68" i="3"/>
  <c r="J109" i="3"/>
  <c r="D163" i="3" a="1"/>
  <c r="D164" i="3" a="1"/>
  <c r="D165" i="3" a="1"/>
  <c r="D62" i="11" a="1"/>
  <c r="F62" i="11" a="1"/>
  <c r="D64" i="11" a="1"/>
  <c r="D57" i="11" a="1"/>
  <c r="D59" i="11" a="1"/>
  <c r="D56" i="11" a="1"/>
  <c r="D58" i="11" a="1"/>
  <c r="D60" i="11" a="1"/>
  <c r="I14" i="3" a="1"/>
  <c r="J129" i="7" a="1"/>
  <c r="I34" i="7" a="1"/>
  <c r="I134" i="3" a="1"/>
  <c r="J92" i="3" a="1"/>
  <c r="E111" i="3" a="1"/>
  <c r="I89" i="7" a="1"/>
  <c r="F152" i="4" a="1"/>
  <c r="J111" i="3" a="1"/>
  <c r="I71" i="3" a="1"/>
  <c r="J70" i="3" a="1"/>
  <c r="E70" i="3" a="1"/>
  <c r="I88" i="7" a="1"/>
  <c r="J88" i="7" a="1"/>
  <c r="J91" i="3" a="1"/>
  <c r="E50" i="3" a="1"/>
  <c r="I110" i="7" a="1"/>
  <c r="D46" i="11" a="1"/>
  <c r="F36" i="4" a="1"/>
  <c r="G16" i="3" a="1"/>
  <c r="J110" i="7" a="1"/>
  <c r="F81" i="4" a="1"/>
  <c r="I92" i="3" a="1"/>
  <c r="J50" i="3" a="1"/>
  <c r="D44" i="11" a="1"/>
  <c r="J16" i="3" a="1"/>
  <c r="I109" i="7" a="1"/>
  <c r="J68" i="7" a="1"/>
  <c r="F131" i="4" a="1"/>
  <c r="G134" i="3" a="1"/>
  <c r="D42" i="11" a="1"/>
  <c r="J109" i="7" a="1"/>
  <c r="J71" i="3" a="1"/>
  <c r="I70" i="3" a="1"/>
  <c r="I68" i="7" a="1"/>
  <c r="F168" i="3" a="1"/>
  <c r="D41" i="11" a="1"/>
  <c r="G111" i="3" a="1"/>
  <c r="I50" i="3" a="1"/>
  <c r="I129" i="7" a="1"/>
  <c r="E134" i="3" a="1"/>
  <c r="D40" i="11" a="1"/>
  <c r="F105" i="4" a="1"/>
  <c r="J134" i="3" a="1"/>
  <c r="I111" i="3" a="1"/>
  <c r="F57" i="4" a="1"/>
  <c r="D39" i="11" a="1"/>
  <c r="I16" i="3" a="1"/>
  <c r="D38" i="11" a="1"/>
  <c r="F15" i="4" a="1"/>
  <c r="I91" i="3" a="1"/>
  <c r="J89" i="7" a="1"/>
  <c r="F44" i="11" a="1"/>
  <c r="J34" i="7" a="1"/>
  <c r="E91" i="3" a="1"/>
  <c r="D60" i="11" l="1"/>
  <c r="D58" i="11"/>
  <c r="D56" i="11"/>
  <c r="D59" i="11"/>
  <c r="D57" i="11"/>
  <c r="D64" i="11"/>
  <c r="F62" i="11"/>
  <c r="D62" i="11"/>
  <c r="D162" i="3"/>
  <c r="D46" i="11"/>
  <c r="D44" i="11"/>
  <c r="D42" i="11"/>
  <c r="D41" i="11"/>
  <c r="D40" i="11"/>
  <c r="D39" i="11"/>
  <c r="D38" i="11"/>
  <c r="F44" i="11"/>
  <c r="D170" i="3"/>
  <c r="F168" i="3"/>
  <c r="D168" i="3"/>
  <c r="D166" i="3"/>
  <c r="D165" i="3"/>
  <c r="D164" i="3"/>
  <c r="D163" i="3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70" i="3" a="1"/>
  <c r="I168" i="3" a="1"/>
  <c r="I166" i="3" a="1"/>
  <c r="I162" i="3" a="1"/>
  <c r="I165" i="3" a="1"/>
  <c r="I164" i="3" a="1"/>
  <c r="I163" i="3" a="1"/>
  <c r="I60" i="11" a="1"/>
  <c r="I58" i="11" a="1"/>
  <c r="I56" i="11" a="1"/>
  <c r="I59" i="11" a="1"/>
  <c r="I57" i="11" a="1"/>
  <c r="I64" i="11" a="1"/>
  <c r="I62" i="11" a="1"/>
  <c r="I38" i="11" a="1"/>
  <c r="I15" i="7" a="1"/>
  <c r="B34" i="7" a="1"/>
  <c r="I40" i="11" a="1"/>
  <c r="E88" i="7" a="1"/>
  <c r="I44" i="11" a="1"/>
  <c r="F15" i="7" a="1"/>
  <c r="G129" i="7" a="1"/>
  <c r="F109" i="7" a="1"/>
  <c r="I41" i="11" a="1"/>
  <c r="E15" i="7" a="1"/>
  <c r="I32" i="7" a="1"/>
  <c r="I39" i="11" a="1"/>
  <c r="E109" i="7" a="1"/>
  <c r="F88" i="7" a="1"/>
  <c r="G34" i="7" a="1"/>
  <c r="F129" i="7" a="1"/>
  <c r="J15" i="7" a="1"/>
  <c r="E68" i="7" a="1"/>
  <c r="I46" i="11" a="1"/>
  <c r="I42" i="11" a="1"/>
  <c r="F68" i="7" a="1"/>
  <c r="E129" i="7" a="1"/>
  <c r="I62" i="11" l="1"/>
  <c r="I64" i="11"/>
  <c r="I57" i="11"/>
  <c r="I59" i="11"/>
  <c r="I56" i="11"/>
  <c r="I58" i="11"/>
  <c r="I60" i="11"/>
  <c r="I41" i="11"/>
  <c r="I40" i="11"/>
  <c r="I44" i="11"/>
  <c r="I38" i="11"/>
  <c r="I42" i="11"/>
  <c r="I39" i="11"/>
  <c r="I46" i="11"/>
  <c r="I170" i="3"/>
  <c r="I168" i="3"/>
  <c r="I166" i="3"/>
  <c r="I163" i="3"/>
  <c r="I164" i="3"/>
  <c r="I165" i="3"/>
  <c r="I162" i="3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7" i="3" a="1"/>
  <c r="E14" i="6" a="1"/>
  <c r="F156" i="4" a="1"/>
  <c r="F134" i="4" a="1"/>
  <c r="E26" i="6" a="1"/>
  <c r="F72" i="3" a="1"/>
  <c r="E38" i="6" a="1"/>
  <c r="F40" i="4" a="1"/>
  <c r="F19" i="4" a="1"/>
  <c r="F21" i="5" a="1"/>
  <c r="F61" i="4" a="1"/>
  <c r="F108" i="4" a="1"/>
  <c r="F135" i="3" a="1"/>
  <c r="F85" i="4" a="1"/>
  <c r="F112" i="3" a="1"/>
  <c r="F54" i="5" a="1"/>
  <c r="F93" i="3" a="1"/>
  <c r="F51" i="3" a="1"/>
  <c r="C121" i="3" l="1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F16" i="7" a="1"/>
  <c r="F69" i="7" a="1"/>
  <c r="F90" i="7" a="1"/>
  <c r="F130" i="7" a="1"/>
  <c r="D72" i="3" a="1"/>
  <c r="D93" i="3" a="1"/>
  <c r="H108" i="4" a="1"/>
  <c r="H72" i="3" a="1"/>
  <c r="D54" i="5" a="1"/>
  <c r="D112" i="3" a="1"/>
  <c r="D19" i="4" a="1"/>
  <c r="H61" i="4" a="1"/>
  <c r="D135" i="3" a="1"/>
  <c r="H156" i="4" a="1"/>
  <c r="D108" i="4" a="1"/>
  <c r="H17" i="3" a="1"/>
  <c r="D134" i="4" a="1"/>
  <c r="D156" i="4" a="1"/>
  <c r="H93" i="3" a="1"/>
  <c r="H19" i="4" a="1"/>
  <c r="H21" i="5" a="1"/>
  <c r="H134" i="4" a="1"/>
  <c r="D21" i="5" a="1"/>
  <c r="H54" i="5" a="1"/>
  <c r="D51" i="3" a="1"/>
  <c r="H51" i="3" a="1"/>
  <c r="H40" i="4" a="1"/>
  <c r="F35" i="7" a="1"/>
  <c r="D61" i="4" a="1"/>
  <c r="H135" i="3" a="1"/>
  <c r="H85" i="4" a="1"/>
  <c r="F111" i="7" a="1"/>
  <c r="D85" i="4" a="1"/>
  <c r="H112" i="3" a="1"/>
  <c r="D40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6" i="7" a="1"/>
  <c r="H90" i="7" a="1"/>
  <c r="H69" i="7" a="1"/>
  <c r="D111" i="7" a="1"/>
  <c r="H130" i="7" a="1"/>
  <c r="D130" i="7" a="1"/>
  <c r="H16" i="7" a="1"/>
  <c r="D90" i="7" a="1"/>
  <c r="D69" i="7" a="1"/>
  <c r="H35" i="7" a="1"/>
  <c r="H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<sst xmlns="http://schemas.openxmlformats.org/spreadsheetml/2006/main" count="1073" uniqueCount="187">
  <si>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</si>
  <si>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</si>
  <si>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</si>
  <si>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</si>
  <si>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</si>
  <si>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</si>
  <si>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</si>
  <si>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</si>
  <si>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</si>
  <si>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</si>
  <si>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</si>
  <si>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</si>
  <si>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</si>
  <si>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</si>
  <si>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</si>
  <si>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</si>
  <si>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</si>
  <si>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</si>
  <si>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</si>
  <si>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</si>
  <si>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</si>
  <si>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</si>
  <si>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</si>
  <si>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</si>
  <si>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</si>
  <si>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</si>
  <si>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</si>
  <si>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</si>
  <si>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</si>
  <si>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</si>
  <si>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</si>
  <si>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</si>
  <si>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</si>
  <si>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</si>
  <si>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</si>
  <si>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</si>
  <si>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</si>
  <si>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</si>
  <si>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</si>
  <si>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</si>
  <si>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</si>
  <si>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</si>
  <si>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</si>
  <si>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</si>
  <si>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</si>
  <si>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</si>
  <si>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</si>
  <si>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</si>
  <si>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</si>
  <si>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</si>
  <si>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</si>
  <si>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</si>
  <si>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</si>
  <si>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</si>
  <si>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</si>
  <si>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</si>
  <si>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</si>
  <si>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</si>
  <si>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</si>
  <si>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</si>
  <si>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</si>
  <si>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</si>
  <si>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</si>
  <si>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</si>
  <si>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</si>
  <si>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</si>
  <si>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</si>
  <si>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</si>
  <si>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</si>
  <si>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</si>
  <si>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</si>
  <si>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</si>
  <si>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</si>
  <si>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</si>
  <si>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</si>
  <si>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</si>
  <si>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</si>
  <si>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</si>
  <si>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</si>
  <si>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</si>
  <si>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</si>
  <si>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</si>
  <si>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</si>
  <si>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</si>
  <si>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</si>
  <si>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</si>
  <si>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</si>
  <si>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</si>
  <si>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</si>
  <si>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</si>
  <si>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</si>
  <si>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</si>
  <si>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</si>
  <si>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</si>
  <si>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</si>
  <si>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</si>
  <si>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</si>
  <si>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</si>
  <si>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</si>
  <si>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</si>
  <si>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</si>
  <si>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</si>
  <si>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</si>
  <si>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</si>
  <si>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</si>
  <si>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</si>
  <si>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</si>
  <si>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</si>
  <si>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</si>
  <si>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</si>
  <si>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</si>
  <si>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</si>
  <si>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</si>
  <si>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</si>
  <si>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</si>
  <si>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</si>
  <si>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</si>
  <si>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</si>
  <si>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</si>
  <si>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</si>
  <si>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</si>
  <si>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</si>
  <si>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</si>
  <si>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</si>
  <si>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</si>
  <si>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</si>
  <si>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</si>
  <si>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</si>
  <si>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</si>
  <si>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</si>
  <si>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</si>
  <si>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</si>
  <si>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</si>
  <si>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</si>
  <si>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</si>
  <si>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</si>
  <si>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</si>
  <si>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</si>
  <si>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</si>
  <si>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</si>
  <si>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</si>
  <si>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</si>
  <si>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</si>
  <si>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</si>
  <si>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</si>
  <si>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</si>
  <si>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</si>
  <si>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</si>
  <si>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</si>
  <si>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</si>
  <si>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</si>
  <si>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</si>
  <si>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</si>
  <si>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</si>
  <si>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</si>
  <si>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</si>
  <si>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</si>
  <si>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</si>
  <si>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</si>
  <si>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</si>
  <si>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</si>
  <si>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</si>
  <si>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</si>
  <si>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</si>
  <si>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</si>
  <si>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</si>
  <si>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</si>
  <si>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</si>
  <si>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</si>
  <si>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</si>
  <si>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</si>
  <si>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</si>
  <si>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</si>
  <si>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</si>
  <si>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</si>
  <si>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</si>
  <si>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</si>
  <si>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</si>
  <si>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</si>
  <si>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</si>
  <si>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</si>
  <si>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</si>
  <si>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</si>
  <si>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</si>
  <si>
    <t>وحدة سفلية دلفة /دلفتين</t>
  </si>
  <si>
    <t>وحدة سفلية</t>
  </si>
  <si>
    <t>وحدة سفلية ادراج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</si>
</sst>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6" t="s">
        <v>111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1" t="s">
        <v>173</v>
      </c>
      <c r="D17" s="102"/>
      <c r="E17" s="84"/>
      <c r="F17" s="101" t="s">
        <v>0</v>
      </c>
      <c r="G17" s="102"/>
      <c r="H17" s="84"/>
      <c r="I17" s="101" t="s">
        <v>104</v>
      </c>
      <c r="J17" s="102"/>
      <c r="K17" s="84"/>
      <c r="L17" s="101" t="s">
        <v>43</v>
      </c>
      <c r="M17" s="102"/>
      <c r="N17" s="84"/>
      <c r="O17" s="101" t="s">
        <v>64</v>
      </c>
      <c r="P17" s="102"/>
      <c r="Q17" s="84"/>
      <c r="R17" s="101" t="s">
        <v>103</v>
      </c>
      <c r="S17" s="102"/>
    </row>
    <row r="18" spans="1:19" ht="21" customHeight="1" x14ac:dyDescent="0.3">
      <c r="A18" s="51"/>
      <c r="B18"/>
      <c r="C18" s="99">
        <f ca="1">_xlfn.SHEET("إعدادات")</f>
        <v>1</v>
      </c>
      <c r="D18" s="100"/>
      <c r="F18" s="99">
        <f ca="1">_xlfn.SHEET("وحدات سفلية")</f>
        <v>4</v>
      </c>
      <c r="G18" s="100"/>
      <c r="H18" s="63"/>
      <c r="I18" s="99">
        <f ca="1">_xlfn.SHEET("بورديوم")</f>
        <v>5</v>
      </c>
      <c r="J18" s="100"/>
      <c r="K18" s="63"/>
      <c r="L18" s="99">
        <f ca="1">_xlfn.SHEET("وحدات علوية")</f>
        <v>6</v>
      </c>
      <c r="M18" s="100"/>
      <c r="N18" s="63"/>
      <c r="O18" s="99">
        <f ca="1">_xlfn.SHEET("دواليب")</f>
        <v>7</v>
      </c>
      <c r="P18" s="100"/>
      <c r="Q18" s="63"/>
      <c r="R18" s="99">
        <f ca="1">_xlfn.SHEET("تجاليد")</f>
        <v>8</v>
      </c>
      <c r="S18" s="100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114</v>
      </c>
      <c r="H26" s="63"/>
      <c r="I26" s="79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6"/>
  <sheetViews>
    <sheetView tabSelected="1" topLeftCell="A39" zoomScale="85" zoomScaleNormal="85" workbookViewId="0">
      <selection activeCell="K50" sqref="K50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3</v>
      </c>
    </row>
    <row r="2" spans="1:11" s="34" customFormat="1" x14ac:dyDescent="0.3">
      <c r="B2" s="34" t="s">
        <v>182</v>
      </c>
    </row>
    <row r="3" spans="1:11" s="34" customFormat="1" x14ac:dyDescent="0.3">
      <c r="B3" s="34" t="s">
        <v>179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3" t="s">
        <v>183</v>
      </c>
      <c r="F13" s="104"/>
      <c r="G13" s="104"/>
      <c r="H13" s="105"/>
      <c r="I13" s="2" t="s">
        <v>30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58</v>
      </c>
      <c r="G14" s="94" t="str" cm="1">
        <f t="array" aca="1" ref="G14" ca="1">defaultValue(H14,K13)</f>
        <v>يوفيلاك</v>
      </c>
      <c r="H14" s="7" t="s">
        <v>32</v>
      </c>
      <c r="I14" s="94" t="str" cm="1">
        <f t="array" aca="1" ref="I14" ca="1">defaultValue(J14,K13)</f>
        <v>HPL</v>
      </c>
      <c r="J14" s="7" t="s">
        <v>31</v>
      </c>
      <c r="K14" s="25" t="s">
        <v>111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 t="s">
        <v>180</v>
      </c>
    </row>
    <row r="16" spans="1:11" ht="15.6" x14ac:dyDescent="0.3">
      <c r="A16" s="51">
        <v>1</v>
      </c>
      <c r="B16" s="15"/>
      <c r="C16" s="93"/>
      <c r="D16" s="93"/>
      <c r="E16" s="94"/>
      <c r="F16" s="95"/>
      <c r="G16" s="94" cm="1">
        <f t="array" aca="1" ref="G16" ca="1">defaultValue(G15,K13)</f>
        <v>3.5</v>
      </c>
      <c r="H16" s="93"/>
      <c r="I16" s="94"/>
      <c r="J16" s="94"/>
      <c r="K16" s="7" t="s">
        <v>181</v>
      </c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62" ht="15.6" x14ac:dyDescent="0.3">
      <c r="A19" s="51">
        <v>0</v>
      </c>
      <c r="B19" s="15"/>
      <c r="K19" s="3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</row>
    <row r="24" spans="1:62" ht="15.6" x14ac:dyDescent="0.3">
      <c r="A24" s="51">
        <v>0</v>
      </c>
      <c r="B24" s="15"/>
      <c r="K24" s="3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</row>
    <row r="27" spans="1:62" ht="15.6" x14ac:dyDescent="0.3">
      <c r="A27" s="51">
        <v>0</v>
      </c>
      <c r="B27" s="15"/>
      <c r="K27" s="3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</row>
    <row r="29" spans="1:62" x14ac:dyDescent="0.3">
      <c r="A29" s="34">
        <v>255</v>
      </c>
    </row>
    <row r="30" spans="1:62" x14ac:dyDescent="0.3">
      <c r="A30" s="34">
        <v>255</v>
      </c>
    </row>
    <row r="31" spans="1:62" s="3" customFormat="1" ht="38.4" customHeight="1" x14ac:dyDescent="0.3">
      <c r="A31" s="54" t="s">
        <v>160</v>
      </c>
      <c r="B31" s="15"/>
      <c r="C31" s="14">
        <v>1</v>
      </c>
      <c r="D31" s="22" t="s">
        <v>59</v>
      </c>
      <c r="E31" s="103" t="s">
        <v>185</v>
      </c>
      <c r="F31" s="104"/>
      <c r="G31" s="104"/>
      <c r="H31" s="105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s="3" customFormat="1" ht="21" x14ac:dyDescent="0.3">
      <c r="A32" s="51">
        <v>1</v>
      </c>
      <c r="B32" s="15"/>
      <c r="C32" s="93"/>
      <c r="D32" s="7"/>
      <c r="E32" s="94" t="str" cm="1">
        <f t="array" aca="1" ref="E32" ca="1">defaultValue(F32,K31)</f>
        <v>ظهر</v>
      </c>
      <c r="F32" s="7" t="s">
        <v>58</v>
      </c>
      <c r="G32" s="94" t="str" cm="1">
        <f t="array" aca="1" ref="G32" ca="1">defaultValue(H32,K31)</f>
        <v>يوفيلاك</v>
      </c>
      <c r="H32" s="7" t="s">
        <v>32</v>
      </c>
      <c r="I32" s="94" t="str" cm="1">
        <f t="array" aca="1" ref="I32" ca="1">defaultValue(J32,K31)</f>
        <v>HPL</v>
      </c>
      <c r="J32" s="7" t="s">
        <v>31</v>
      </c>
      <c r="K32" s="25" t="s">
        <v>111</v>
      </c>
    </row>
    <row r="33" spans="1:12" s="3" customFormat="1" ht="15.6" x14ac:dyDescent="0.3">
      <c r="A33" s="51">
        <v>1</v>
      </c>
      <c r="B33" s="15"/>
      <c r="C33" s="7"/>
      <c r="D33" s="18"/>
      <c r="E33" s="7" t="s">
        <v>12</v>
      </c>
      <c r="F33" s="7" t="s">
        <v>18</v>
      </c>
      <c r="G33" s="7" t="s">
        <v>16</v>
      </c>
      <c r="H33" s="7" t="s">
        <v>22</v>
      </c>
      <c r="I33" s="7" t="s">
        <v>3</v>
      </c>
      <c r="J33" s="7" t="s">
        <v>113</v>
      </c>
      <c r="K33" s="7" t="s">
        <v>180</v>
      </c>
    </row>
    <row r="34" spans="1:12" s="3" customFormat="1" ht="15.6" x14ac:dyDescent="0.3">
      <c r="A34" s="51">
        <v>1</v>
      </c>
      <c r="B34" s="15"/>
      <c r="C34" s="93"/>
      <c r="D34" s="93"/>
      <c r="E34" s="94">
        <v>1</v>
      </c>
      <c r="F34" s="95">
        <v>5</v>
      </c>
      <c r="G34" s="94" cm="1">
        <f t="array" aca="1" ref="G34" ca="1">defaultValue(G33,K31)</f>
        <v>3.5</v>
      </c>
      <c r="H34" s="93"/>
      <c r="I34" s="94" cm="1">
        <f t="array" aca="1" ref="I34" ca="1">defaultValue(I33,K31)</f>
        <v>78</v>
      </c>
      <c r="J34" s="94" cm="1">
        <f t="array" aca="1" ref="J34" ca="1">defaultValue(J33,K31)</f>
        <v>56</v>
      </c>
      <c r="K34" s="7" t="s">
        <v>181</v>
      </c>
    </row>
    <row r="35" spans="1:12" s="3" customFormat="1" ht="15.6" x14ac:dyDescent="0.3">
      <c r="A35" s="51">
        <v>0</v>
      </c>
      <c r="B35" s="15"/>
    </row>
    <row r="36" spans="1:12" s="3" customFormat="1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</row>
    <row r="37" spans="1:12" s="3" customFormat="1" ht="15.6" x14ac:dyDescent="0.3">
      <c r="A37" s="51">
        <v>0</v>
      </c>
      <c r="B37" s="15"/>
      <c r="C37" s="1"/>
      <c r="D37" s="1"/>
      <c r="E37" s="1"/>
      <c r="F37" s="1"/>
      <c r="G37" s="1"/>
      <c r="H37" s="1"/>
      <c r="I37" s="1"/>
      <c r="J37" s="1"/>
    </row>
    <row r="38" spans="1:12" s="3" customFormat="1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</row>
    <row r="39" spans="1:12" s="3" customFormat="1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</row>
    <row r="40" spans="1:12" s="3" customFormat="1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</row>
    <row r="41" spans="1:12" s="3" customFormat="1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</row>
    <row r="42" spans="1:12" s="3" customFormat="1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visible((F34*C31),K42)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</row>
    <row r="43" spans="1:12" s="3" customFormat="1" ht="15.6" x14ac:dyDescent="0.3">
      <c r="A43" s="51">
        <v>0</v>
      </c>
      <c r="B43" s="15"/>
    </row>
    <row r="44" spans="1:12" s="3" customFormat="1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visible(((H34/E34)-0.5),K44)</f>
        <v>-0.5</v>
      </c>
      <c r="H44" s="9" cm="1">
        <f t="array" ref="H44">visible((E34*C31),K44)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</row>
    <row r="45" spans="1:12" s="3" customFormat="1" ht="15.6" x14ac:dyDescent="0.3">
      <c r="A45" s="51">
        <v>0</v>
      </c>
      <c r="B45" s="15"/>
      <c r="C45" s="1"/>
      <c r="D45" s="1"/>
      <c r="E45" s="1"/>
      <c r="F45" s="1"/>
      <c r="G45" s="1"/>
      <c r="H45" s="1"/>
      <c r="I45" s="1"/>
      <c r="J45" s="1"/>
    </row>
    <row r="46" spans="1:12" s="3" customFormat="1" ht="15.6" x14ac:dyDescent="0.3">
      <c r="A46" s="51">
        <v>5</v>
      </c>
      <c r="B46" s="15" t="str" cm="1">
        <f t="array" ref="B46">visible(E31, K46)</f>
        <v>وحدة سفلية</v>
      </c>
      <c r="C46" s="19" cm="1">
        <f t="array" ref="C46">visible(7,K46)</f>
        <v>7</v>
      </c>
      <c r="D46" s="19" t="str" cm="1">
        <f t="array" aca="1" ref="D46" ca="1">visible((E32),K46)</f>
        <v>ظهر</v>
      </c>
      <c r="E46" s="19" t="str" cm="1">
        <f t="array" ref="E46">visible(("ظهر"),K46)</f>
        <v>ظهر</v>
      </c>
      <c r="F46" s="19" cm="1">
        <f t="array" aca="1" ref="F46" ca="1">visible((I34-2),K46)</f>
        <v>76</v>
      </c>
      <c r="G46" s="19" cm="1">
        <f t="array" ref="G46">visible((H34-2),K46)</f>
        <v>-2</v>
      </c>
      <c r="H46" s="19" cm="1">
        <f t="array" ref="H46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v>1</v>
      </c>
    </row>
    <row r="47" spans="1:12" s="3" customFormat="1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L47"/>
    </row>
    <row r="48" spans="1:12" s="3" customFormat="1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L48"/>
    </row>
    <row r="49" spans="1:11" ht="18" x14ac:dyDescent="0.3">
      <c r="A49" s="54" t="s">
        <v>156</v>
      </c>
      <c r="B49" s="15"/>
      <c r="C49" s="14">
        <v>1</v>
      </c>
      <c r="D49" s="22" t="s">
        <v>59</v>
      </c>
      <c r="E49" s="103" t="s">
        <v>186</v>
      </c>
      <c r="F49" s="104"/>
      <c r="G49" s="104"/>
      <c r="H49" s="105"/>
      <c r="I49" s="2" t="s">
        <v>30</v>
      </c>
      <c r="J49" s="2">
        <f>letterToNumber(A49)</f>
        <v>3</v>
      </c>
      <c r="K49" s="27">
        <f ca="1">_xlfn.SHEET("وحدات سفلية")</f>
        <v>4</v>
      </c>
    </row>
    <row r="50" spans="1:11" ht="21" x14ac:dyDescent="0.3">
      <c r="A50" s="51">
        <v>1</v>
      </c>
      <c r="B50" s="15"/>
      <c r="C50" s="93"/>
      <c r="D50" s="7"/>
      <c r="E50" s="94" t="str" cm="1">
        <f t="array" aca="1" ref="E50" ca="1">defaultValue(F50,K49)</f>
        <v>ظهر</v>
      </c>
      <c r="F50" s="7" t="s">
        <v>58</v>
      </c>
      <c r="G50" s="94" t="str" cm="1">
        <f t="array" aca="1" ref="G50" ca="1">defaultValue(H50,K49)</f>
        <v>يوفيلاك</v>
      </c>
      <c r="H50" s="7" t="s">
        <v>32</v>
      </c>
      <c r="I50" s="94" t="str" cm="1">
        <f t="array" aca="1" ref="I50" ca="1">defaultValue(J50,K49)</f>
        <v>HPL</v>
      </c>
      <c r="J50" s="7" t="s">
        <v>31</v>
      </c>
      <c r="K50" s="25" t="s">
        <v>111</v>
      </c>
    </row>
    <row r="51" spans="1:11" ht="15.6" x14ac:dyDescent="0.3">
      <c r="A51" s="51">
        <v>1</v>
      </c>
      <c r="B51" s="15"/>
      <c r="C51" s="7"/>
      <c r="D51" s="18"/>
      <c r="E51" s="7" t="s">
        <v>12</v>
      </c>
      <c r="F51" s="7" t="s">
        <v>18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180</v>
      </c>
    </row>
    <row r="52" spans="1:11" ht="15.6" x14ac:dyDescent="0.3">
      <c r="A52" s="51">
        <v>1</v>
      </c>
      <c r="B52" s="15"/>
      <c r="C52" s="93"/>
      <c r="D52" s="93"/>
      <c r="E52" s="94">
        <v>1</v>
      </c>
      <c r="F52" s="95">
        <v>5</v>
      </c>
      <c r="G52" s="94" cm="1">
        <f t="array" aca="1" ref="G52" ca="1">defaultValue(G51,K49)</f>
        <v>3.5</v>
      </c>
      <c r="H52" s="93"/>
      <c r="I52" s="94" cm="1">
        <f t="array" aca="1" ref="I52" ca="1">defaultValue(I51,K49)</f>
        <v>78</v>
      </c>
      <c r="J52" s="94" cm="1">
        <f t="array" aca="1" ref="J52" ca="1">defaultValue(J51,K49)</f>
        <v>56</v>
      </c>
      <c r="K52" s="7" t="s">
        <v>181</v>
      </c>
    </row>
    <row r="53" spans="1:11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</row>
    <row r="54" spans="1:11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/>
    </row>
    <row r="55" spans="1:11" ht="15.6" x14ac:dyDescent="0.3">
      <c r="A55" s="51">
        <v>0</v>
      </c>
      <c r="B55" s="15"/>
      <c r="K55" s="3"/>
    </row>
    <row r="56" spans="1:11" ht="15.6" x14ac:dyDescent="0.3">
      <c r="A56" s="51">
        <v>3</v>
      </c>
      <c r="B56" s="15" t="str" cm="1">
        <f t="array" ref="B56">visible(E49, K56)</f>
        <v>وحدة سفلية ادراج</v>
      </c>
      <c r="C56" s="6" cm="1">
        <f t="array" ref="C56">visible((1),K56)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</row>
    <row r="57" spans="1:11" ht="15.6" x14ac:dyDescent="0.3">
      <c r="A57" s="51">
        <v>3</v>
      </c>
      <c r="B57" s="15" t="str" cm="1">
        <f t="array" ref="B57">visible(E49, K57)</f>
        <v>وحدة سفلية ادراج</v>
      </c>
      <c r="C57" s="6" cm="1">
        <f t="array" ref="C57"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</row>
    <row r="58" spans="1:11" ht="15.6" x14ac:dyDescent="0.3">
      <c r="A58" s="51">
        <v>3</v>
      </c>
      <c r="B58" s="15" t="str" cm="1">
        <f t="array" ref="B58">visible(E49, K58)</f>
        <v>وحدة سفلية ادراج</v>
      </c>
      <c r="C58" s="6" cm="1">
        <f t="array" ref="C58"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</row>
    <row r="59" spans="1:11" ht="15.6" x14ac:dyDescent="0.3">
      <c r="A59" s="51">
        <v>3</v>
      </c>
      <c r="B59" s="15" t="str" cm="1">
        <f t="array" ref="B59">visible(E49, K59)</f>
        <v>وحدة سفلية ادراج</v>
      </c>
      <c r="C59" s="6" cm="1">
        <f t="array" ref="C59"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</row>
    <row r="60" spans="1:11" ht="15.6" x14ac:dyDescent="0.3">
      <c r="A60" s="51">
        <v>3</v>
      </c>
      <c r="B60" s="15" t="str" cm="1">
        <f t="array" ref="B60">visible(E49, K60)</f>
        <v>وحدة سفلية ادراج</v>
      </c>
      <c r="C60" s="6" cm="1">
        <f t="array" ref="C60"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visible((F52*C49),K60)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</row>
    <row r="61" spans="1:11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</row>
    <row r="62" spans="1:11" ht="15.6" x14ac:dyDescent="0.3">
      <c r="A62" s="51">
        <v>4</v>
      </c>
      <c r="B62" s="15" t="str" cm="1">
        <f t="array" ref="B62">visible(E49, K62)</f>
        <v>وحدة سفلية ادراج</v>
      </c>
      <c r="C62" s="9" cm="1">
        <f t="array" ref="C62"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visible(((H52/E52)-0.5),K62)</f>
        <v>-0.5</v>
      </c>
      <c r="H62" s="9" cm="1">
        <f t="array" ref="H62">visible((E52*C49),K62)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</row>
    <row r="63" spans="1:11" ht="15.6" x14ac:dyDescent="0.3">
      <c r="A63" s="51">
        <v>0</v>
      </c>
      <c r="B63" s="15"/>
      <c r="K63" s="3"/>
    </row>
    <row r="64" spans="1:11" ht="15.6" x14ac:dyDescent="0.3">
      <c r="A64" s="51">
        <v>5</v>
      </c>
      <c r="B64" s="15" t="str" cm="1">
        <f t="array" ref="B64">visible(E49, K64)</f>
        <v>وحدة سفلية ادراج</v>
      </c>
      <c r="C64" s="19" cm="1">
        <f t="array" ref="C64">visible(7,K64)</f>
        <v>7</v>
      </c>
      <c r="D64" s="19" t="str" cm="1">
        <f t="array" aca="1" ref="D64" ca="1">visible((E50),K64)</f>
        <v>ظهر</v>
      </c>
      <c r="E64" s="19" t="str" cm="1">
        <f t="array" ref="E64">visible(("ظهر"),K64)</f>
        <v>ظهر</v>
      </c>
      <c r="F64" s="19" cm="1">
        <f t="array" aca="1" ref="F64" ca="1">visible((I52-2),K64)</f>
        <v>76</v>
      </c>
      <c r="G64" s="19" cm="1">
        <f t="array" ref="G64">visible((H52-2),K64)</f>
        <v>-2</v>
      </c>
      <c r="H64" s="19" cm="1">
        <f t="array" ref="H64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v>1</v>
      </c>
    </row>
    <row r="65" spans="1:11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</row>
    <row r="66" spans="1:11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52" zoomScale="85" zoomScaleNormal="85" workbookViewId="0">
      <selection activeCell="L162" sqref="L162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3" t="s">
        <v>142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3" t="s">
        <v>23</v>
      </c>
      <c r="F48" s="104"/>
      <c r="G48" s="104"/>
      <c r="H48" s="105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3" t="s">
        <v>26</v>
      </c>
      <c r="F68" s="104"/>
      <c r="G68" s="104"/>
      <c r="H68" s="105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3" t="s">
        <v>29</v>
      </c>
      <c r="F89" s="104"/>
      <c r="G89" s="104"/>
      <c r="H89" s="105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3" t="s">
        <v>105</v>
      </c>
      <c r="F109" s="104"/>
      <c r="G109" s="104"/>
      <c r="H109" s="105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3" t="s">
        <v>162</v>
      </c>
      <c r="F132" s="104"/>
      <c r="G132" s="104"/>
      <c r="H132" s="105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3" t="s">
        <v>184</v>
      </c>
      <c r="F155" s="104"/>
      <c r="G155" s="104"/>
      <c r="H155" s="105"/>
      <c r="I155" s="2" t="s">
        <v>30</v>
      </c>
      <c r="J155" s="2">
        <f>letterToNumber(A155)</f>
        <v>7</v>
      </c>
      <c r="K155" s="27">
        <f ca="1">_xlfn.SHEET("وحدات سفلية")</f>
        <v>4</v>
      </c>
      <c r="BB155"/>
      <c r="BC155"/>
      <c r="BD155"/>
      <c r="BE155"/>
      <c r="BF155"/>
      <c r="BG155"/>
      <c r="BH155"/>
      <c r="BI155"/>
      <c r="BJ155"/>
    </row>
    <row r="156" spans="1:62" ht="21" x14ac:dyDescent="0.3">
      <c r="A156" s="51">
        <v>1</v>
      </c>
      <c r="C156" s="93"/>
      <c r="D156" s="7"/>
      <c r="E156" s="94" t="str" cm="1">
        <f t="array" aca="1" ref="E156" ca="1">defaultValue(F156,K155)</f>
        <v>ظهر</v>
      </c>
      <c r="F156" s="7" t="s">
        <v>58</v>
      </c>
      <c r="G156" s="94" t="str" cm="1">
        <f t="array" aca="1" ref="G156" ca="1">defaultValue(H156,K155)</f>
        <v>يوفيلاك</v>
      </c>
      <c r="H156" s="7" t="s">
        <v>32</v>
      </c>
      <c r="I156" s="94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/>
      <c r="D157" s="18"/>
      <c r="E157" s="7" t="s">
        <v>12</v>
      </c>
      <c r="F157" s="7" t="s">
        <v>18</v>
      </c>
      <c r="G157" s="7" t="s">
        <v>16</v>
      </c>
      <c r="H157" s="7" t="s">
        <v>22</v>
      </c>
      <c r="I157" s="7" t="s">
        <v>3</v>
      </c>
      <c r="J157" s="7" t="s">
        <v>113</v>
      </c>
      <c r="K157" s="7" t="s">
        <v>180</v>
      </c>
    </row>
    <row r="158" spans="1:62" x14ac:dyDescent="0.3">
      <c r="A158" s="51">
        <v>1</v>
      </c>
      <c r="C158" s="93"/>
      <c r="D158" s="93"/>
      <c r="E158" s="94">
        <v>1</v>
      </c>
      <c r="F158" s="95">
        <v>5</v>
      </c>
      <c r="G158" s="94" cm="1">
        <f t="array" aca="1" ref="G158" ca="1">defaultValue(G157,K155)</f>
        <v>3.5</v>
      </c>
      <c r="H158" s="93"/>
      <c r="I158" s="94" cm="1">
        <f t="array" aca="1" ref="I158" ca="1">defaultValue(I157,K155)</f>
        <v>78</v>
      </c>
      <c r="J158" s="94" cm="1">
        <f t="array" aca="1" ref="J158" ca="1">defaultValue(J157,K155)</f>
        <v>56</v>
      </c>
      <c r="K158" s="7" t="s">
        <v>181</v>
      </c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2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2" x14ac:dyDescent="0.3">
      <c r="A162" s="51">
        <v>3</v>
      </c>
      <c r="B162" s="15" t="str" cm="1">
        <f t="array" ref="B162">visible(E155, K162)</f>
        <v>وحدة سفلية دلفة /دلفتين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2" x14ac:dyDescent="0.3">
      <c r="A163" s="51">
        <v>3</v>
      </c>
      <c r="B163" s="15" t="str" cm="1">
        <f t="array" ref="B163">visible(E155, K163)</f>
        <v>وحدة سفلية دلفة /دلفتين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2" x14ac:dyDescent="0.3">
      <c r="A164" s="51">
        <v>3</v>
      </c>
      <c r="B164" s="15" t="str" cm="1">
        <f t="array" ref="B164">visible(E155, K164)</f>
        <v>وحدة سفلية دلفة /دلفتين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2" x14ac:dyDescent="0.3">
      <c r="A165" s="51">
        <v>3</v>
      </c>
      <c r="B165" s="15" t="str" cm="1">
        <f t="array" ref="B165">visible(E155, K165)</f>
        <v>وحدة سفلية دلفة /دلفتين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2" x14ac:dyDescent="0.3">
      <c r="A166" s="51">
        <v>3</v>
      </c>
      <c r="B166" s="15" t="str" cm="1">
        <f t="array" ref="B166">visible(E155, K166)</f>
        <v>وحدة سفلية دلفة /دلفتين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visible((F158*C155),K166)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2" x14ac:dyDescent="0.3">
      <c r="A167" s="51">
        <v>0</v>
      </c>
    </row>
    <row r="168" spans="1:12" x14ac:dyDescent="0.3">
      <c r="A168" s="51">
        <v>4</v>
      </c>
      <c r="B168" s="15" t="str" cm="1">
        <f t="array" ref="B168">visible(E155, K168)</f>
        <v>وحدة سفلية دلفة /دلفتين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visible(((H158/E158)-0.5),K168)</f>
        <v>-0.5</v>
      </c>
      <c r="H168" s="9" cm="1">
        <f t="array" ref="H168">visible((E158*C155),K168)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2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2" x14ac:dyDescent="0.3">
      <c r="A170" s="51">
        <v>5</v>
      </c>
      <c r="B170" s="15" t="str" cm="1">
        <f t="array" ref="B170">visible(E155, K170)</f>
        <v>وحدة سفلية دلفة /دلفتين</v>
      </c>
      <c r="C170" s="19" cm="1">
        <f t="array" ref="C170">visible(7,K170)</f>
        <v>7</v>
      </c>
      <c r="D170" s="19" t="e" cm="1">
        <f t="array" ref="D170">visible((E156),K170)</f>
        <v>#VALUE!</v>
      </c>
      <c r="E170" s="19" t="str" cm="1">
        <f t="array" ref="E170">visible(("ظهر"),K170)</f>
        <v>ظهر</v>
      </c>
      <c r="F170" s="19" cm="1">
        <f t="array" aca="1" ref="F170" ca="1">visible((I158-2),K170)</f>
        <v>76</v>
      </c>
      <c r="G170" s="19" cm="1">
        <f t="array" ref="G170">visible((H158-2),K170)</f>
        <v>-2</v>
      </c>
      <c r="H170" s="19" cm="1">
        <f t="array" ref="H170">visible((C155),K170)</f>
        <v>1</v>
      </c>
      <c r="I170" s="19" t="e" cm="1">
        <f t="array" ref="I170">visible(materialNum(D170),K170)</f>
        <v>#VALUE!</v>
      </c>
      <c r="J170" s="19" t="str" cm="1">
        <f t="array" ref="J170">visible((""),M170)</f>
        <v/>
      </c>
      <c r="K170" s="19" t="b">
        <v>1</v>
      </c>
    </row>
    <row r="171" spans="1:12" x14ac:dyDescent="0.3">
      <c r="A171" s="51">
        <v>255</v>
      </c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 s="51">
        <v>255</v>
      </c>
      <c r="C172"/>
      <c r="D172"/>
      <c r="E172"/>
      <c r="F172"/>
      <c r="G172"/>
      <c r="H172"/>
      <c r="I172"/>
      <c r="J172"/>
      <c r="K172"/>
      <c r="L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3" t="s">
        <v>116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3" t="s">
        <v>142</v>
      </c>
      <c r="F31" s="104"/>
      <c r="G31" s="104"/>
      <c r="H31" s="105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3" t="s">
        <v>119</v>
      </c>
      <c r="F66" s="104"/>
      <c r="G66" s="104"/>
      <c r="H66" s="105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3" t="s">
        <v>117</v>
      </c>
      <c r="F86" s="104"/>
      <c r="G86" s="104"/>
      <c r="H86" s="105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3" t="s">
        <v>118</v>
      </c>
      <c r="F107" s="104"/>
      <c r="G107" s="104"/>
      <c r="H107" s="105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3" t="s">
        <v>162</v>
      </c>
      <c r="F127" s="104"/>
      <c r="G127" s="104"/>
      <c r="H127" s="105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3" t="s">
        <v>44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3" t="s">
        <v>50</v>
      </c>
      <c r="F34" s="104"/>
      <c r="G34" s="104"/>
      <c r="H34" s="105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3" t="s">
        <v>45</v>
      </c>
      <c r="F55" s="104"/>
      <c r="G55" s="104"/>
      <c r="H55" s="105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3" t="s">
        <v>168</v>
      </c>
      <c r="F79" s="104"/>
      <c r="G79" s="104"/>
      <c r="H79" s="105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3" t="s">
        <v>46</v>
      </c>
      <c r="F103" s="104"/>
      <c r="G103" s="104"/>
      <c r="H103" s="105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3" t="s">
        <v>47</v>
      </c>
      <c r="F129" s="104"/>
      <c r="G129" s="104"/>
      <c r="H129" s="105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3" t="s">
        <v>109</v>
      </c>
      <c r="F150" s="104"/>
      <c r="G150" s="104"/>
      <c r="H150" s="105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3" t="s">
        <v>66</v>
      </c>
      <c r="F98" s="104"/>
      <c r="G98" s="104"/>
      <c r="H98" s="105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3" t="s">
        <v>67</v>
      </c>
      <c r="F118" s="104"/>
      <c r="G118" s="104"/>
      <c r="H118" s="105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3" t="s">
        <v>68</v>
      </c>
      <c r="F138" s="104"/>
      <c r="G138" s="104"/>
      <c r="H138" s="105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3" t="s">
        <v>170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3" t="s">
        <v>171</v>
      </c>
      <c r="F25" s="104"/>
      <c r="G25" s="104"/>
      <c r="H25" s="105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3" t="s">
        <v>172</v>
      </c>
      <c r="F37" s="104"/>
      <c r="G37" s="104"/>
      <c r="H37" s="105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2024-09-19T15:05:08Z</dcterms:modified>
</cp:coreProperties>
</file>