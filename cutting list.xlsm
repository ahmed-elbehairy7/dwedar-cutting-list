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DA68430A-F97E-498B-8AAC-A781438D5B77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3" i="11" l="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C63" i="11"/>
  <c r="C62" i="11"/>
  <c r="C61" i="11"/>
  <c r="C60" i="11"/>
  <c r="C66" i="11"/>
  <c r="C64" i="11"/>
  <c r="B26" i="6"/>
  <c r="B25" i="6"/>
  <c r="B50" i="6"/>
  <c r="B24" i="6"/>
  <c r="B38" i="6"/>
  <c r="B35" i="6"/>
  <c r="B49" i="6"/>
  <c r="B23" i="6"/>
  <c r="B48" i="6"/>
  <c r="B22" i="6"/>
  <c r="B47" i="6"/>
  <c r="B36" i="6"/>
  <c r="B46" i="6"/>
  <c r="B37" i="6"/>
  <c r="B34" i="6"/>
  <c r="E64" i="11" a="1"/>
  <c r="F63" i="11" a="1"/>
  <c r="G62" i="11" a="1"/>
  <c r="H61" i="11" a="1"/>
  <c r="B60" i="11" a="1"/>
  <c r="E54" i="11" a="1"/>
  <c r="B66" i="11" a="1"/>
  <c r="E63" i="11" a="1"/>
  <c r="F62" i="11" a="1"/>
  <c r="H60" i="11" a="1"/>
  <c r="C54" i="11" a="1"/>
  <c r="H66" i="11" a="1"/>
  <c r="B64" i="11" a="1"/>
  <c r="E62" i="11" a="1"/>
  <c r="H62" i="11" a="1"/>
  <c r="J53" i="11"/>
  <c r="G66" i="11" a="1"/>
  <c r="H64" i="11" a="1"/>
  <c r="B63" i="11" a="1"/>
  <c r="E61" i="11" a="1"/>
  <c r="F60" i="11" a="1"/>
  <c r="G56" i="11" a="1"/>
  <c r="H63" i="11" a="1"/>
  <c r="I54" i="11" a="1"/>
  <c r="E66" i="11" a="1"/>
  <c r="F64" i="11" a="1"/>
  <c r="G63" i="11" a="1"/>
  <c r="B61" i="11" a="1"/>
  <c r="G54" i="11" a="1"/>
  <c r="B62" i="11" a="1"/>
  <c r="E60" i="11" a="1"/>
  <c r="B35" i="5"/>
  <c r="B84" i="5"/>
  <c r="B33" i="5"/>
  <c r="B65" i="5"/>
  <c r="B29" i="5"/>
  <c r="B36" i="5"/>
  <c r="B83" i="5"/>
  <c r="B32" i="5"/>
  <c r="B66" i="5"/>
  <c r="B31" i="5"/>
  <c r="B30" i="5"/>
  <c r="B64" i="5"/>
  <c r="B39" i="5"/>
  <c r="B93" i="5"/>
  <c r="B63" i="5"/>
  <c r="B62" i="5"/>
  <c r="B41" i="5"/>
  <c r="B38" i="5"/>
  <c r="B164" i="4"/>
  <c r="B126" i="4"/>
  <c r="B99" i="4"/>
  <c r="B71" i="4"/>
  <c r="B30" i="4"/>
  <c r="B151" i="4"/>
  <c r="B124" i="4"/>
  <c r="B97" i="4"/>
  <c r="B70" i="4"/>
  <c r="B29" i="4"/>
  <c r="B123" i="4"/>
  <c r="B96" i="4"/>
  <c r="B69" i="4"/>
  <c r="B28" i="4"/>
  <c r="B121" i="4"/>
  <c r="B95" i="4"/>
  <c r="B56" i="4"/>
  <c r="B27" i="4"/>
  <c r="B149" i="4"/>
  <c r="B147" i="4"/>
  <c r="B146" i="4"/>
  <c r="B120" i="4"/>
  <c r="B94" i="4"/>
  <c r="B54" i="4"/>
  <c r="B119" i="4"/>
  <c r="B53" i="4"/>
  <c r="B144" i="4"/>
  <c r="B80" i="4"/>
  <c r="B143" i="4"/>
  <c r="B78" i="4"/>
  <c r="B116" i="4"/>
  <c r="B49" i="4"/>
  <c r="B167" i="4"/>
  <c r="B75" i="4"/>
  <c r="B102" i="4"/>
  <c r="B165" i="4"/>
  <c r="B33" i="4"/>
  <c r="B145" i="4"/>
  <c r="B93" i="4"/>
  <c r="B173" i="4"/>
  <c r="B51" i="4"/>
  <c r="B117" i="4"/>
  <c r="B50" i="4"/>
  <c r="B76" i="4"/>
  <c r="B104" i="4"/>
  <c r="B129" i="4"/>
  <c r="B35" i="4"/>
  <c r="B100" i="4"/>
  <c r="B118" i="4"/>
  <c r="B171" i="4"/>
  <c r="B142" i="4"/>
  <c r="B130" i="4"/>
  <c r="B48" i="4"/>
  <c r="B73" i="4"/>
  <c r="B127" i="4"/>
  <c r="B72" i="4"/>
  <c r="B168" i="4"/>
  <c r="B166" i="4"/>
  <c r="F91" i="5"/>
  <c r="F85" i="5"/>
  <c r="B91" i="5"/>
  <c r="F89" i="5"/>
  <c r="G89" i="5"/>
  <c r="B85" i="5"/>
  <c r="G91" i="5"/>
  <c r="G85" i="5"/>
  <c r="F82" i="5"/>
  <c r="F81" i="5"/>
  <c r="B86" i="5"/>
  <c r="G81" i="5"/>
  <c r="F90" i="5"/>
  <c r="G90" i="5"/>
  <c r="G82" i="5"/>
  <c r="B90" i="5"/>
  <c r="B89" i="5"/>
  <c r="B82" i="5"/>
  <c r="F86" i="5"/>
  <c r="G86" i="5"/>
  <c r="B81" i="5"/>
  <c r="G80" i="5"/>
  <c r="G79" i="5"/>
  <c r="G78" i="5"/>
  <c r="F80" i="5"/>
  <c r="F79" i="5"/>
  <c r="F78" i="5"/>
  <c r="B79" i="5"/>
  <c r="B80" i="5"/>
  <c r="B78" i="5"/>
  <c r="F76" i="5"/>
  <c r="F74" i="5"/>
  <c r="G76" i="5"/>
  <c r="G75" i="5"/>
  <c r="G74" i="5"/>
  <c r="F75" i="5"/>
  <c r="B76" i="5"/>
  <c r="B75" i="5"/>
  <c r="B74" i="5"/>
  <c r="G73" i="5"/>
  <c r="G72" i="5"/>
  <c r="G71" i="5"/>
  <c r="F73" i="5"/>
  <c r="F72" i="5"/>
  <c r="B73" i="5"/>
  <c r="F71" i="5"/>
  <c r="B71" i="5"/>
  <c r="B72" i="5"/>
  <c r="G68" i="5"/>
  <c r="G69" i="5"/>
  <c r="G70" i="5"/>
  <c r="F70" i="5"/>
  <c r="F69" i="5"/>
  <c r="F68" i="5"/>
  <c r="B70" i="5"/>
  <c r="B69" i="5"/>
  <c r="B68" i="5"/>
  <c r="B32" i="4"/>
  <c r="F4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84" i="5"/>
  <c r="G83" i="5"/>
  <c r="G66" i="5"/>
  <c r="G65" i="5"/>
  <c r="G64" i="5"/>
  <c r="G63" i="5"/>
  <c r="G62" i="5"/>
  <c r="G41" i="5"/>
  <c r="G33" i="5"/>
  <c r="G32" i="5"/>
  <c r="G31" i="5"/>
  <c r="G30" i="5"/>
  <c r="G29" i="5"/>
  <c r="G173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173" i="3"/>
  <c r="G170" i="3"/>
  <c r="G168" i="3"/>
  <c r="G167" i="3"/>
  <c r="G166" i="3"/>
  <c r="G164" i="3"/>
  <c r="G163" i="3"/>
  <c r="G150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84" i="5"/>
  <c r="F83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E60" i="11" l="1"/>
  <c r="B62" i="11"/>
  <c r="G54" i="11"/>
  <c r="B61" i="11"/>
  <c r="G63" i="11"/>
  <c r="F64" i="11"/>
  <c r="E66" i="11"/>
  <c r="I54" i="11"/>
  <c r="H63" i="11"/>
  <c r="G56" i="11"/>
  <c r="F60" i="11"/>
  <c r="E61" i="11"/>
  <c r="B63" i="11"/>
  <c r="H64" i="11"/>
  <c r="G66" i="11"/>
  <c r="H62" i="11"/>
  <c r="E62" i="11"/>
  <c r="B64" i="11"/>
  <c r="H66" i="11"/>
  <c r="C54" i="11"/>
  <c r="K68" i="11" s="1"/>
  <c r="H60" i="11"/>
  <c r="F62" i="11"/>
  <c r="E63" i="11"/>
  <c r="B66" i="11"/>
  <c r="E54" i="11"/>
  <c r="B60" i="11"/>
  <c r="H61" i="11"/>
  <c r="G62" i="11"/>
  <c r="F63" i="11"/>
  <c r="E64" i="11"/>
  <c r="B25" i="3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C68" i="11"/>
  <c r="D68" i="11" a="1"/>
  <c r="D66" i="11" a="1"/>
  <c r="D60" i="11" a="1"/>
  <c r="D61" i="11" a="1"/>
  <c r="D62" i="11" a="1"/>
  <c r="D63" i="11" a="1"/>
  <c r="D64" i="11" a="1"/>
  <c r="E68" i="11" a="1"/>
  <c r="G68" i="11" a="1"/>
  <c r="H68" i="11" a="1"/>
  <c r="B68" i="11" a="1"/>
  <c r="G60" i="11" a="1"/>
  <c r="G61" i="11" a="1"/>
  <c r="F61" i="11" a="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61" i="11" l="1"/>
  <c r="G61" i="11"/>
  <c r="G60" i="11"/>
  <c r="B68" i="11"/>
  <c r="H68" i="11"/>
  <c r="G68" i="11"/>
  <c r="E68" i="11"/>
  <c r="D64" i="11"/>
  <c r="D63" i="11"/>
  <c r="D62" i="11"/>
  <c r="D61" i="11"/>
  <c r="D60" i="11"/>
  <c r="D66" i="11"/>
  <c r="D68" i="11"/>
  <c r="F82" i="3"/>
  <c r="F78" i="3"/>
  <c r="F85" i="3"/>
  <c r="G44" i="3"/>
  <c r="G43" i="3"/>
  <c r="G25" i="3"/>
  <c r="G24" i="3"/>
  <c r="G77" i="3"/>
  <c r="G78" i="3"/>
  <c r="F44" i="3"/>
  <c r="F25" i="3"/>
  <c r="E73" i="3"/>
  <c r="I64" i="11"/>
  <c r="J64" i="11" s="1"/>
  <c r="I66" i="11"/>
  <c r="J66" i="11" s="1"/>
  <c r="F68" i="11" a="1"/>
  <c r="G64" i="11" a="1"/>
  <c r="I63" i="11"/>
  <c r="J63" i="11" s="1"/>
  <c r="I62" i="11"/>
  <c r="J62" i="11" s="1"/>
  <c r="I61" i="11"/>
  <c r="J61" i="11" s="1"/>
  <c r="I60" i="11"/>
  <c r="J60" i="11" s="1"/>
  <c r="I68" i="11"/>
  <c r="J68" i="11" s="1"/>
  <c r="F66" i="11" a="1"/>
  <c r="G81" i="3" a="1"/>
  <c r="G28" i="3" a="1"/>
  <c r="G82" i="3" a="1"/>
  <c r="F66" i="11" l="1"/>
  <c r="G64" i="11"/>
  <c r="F68" i="11"/>
  <c r="G82" i="3"/>
  <c r="G28" i="3"/>
  <c r="G81" i="3"/>
  <c r="G84" i="3" a="1"/>
  <c r="G84" i="3" l="1"/>
  <c r="K35" i="11" l="1"/>
  <c r="K17" i="11"/>
  <c r="G44" i="11" a="1"/>
  <c r="E29" i="11" a="1"/>
  <c r="H42" i="11" a="1"/>
  <c r="H30" i="11" a="1"/>
  <c r="B48" i="11" a="1"/>
  <c r="C29" i="11" a="1"/>
  <c r="C27" i="11" a="1"/>
  <c r="B24" i="11" a="1"/>
  <c r="F32" i="11" a="1"/>
  <c r="G48" i="11" a="1"/>
  <c r="G30" i="11" a="1"/>
  <c r="C46" i="11" a="1"/>
  <c r="H24" i="11" a="1"/>
  <c r="H44" i="11" a="1"/>
  <c r="H46" i="11" a="1"/>
  <c r="B29" i="11" a="1"/>
  <c r="F24" i="11" a="1"/>
  <c r="J17" i="11"/>
  <c r="H48" i="11" a="1"/>
  <c r="H45" i="11" a="1"/>
  <c r="H32" i="11" a="1"/>
  <c r="B45" i="11" a="1"/>
  <c r="C42" i="11" a="1"/>
  <c r="G26" i="11" a="1"/>
  <c r="C32" i="11" a="1"/>
  <c r="E45" i="11" a="1"/>
  <c r="F25" i="11" a="1"/>
  <c r="F29" i="11" a="1"/>
  <c r="F42" i="11" a="1"/>
  <c r="F26" i="11" a="1"/>
  <c r="F44" i="11" a="1"/>
  <c r="J35" i="11"/>
  <c r="C25" i="11" a="1"/>
  <c r="E43" i="11" a="1"/>
  <c r="E26" i="11" a="1"/>
  <c r="E27" i="11" a="1"/>
  <c r="G29" i="11" a="1"/>
  <c r="C26" i="11" a="1"/>
  <c r="C43" i="11" a="1"/>
  <c r="B32" i="11" a="1"/>
  <c r="H43" i="11" a="1"/>
  <c r="G27" i="11" a="1"/>
  <c r="B26" i="11" a="1"/>
  <c r="H25" i="11" a="1"/>
  <c r="G45" i="11" a="1"/>
  <c r="B30" i="11" a="1"/>
  <c r="C44" i="11" a="1"/>
  <c r="E44" i="11" a="1"/>
  <c r="H26" i="11" a="1"/>
  <c r="E25" i="11" a="1"/>
  <c r="E42" i="11" a="1"/>
  <c r="G25" i="11" a="1"/>
  <c r="B27" i="11" a="1"/>
  <c r="F45" i="11" a="1"/>
  <c r="G24" i="11" a="1"/>
  <c r="B44" i="11" a="1"/>
  <c r="B42" i="11" a="1"/>
  <c r="B46" i="11" a="1"/>
  <c r="B25" i="11" a="1"/>
  <c r="E32" i="11" a="1"/>
  <c r="E46" i="11" a="1"/>
  <c r="H27" i="11" a="1"/>
  <c r="E24" i="11" a="1"/>
  <c r="E48" i="11" a="1"/>
  <c r="H29" i="11" a="1"/>
  <c r="E30" i="11" a="1"/>
  <c r="F30" i="11" a="1"/>
  <c r="C48" i="11" a="1"/>
  <c r="C45" i="11" a="1"/>
  <c r="F27" i="11" a="1"/>
  <c r="C24" i="11" a="1"/>
  <c r="B43" i="11" a="1"/>
  <c r="G32" i="11" a="1"/>
  <c r="C30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3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41" i="6"/>
  <c r="J29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10" i="4" a="1"/>
  <c r="G41" i="4" a="1"/>
  <c r="J111" i="4" a="1"/>
  <c r="I110" i="4" a="1"/>
  <c r="I41" i="4" a="1"/>
  <c r="G20" i="4" a="1"/>
  <c r="G136" i="4" a="1"/>
  <c r="I136" i="4" a="1"/>
  <c r="J20" i="4" a="1"/>
  <c r="J86" i="4" a="1"/>
  <c r="C36" i="11" a="1"/>
  <c r="G38" i="11" a="1"/>
  <c r="I62" i="4" a="1"/>
  <c r="I137" i="4" a="1"/>
  <c r="J41" i="4" a="1"/>
  <c r="G157" i="4" a="1"/>
  <c r="J137" i="4" a="1"/>
  <c r="G62" i="4" a="1"/>
  <c r="J157" i="4" a="1"/>
  <c r="I86" i="4" a="1"/>
  <c r="J62" i="4" a="1"/>
  <c r="I20" i="4" a="1"/>
  <c r="I157" i="4" a="1"/>
  <c r="G86" i="4" a="1"/>
  <c r="I111" i="4" a="1"/>
  <c r="I36" i="11" a="1"/>
  <c r="J38" i="11" a="1"/>
  <c r="J110" i="4" a="1"/>
  <c r="J136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7" i="6"/>
  <c r="J44" i="5"/>
  <c r="J17" i="5"/>
  <c r="J17" i="4"/>
  <c r="J133" i="4"/>
  <c r="J107" i="4"/>
  <c r="J38" i="4"/>
  <c r="J59" i="4"/>
  <c r="J154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0" i="4"/>
  <c r="F35" i="4"/>
  <c r="F33" i="4"/>
  <c r="F29" i="4"/>
  <c r="D43" i="11" a="1"/>
  <c r="E157" i="3" a="1"/>
  <c r="I114" i="3" a="1"/>
  <c r="I134" i="3" a="1"/>
  <c r="G93" i="3" a="1"/>
  <c r="J94" i="3" a="1"/>
  <c r="C50" i="11" a="1"/>
  <c r="J114" i="3" a="1"/>
  <c r="F134" i="3" a="1"/>
  <c r="J93" i="3" a="1"/>
  <c r="G157" i="3" a="1"/>
  <c r="F86" i="4" a="1"/>
  <c r="D46" i="11" a="1"/>
  <c r="I94" i="3" a="1"/>
  <c r="F157" i="4" a="1"/>
  <c r="D45" i="11" a="1"/>
  <c r="J157" i="3" a="1"/>
  <c r="G43" i="11" a="1"/>
  <c r="D42" i="11" a="1"/>
  <c r="B50" i="11" a="1"/>
  <c r="F20" i="4" a="1"/>
  <c r="I115" i="3" a="1"/>
  <c r="F136" i="4" a="1"/>
  <c r="G42" i="11" a="1"/>
  <c r="F62" i="4" a="1"/>
  <c r="G134" i="3" a="1"/>
  <c r="D44" i="11" a="1"/>
  <c r="J115" i="3" a="1"/>
  <c r="H50" i="11" a="1"/>
  <c r="F48" i="11" a="1"/>
  <c r="I157" i="3" a="1"/>
  <c r="G50" i="11" a="1"/>
  <c r="F41" i="4" a="1"/>
  <c r="F43" i="11" a="1"/>
  <c r="J134" i="3" a="1"/>
  <c r="E114" i="3" a="1"/>
  <c r="E50" i="11" a="1"/>
  <c r="F110" i="4" a="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F32" i="4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49" i="4"/>
  <c r="F124" i="4"/>
  <c r="F123" i="4"/>
  <c r="F99" i="4"/>
  <c r="F75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44" i="11"/>
  <c r="I42" i="11"/>
  <c r="I45" i="11"/>
  <c r="I43" i="11"/>
  <c r="I46" i="11"/>
  <c r="F50" i="11" l="1"/>
  <c r="F87" i="4"/>
  <c r="F88" i="4" s="1"/>
  <c r="C159" i="4"/>
  <c r="F158" i="4"/>
  <c r="F159" i="4" s="1"/>
  <c r="D158" i="4"/>
  <c r="C158" i="4"/>
  <c r="G171" i="4"/>
  <c r="G171" i="3"/>
  <c r="G126" i="3"/>
  <c r="F170" i="3"/>
  <c r="F106" i="3"/>
  <c r="J42" i="11"/>
  <c r="E18" i="6" a="1"/>
  <c r="G18" i="5" a="1"/>
  <c r="J45" i="11"/>
  <c r="G108" i="4" a="1"/>
  <c r="G60" i="4" a="1"/>
  <c r="G134" i="4" a="1"/>
  <c r="J43" i="11"/>
  <c r="E18" i="11" a="1"/>
  <c r="J44" i="11"/>
  <c r="G18" i="4" a="1"/>
  <c r="J46" i="11"/>
  <c r="D29" i="11" a="1"/>
  <c r="G91" i="3" a="1"/>
  <c r="E42" i="6" a="1"/>
  <c r="G155" i="4" a="1"/>
  <c r="G45" i="5" a="1"/>
  <c r="E30" i="6" a="1"/>
  <c r="G39" i="4" a="1"/>
  <c r="G84" i="4" a="1"/>
  <c r="G155" i="3" a="1"/>
  <c r="G36" i="11" a="1"/>
  <c r="G112" i="3" a="1"/>
  <c r="D30" i="11" a="1"/>
  <c r="G132" i="3" a="1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G170" i="4"/>
  <c r="F170" i="4"/>
  <c r="C170" i="4"/>
  <c r="E170" i="4"/>
  <c r="H170" i="4"/>
  <c r="B170" i="4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26" i="3"/>
  <c r="D106" i="3"/>
  <c r="D105" i="3"/>
  <c r="E155" i="3" a="1"/>
  <c r="E60" i="4" a="1"/>
  <c r="I91" i="3" a="1"/>
  <c r="D32" i="11" a="1"/>
  <c r="I35" i="5"/>
  <c r="E18" i="5" a="1"/>
  <c r="I84" i="4" a="1"/>
  <c r="I32" i="4"/>
  <c r="I132" i="3" a="1"/>
  <c r="I39" i="4" a="1"/>
  <c r="E84" i="4" a="1"/>
  <c r="I126" i="3"/>
  <c r="I112" i="3" a="1"/>
  <c r="I155" i="3" a="1"/>
  <c r="E134" i="4" a="1"/>
  <c r="I170" i="4"/>
  <c r="I29" i="11"/>
  <c r="I45" i="5" a="1"/>
  <c r="E39" i="4" a="1"/>
  <c r="E132" i="3" a="1"/>
  <c r="I155" i="4" a="1"/>
  <c r="E45" i="5" a="1"/>
  <c r="I18" i="4" a="1"/>
  <c r="E112" i="3" a="1"/>
  <c r="I18" i="5" a="1"/>
  <c r="I60" i="4" a="1"/>
  <c r="I134" i="4" a="1"/>
  <c r="E155" i="4" a="1"/>
  <c r="E36" i="11" a="1"/>
  <c r="E91" i="3" a="1"/>
  <c r="I149" i="4"/>
  <c r="E18" i="4" a="1"/>
  <c r="D48" i="11" a="1"/>
  <c r="I53" i="4"/>
  <c r="E108" i="4" a="1"/>
  <c r="I30" i="11"/>
  <c r="I108" i="4" a="1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J100" i="4"/>
  <c r="I93" i="5"/>
  <c r="I173" i="4"/>
  <c r="J35" i="5"/>
  <c r="I56" i="4"/>
  <c r="I48" i="6"/>
  <c r="I27" i="4"/>
  <c r="I24" i="6"/>
  <c r="I106" i="3"/>
  <c r="I32" i="11"/>
  <c r="J32" i="4"/>
  <c r="I150" i="3"/>
  <c r="I46" i="6"/>
  <c r="I84" i="5"/>
  <c r="I80" i="5"/>
  <c r="I37" i="6"/>
  <c r="I48" i="11"/>
  <c r="I75" i="4"/>
  <c r="I81" i="5"/>
  <c r="J79" i="5"/>
  <c r="I99" i="4"/>
  <c r="I36" i="5"/>
  <c r="J171" i="3"/>
  <c r="J170" i="4"/>
  <c r="I35" i="6"/>
  <c r="I35" i="4"/>
  <c r="J76" i="4"/>
  <c r="J30" i="11"/>
  <c r="I151" i="4"/>
  <c r="I22" i="6"/>
  <c r="I34" i="6"/>
  <c r="J126" i="3"/>
  <c r="I41" i="5"/>
  <c r="I128" i="3"/>
  <c r="I36" i="6"/>
  <c r="D50" i="11" a="1"/>
  <c r="I50" i="6"/>
  <c r="J124" i="4"/>
  <c r="I80" i="4"/>
  <c r="I85" i="5"/>
  <c r="I38" i="6"/>
  <c r="I25" i="6"/>
  <c r="I78" i="5"/>
  <c r="I173" i="3"/>
  <c r="I86" i="5"/>
  <c r="J29" i="11"/>
  <c r="I23" i="6"/>
  <c r="I49" i="6"/>
  <c r="I123" i="4"/>
  <c r="J53" i="4"/>
  <c r="J149" i="4"/>
  <c r="I170" i="3"/>
  <c r="I26" i="6"/>
  <c r="I83" i="5"/>
  <c r="I104" i="4"/>
  <c r="D50" i="11" l="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25" i="6"/>
  <c r="I33" i="5"/>
  <c r="I151" i="3"/>
  <c r="I50" i="11"/>
  <c r="I68" i="5"/>
  <c r="I66" i="5"/>
  <c r="I32" i="5"/>
  <c r="J119" i="4"/>
  <c r="I129" i="4"/>
  <c r="I29" i="4"/>
  <c r="I119" i="3"/>
  <c r="I69" i="4"/>
  <c r="I102" i="3"/>
  <c r="I121" i="3"/>
  <c r="I50" i="4"/>
  <c r="I140" i="3"/>
  <c r="I93" i="4"/>
  <c r="J36" i="6"/>
  <c r="J173" i="4"/>
  <c r="J30" i="5"/>
  <c r="I144" i="3"/>
  <c r="J35" i="6"/>
  <c r="I145" i="3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J71" i="4"/>
  <c r="J63" i="5"/>
  <c r="J85" i="5"/>
  <c r="J80" i="4"/>
  <c r="I139" i="3"/>
  <c r="J173" i="3"/>
  <c r="I123" i="3"/>
  <c r="J86" i="5"/>
  <c r="I69" i="5"/>
  <c r="I166" i="3"/>
  <c r="I147" i="4"/>
  <c r="I116" i="4"/>
  <c r="J148" i="3"/>
  <c r="J49" i="4"/>
  <c r="I143" i="3"/>
  <c r="I174" i="3"/>
  <c r="I73" i="5"/>
  <c r="J41" i="5"/>
  <c r="I29" i="5"/>
  <c r="J150" i="3"/>
  <c r="I167" i="3"/>
  <c r="J128" i="3"/>
  <c r="J50" i="6"/>
  <c r="I142" i="4"/>
  <c r="I120" i="4"/>
  <c r="J24" i="6"/>
  <c r="I70" i="5"/>
  <c r="I62" i="5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142" i="3"/>
  <c r="J83" i="5"/>
  <c r="I65" i="5"/>
  <c r="J78" i="5"/>
  <c r="J36" i="5"/>
  <c r="J35" i="4"/>
  <c r="I31" i="5"/>
  <c r="I103" i="3"/>
  <c r="I146" i="4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G35" i="5"/>
  <c r="G36" i="5"/>
  <c r="G38" i="5"/>
  <c r="G39" i="5"/>
  <c r="J118" i="4"/>
  <c r="J121" i="4"/>
  <c r="J166" i="4"/>
  <c r="J141" i="3"/>
  <c r="J101" i="3"/>
  <c r="J164" i="3"/>
  <c r="J97" i="4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142" i="4"/>
  <c r="J144" i="4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F53" i="4"/>
  <c r="F54" i="4"/>
  <c r="G33" i="4"/>
  <c r="H21" i="4" l="1"/>
  <c r="H22" i="4" s="1"/>
  <c r="C44" i="4"/>
  <c r="C23" i="4"/>
  <c r="I42" i="4"/>
  <c r="I43" i="4" s="1"/>
  <c r="D147" i="3"/>
  <c r="I147" i="3"/>
  <c r="J147" i="3"/>
  <c r="B147" i="3"/>
  <c r="E147" i="3"/>
  <c r="C147" i="3"/>
  <c r="F147" i="3"/>
  <c r="H147" i="3"/>
  <c r="G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<sst xmlns="http://schemas.openxmlformats.org/spreadsheetml/2006/main" count="701" uniqueCount="137">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</sst>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2" fillId="9" borderId="0" xfId="0" applyFont="1" applyFill="1" applyBorder="1" applyAlignment="1">
      <alignment horizontal="center"/>
    </xf>
  </cellXfs>
  <cellStyles count="1">
    <cellStyle name="Normal" xfId="0" builtinId="0"/>
  </cellStyles>
  <dxfs count="15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56111</xdr:rowOff>
        </xdr:from>
        <xdr:to>
          <xdr:col>18</xdr:col>
          <xdr:colOff>51031</xdr:colOff>
          <xdr:row>11</xdr:row>
          <xdr:rowOff>223751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B277535D-1039-2AF6-1882-0F347AADF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226291</xdr:colOff>
          <xdr:row>10</xdr:row>
          <xdr:rowOff>56111</xdr:rowOff>
        </xdr:from>
        <xdr:to>
          <xdr:col>20</xdr:col>
          <xdr:colOff>119611</xdr:colOff>
          <xdr:row>11</xdr:row>
          <xdr:rowOff>223751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71F552C3-47F4-F0A5-4B9F-01E162DA8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0" dataDxfId="148" headerRowBorderDxfId="149" tableBorderDxfId="147" totalsRowBorderDxfId="146">
  <tableColumns count="2">
    <tableColumn id="1" xr3:uid="{00000000-0010-0000-0200-000001000000}" name="Column1" headerRowDxfId="145" dataDxfId="144"/>
    <tableColumn id="2" xr3:uid="{00000000-0010-0000-0200-000002000000}" name="Column2" headerRowDxfId="143" dataDxfId="14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1" dataDxfId="139" headerRowBorderDxfId="140" tableBorderDxfId="138" totalsRowBorderDxfId="137">
  <tableColumns count="2">
    <tableColumn id="1" xr3:uid="{CD0B7C1C-6074-4B03-92D4-BC81F2EBB19C}" name="Column1" headerRowDxfId="136" dataDxfId="135">
      <calculatedColumnFormula array="1">defaultValue(G29,1)</calculatedColumnFormula>
    </tableColumn>
    <tableColumn id="2" xr3:uid="{EB8B2C46-B6A3-497A-AC36-E0E0DE2EA54A}" name="Column2" headerRowDxfId="134" dataDxfId="13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2" dataDxfId="130" headerRowBorderDxfId="131" tableBorderDxfId="129" totalsRowBorderDxfId="128">
  <tableColumns count="2">
    <tableColumn id="1" xr3:uid="{250C44D2-47B1-42C2-8D2B-CAA1432FDA56}" name="Column1" headerRowDxfId="127" dataDxfId="126">
      <calculatedColumnFormula array="1">defaultValue(M29,$C$28)</calculatedColumnFormula>
    </tableColumn>
    <tableColumn id="2" xr3:uid="{E5D458B6-4695-4151-8C3A-36078280174C}" name="Column2" headerRowDxfId="125" dataDxfId="12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3" dataDxfId="121" headerRowBorderDxfId="122" tableBorderDxfId="120" totalsRowBorderDxfId="119">
  <tableColumns count="2">
    <tableColumn id="1" xr3:uid="{CDCD5A84-7D20-4E65-9944-DF64AFBDCF15}" name="Column1" headerRowDxfId="118" dataDxfId="117">
      <calculatedColumnFormula>INDEX(global[[#All],[Column1]],MATCH(J29,global[[#All],[Column2]],0))</calculatedColumnFormula>
    </tableColumn>
    <tableColumn id="2" xr3:uid="{6A1D9F36-66CC-4BFA-B363-3C22327FB984}" name="Column2" headerRowDxfId="116" dataDxfId="11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4" dataDxfId="112" headerRowBorderDxfId="113" tableBorderDxfId="111" totalsRowBorderDxfId="110">
  <tableColumns count="2">
    <tableColumn id="1" xr3:uid="{3DB08154-ACD6-41BF-8D18-EE97F412E9D9}" name="Column1" headerRowDxfId="109" dataDxfId="108">
      <calculatedColumnFormula array="1">defaultValue(P29,$C$28)</calculatedColumnFormula>
    </tableColumn>
    <tableColumn id="2" xr3:uid="{E148ED46-BA14-4105-9B99-1191A0BF50F8}" name="Column2" headerRowDxfId="107" dataDxfId="10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5" dataDxfId="103" headerRowBorderDxfId="104" tableBorderDxfId="102" totalsRowBorderDxfId="101">
  <tableColumns count="12">
    <tableColumn id="1" xr3:uid="{CE2C31BA-3509-47B9-BEDC-D6CD8F1ED9E6}" name="Column1" headerRowDxfId="100" dataDxfId="99"/>
    <tableColumn id="6" xr3:uid="{E1784E39-EDAC-4DAB-9B14-E397D730A51B}" name="Column6" headerRowDxfId="98" dataDxfId="97"/>
    <tableColumn id="2" xr3:uid="{116E8920-189E-4510-B8D2-2248ABC4622F}" name="Column2" headerRowDxfId="96" dataDxfId="95"/>
    <tableColumn id="3" xr3:uid="{1094FCDB-CFA9-4F01-94DB-17ACAB9F5A42}" name="Column3" headerRowDxfId="94" dataDxfId="93"/>
    <tableColumn id="4" xr3:uid="{A8E09EA9-1A49-489E-B2AD-7D53572D176F}" name="Column4" headerRowDxfId="92" dataDxfId="91"/>
    <tableColumn id="5" xr3:uid="{DE04D9ED-421A-4D96-B9EA-ECC81533BCB2}" name="Column5" headerRowDxfId="90" dataDxfId="89"/>
    <tableColumn id="7" xr3:uid="{FADB0994-C461-4954-9FD5-E16D46BE3A5F}" name="Column7" headerRowDxfId="88" dataDxfId="87"/>
    <tableColumn id="8" xr3:uid="{E738693D-6EF6-49AE-99D0-6F48F90B87D0}" name="Column8" headerRowDxfId="86" dataDxfId="85"/>
    <tableColumn id="9" xr3:uid="{B3707C24-AE47-495B-BD3C-8B594D592AEB}" name="Column9" headerRowDxfId="84" dataDxfId="83"/>
    <tableColumn id="10" xr3:uid="{DDFBB51B-A3C0-4A82-8656-FD1DC7CCB2AA}" name="Column10" headerRowDxfId="82" dataDxfId="81"/>
    <tableColumn id="11" xr3:uid="{C5D6EE06-82A1-460C-B4DE-5903CA74C822}" name="Column11" headerRowDxfId="80" dataDxfId="79"/>
    <tableColumn id="12" xr3:uid="{BE5A8FE7-70A2-4509-82CE-4DF5DF20BF01}" name="Column12" headerRowDxfId="78" dataDxfId="7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76" dataDxfId="74" headerRowBorderDxfId="75" tableBorderDxfId="73" totalsRowBorderDxfId="72">
  <tableColumns count="12">
    <tableColumn id="1" xr3:uid="{E451C9D8-9377-4078-BCC6-BCBD4A39AA29}" name="Column1" headerRowDxfId="71" dataDxfId="70"/>
    <tableColumn id="6" xr3:uid="{DF70B173-01BE-40C3-AD0E-3D8AC3B1CB93}" name="Column6" headerRowDxfId="69" dataDxfId="68"/>
    <tableColumn id="2" xr3:uid="{842F4306-1C00-4A82-9AD7-B532D5CD07A6}" name="Column2" headerRowDxfId="67" dataDxfId="66"/>
    <tableColumn id="3" xr3:uid="{75EE3CAD-D9A3-4A31-91AB-E2D1D55DFBDA}" name="Column3" headerRowDxfId="65" dataDxfId="64"/>
    <tableColumn id="4" xr3:uid="{0F56D11B-B8A8-49AE-ADFC-9ED4A9D53437}" name="Column4" headerRowDxfId="63" dataDxfId="62"/>
    <tableColumn id="5" xr3:uid="{DA35ED00-D6D2-45F8-A24B-A49DC445A0F3}" name="Column5" headerRowDxfId="61" dataDxfId="60"/>
    <tableColumn id="7" xr3:uid="{0E7970F5-77D6-4B90-A2D3-15569615C62A}" name="Column7" headerRowDxfId="59" dataDxfId="58"/>
    <tableColumn id="8" xr3:uid="{B858F225-F05B-4C4F-9BFC-D01ADF4399DA}" name="Column8" headerRowDxfId="57" dataDxfId="56"/>
    <tableColumn id="9" xr3:uid="{7DA4BD4B-21C5-41B6-A23D-FB53BA3E2833}" name="Column9" headerRowDxfId="55" dataDxfId="54"/>
    <tableColumn id="10" xr3:uid="{E7B259EC-2C79-41C8-95AA-DF38A7AB3CF2}" name="Column10" headerRowDxfId="53" dataDxfId="52"/>
    <tableColumn id="11" xr3:uid="{337CDD83-6618-4E8E-B556-75FE8B1091B2}" name="Column11" headerRowDxfId="51" dataDxfId="50"/>
    <tableColumn id="12" xr3:uid="{19E9C219-D893-49CC-B1F4-0DD3FD793856}" name="Column12" headerRowDxfId="49" dataDxfId="4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47" dataDxfId="46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45"/>
    <tableColumn id="2" xr3:uid="{00000000-0010-0000-0700-000002000000}" name="وحدات علوية" dataDxfId="44"/>
    <tableColumn id="3" xr3:uid="{00000000-0010-0000-0700-000003000000}" name="دواليب" dataDxfId="43"/>
    <tableColumn id="4" xr3:uid="{00000000-0010-0000-0700-000004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7" zoomScale="66" zoomScaleNormal="66" workbookViewId="0">
      <selection activeCell="J24" sqref="J24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3" s="77" customFormat="1" ht="21" customHeight="1" x14ac:dyDescent="0.3">
      <c r="H1" s="78"/>
      <c r="K1" s="78"/>
      <c r="N1" s="78"/>
      <c r="Q1" s="78"/>
      <c r="T1" s="78"/>
      <c r="W1" s="78"/>
    </row>
    <row r="2" spans="1:23" s="77" customFormat="1" ht="31.2" x14ac:dyDescent="0.3">
      <c r="C2" s="90" t="s">
        <v>134</v>
      </c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78"/>
      <c r="T2" s="78"/>
      <c r="W2" s="78"/>
    </row>
    <row r="3" spans="1:23" s="79" customFormat="1" ht="16.8" customHeight="1" x14ac:dyDescent="0.3">
      <c r="B3" s="77" t="s">
        <v>108</v>
      </c>
    </row>
    <row r="4" spans="1:23" s="77" customFormat="1" ht="21" hidden="1" customHeight="1" x14ac:dyDescent="0.3">
      <c r="H4" s="78"/>
      <c r="K4" s="78"/>
      <c r="N4" s="78"/>
      <c r="Q4" s="78"/>
      <c r="T4" s="78"/>
      <c r="W4" s="78"/>
    </row>
    <row r="5" spans="1:23" s="77" customFormat="1" ht="21" hidden="1" customHeight="1" x14ac:dyDescent="0.3">
      <c r="H5" s="78"/>
      <c r="K5" s="78"/>
      <c r="N5" s="78"/>
      <c r="Q5" s="78"/>
      <c r="T5" s="78"/>
      <c r="W5" s="78"/>
    </row>
    <row r="6" spans="1:23" s="77" customFormat="1" ht="21" hidden="1" customHeight="1" x14ac:dyDescent="0.3">
      <c r="H6" s="78"/>
      <c r="K6" s="78"/>
      <c r="N6" s="78"/>
      <c r="Q6" s="78"/>
      <c r="T6" s="78"/>
      <c r="W6" s="78"/>
    </row>
    <row r="7" spans="1:23" s="77" customFormat="1" ht="21" hidden="1" customHeight="1" x14ac:dyDescent="0.3">
      <c r="H7" s="78"/>
      <c r="K7" s="78"/>
      <c r="N7" s="78"/>
      <c r="Q7" s="78"/>
      <c r="T7" s="78"/>
      <c r="W7" s="78"/>
    </row>
    <row r="8" spans="1:23" s="77" customFormat="1" ht="21" hidden="1" customHeight="1" x14ac:dyDescent="0.3">
      <c r="H8" s="78"/>
      <c r="K8" s="78"/>
      <c r="N8" s="78"/>
      <c r="Q8" s="78"/>
      <c r="T8" s="78"/>
      <c r="W8" s="78"/>
    </row>
    <row r="9" spans="1:23" s="77" customFormat="1" ht="21" hidden="1" customHeight="1" x14ac:dyDescent="0.3">
      <c r="H9" s="78"/>
      <c r="K9" s="78"/>
      <c r="N9" s="78"/>
      <c r="Q9" s="78"/>
      <c r="T9" s="78"/>
      <c r="W9" s="78"/>
    </row>
    <row r="10" spans="1:23" s="77" customFormat="1" ht="21" hidden="1" customHeight="1" x14ac:dyDescent="0.3">
      <c r="H10" s="78"/>
      <c r="K10" s="78"/>
      <c r="N10" s="78"/>
      <c r="Q10" s="78"/>
      <c r="T10" s="78"/>
      <c r="W10" s="78"/>
    </row>
    <row r="11" spans="1:23" s="77" customFormat="1" ht="21" hidden="1" customHeight="1" x14ac:dyDescent="0.3">
      <c r="H11" s="78"/>
      <c r="K11" s="78"/>
      <c r="N11" s="78"/>
      <c r="Q11" s="78"/>
      <c r="T11" s="78"/>
      <c r="W11" s="78"/>
    </row>
    <row r="12" spans="1:23" s="77" customFormat="1" hidden="1" x14ac:dyDescent="0.3">
      <c r="H12" s="78"/>
      <c r="K12" s="78"/>
      <c r="N12" s="78"/>
      <c r="Q12" s="78"/>
      <c r="T12" s="78"/>
      <c r="W12" s="78"/>
    </row>
    <row r="13" spans="1:23" customFormat="1" ht="21" customHeight="1" x14ac:dyDescent="0.3">
      <c r="A13" s="76"/>
    </row>
    <row r="14" spans="1:23" s="61" customFormat="1" ht="31.2" x14ac:dyDescent="0.3">
      <c r="A14" s="67"/>
    </row>
    <row r="15" spans="1:23" ht="31.2" x14ac:dyDescent="0.3">
      <c r="B15" s="47"/>
      <c r="C15" s="95" t="s">
        <v>116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61"/>
      <c r="P15" s="60"/>
      <c r="Q15" s="61"/>
      <c r="R15" s="61"/>
      <c r="S15" s="60"/>
    </row>
    <row r="16" spans="1:23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18</v>
      </c>
      <c r="L16" s="45" t="s">
        <v>35</v>
      </c>
      <c r="M16" s="45" t="s">
        <v>50</v>
      </c>
      <c r="N16" s="45"/>
      <c r="O16" s="61"/>
      <c r="P16" s="60"/>
      <c r="Q16" s="61"/>
      <c r="R16" s="61"/>
      <c r="S16" s="60"/>
    </row>
    <row r="17" spans="1:19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 t="s">
        <v>128</v>
      </c>
      <c r="O17" s="61"/>
      <c r="P17" s="60"/>
      <c r="Q17" s="61"/>
      <c r="R17" s="61"/>
      <c r="S17" s="60"/>
    </row>
    <row r="18" spans="1:19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19" ht="31.2" x14ac:dyDescent="0.3">
      <c r="A20" s="41"/>
      <c r="B20"/>
      <c r="C20" s="95" t="s">
        <v>117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P20" s="60"/>
      <c r="Q20" s="44"/>
      <c r="S20" s="60"/>
    </row>
    <row r="21" spans="1:19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19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19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19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19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19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19" ht="31.2" customHeight="1" x14ac:dyDescent="0.3">
      <c r="A27" s="40"/>
      <c r="B27"/>
      <c r="C27" s="93" t="s">
        <v>103</v>
      </c>
      <c r="D27" s="94"/>
      <c r="E27" s="61"/>
      <c r="F27" s="93" t="s">
        <v>0</v>
      </c>
      <c r="G27" s="94"/>
      <c r="H27" s="61"/>
      <c r="I27" s="93" t="s">
        <v>39</v>
      </c>
      <c r="J27" s="94"/>
      <c r="K27" s="61"/>
      <c r="L27" s="93" t="s">
        <v>54</v>
      </c>
      <c r="M27" s="94"/>
      <c r="N27" s="61"/>
      <c r="O27" s="93" t="s">
        <v>69</v>
      </c>
      <c r="P27" s="94"/>
    </row>
    <row r="28" spans="1:19" ht="21" customHeight="1" x14ac:dyDescent="0.3">
      <c r="A28" s="40"/>
      <c r="B28"/>
      <c r="C28" s="91">
        <f ca="1">_xlfn.SHEET("إعدادات")</f>
        <v>1</v>
      </c>
      <c r="D28" s="92"/>
      <c r="F28" s="91">
        <f ca="1">_xlfn.SHEET("وحدات سفلية")</f>
        <v>4</v>
      </c>
      <c r="G28" s="92"/>
      <c r="H28" s="44"/>
      <c r="I28" s="91">
        <f ca="1">_xlfn.SHEET("وحدات علوية")</f>
        <v>5</v>
      </c>
      <c r="J28" s="92"/>
      <c r="K28" s="44"/>
      <c r="L28" s="91">
        <f ca="1">_xlfn.SHEET("دواليب")</f>
        <v>6</v>
      </c>
      <c r="M28" s="92"/>
      <c r="N28" s="44"/>
      <c r="O28" s="91">
        <f ca="1">_xlfn.SHEET("تجاليد")</f>
        <v>7</v>
      </c>
      <c r="P28" s="92"/>
    </row>
    <row r="29" spans="1:19" ht="21" customHeight="1" x14ac:dyDescent="0.3">
      <c r="A29" s="40"/>
      <c r="B29"/>
      <c r="C29" s="48" t="str">
        <f>K16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19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19" ht="21" customHeight="1" x14ac:dyDescent="0.3">
      <c r="A31" s="40"/>
      <c r="B31"/>
      <c r="C31" s="53" t="str">
        <f>M16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19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70"/>
  <sheetViews>
    <sheetView zoomScale="66" zoomScaleNormal="85" workbookViewId="0">
      <pane ySplit="12" topLeftCell="A46" activePane="bottomLeft" state="frozen"/>
      <selection pane="bottomLeft" activeCell="G65" sqref="G65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1" customFormat="1" x14ac:dyDescent="0.3">
      <c r="B1" s="81">
        <v>3</v>
      </c>
    </row>
    <row r="2" spans="1:15" s="81" customFormat="1" ht="31.2" x14ac:dyDescent="0.3">
      <c r="B2" s="81" t="s">
        <v>109</v>
      </c>
      <c r="D2" s="98" t="s">
        <v>132</v>
      </c>
      <c r="E2" s="98"/>
      <c r="F2" s="98"/>
      <c r="G2" s="98"/>
      <c r="H2" s="98"/>
      <c r="I2" s="98"/>
      <c r="J2" s="98"/>
      <c r="K2" s="98"/>
    </row>
    <row r="3" spans="1:15" s="81" customFormat="1" x14ac:dyDescent="0.3">
      <c r="B3" s="81" t="s">
        <v>108</v>
      </c>
    </row>
    <row r="4" spans="1:15" s="81" customFormat="1" ht="21" x14ac:dyDescent="0.4">
      <c r="D4" s="96" t="s">
        <v>131</v>
      </c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</row>
    <row r="5" spans="1:15" s="81" customFormat="1" x14ac:dyDescent="0.3">
      <c r="D5" s="80" cm="1">
        <f t="array" ref="D5:O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</v>
      </c>
      <c r="M5" s="80" t="str">
        <v>CPL</v>
      </c>
      <c r="N5" s="80" t="str">
        <v>ظهر</v>
      </c>
      <c r="O5" s="80">
        <v>0</v>
      </c>
    </row>
    <row r="6" spans="1:15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 t="str">
        <v>الرقم</v>
      </c>
    </row>
    <row r="7" spans="1:15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5" s="81" customFormat="1" ht="23.4" x14ac:dyDescent="0.45">
      <c r="D8" s="97" t="s">
        <v>117</v>
      </c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</row>
    <row r="9" spans="1:15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5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5" s="81" customFormat="1" x14ac:dyDescent="0.3"/>
    <row r="12" spans="1:15" s="81" customFormat="1" ht="26.4" customHeight="1" x14ac:dyDescent="0.3"/>
    <row r="13" spans="1:15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99" t="s">
        <v>110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99" t="s">
        <v>111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99" t="s">
        <v>136</v>
      </c>
      <c r="F53" s="100"/>
      <c r="G53" s="100"/>
      <c r="H53" s="101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7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8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tabSelected="1" topLeftCell="B1"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6" t="s">
        <v>133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121" t="s">
        <v>0</v>
      </c>
      <c r="S3" s="121" t="s">
        <v>39</v>
      </c>
      <c r="T3" s="121" t="s">
        <v>54</v>
      </c>
      <c r="U3" s="121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4" t="s">
        <v>131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R4" s="121">
        <v>1</v>
      </c>
      <c r="S4" s="121">
        <v>2</v>
      </c>
      <c r="T4" s="121">
        <v>3</v>
      </c>
      <c r="U4" s="121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P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</v>
      </c>
      <c r="N5" s="72" t="str">
        <v>CPL</v>
      </c>
      <c r="O5" s="72" t="str">
        <v>ظهر</v>
      </c>
      <c r="P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05" t="s">
        <v>117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zoomScale="68" zoomScaleNormal="85" workbookViewId="0">
      <pane ySplit="12" topLeftCell="A80" activePane="bottomLeft" state="frozen"/>
      <selection activeCell="B1" sqref="B1"/>
      <selection pane="bottomLeft"/>
    </sheetView>
  </sheetViews>
  <sheetFormatPr defaultRowHeight="15.6" x14ac:dyDescent="0.3"/>
  <cols>
    <col min="1" max="1" width="8.21875" style="40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x14ac:dyDescent="0.3">
      <c r="A1" s="85">
        <v>13</v>
      </c>
      <c r="B1" s="84">
        <v>7</v>
      </c>
    </row>
    <row r="2" spans="1:75" s="85" customFormat="1" ht="37.200000000000003" customHeight="1" x14ac:dyDescent="0.3">
      <c r="A2" s="85">
        <v>30</v>
      </c>
      <c r="B2" s="86" t="s">
        <v>79</v>
      </c>
      <c r="C2" s="108" t="s">
        <v>0</v>
      </c>
      <c r="D2" s="108"/>
      <c r="E2" s="108"/>
      <c r="F2" s="108"/>
      <c r="G2" s="108"/>
      <c r="H2" s="108"/>
      <c r="I2" s="108"/>
      <c r="J2" s="108"/>
      <c r="K2" s="108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99" t="s">
        <v>135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 cm="1">
        <f t="array" aca="1" ref="G32"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1" t="s">
        <v>93</v>
      </c>
      <c r="C35" s="12">
        <v>1</v>
      </c>
      <c r="D35" s="20" t="s">
        <v>51</v>
      </c>
      <c r="E35" s="99" t="s">
        <v>112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02" t="s">
        <v>115</v>
      </c>
      <c r="K39" s="103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1" t="s">
        <v>89</v>
      </c>
      <c r="C70" s="12">
        <v>1</v>
      </c>
      <c r="D70" s="20" t="s">
        <v>51</v>
      </c>
      <c r="E70" s="99" t="s">
        <v>130</v>
      </c>
      <c r="F70" s="100"/>
      <c r="G70" s="100"/>
      <c r="H70" s="101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99" t="s">
        <v>22</v>
      </c>
      <c r="F90" s="100"/>
      <c r="G90" s="100"/>
      <c r="H90" s="101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visible(I93-0.5-G93, K105)</f>
        <v>74</v>
      </c>
      <c r="G105" s="9">
        <f>visible(H93-56-3,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visible(I94-0.5-G93, K106)</f>
        <v>74</v>
      </c>
      <c r="G106" s="9">
        <f>visible(H94-56-3,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99" t="s">
        <v>25</v>
      </c>
      <c r="F111" s="100"/>
      <c r="G111" s="100"/>
      <c r="H111" s="101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visible(I114-0.5-E114, K126)</f>
        <v>74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99" t="s">
        <v>71</v>
      </c>
      <c r="F131" s="100"/>
      <c r="G131" s="100"/>
      <c r="H131" s="101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visible(H134-0.5, K148)</f>
        <v>59.5</v>
      </c>
      <c r="G148" s="9">
        <f ca="1">visible(I134-G134-60.5,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6" x14ac:dyDescent="0.3">
      <c r="A154" s="41" t="s">
        <v>92</v>
      </c>
      <c r="C154" s="12">
        <v>1</v>
      </c>
      <c r="D154" s="20" t="s">
        <v>51</v>
      </c>
      <c r="E154" s="99" t="s">
        <v>95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visible(I157-0.5-E157-G171, K170)</f>
        <v>59</v>
      </c>
      <c r="G170" s="9">
        <f>visible((H157/C157)-0.5, K170)</f>
        <v>29.5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visible(H157-0.5, K171)</f>
        <v>59.5</v>
      </c>
      <c r="G171" s="9">
        <f ca="1">visible(I157-E157-59.5, K171)</f>
        <v>15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E17:H17"/>
    <mergeCell ref="E35:H35"/>
    <mergeCell ref="J39:K39"/>
    <mergeCell ref="E70:H70"/>
    <mergeCell ref="C4:N4"/>
    <mergeCell ref="C7:N7"/>
    <mergeCell ref="C2:K2"/>
    <mergeCell ref="E90:H90"/>
    <mergeCell ref="E154:H154"/>
    <mergeCell ref="E131:H131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65" activePane="bottomLeft" state="frozen"/>
      <selection activeCell="B1" sqref="B1"/>
      <selection pane="bottomLeft" activeCell="J54" sqref="J54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08" t="s">
        <v>39</v>
      </c>
      <c r="D2" s="108"/>
      <c r="E2" s="108"/>
      <c r="F2" s="108"/>
      <c r="G2" s="108"/>
      <c r="H2" s="108"/>
      <c r="I2" s="108"/>
      <c r="J2" s="108"/>
      <c r="K2" s="108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99" t="s">
        <v>40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14" t="b">
        <f ca="1">NOT(AND(F20&gt;0,G20&gt;0))</f>
        <v>1</v>
      </c>
      <c r="G21" s="114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13">
        <f>C20+D20</f>
        <v>1</v>
      </c>
      <c r="D22" s="113"/>
      <c r="E22" s="24">
        <v>10</v>
      </c>
      <c r="F22" s="115" t="str">
        <f ca="1">IF(F21,"المقابض مظبوطة","مينفعش مقبض مخفي مع بيلت ان")</f>
        <v>المقابض مظبوطة</v>
      </c>
      <c r="G22" s="115"/>
      <c r="H22" s="114" t="str">
        <f>IF(H21,"عدد الدلف صحيح","عدد الدلف غير صحيح")</f>
        <v>عدد الدلف صحيح</v>
      </c>
      <c r="I22" s="114"/>
      <c r="J22" s="114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14" t="b">
        <f>C22&lt;=2</f>
        <v>1</v>
      </c>
      <c r="D23" s="114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visible(I20-0.5-F20, K32)</f>
        <v>66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99" t="s">
        <v>46</v>
      </c>
      <c r="F38" s="100"/>
      <c r="G38" s="100"/>
      <c r="H38" s="101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16" t="b">
        <f ca="1">NOT(AND(F41&gt;0,G41&gt;0))</f>
        <v>1</v>
      </c>
      <c r="G42" s="116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13">
        <f>C41+D41</f>
        <v>2</v>
      </c>
      <c r="D43" s="113"/>
      <c r="E43" s="7">
        <v>0</v>
      </c>
      <c r="F43" s="117" t="str">
        <f ca="1">IF(F42,"المقابض مظبوطة","مينفعش مقبض مخفي مع بيلت ان")</f>
        <v>المقابض مظبوطة</v>
      </c>
      <c r="G43" s="117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14" t="b">
        <f>C43&lt;=2</f>
        <v>1</v>
      </c>
      <c r="D44" s="114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visible((I41/C43)-0.5-F41,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99" t="s">
        <v>41</v>
      </c>
      <c r="F59" s="100"/>
      <c r="G59" s="100"/>
      <c r="H59" s="101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14" t="b">
        <f ca="1">NOT(AND(F62&gt;0,G62&gt;0))</f>
        <v>1</v>
      </c>
      <c r="G63" s="111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13">
        <f>C62+D62</f>
        <v>2</v>
      </c>
      <c r="D64" s="113"/>
      <c r="E64" s="7" t="s">
        <v>72</v>
      </c>
      <c r="F64" s="118" t="str">
        <f ca="1">IF(F63,"المقابض مظبوطة","مينفعش مقبض مخفي مع بيلت ان")</f>
        <v>المقابض مظبوطة</v>
      </c>
      <c r="G64" s="118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14" t="b">
        <f>C64&lt;=2</f>
        <v>1</v>
      </c>
      <c r="D65" s="114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visible(I62-0.5-F62,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99" t="s">
        <v>99</v>
      </c>
      <c r="F83" s="100"/>
      <c r="G83" s="100"/>
      <c r="H83" s="101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14" t="b">
        <f ca="1">NOT(AND(F86&gt;0,G86&gt;0))</f>
        <v>1</v>
      </c>
      <c r="G87" s="111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13">
        <f>C86+D86</f>
        <v>1</v>
      </c>
      <c r="D88" s="113"/>
      <c r="E88" s="7" t="s">
        <v>72</v>
      </c>
      <c r="F88" s="118" t="str">
        <f ca="1">IF(F87,"المقابض مظبوطة","مينفعش مقبض مخفي مع بيلت ان")</f>
        <v>المقابض مظبوطة</v>
      </c>
      <c r="G88" s="118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14" t="b">
        <f>C88&lt;=2</f>
        <v>1</v>
      </c>
      <c r="D89" s="114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visible((I86/C88)-0.5-F86, K99)</f>
        <v>66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99" t="s">
        <v>42</v>
      </c>
      <c r="F107" s="100"/>
      <c r="G107" s="100"/>
      <c r="H107" s="101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14" t="b">
        <f ca="1">NOT(AND(F110&gt;0,G110&gt;0))</f>
        <v>1</v>
      </c>
      <c r="G111" s="114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17" t="str">
        <f ca="1">IF(F111,"المقابض مظبوطة","مينفعش مقبض مخفي مع بيلت ان")</f>
        <v>المقابض مظبوطة</v>
      </c>
      <c r="G112" s="117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99" t="s">
        <v>43</v>
      </c>
      <c r="F133" s="100"/>
      <c r="G133" s="100"/>
      <c r="H133" s="101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14" t="b">
        <f ca="1">NOT(AND(F136&gt;0,G136&gt;0))</f>
        <v>1</v>
      </c>
      <c r="G137" s="114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17" t="str">
        <f ca="1">IF(F137,"المقابض مظبوطة","مينفعش مقبض مخفي مع بيلت ان")</f>
        <v>المقابض مظبوطة</v>
      </c>
      <c r="G138" s="117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99" t="s">
        <v>73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09">
        <f>C157+D157</f>
        <v>1</v>
      </c>
      <c r="D159" s="110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11" t="b">
        <f>C159&lt;=2</f>
        <v>1</v>
      </c>
      <c r="D160" s="112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visible(I157-0.5-F157-J159, K170)</f>
        <v>34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visible(I157-0.5-J159,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9:D89"/>
    <mergeCell ref="C64:D64"/>
    <mergeCell ref="F64:G64"/>
    <mergeCell ref="E154:H154"/>
    <mergeCell ref="C43:D43"/>
    <mergeCell ref="C44:D44"/>
    <mergeCell ref="C65:D65"/>
    <mergeCell ref="E107:H107"/>
    <mergeCell ref="F111:G111"/>
    <mergeCell ref="F112:G112"/>
    <mergeCell ref="E133:H133"/>
    <mergeCell ref="F137:G137"/>
    <mergeCell ref="F138:G138"/>
    <mergeCell ref="E83:H83"/>
    <mergeCell ref="F87:G87"/>
    <mergeCell ref="C88:D88"/>
    <mergeCell ref="F88:G88"/>
    <mergeCell ref="C4:N4"/>
    <mergeCell ref="C7:N7"/>
    <mergeCell ref="C2:K2"/>
    <mergeCell ref="C159:D159"/>
    <mergeCell ref="C160:D160"/>
    <mergeCell ref="C22:D22"/>
    <mergeCell ref="F21:G21"/>
    <mergeCell ref="F22:G22"/>
    <mergeCell ref="H22:J22"/>
    <mergeCell ref="C23:D23"/>
    <mergeCell ref="E17:H17"/>
    <mergeCell ref="E38:H38"/>
    <mergeCell ref="E59:H59"/>
    <mergeCell ref="F42:G42"/>
    <mergeCell ref="F43:G43"/>
    <mergeCell ref="F63:G63"/>
  </mergeCells>
  <conditionalFormatting sqref="C23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60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3:F63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1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1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7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8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1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8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3 C65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2 I42 C44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7:F87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7 C89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08" t="s">
        <v>54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19" t="s">
        <v>55</v>
      </c>
      <c r="F17" s="119"/>
      <c r="G17" s="119"/>
      <c r="H17" s="119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13">
        <f>G22+H22</f>
        <v>2</v>
      </c>
      <c r="D24" s="113"/>
      <c r="E24" s="8"/>
      <c r="F24" s="38"/>
      <c r="G24" s="38"/>
      <c r="H24" s="38"/>
      <c r="I24" s="8">
        <f>SUM(I22:I23)</f>
        <v>210</v>
      </c>
      <c r="J24" s="117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14" t="b">
        <f>C24&lt;=2</f>
        <v>1</v>
      </c>
      <c r="D25" s="114"/>
      <c r="E25" s="8"/>
      <c r="F25" s="8"/>
      <c r="G25" s="8"/>
      <c r="H25" s="8"/>
      <c r="I25" s="6" t="b">
        <f>I24=I20</f>
        <v>1</v>
      </c>
      <c r="J25" s="117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19" t="s">
        <v>61</v>
      </c>
      <c r="F44" s="119"/>
      <c r="G44" s="119"/>
      <c r="H44" s="119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13">
        <f>G52+H52</f>
        <v>1</v>
      </c>
      <c r="D57" s="113"/>
      <c r="E57" s="8"/>
      <c r="F57" s="38"/>
      <c r="G57" s="38"/>
      <c r="H57" s="38"/>
      <c r="I57" s="8">
        <f>SUM(I49:I56)</f>
        <v>220</v>
      </c>
      <c r="J57" s="117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14" t="b">
        <f>C57&lt;=2</f>
        <v>1</v>
      </c>
      <c r="D58" s="114"/>
      <c r="E58" s="8"/>
      <c r="F58" s="8"/>
      <c r="G58" s="8"/>
      <c r="H58" s="8"/>
      <c r="I58" s="6" t="b">
        <f>I57=I47</f>
        <v>1</v>
      </c>
      <c r="J58" s="117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255</v>
      </c>
    </row>
    <row r="95" spans="1:11" x14ac:dyDescent="0.3">
      <c r="A95" s="32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99" t="s">
        <v>56</v>
      </c>
      <c r="F102" s="100"/>
      <c r="G102" s="100"/>
      <c r="H102" s="101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4" t="b">
        <f>NOT(AND(F104&gt;0,G104&gt;0))</f>
        <v>1</v>
      </c>
      <c r="G105" s="114"/>
      <c r="I105" s="3" t="b">
        <f>_xlfn.XOR(I104&lt;=50,C106=2)</f>
        <v>0</v>
      </c>
    </row>
    <row r="106" spans="2:10" ht="24" hidden="1" customHeight="1" x14ac:dyDescent="0.3">
      <c r="C106" s="114">
        <f>C104+E104</f>
        <v>3</v>
      </c>
      <c r="D106" s="114"/>
      <c r="E106" s="30"/>
      <c r="F106" s="118" t="str">
        <f>IF(F105,"المقابض مظبوطة","مينفعش مقبض مخفي مع بيلت ان")</f>
        <v>المقابض مظبوطة</v>
      </c>
      <c r="G106" s="118"/>
      <c r="H106" s="21"/>
      <c r="I106" s="30" t="str">
        <f>IF(I105,"عدد الدلف صحيح","عدد الدلف غير صحيح")</f>
        <v>عدد الدلف غير صحيح</v>
      </c>
      <c r="J106" s="28"/>
    </row>
    <row r="107" spans="2:10" ht="15.6" hidden="1" customHeight="1" x14ac:dyDescent="0.3">
      <c r="C107" s="114" t="b">
        <f>C106&lt;=2</f>
        <v>0</v>
      </c>
      <c r="D107" s="114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99" t="s">
        <v>57</v>
      </c>
      <c r="F122" s="100"/>
      <c r="G122" s="100"/>
      <c r="H122" s="101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4" t="b">
        <f>NOT(AND(F124&gt;0,G124&gt;0))</f>
        <v>1</v>
      </c>
      <c r="G125" s="114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18" t="str">
        <f>IF(F125,"المقابض مظبوطة","مينفعش مقبض مخفي مع بيلت ان")</f>
        <v>المقابض مظبوطة</v>
      </c>
      <c r="G126" s="118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99" t="s">
        <v>58</v>
      </c>
      <c r="F142" s="100"/>
      <c r="G142" s="100"/>
      <c r="H142" s="101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4" t="b">
        <f>NOT(AND(F144&gt;0,G144&gt;0))</f>
        <v>1</v>
      </c>
      <c r="G145" s="114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18" t="str">
        <f>IF(F145,"المقابض مظبوطة","مينفعش مقبض مخفي مع بيلت ان")</f>
        <v>المقابض مظبوطة</v>
      </c>
      <c r="G146" s="118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0" t="s">
        <v>38</v>
      </c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</row>
  </sheetData>
  <mergeCells count="23">
    <mergeCell ref="C25:D25"/>
    <mergeCell ref="F145:G145"/>
    <mergeCell ref="C2:K2"/>
    <mergeCell ref="C4:N4"/>
    <mergeCell ref="C7:N7"/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  <mergeCell ref="E142:H142"/>
    <mergeCell ref="E17:H17"/>
  </mergeCells>
  <conditionalFormatting sqref="C25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8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5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8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08" t="s">
        <v>69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A7" s="84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87"/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99" t="s">
        <v>100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99" t="s">
        <v>101</v>
      </c>
      <c r="F29" s="100"/>
      <c r="G29" s="100"/>
      <c r="H29" s="101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99" t="s">
        <v>102</v>
      </c>
      <c r="F41" s="100"/>
      <c r="G41" s="100"/>
      <c r="H41" s="101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2024-09-23T18:38:36Z</dcterms:modified>
</cp:coreProperties>
</file>