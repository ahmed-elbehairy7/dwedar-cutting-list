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6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80CF2066-2075-4239-8B85-2DA84C62C7DB}" xr6:coauthVersionLast="47" xr6:coauthVersionMax="47" xr10:uidLastSave="{00000000-0000-0000-0000-000000000000}"/>
  <bookViews>
    <workbookView xWindow="-108" yWindow="-108" windowWidth="23256" windowHeight="12456" tabRatio="627" activeTab="3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7" i="10" l="1"/>
  <c r="K95" i="5"/>
  <c r="K96" i="5"/>
  <c r="F28" i="10" a="1"/>
  <c r="E30" i="10" a="1"/>
  <c r="B26" i="10" a="1"/>
  <c r="E24" i="10" a="1"/>
  <c r="I20" i="10" a="1"/>
  <c r="G30" i="3" a="1"/>
  <c r="F27" i="10" a="1"/>
  <c r="C28" i="10" a="1"/>
  <c r="C83" i="5"/>
  <c r="C94" i="5"/>
  <c r="H94" i="5"/>
  <c r="H95" i="5"/>
  <c r="G26" i="10" a="1"/>
  <c r="E26" i="10" a="1"/>
  <c r="G27" i="10" a="1"/>
  <c r="E27" i="10" a="1"/>
  <c r="C63" i="5"/>
  <c r="B96" i="5"/>
  <c r="G95" i="5"/>
  <c r="J17" i="10"/>
  <c r="E94" i="5"/>
  <c r="C25" i="10" a="1"/>
  <c r="H25" i="10" a="1"/>
  <c r="F96" i="5"/>
  <c r="B27" i="10" a="1"/>
  <c r="B24" i="10" a="1"/>
  <c r="C96" i="5"/>
  <c r="B30" i="10" a="1"/>
  <c r="H30" i="10" a="1"/>
  <c r="H24" i="10" a="1"/>
  <c r="E95" i="5"/>
  <c r="B25" i="10" a="1"/>
  <c r="E96" i="5"/>
  <c r="E28" i="10" a="1"/>
  <c r="C84" i="5"/>
  <c r="C24" i="10" a="1"/>
  <c r="F95" i="5"/>
  <c r="G94" i="5"/>
  <c r="C30" i="10" a="1"/>
  <c r="H26" i="10" a="1"/>
  <c r="H27" i="10" a="1"/>
  <c r="C27" i="10" a="1"/>
  <c r="F26" i="10" a="1"/>
  <c r="F24" i="10" a="1"/>
  <c r="C26" i="10" a="1"/>
  <c r="C95" i="5"/>
  <c r="C64" i="5"/>
  <c r="C66" i="5"/>
  <c r="E25" i="10" a="1"/>
  <c r="B94" i="5"/>
  <c r="H28" i="10" a="1"/>
  <c r="C65" i="5"/>
  <c r="H96" i="5"/>
  <c r="B95" i="5"/>
  <c r="C93" i="5"/>
  <c r="G30" i="10" a="1"/>
  <c r="F94" i="5"/>
  <c r="C62" i="5"/>
  <c r="B28" i="10" a="1"/>
  <c r="G96" i="5"/>
  <c r="G30" i="10" l="1"/>
  <c r="G30" i="3"/>
  <c r="C27" i="10"/>
  <c r="F26" i="10"/>
  <c r="C24" i="10"/>
  <c r="H28" i="10"/>
  <c r="C25" i="10"/>
  <c r="G26" i="10"/>
  <c r="E27" i="10"/>
  <c r="C28" i="10"/>
  <c r="H30" i="10"/>
  <c r="B25" i="10"/>
  <c r="B26" i="10"/>
  <c r="B30" i="10"/>
  <c r="E26" i="10"/>
  <c r="H25" i="10"/>
  <c r="F24" i="10"/>
  <c r="F27" i="10"/>
  <c r="E25" i="10"/>
  <c r="C26" i="10"/>
  <c r="G27" i="10"/>
  <c r="E28" i="10"/>
  <c r="C30" i="10"/>
  <c r="E30" i="10"/>
  <c r="B28" i="10"/>
  <c r="I20" i="10"/>
  <c r="B24" i="10"/>
  <c r="F28" i="10"/>
  <c r="E24" i="10"/>
  <c r="H26" i="10"/>
  <c r="H24" i="10"/>
  <c r="B27" i="10"/>
  <c r="H27" i="10"/>
  <c r="K53" i="11"/>
  <c r="K54" i="4"/>
  <c r="K171" i="4"/>
  <c r="K102" i="4"/>
  <c r="K78" i="4"/>
  <c r="K91" i="5"/>
  <c r="K90" i="5"/>
  <c r="K89" i="5"/>
  <c r="K86" i="5"/>
  <c r="K85" i="5"/>
  <c r="K82" i="5"/>
  <c r="K81" i="5"/>
  <c r="K80" i="5"/>
  <c r="K79" i="5"/>
  <c r="K78" i="5"/>
  <c r="K76" i="5"/>
  <c r="K75" i="5"/>
  <c r="K74" i="5"/>
  <c r="K73" i="5"/>
  <c r="K72" i="5"/>
  <c r="K71" i="5"/>
  <c r="K68" i="5"/>
  <c r="K70" i="5"/>
  <c r="K69" i="5"/>
  <c r="C21" i="4"/>
  <c r="K32" i="4" s="1"/>
  <c r="K147" i="3"/>
  <c r="K70" i="3"/>
  <c r="K67" i="3"/>
  <c r="K66" i="3"/>
  <c r="K65" i="3"/>
  <c r="K62" i="3"/>
  <c r="K61" i="3"/>
  <c r="K60" i="3"/>
  <c r="K59" i="3"/>
  <c r="K57" i="3"/>
  <c r="K56" i="3"/>
  <c r="K55" i="3"/>
  <c r="K54" i="3"/>
  <c r="K53" i="3"/>
  <c r="K52" i="3"/>
  <c r="K51" i="3"/>
  <c r="K50" i="3"/>
  <c r="K49" i="3"/>
  <c r="K48" i="3"/>
  <c r="K47" i="3"/>
  <c r="K35" i="3"/>
  <c r="K17" i="3"/>
  <c r="D9" i="11" a="1"/>
  <c r="D9" i="11" s="1"/>
  <c r="D5" i="11" a="1"/>
  <c r="D5" i="11" s="1"/>
  <c r="C8" i="6" a="1"/>
  <c r="C8" i="6" s="1"/>
  <c r="C5" i="6" a="1"/>
  <c r="C5" i="6" s="1"/>
  <c r="C8" i="5" a="1"/>
  <c r="C8" i="5" s="1"/>
  <c r="C5" i="5" a="1"/>
  <c r="C5" i="5" s="1"/>
  <c r="C8" i="4" a="1"/>
  <c r="C8" i="4" s="1"/>
  <c r="C5" i="4" a="1"/>
  <c r="C5" i="4" s="1"/>
  <c r="C8" i="3" a="1"/>
  <c r="C8" i="3" s="1"/>
  <c r="C5" i="3" a="1"/>
  <c r="C5" i="3" s="1"/>
  <c r="E8" i="10" a="1"/>
  <c r="E8" i="10" s="1"/>
  <c r="E5" i="10" a="1"/>
  <c r="E5" i="10" s="1"/>
  <c r="C29" i="8"/>
  <c r="C31" i="8"/>
  <c r="C30" i="8"/>
  <c r="C78" i="3"/>
  <c r="F81" i="5"/>
  <c r="G151" i="4"/>
  <c r="G53" i="3" a="1"/>
  <c r="G119" i="3"/>
  <c r="C80" i="4"/>
  <c r="F26" i="3" a="1"/>
  <c r="F119" i="3"/>
  <c r="C85" i="3"/>
  <c r="G79" i="3" a="1"/>
  <c r="G54" i="4"/>
  <c r="E46" i="6"/>
  <c r="B50" i="6"/>
  <c r="H145" i="3"/>
  <c r="C166" i="3"/>
  <c r="H33" i="4"/>
  <c r="E69" i="5"/>
  <c r="E144" i="4"/>
  <c r="E164" i="4"/>
  <c r="E164" i="3"/>
  <c r="H173" i="3"/>
  <c r="E66" i="5"/>
  <c r="E81" i="5"/>
  <c r="F140" i="3"/>
  <c r="B69" i="5"/>
  <c r="H47" i="6"/>
  <c r="B166" i="4"/>
  <c r="B62" i="5"/>
  <c r="E30" i="5"/>
  <c r="B77" i="3" a="1"/>
  <c r="B82" i="3"/>
  <c r="C67" i="3"/>
  <c r="B145" i="4"/>
  <c r="B50" i="4"/>
  <c r="G76" i="5"/>
  <c r="F147" i="4"/>
  <c r="E47" i="6"/>
  <c r="E105" i="3"/>
  <c r="H139" i="3"/>
  <c r="C148" i="3"/>
  <c r="E121" i="4"/>
  <c r="C72" i="5"/>
  <c r="E50" i="3" a="1"/>
  <c r="E80" i="4"/>
  <c r="C49" i="3"/>
  <c r="G80" i="3" a="1"/>
  <c r="C143" i="3"/>
  <c r="G63" i="11" a="1"/>
  <c r="H66" i="3"/>
  <c r="G57" i="3" a="1"/>
  <c r="E63" i="11" a="1"/>
  <c r="C50" i="6"/>
  <c r="C81" i="3"/>
  <c r="G50" i="6"/>
  <c r="C69" i="5"/>
  <c r="C24" i="3" a="1"/>
  <c r="H65" i="5"/>
  <c r="H121" i="3"/>
  <c r="E30" i="3" a="1"/>
  <c r="H144" i="4"/>
  <c r="C41" i="5"/>
  <c r="E96" i="4"/>
  <c r="C48" i="3"/>
  <c r="G143" i="3"/>
  <c r="C59" i="3"/>
  <c r="B123" i="3"/>
  <c r="E50" i="4"/>
  <c r="C161" i="3"/>
  <c r="H80" i="3" a="1"/>
  <c r="H116" i="4"/>
  <c r="F138" i="3"/>
  <c r="B91" i="5"/>
  <c r="B72" i="5"/>
  <c r="G74" i="5"/>
  <c r="H63" i="5"/>
  <c r="H146" i="4"/>
  <c r="B74" i="5"/>
  <c r="G80" i="5"/>
  <c r="H30" i="4"/>
  <c r="C119" i="3"/>
  <c r="H32" i="4"/>
  <c r="B64" i="5"/>
  <c r="E143" i="3"/>
  <c r="B27" i="4"/>
  <c r="E82" i="3" a="1"/>
  <c r="E65" i="5"/>
  <c r="F38" i="6"/>
  <c r="C38" i="5"/>
  <c r="C39" i="5"/>
  <c r="C140" i="3"/>
  <c r="F67" i="3" a="1"/>
  <c r="C171" i="4"/>
  <c r="F151" i="3"/>
  <c r="G102" i="3"/>
  <c r="G100" i="3"/>
  <c r="E49" i="6"/>
  <c r="B79" i="3" a="1"/>
  <c r="H64" i="11" a="1"/>
  <c r="C22" i="6"/>
  <c r="B66" i="5"/>
  <c r="E118" i="4"/>
  <c r="G90" i="5"/>
  <c r="E106" i="3"/>
  <c r="H50" i="6"/>
  <c r="G47" i="3" a="1"/>
  <c r="E38" i="5"/>
  <c r="B66" i="3"/>
  <c r="E124" i="4"/>
  <c r="G54" i="3" a="1"/>
  <c r="B83" i="5"/>
  <c r="C94" i="4"/>
  <c r="E166" i="3"/>
  <c r="D54" i="4"/>
  <c r="E26" i="3" a="1"/>
  <c r="E151" i="4"/>
  <c r="F69" i="4"/>
  <c r="B138" i="3"/>
  <c r="C57" i="3"/>
  <c r="F78" i="5"/>
  <c r="H166" i="4"/>
  <c r="F142" i="4"/>
  <c r="H46" i="3" a="1"/>
  <c r="H75" i="4"/>
  <c r="B57" i="3"/>
  <c r="H72" i="4"/>
  <c r="E35" i="4"/>
  <c r="G56" i="3" a="1"/>
  <c r="C28" i="4"/>
  <c r="H82" i="5"/>
  <c r="C103" i="3"/>
  <c r="F25" i="6"/>
  <c r="H123" i="3"/>
  <c r="F73" i="5"/>
  <c r="G47" i="6"/>
  <c r="B69" i="4"/>
  <c r="H142" i="3"/>
  <c r="B167" i="4"/>
  <c r="C102" i="3"/>
  <c r="F45" i="3" a="1"/>
  <c r="E54" i="3" a="1"/>
  <c r="E128" i="3"/>
  <c r="H84" i="5"/>
  <c r="B41" i="5"/>
  <c r="C35" i="4"/>
  <c r="C142" i="3"/>
  <c r="E165" i="3"/>
  <c r="H141" i="3"/>
  <c r="E60" i="11" a="1"/>
  <c r="G48" i="3" a="1"/>
  <c r="B22" i="6"/>
  <c r="F143" i="3"/>
  <c r="E173" i="4"/>
  <c r="H52" i="3" a="1"/>
  <c r="E32" i="4"/>
  <c r="I38" i="3" a="1"/>
  <c r="B129" i="4"/>
  <c r="B34" i="6"/>
  <c r="H44" i="3" a="1"/>
  <c r="G38" i="6"/>
  <c r="F75" i="5"/>
  <c r="G84" i="5"/>
  <c r="E37" i="6"/>
  <c r="F72" i="4"/>
  <c r="E102" i="3"/>
  <c r="C49" i="4"/>
  <c r="C32" i="4"/>
  <c r="E71" i="4"/>
  <c r="E121" i="3"/>
  <c r="E60" i="3" a="1"/>
  <c r="E167" i="3"/>
  <c r="E62" i="5"/>
  <c r="B90" i="5"/>
  <c r="E120" i="3"/>
  <c r="H24" i="3" a="1"/>
  <c r="G100" i="4"/>
  <c r="B65" i="3"/>
  <c r="B56" i="3"/>
  <c r="C123" i="3"/>
  <c r="G49" i="6"/>
  <c r="E36" i="5"/>
  <c r="H51" i="3" a="1"/>
  <c r="G31" i="5"/>
  <c r="G99" i="4"/>
  <c r="H70" i="4"/>
  <c r="H122" i="3"/>
  <c r="E119" i="3"/>
  <c r="B164" i="4"/>
  <c r="E145" i="3"/>
  <c r="H126" i="4"/>
  <c r="H173" i="4"/>
  <c r="H151" i="4"/>
  <c r="B108" i="3"/>
  <c r="B171" i="4"/>
  <c r="C49" i="6"/>
  <c r="B63" i="5"/>
  <c r="B30" i="4"/>
  <c r="C86" i="5"/>
  <c r="H126" i="3"/>
  <c r="F50" i="3" a="1"/>
  <c r="G140" i="3"/>
  <c r="E50" i="6"/>
  <c r="B60" i="3"/>
  <c r="E64" i="11" a="1"/>
  <c r="G164" i="3"/>
  <c r="H56" i="3" a="1"/>
  <c r="G106" i="3"/>
  <c r="E94" i="4"/>
  <c r="C82" i="5"/>
  <c r="B101" i="3"/>
  <c r="C174" i="3"/>
  <c r="C90" i="5"/>
  <c r="F76" i="5"/>
  <c r="B85" i="3"/>
  <c r="B53" i="3"/>
  <c r="E85" i="3" a="1"/>
  <c r="H99" i="4"/>
  <c r="H78" i="4"/>
  <c r="C46" i="6"/>
  <c r="C71" i="5"/>
  <c r="C60" i="11"/>
  <c r="B116" i="4"/>
  <c r="B30" i="5"/>
  <c r="G144" i="3"/>
  <c r="B140" i="3"/>
  <c r="H100" i="4"/>
  <c r="F93" i="5"/>
  <c r="F64" i="11" a="1"/>
  <c r="C45" i="3"/>
  <c r="F53" i="3" a="1"/>
  <c r="B23" i="6"/>
  <c r="C70" i="5"/>
  <c r="E174" i="3"/>
  <c r="C126" i="4"/>
  <c r="E23" i="6"/>
  <c r="E144" i="3"/>
  <c r="D127" i="4"/>
  <c r="C48" i="6"/>
  <c r="G54" i="11" a="1"/>
  <c r="H106" i="3"/>
  <c r="E150" i="3"/>
  <c r="C54" i="4"/>
  <c r="B142" i="3"/>
  <c r="E61" i="3" a="1"/>
  <c r="C147" i="4"/>
  <c r="F24" i="3" a="1"/>
  <c r="H147" i="4"/>
  <c r="H27" i="4"/>
  <c r="B94" i="4"/>
  <c r="H144" i="3"/>
  <c r="C31" i="5"/>
  <c r="C171" i="3"/>
  <c r="E33" i="5"/>
  <c r="B97" i="4"/>
  <c r="E116" i="4"/>
  <c r="H32" i="5"/>
  <c r="F163" i="3"/>
  <c r="E28" i="3" a="1"/>
  <c r="E165" i="4"/>
  <c r="G25" i="6"/>
  <c r="C50" i="3"/>
  <c r="F32" i="5"/>
  <c r="H26" i="6"/>
  <c r="H62" i="11" a="1"/>
  <c r="B33" i="5"/>
  <c r="H145" i="4"/>
  <c r="C98" i="3"/>
  <c r="H102" i="3"/>
  <c r="E126" i="3"/>
  <c r="E59" i="3" a="1"/>
  <c r="H50" i="4"/>
  <c r="H29" i="5"/>
  <c r="E76" i="4"/>
  <c r="C120" i="4"/>
  <c r="B124" i="4"/>
  <c r="H36" i="6"/>
  <c r="B163" i="3"/>
  <c r="H37" i="6"/>
  <c r="H80" i="4"/>
  <c r="E62" i="3" a="1"/>
  <c r="G129" i="4"/>
  <c r="F91" i="5"/>
  <c r="B173" i="4"/>
  <c r="H164" i="3"/>
  <c r="C74" i="5"/>
  <c r="H69" i="4"/>
  <c r="E95" i="4"/>
  <c r="C84" i="3"/>
  <c r="E123" i="4"/>
  <c r="G124" i="3"/>
  <c r="C66" i="3"/>
  <c r="H78" i="5"/>
  <c r="C128" i="3"/>
  <c r="B89" i="5"/>
  <c r="G68" i="5"/>
  <c r="G33" i="5"/>
  <c r="B47" i="3" a="1"/>
  <c r="E79" i="5"/>
  <c r="G75" i="4"/>
  <c r="H171" i="4"/>
  <c r="H94" i="4"/>
  <c r="B93" i="4"/>
  <c r="G41" i="5"/>
  <c r="C51" i="4"/>
  <c r="H120" i="4"/>
  <c r="B24" i="6"/>
  <c r="E140" i="3"/>
  <c r="B124" i="3"/>
  <c r="B32" i="5"/>
  <c r="E89" i="5"/>
  <c r="E93" i="4"/>
  <c r="F66" i="3" a="1"/>
  <c r="E69" i="4"/>
  <c r="F22" i="6"/>
  <c r="G55" i="3" a="1"/>
  <c r="C61" i="3"/>
  <c r="G51" i="3" a="1"/>
  <c r="B93" i="5"/>
  <c r="G101" i="3"/>
  <c r="E48" i="3" a="1"/>
  <c r="B70" i="4"/>
  <c r="B59" i="3" a="1"/>
  <c r="H95" i="4"/>
  <c r="H41" i="5"/>
  <c r="H75" i="5"/>
  <c r="C26" i="3" a="1"/>
  <c r="E91" i="5"/>
  <c r="E29" i="5"/>
  <c r="C77" i="3"/>
  <c r="G166" i="3"/>
  <c r="F124" i="3"/>
  <c r="F96" i="4"/>
  <c r="F94" i="4"/>
  <c r="G36" i="6"/>
  <c r="F24" i="6"/>
  <c r="F26" i="6"/>
  <c r="H64" i="5"/>
  <c r="B52" i="3"/>
  <c r="E43" i="3" a="1"/>
  <c r="E24" i="3" a="1"/>
  <c r="H27" i="3" a="1"/>
  <c r="F28" i="4"/>
  <c r="E24" i="6"/>
  <c r="C168" i="3"/>
  <c r="E142" i="3"/>
  <c r="C82" i="3"/>
  <c r="H165" i="4"/>
  <c r="G116" i="4"/>
  <c r="B123" i="4"/>
  <c r="C145" i="3"/>
  <c r="C68" i="5"/>
  <c r="B170" i="3"/>
  <c r="F38" i="5"/>
  <c r="C167" i="3"/>
  <c r="B46" i="3" a="1"/>
  <c r="C118" i="4"/>
  <c r="C99" i="3"/>
  <c r="H53" i="3" a="1"/>
  <c r="G93" i="5"/>
  <c r="B98" i="3"/>
  <c r="E119" i="4"/>
  <c r="G145" i="3"/>
  <c r="C54" i="11" a="1"/>
  <c r="B126" i="4"/>
  <c r="G48" i="6"/>
  <c r="G29" i="5"/>
  <c r="C56" i="3"/>
  <c r="C143" i="4"/>
  <c r="C173" i="3"/>
  <c r="H142" i="4"/>
  <c r="B68" i="5"/>
  <c r="F103" i="3"/>
  <c r="B67" i="3"/>
  <c r="B168" i="4"/>
  <c r="B164" i="3"/>
  <c r="B65" i="5"/>
  <c r="B63" i="11" a="1"/>
  <c r="B75" i="4"/>
  <c r="C117" i="4"/>
  <c r="H47" i="3" a="1"/>
  <c r="F62" i="11" a="1"/>
  <c r="C91" i="5"/>
  <c r="G59" i="3"/>
  <c r="C96" i="4"/>
  <c r="B81" i="3" a="1"/>
  <c r="C163" i="3"/>
  <c r="H48" i="6"/>
  <c r="E83" i="5"/>
  <c r="H118" i="4"/>
  <c r="B151" i="4"/>
  <c r="H85" i="3"/>
  <c r="E48" i="6"/>
  <c r="B145" i="3"/>
  <c r="C47" i="3"/>
  <c r="G34" i="6"/>
  <c r="E25" i="3" a="1"/>
  <c r="D91" i="5"/>
  <c r="E120" i="4"/>
  <c r="B54" i="4"/>
  <c r="B55" i="3"/>
  <c r="C80" i="5"/>
  <c r="B73" i="5"/>
  <c r="B26" i="6"/>
  <c r="E72" i="5"/>
  <c r="G60" i="3" a="1"/>
  <c r="E75" i="4"/>
  <c r="E28" i="4"/>
  <c r="F121" i="3"/>
  <c r="E49" i="3" a="1"/>
  <c r="H86" i="5"/>
  <c r="C33" i="4"/>
  <c r="C121" i="3"/>
  <c r="B99" i="3"/>
  <c r="E35" i="6"/>
  <c r="F84" i="5"/>
  <c r="J38" i="3" a="1"/>
  <c r="E161" i="3"/>
  <c r="B174" i="3"/>
  <c r="C79" i="5"/>
  <c r="H99" i="3"/>
  <c r="H97" i="4"/>
  <c r="C99" i="4"/>
  <c r="G45" i="3" a="1"/>
  <c r="B122" i="3"/>
  <c r="E127" i="4"/>
  <c r="G46" i="3" a="1"/>
  <c r="F36" i="5"/>
  <c r="G108" i="3"/>
  <c r="C142" i="4"/>
  <c r="E103" i="3"/>
  <c r="G69" i="5"/>
  <c r="H168" i="3"/>
  <c r="F117" i="4"/>
  <c r="G128" i="3"/>
  <c r="G147" i="4"/>
  <c r="F90" i="5"/>
  <c r="B119" i="3"/>
  <c r="B75" i="5"/>
  <c r="C35" i="6"/>
  <c r="F100" i="3"/>
  <c r="F49" i="4"/>
  <c r="G89" i="5"/>
  <c r="F171" i="3"/>
  <c r="C119" i="4"/>
  <c r="E84" i="3" a="1"/>
  <c r="C38" i="6"/>
  <c r="F116" i="4"/>
  <c r="B26" i="3" a="1"/>
  <c r="E38" i="6"/>
  <c r="H71" i="5"/>
  <c r="E52" i="3" a="1"/>
  <c r="B71" i="5"/>
  <c r="C127" i="4"/>
  <c r="H119" i="3"/>
  <c r="G81" i="5"/>
  <c r="B60" i="11" a="1"/>
  <c r="H168" i="4"/>
  <c r="C165" i="3"/>
  <c r="H31" i="5"/>
  <c r="G122" i="3"/>
  <c r="H66" i="5"/>
  <c r="C52" i="3"/>
  <c r="F46" i="6"/>
  <c r="B78" i="4"/>
  <c r="F65" i="5"/>
  <c r="F48" i="6"/>
  <c r="B76" i="5"/>
  <c r="F148" i="3"/>
  <c r="C61" i="11"/>
  <c r="B99" i="4"/>
  <c r="B95" i="4"/>
  <c r="B29" i="5"/>
  <c r="F33" i="5"/>
  <c r="G26" i="3" a="1"/>
  <c r="B28" i="3" a="1"/>
  <c r="C36" i="6"/>
  <c r="F23" i="6"/>
  <c r="B104" i="4"/>
  <c r="D33" i="4"/>
  <c r="C97" i="4"/>
  <c r="E46" i="3" a="1"/>
  <c r="E48" i="4"/>
  <c r="C29" i="5"/>
  <c r="F52" i="3" a="1"/>
  <c r="H165" i="3"/>
  <c r="F122" i="3"/>
  <c r="E68" i="5"/>
  <c r="B126" i="3"/>
  <c r="C80" i="3"/>
  <c r="E70" i="5"/>
  <c r="E167" i="4"/>
  <c r="G64" i="5"/>
  <c r="B141" i="3"/>
  <c r="F46" i="3" a="1"/>
  <c r="C35" i="5"/>
  <c r="B80" i="3" a="1"/>
  <c r="E32" i="5"/>
  <c r="H174" i="3"/>
  <c r="H67" i="3"/>
  <c r="E100" i="3"/>
  <c r="E27" i="3" a="1"/>
  <c r="E151" i="3"/>
  <c r="C23" i="6"/>
  <c r="H23" i="6"/>
  <c r="H60" i="11" a="1"/>
  <c r="D39" i="5"/>
  <c r="B73" i="4"/>
  <c r="B66" i="11" a="1"/>
  <c r="C56" i="4"/>
  <c r="C95" i="4"/>
  <c r="H61" i="3"/>
  <c r="E75" i="5"/>
  <c r="E123" i="3"/>
  <c r="G173" i="4"/>
  <c r="B33" i="4"/>
  <c r="H74" i="5"/>
  <c r="H76" i="5"/>
  <c r="F165" i="3"/>
  <c r="E147" i="4"/>
  <c r="H22" i="6"/>
  <c r="C149" i="4"/>
  <c r="C75" i="4"/>
  <c r="F68" i="5"/>
  <c r="F101" i="3"/>
  <c r="J17" i="3"/>
  <c r="F31" i="5"/>
  <c r="E99" i="4"/>
  <c r="E77" i="3" a="1"/>
  <c r="E47" i="3" a="1"/>
  <c r="B70" i="5"/>
  <c r="G46" i="6"/>
  <c r="C73" i="5"/>
  <c r="F81" i="3" a="1"/>
  <c r="H51" i="4"/>
  <c r="H138" i="3"/>
  <c r="B43" i="3" a="1"/>
  <c r="H29" i="4"/>
  <c r="F48" i="4"/>
  <c r="E31" i="5"/>
  <c r="H71" i="4"/>
  <c r="E129" i="4"/>
  <c r="E139" i="3"/>
  <c r="E25" i="6"/>
  <c r="E78" i="3" a="1"/>
  <c r="F79" i="3" a="1"/>
  <c r="E143" i="4"/>
  <c r="C63" i="11"/>
  <c r="C43" i="3"/>
  <c r="H82" i="3"/>
  <c r="B120" i="3"/>
  <c r="E99" i="3"/>
  <c r="F34" i="6"/>
  <c r="F74" i="5"/>
  <c r="C36" i="5"/>
  <c r="E117" i="4"/>
  <c r="C145" i="4"/>
  <c r="B143" i="3"/>
  <c r="B117" i="4"/>
  <c r="E80" i="3" a="1"/>
  <c r="H28" i="4"/>
  <c r="E97" i="4"/>
  <c r="G22" i="6"/>
  <c r="G121" i="4"/>
  <c r="B127" i="4"/>
  <c r="C104" i="4"/>
  <c r="C60" i="3"/>
  <c r="E71" i="5"/>
  <c r="H117" i="4"/>
  <c r="G120" i="4"/>
  <c r="C120" i="3"/>
  <c r="C28" i="3" a="1"/>
  <c r="H35" i="5"/>
  <c r="E27" i="4"/>
  <c r="I20" i="3" a="1"/>
  <c r="B121" i="4"/>
  <c r="G102" i="4"/>
  <c r="F123" i="3"/>
  <c r="H66" i="11" a="1"/>
  <c r="F41" i="5"/>
  <c r="H81" i="5"/>
  <c r="E80" i="5"/>
  <c r="E81" i="3" a="1"/>
  <c r="B32" i="4"/>
  <c r="H59" i="3" a="1"/>
  <c r="B105" i="3"/>
  <c r="G76" i="4"/>
  <c r="H123" i="4"/>
  <c r="H73" i="4"/>
  <c r="J73" i="3" a="1"/>
  <c r="E130" i="4"/>
  <c r="E142" i="4"/>
  <c r="B24" i="3" a="1"/>
  <c r="G105" i="3"/>
  <c r="H151" i="3"/>
  <c r="H77" i="3" a="1"/>
  <c r="F39" i="5"/>
  <c r="C162" i="3"/>
  <c r="C150" i="3"/>
  <c r="H25" i="6"/>
  <c r="B143" i="4"/>
  <c r="F29" i="5"/>
  <c r="H93" i="4"/>
  <c r="C100" i="4"/>
  <c r="F80" i="5"/>
  <c r="E138" i="3"/>
  <c r="F25" i="10" a="1"/>
  <c r="D89" i="5"/>
  <c r="H130" i="4"/>
  <c r="E35" i="5"/>
  <c r="B96" i="4"/>
  <c r="H24" i="6"/>
  <c r="H54" i="4"/>
  <c r="B25" i="6"/>
  <c r="G66" i="5"/>
  <c r="G23" i="6"/>
  <c r="B81" i="5"/>
  <c r="E171" i="3"/>
  <c r="H93" i="5"/>
  <c r="F164" i="3"/>
  <c r="C62" i="11"/>
  <c r="C144" i="3"/>
  <c r="C168" i="4"/>
  <c r="C116" i="4"/>
  <c r="C24" i="6"/>
  <c r="G62" i="5"/>
  <c r="E54" i="4"/>
  <c r="E56" i="3" a="1"/>
  <c r="H163" i="3"/>
  <c r="F51" i="4"/>
  <c r="F50" i="6"/>
  <c r="H101" i="3"/>
  <c r="C164" i="4"/>
  <c r="C76" i="5"/>
  <c r="E168" i="4"/>
  <c r="C34" i="6"/>
  <c r="C139" i="3"/>
  <c r="F164" i="4"/>
  <c r="H161" i="3"/>
  <c r="C33" i="5"/>
  <c r="H170" i="3"/>
  <c r="C54" i="3"/>
  <c r="C102" i="4"/>
  <c r="F56" i="3" a="1"/>
  <c r="G141" i="3"/>
  <c r="B61" i="3"/>
  <c r="G123" i="3"/>
  <c r="G53" i="4"/>
  <c r="E84" i="5"/>
  <c r="G130" i="4"/>
  <c r="B39" i="5"/>
  <c r="C30" i="5"/>
  <c r="E98" i="3"/>
  <c r="B38" i="6"/>
  <c r="H120" i="3"/>
  <c r="H50" i="3" a="1"/>
  <c r="F63" i="11" a="1"/>
  <c r="C29" i="4"/>
  <c r="B36" i="5"/>
  <c r="B165" i="3"/>
  <c r="C76" i="4"/>
  <c r="E62" i="11" a="1"/>
  <c r="H119" i="4"/>
  <c r="H70" i="5"/>
  <c r="H61" i="11" a="1"/>
  <c r="H83" i="5"/>
  <c r="G167" i="3"/>
  <c r="H121" i="4"/>
  <c r="F89" i="5"/>
  <c r="B151" i="3"/>
  <c r="E85" i="5"/>
  <c r="I54" i="11" a="1"/>
  <c r="H36" i="5"/>
  <c r="B119" i="4"/>
  <c r="C65" i="3"/>
  <c r="E73" i="4"/>
  <c r="B50" i="3"/>
  <c r="C164" i="3"/>
  <c r="G27" i="3" a="1"/>
  <c r="B167" i="3"/>
  <c r="E33" i="4"/>
  <c r="F142" i="3"/>
  <c r="G150" i="3"/>
  <c r="F143" i="4"/>
  <c r="H38" i="5"/>
  <c r="E51" i="4"/>
  <c r="E122" i="3"/>
  <c r="B84" i="5"/>
  <c r="G173" i="3"/>
  <c r="E66" i="11" a="1"/>
  <c r="C170" i="3"/>
  <c r="B62" i="11" a="1"/>
  <c r="H53" i="4"/>
  <c r="H85" i="5"/>
  <c r="C30" i="3" a="1"/>
  <c r="B121" i="3"/>
  <c r="F47" i="6"/>
  <c r="J20" i="3" a="1"/>
  <c r="H48" i="4"/>
  <c r="G91" i="5"/>
  <c r="B85" i="5"/>
  <c r="C93" i="4"/>
  <c r="B139" i="3"/>
  <c r="C37" i="6"/>
  <c r="F46" i="11" a="1"/>
  <c r="E79" i="3" a="1"/>
  <c r="G50" i="3" a="1"/>
  <c r="G163" i="3"/>
  <c r="B54" i="3"/>
  <c r="G25" i="10" a="1"/>
  <c r="H143" i="3"/>
  <c r="H39" i="5"/>
  <c r="F35" i="5"/>
  <c r="H49" i="4"/>
  <c r="H89" i="5"/>
  <c r="F83" i="5"/>
  <c r="C138" i="3"/>
  <c r="G49" i="3" a="1"/>
  <c r="H102" i="4"/>
  <c r="C27" i="4"/>
  <c r="H62" i="3"/>
  <c r="B62" i="3"/>
  <c r="G85" i="3" a="1"/>
  <c r="B168" i="3"/>
  <c r="F77" i="3" a="1"/>
  <c r="E170" i="3"/>
  <c r="D126" i="4"/>
  <c r="G73" i="5"/>
  <c r="B102" i="3"/>
  <c r="B51" i="3"/>
  <c r="E104" i="4"/>
  <c r="F64" i="5"/>
  <c r="B48" i="3"/>
  <c r="G30" i="5"/>
  <c r="B29" i="4"/>
  <c r="C32" i="5"/>
  <c r="C100" i="3"/>
  <c r="B28" i="4"/>
  <c r="F60" i="11" a="1"/>
  <c r="B30" i="3" a="1"/>
  <c r="E173" i="3"/>
  <c r="E72" i="4"/>
  <c r="G62" i="11" a="1"/>
  <c r="G170" i="3"/>
  <c r="H55" i="3" a="1"/>
  <c r="H98" i="3"/>
  <c r="B106" i="3"/>
  <c r="G75" i="5"/>
  <c r="H96" i="4"/>
  <c r="H167" i="3"/>
  <c r="B46" i="6"/>
  <c r="G121" i="3"/>
  <c r="G103" i="3"/>
  <c r="H79" i="3" a="1"/>
  <c r="E63" i="5"/>
  <c r="G86" i="5"/>
  <c r="C81" i="5"/>
  <c r="C73" i="4"/>
  <c r="F28" i="3" a="1"/>
  <c r="C53" i="4"/>
  <c r="F65" i="3" a="1"/>
  <c r="H104" i="4"/>
  <c r="F71" i="5"/>
  <c r="E34" i="6"/>
  <c r="E126" i="4"/>
  <c r="B49" i="4"/>
  <c r="B84" i="3" a="1"/>
  <c r="H46" i="6"/>
  <c r="G146" i="4"/>
  <c r="E148" i="3"/>
  <c r="C62" i="3"/>
  <c r="G85" i="5"/>
  <c r="C89" i="5"/>
  <c r="E65" i="3" a="1"/>
  <c r="H73" i="5"/>
  <c r="G97" i="4"/>
  <c r="J53" i="11"/>
  <c r="E66" i="3" a="1"/>
  <c r="E45" i="3" a="1"/>
  <c r="E74" i="5"/>
  <c r="B102" i="4"/>
  <c r="F145" i="3"/>
  <c r="J35" i="3"/>
  <c r="H76" i="4"/>
  <c r="E163" i="3"/>
  <c r="D78" i="4"/>
  <c r="G65" i="5"/>
  <c r="F70" i="5"/>
  <c r="G24" i="10" a="1"/>
  <c r="H30" i="3" a="1"/>
  <c r="E124" i="3"/>
  <c r="H69" i="5"/>
  <c r="F70" i="4"/>
  <c r="B56" i="4"/>
  <c r="B53" i="4"/>
  <c r="B48" i="6"/>
  <c r="H90" i="5"/>
  <c r="F37" i="6"/>
  <c r="G70" i="5"/>
  <c r="F66" i="5"/>
  <c r="B35" i="4"/>
  <c r="E166" i="4"/>
  <c r="C124" i="4"/>
  <c r="B103" i="3"/>
  <c r="C126" i="3"/>
  <c r="C101" i="3"/>
  <c r="H167" i="4"/>
  <c r="E146" i="4"/>
  <c r="F47" i="3" a="1"/>
  <c r="H129" i="4"/>
  <c r="G78" i="5"/>
  <c r="C79" i="3"/>
  <c r="H49" i="3" a="1"/>
  <c r="E22" i="6"/>
  <c r="G82" i="5"/>
  <c r="C78" i="4"/>
  <c r="H108" i="3"/>
  <c r="E82" i="5"/>
  <c r="E70" i="4"/>
  <c r="H35" i="6"/>
  <c r="G37" i="6"/>
  <c r="H149" i="4"/>
  <c r="D102" i="4"/>
  <c r="B80" i="4"/>
  <c r="B171" i="3"/>
  <c r="B48" i="4"/>
  <c r="B162" i="3"/>
  <c r="H80" i="5"/>
  <c r="G104" i="4"/>
  <c r="B100" i="4"/>
  <c r="E53" i="3" a="1"/>
  <c r="E57" i="3" a="1"/>
  <c r="B118" i="4"/>
  <c r="H100" i="3"/>
  <c r="B47" i="6"/>
  <c r="H143" i="4"/>
  <c r="C47" i="6"/>
  <c r="F62" i="5"/>
  <c r="H38" i="6"/>
  <c r="B49" i="3"/>
  <c r="G26" i="6"/>
  <c r="B79" i="5"/>
  <c r="F168" i="4"/>
  <c r="H62" i="5"/>
  <c r="G71" i="5"/>
  <c r="G83" i="5"/>
  <c r="E26" i="6"/>
  <c r="C173" i="4"/>
  <c r="C151" i="4"/>
  <c r="F82" i="5"/>
  <c r="B38" i="5"/>
  <c r="J70" i="3"/>
  <c r="C106" i="3"/>
  <c r="B31" i="5"/>
  <c r="B144" i="4"/>
  <c r="C51" i="3"/>
  <c r="E171" i="4"/>
  <c r="C27" i="3" a="1"/>
  <c r="C44" i="3"/>
  <c r="G24" i="6"/>
  <c r="C166" i="4"/>
  <c r="H103" i="3"/>
  <c r="C167" i="4"/>
  <c r="B51" i="4"/>
  <c r="C55" i="3"/>
  <c r="C108" i="3"/>
  <c r="F167" i="4"/>
  <c r="G117" i="4"/>
  <c r="C144" i="4"/>
  <c r="E73" i="5"/>
  <c r="D38" i="5"/>
  <c r="B76" i="4"/>
  <c r="C66" i="11"/>
  <c r="B36" i="6"/>
  <c r="G56" i="11" a="1"/>
  <c r="H148" i="3"/>
  <c r="F43" i="3" a="1"/>
  <c r="G73" i="4"/>
  <c r="G56" i="4"/>
  <c r="E168" i="3"/>
  <c r="C85" i="5"/>
  <c r="B27" i="3" a="1"/>
  <c r="D90" i="5"/>
  <c r="C130" i="4"/>
  <c r="E162" i="3"/>
  <c r="E90" i="5"/>
  <c r="E76" i="5"/>
  <c r="H28" i="3" a="1"/>
  <c r="C124" i="3"/>
  <c r="H60" i="3"/>
  <c r="H25" i="3" a="1"/>
  <c r="F35" i="6"/>
  <c r="E36" i="6"/>
  <c r="B120" i="4"/>
  <c r="F63" i="5"/>
  <c r="H171" i="3"/>
  <c r="B150" i="3"/>
  <c r="H150" i="3"/>
  <c r="F121" i="4"/>
  <c r="F80" i="3" a="1"/>
  <c r="F165" i="4"/>
  <c r="G35" i="6"/>
  <c r="H30" i="5"/>
  <c r="C122" i="3"/>
  <c r="H68" i="5"/>
  <c r="C121" i="4"/>
  <c r="E78" i="4"/>
  <c r="E30" i="4"/>
  <c r="H63" i="11" a="1"/>
  <c r="G98" i="3"/>
  <c r="B142" i="4"/>
  <c r="H65" i="3"/>
  <c r="B100" i="3"/>
  <c r="E67" i="3" a="1"/>
  <c r="C53" i="3"/>
  <c r="B80" i="5"/>
  <c r="G66" i="11" a="1"/>
  <c r="C141" i="3"/>
  <c r="C30" i="4"/>
  <c r="G78" i="4"/>
  <c r="G142" i="4"/>
  <c r="F55" i="3" a="1"/>
  <c r="C46" i="3"/>
  <c r="H34" i="6"/>
  <c r="E51" i="3" a="1"/>
  <c r="H81" i="3" a="1"/>
  <c r="C50" i="4"/>
  <c r="H84" i="3" a="1"/>
  <c r="C75" i="5"/>
  <c r="H140" i="3"/>
  <c r="H35" i="4"/>
  <c r="E55" i="3" a="1"/>
  <c r="I73" i="3" a="1"/>
  <c r="E101" i="3"/>
  <c r="F79" i="5"/>
  <c r="H26" i="3" a="1"/>
  <c r="E108" i="3"/>
  <c r="E53" i="4"/>
  <c r="H57" i="3" a="1"/>
  <c r="H43" i="3" a="1"/>
  <c r="B45" i="3" a="1"/>
  <c r="B35" i="5"/>
  <c r="C25" i="3" a="1"/>
  <c r="G61" i="3" a="1"/>
  <c r="E78" i="5"/>
  <c r="H72" i="5"/>
  <c r="B78" i="3" a="1"/>
  <c r="F30" i="4"/>
  <c r="C129" i="4"/>
  <c r="B144" i="3"/>
  <c r="F72" i="5"/>
  <c r="E86" i="5"/>
  <c r="E61" i="11" a="1"/>
  <c r="F49" i="6"/>
  <c r="C70" i="4"/>
  <c r="E100" i="4"/>
  <c r="E56" i="4"/>
  <c r="G63" i="5"/>
  <c r="H54" i="3" a="1"/>
  <c r="F168" i="3"/>
  <c r="H56" i="4"/>
  <c r="F69" i="5"/>
  <c r="H105" i="3"/>
  <c r="G32" i="5"/>
  <c r="H78" i="3" a="1"/>
  <c r="F49" i="3" a="1"/>
  <c r="C105" i="3"/>
  <c r="B82" i="5"/>
  <c r="F27" i="4"/>
  <c r="B165" i="4"/>
  <c r="H164" i="4"/>
  <c r="B72" i="4"/>
  <c r="G72" i="5"/>
  <c r="F166" i="3"/>
  <c r="G143" i="4"/>
  <c r="E49" i="4"/>
  <c r="C123" i="4"/>
  <c r="B173" i="3"/>
  <c r="E149" i="4"/>
  <c r="B149" i="4"/>
  <c r="G62" i="3" a="1"/>
  <c r="G80" i="4"/>
  <c r="F86" i="5"/>
  <c r="B130" i="4"/>
  <c r="C64" i="11"/>
  <c r="F141" i="3"/>
  <c r="B37" i="6"/>
  <c r="C48" i="4"/>
  <c r="F85" i="5"/>
  <c r="B128" i="3"/>
  <c r="C25" i="6"/>
  <c r="B148" i="3"/>
  <c r="B78" i="5"/>
  <c r="E93" i="5"/>
  <c r="G79" i="5"/>
  <c r="E39" i="5"/>
  <c r="H166" i="3"/>
  <c r="H33" i="5"/>
  <c r="E145" i="4"/>
  <c r="H124" i="4"/>
  <c r="E54" i="11" a="1"/>
  <c r="G52" i="3" a="1"/>
  <c r="C26" i="6"/>
  <c r="C151" i="3"/>
  <c r="F36" i="6"/>
  <c r="H162" i="3"/>
  <c r="C78" i="5"/>
  <c r="D171" i="4"/>
  <c r="H48" i="3" a="1"/>
  <c r="B64" i="11" a="1"/>
  <c r="E64" i="5"/>
  <c r="B71" i="4"/>
  <c r="B146" i="4"/>
  <c r="H124" i="3"/>
  <c r="F30" i="5"/>
  <c r="H45" i="3" a="1"/>
  <c r="C71" i="4"/>
  <c r="B49" i="6"/>
  <c r="G168" i="3"/>
  <c r="C69" i="4"/>
  <c r="C72" i="4"/>
  <c r="F93" i="4"/>
  <c r="F174" i="3"/>
  <c r="B86" i="5"/>
  <c r="F98" i="3"/>
  <c r="B166" i="3"/>
  <c r="E141" i="3"/>
  <c r="H91" i="5"/>
  <c r="H127" i="4"/>
  <c r="C165" i="4"/>
  <c r="E29" i="4"/>
  <c r="H128" i="3"/>
  <c r="B25" i="3" a="1"/>
  <c r="B44" i="3" a="1"/>
  <c r="E41" i="5"/>
  <c r="H79" i="5"/>
  <c r="B161" i="3"/>
  <c r="H49" i="6"/>
  <c r="F161" i="3"/>
  <c r="E102" i="4"/>
  <c r="G35" i="4"/>
  <c r="B147" i="4"/>
  <c r="C146" i="4"/>
  <c r="F27" i="3" a="1"/>
  <c r="B35" i="6"/>
  <c r="E44" i="3" a="1"/>
  <c r="B61" i="11" a="1"/>
  <c r="G24" i="10" l="1"/>
  <c r="G25" i="10"/>
  <c r="F25" i="10"/>
  <c r="E60" i="11"/>
  <c r="B62" i="11"/>
  <c r="G54" i="11"/>
  <c r="B61" i="11"/>
  <c r="G63" i="11"/>
  <c r="F64" i="11"/>
  <c r="E66" i="11"/>
  <c r="I54" i="11"/>
  <c r="H63" i="11"/>
  <c r="G56" i="11"/>
  <c r="F60" i="11"/>
  <c r="E61" i="11"/>
  <c r="B63" i="11"/>
  <c r="H64" i="11"/>
  <c r="G66" i="11"/>
  <c r="H62" i="11"/>
  <c r="E62" i="11"/>
  <c r="B64" i="11"/>
  <c r="H66" i="11"/>
  <c r="C54" i="11"/>
  <c r="K68" i="11" s="1"/>
  <c r="H60" i="11"/>
  <c r="F62" i="11"/>
  <c r="E63" i="11"/>
  <c r="B66" i="11"/>
  <c r="E54" i="11"/>
  <c r="B60" i="11"/>
  <c r="H61" i="11"/>
  <c r="G62" i="11"/>
  <c r="F63" i="11"/>
  <c r="E64" i="11"/>
  <c r="B25" i="3"/>
  <c r="B28" i="3"/>
  <c r="G51" i="3"/>
  <c r="E59" i="3"/>
  <c r="F66" i="3"/>
  <c r="I38" i="3"/>
  <c r="B45" i="3"/>
  <c r="G46" i="3"/>
  <c r="F67" i="3"/>
  <c r="H77" i="3"/>
  <c r="E79" i="3"/>
  <c r="H81" i="3"/>
  <c r="F26" i="3"/>
  <c r="E43" i="3"/>
  <c r="H45" i="3"/>
  <c r="H50" i="3"/>
  <c r="F52" i="3"/>
  <c r="J73" i="3"/>
  <c r="E24" i="3"/>
  <c r="C25" i="3"/>
  <c r="G26" i="3"/>
  <c r="E27" i="3"/>
  <c r="C28" i="3"/>
  <c r="F43" i="3"/>
  <c r="F47" i="3"/>
  <c r="E48" i="3"/>
  <c r="H51" i="3"/>
  <c r="G52" i="3"/>
  <c r="F53" i="3"/>
  <c r="E54" i="3"/>
  <c r="H57" i="3"/>
  <c r="E60" i="3"/>
  <c r="B77" i="3"/>
  <c r="B81" i="3"/>
  <c r="H25" i="3"/>
  <c r="H28" i="3"/>
  <c r="E47" i="3"/>
  <c r="E53" i="3"/>
  <c r="H56" i="3"/>
  <c r="G57" i="3"/>
  <c r="J38" i="3"/>
  <c r="E44" i="3"/>
  <c r="H46" i="3"/>
  <c r="E61" i="3"/>
  <c r="F79" i="3"/>
  <c r="G85" i="3"/>
  <c r="H26" i="3"/>
  <c r="B46" i="3"/>
  <c r="B78" i="3"/>
  <c r="G79" i="3"/>
  <c r="B84" i="3"/>
  <c r="I20" i="3"/>
  <c r="F27" i="3"/>
  <c r="G47" i="3"/>
  <c r="H52" i="3"/>
  <c r="H78" i="3"/>
  <c r="J20" i="3"/>
  <c r="E25" i="3"/>
  <c r="C26" i="3"/>
  <c r="G27" i="3"/>
  <c r="E28" i="3"/>
  <c r="C30" i="3"/>
  <c r="H43" i="3"/>
  <c r="E45" i="3"/>
  <c r="H47" i="3"/>
  <c r="G48" i="3"/>
  <c r="F49" i="3"/>
  <c r="E50" i="3"/>
  <c r="H53" i="3"/>
  <c r="G54" i="3"/>
  <c r="F55" i="3"/>
  <c r="E56" i="3"/>
  <c r="H59" i="3"/>
  <c r="G60" i="3"/>
  <c r="F80" i="3"/>
  <c r="F24" i="3"/>
  <c r="E55" i="3"/>
  <c r="H84" i="3"/>
  <c r="B43" i="3"/>
  <c r="B47" i="3"/>
  <c r="B59" i="3"/>
  <c r="G61" i="3"/>
  <c r="E77" i="3"/>
  <c r="H79" i="3"/>
  <c r="E81" i="3"/>
  <c r="B30" i="3"/>
  <c r="E49" i="3"/>
  <c r="G53" i="3"/>
  <c r="E62" i="3"/>
  <c r="E80" i="3"/>
  <c r="B24" i="3"/>
  <c r="H24" i="3"/>
  <c r="B27" i="3"/>
  <c r="H27" i="3"/>
  <c r="F28" i="3"/>
  <c r="F45" i="3"/>
  <c r="H48" i="3"/>
  <c r="G49" i="3"/>
  <c r="F50" i="3"/>
  <c r="E51" i="3"/>
  <c r="H54" i="3"/>
  <c r="G55" i="3"/>
  <c r="F56" i="3"/>
  <c r="E57" i="3"/>
  <c r="G62" i="3"/>
  <c r="B79" i="3"/>
  <c r="G80" i="3"/>
  <c r="E82" i="3"/>
  <c r="H44" i="3"/>
  <c r="E46" i="3"/>
  <c r="E65" i="3"/>
  <c r="F77" i="3"/>
  <c r="F81" i="3"/>
  <c r="B26" i="3"/>
  <c r="H30" i="3"/>
  <c r="C24" i="3"/>
  <c r="E26" i="3"/>
  <c r="C27" i="3"/>
  <c r="E30" i="3"/>
  <c r="B44" i="3"/>
  <c r="G45" i="3"/>
  <c r="H49" i="3"/>
  <c r="G50" i="3"/>
  <c r="E52" i="3"/>
  <c r="H55" i="3"/>
  <c r="G56" i="3"/>
  <c r="E66" i="3"/>
  <c r="I73" i="3"/>
  <c r="E78" i="3"/>
  <c r="H80" i="3"/>
  <c r="E84" i="3"/>
  <c r="F46" i="3"/>
  <c r="F65" i="3"/>
  <c r="E67" i="3"/>
  <c r="B80" i="3"/>
  <c r="E85" i="3"/>
  <c r="F46" i="11"/>
  <c r="D62" i="11" a="1"/>
  <c r="D61" i="11" a="1"/>
  <c r="H68" i="11" a="1"/>
  <c r="I54" i="4"/>
  <c r="F25" i="3" a="1"/>
  <c r="B68" i="11" a="1"/>
  <c r="G43" i="3" a="1"/>
  <c r="F82" i="3" a="1"/>
  <c r="F44" i="3" a="1"/>
  <c r="I126" i="4"/>
  <c r="F85" i="3" a="1"/>
  <c r="C68" i="11"/>
  <c r="G78" i="3" a="1"/>
  <c r="I33" i="4"/>
  <c r="I102" i="4"/>
  <c r="I89" i="5"/>
  <c r="G77" i="3" a="1"/>
  <c r="E68" i="11" a="1"/>
  <c r="G28" i="10" a="1"/>
  <c r="G60" i="11" a="1"/>
  <c r="G44" i="3" a="1"/>
  <c r="D60" i="11" a="1"/>
  <c r="I171" i="4"/>
  <c r="J171" i="4"/>
  <c r="G24" i="3" a="1"/>
  <c r="G25" i="3" a="1"/>
  <c r="G68" i="11" a="1"/>
  <c r="F78" i="3" a="1"/>
  <c r="I90" i="5"/>
  <c r="G61" i="11" a="1"/>
  <c r="I38" i="5"/>
  <c r="I39" i="5"/>
  <c r="J39" i="5" s="1"/>
  <c r="D68" i="11" a="1"/>
  <c r="D64" i="11" a="1"/>
  <c r="F61" i="11" a="1"/>
  <c r="D63" i="11" a="1"/>
  <c r="I78" i="4"/>
  <c r="D66" i="11" a="1"/>
  <c r="I91" i="5"/>
  <c r="I127" i="4"/>
  <c r="G28" i="10" l="1"/>
  <c r="F61" i="11"/>
  <c r="G61" i="11"/>
  <c r="G60" i="11"/>
  <c r="B68" i="11"/>
  <c r="H68" i="11"/>
  <c r="G68" i="11"/>
  <c r="E68" i="11"/>
  <c r="D64" i="11"/>
  <c r="D63" i="11"/>
  <c r="D62" i="11"/>
  <c r="D61" i="11"/>
  <c r="D60" i="11"/>
  <c r="D66" i="11"/>
  <c r="D68" i="11"/>
  <c r="F82" i="3"/>
  <c r="F78" i="3"/>
  <c r="F85" i="3"/>
  <c r="G44" i="3"/>
  <c r="G43" i="3"/>
  <c r="G25" i="3"/>
  <c r="G24" i="3"/>
  <c r="G77" i="3"/>
  <c r="G78" i="3"/>
  <c r="F44" i="3"/>
  <c r="F25" i="3"/>
  <c r="E73" i="3"/>
  <c r="J90" i="5"/>
  <c r="I64" i="11"/>
  <c r="I63" i="11"/>
  <c r="J54" i="4"/>
  <c r="G28" i="3" a="1"/>
  <c r="J91" i="5"/>
  <c r="J102" i="4"/>
  <c r="I68" i="11"/>
  <c r="J33" i="4"/>
  <c r="J78" i="4"/>
  <c r="F68" i="11" a="1"/>
  <c r="J38" i="5"/>
  <c r="J127" i="4"/>
  <c r="F66" i="11" a="1"/>
  <c r="I62" i="11"/>
  <c r="G84" i="3"/>
  <c r="J89" i="5"/>
  <c r="G64" i="11" a="1"/>
  <c r="J126" i="4"/>
  <c r="I66" i="11"/>
  <c r="I60" i="11"/>
  <c r="G82" i="3" a="1"/>
  <c r="G81" i="3" a="1"/>
  <c r="I61" i="11"/>
  <c r="F66" i="11" l="1"/>
  <c r="G64" i="11"/>
  <c r="F68" i="11"/>
  <c r="G82" i="3"/>
  <c r="G28" i="3"/>
  <c r="G81" i="3"/>
  <c r="J66" i="11"/>
  <c r="J61" i="11"/>
  <c r="J68" i="11"/>
  <c r="J60" i="11"/>
  <c r="J64" i="11"/>
  <c r="J62" i="11"/>
  <c r="J63" i="11"/>
  <c r="K35" i="11" l="1"/>
  <c r="K17" i="11"/>
  <c r="H46" i="11" a="1"/>
  <c r="B43" i="11" a="1"/>
  <c r="G29" i="11" a="1"/>
  <c r="C45" i="11" a="1"/>
  <c r="F45" i="11" a="1"/>
  <c r="B24" i="11" a="1"/>
  <c r="C48" i="11" a="1"/>
  <c r="H24" i="11" a="1"/>
  <c r="H27" i="11" a="1"/>
  <c r="G32" i="11" a="1"/>
  <c r="J35" i="11"/>
  <c r="H32" i="11" a="1"/>
  <c r="F32" i="11" a="1"/>
  <c r="G18" i="11" a="1"/>
  <c r="E46" i="11" a="1"/>
  <c r="C43" i="11" a="1"/>
  <c r="C24" i="11" a="1"/>
  <c r="F24" i="11" a="1"/>
  <c r="G25" i="11" a="1"/>
  <c r="E45" i="11" a="1"/>
  <c r="B26" i="11" a="1"/>
  <c r="F42" i="11" a="1"/>
  <c r="F26" i="11" a="1"/>
  <c r="E43" i="11" a="1"/>
  <c r="C26" i="11" a="1"/>
  <c r="B25" i="11" a="1"/>
  <c r="B48" i="11" a="1"/>
  <c r="G45" i="11" a="1"/>
  <c r="G30" i="11" a="1"/>
  <c r="B29" i="11" a="1"/>
  <c r="F30" i="11" a="1"/>
  <c r="E44" i="11" a="1"/>
  <c r="B42" i="11" a="1"/>
  <c r="E26" i="11" a="1"/>
  <c r="F44" i="11" a="1"/>
  <c r="H25" i="11" a="1"/>
  <c r="F25" i="11" a="1"/>
  <c r="E48" i="11" a="1"/>
  <c r="C46" i="11" a="1"/>
  <c r="B45" i="11" a="1"/>
  <c r="C30" i="11" a="1"/>
  <c r="E42" i="11" a="1"/>
  <c r="B46" i="11" a="1"/>
  <c r="C42" i="11" a="1"/>
  <c r="E30" i="11" a="1"/>
  <c r="E24" i="11" a="1"/>
  <c r="E29" i="11" a="1"/>
  <c r="C32" i="11" a="1"/>
  <c r="G44" i="11" a="1"/>
  <c r="H48" i="11" a="1"/>
  <c r="F27" i="11" a="1"/>
  <c r="B44" i="11" a="1"/>
  <c r="J17" i="11"/>
  <c r="E25" i="11" a="1"/>
  <c r="E27" i="11" a="1"/>
  <c r="G24" i="11" a="1"/>
  <c r="C27" i="11" a="1"/>
  <c r="F29" i="11" a="1"/>
  <c r="C29" i="11" a="1"/>
  <c r="H43" i="11" a="1"/>
  <c r="H30" i="11" a="1"/>
  <c r="B30" i="11" a="1"/>
  <c r="E32" i="11" a="1"/>
  <c r="B27" i="11" a="1"/>
  <c r="C25" i="11" a="1"/>
  <c r="G26" i="11" a="1"/>
  <c r="G27" i="11" a="1"/>
  <c r="B32" i="11" a="1"/>
  <c r="H26" i="11" a="1"/>
  <c r="H45" i="11" a="1"/>
  <c r="C44" i="11" a="1"/>
  <c r="H29" i="11" a="1"/>
  <c r="H44" i="11" a="1"/>
  <c r="H42" i="11" a="1"/>
  <c r="G48" i="11" a="1"/>
  <c r="G18" i="11" l="1"/>
  <c r="E42" i="11"/>
  <c r="B43" i="11"/>
  <c r="H43" i="11"/>
  <c r="E44" i="11"/>
  <c r="B45" i="11"/>
  <c r="H45" i="11"/>
  <c r="E46" i="11"/>
  <c r="B48" i="11"/>
  <c r="H48" i="11"/>
  <c r="F42" i="11"/>
  <c r="C43" i="11"/>
  <c r="F44" i="11"/>
  <c r="C45" i="11"/>
  <c r="C48" i="11"/>
  <c r="G44" i="11"/>
  <c r="B42" i="11"/>
  <c r="H42" i="11"/>
  <c r="E43" i="11"/>
  <c r="B44" i="11"/>
  <c r="H44" i="11"/>
  <c r="E45" i="11"/>
  <c r="B46" i="11"/>
  <c r="H46" i="11"/>
  <c r="E48" i="11"/>
  <c r="F45" i="11"/>
  <c r="C42" i="11"/>
  <c r="C44" i="11"/>
  <c r="C46" i="11"/>
  <c r="G45" i="11"/>
  <c r="G48" i="11"/>
  <c r="H26" i="11"/>
  <c r="H30" i="11"/>
  <c r="H29" i="11"/>
  <c r="H27" i="11"/>
  <c r="H25" i="11"/>
  <c r="H24" i="11"/>
  <c r="G26" i="11"/>
  <c r="H32" i="11"/>
  <c r="G32" i="11"/>
  <c r="G30" i="11"/>
  <c r="G29" i="11"/>
  <c r="G27" i="11"/>
  <c r="G25" i="11"/>
  <c r="G24" i="11"/>
  <c r="F32" i="11"/>
  <c r="F30" i="11"/>
  <c r="F29" i="11"/>
  <c r="F27" i="11"/>
  <c r="F26" i="11"/>
  <c r="F25" i="11"/>
  <c r="F24" i="11"/>
  <c r="E32" i="11"/>
  <c r="E30" i="11"/>
  <c r="E29" i="11"/>
  <c r="E27" i="11"/>
  <c r="E25" i="11"/>
  <c r="E26" i="11"/>
  <c r="E24" i="11"/>
  <c r="C32" i="11"/>
  <c r="C30" i="11"/>
  <c r="C29" i="11"/>
  <c r="C27" i="11"/>
  <c r="C26" i="11"/>
  <c r="C25" i="11"/>
  <c r="C24" i="11"/>
  <c r="B32" i="11"/>
  <c r="B30" i="11"/>
  <c r="B29" i="11"/>
  <c r="B27" i="11"/>
  <c r="B26" i="11"/>
  <c r="B25" i="11"/>
  <c r="B24" i="11"/>
  <c r="I18" i="11" a="1"/>
  <c r="G20" i="11" a="1"/>
  <c r="I18" i="11" l="1"/>
  <c r="G20" i="11"/>
  <c r="D26" i="11" a="1"/>
  <c r="D27" i="11" a="1"/>
  <c r="D24" i="11" a="1"/>
  <c r="D25" i="11" a="1"/>
  <c r="D27" i="11" l="1"/>
  <c r="D26" i="11"/>
  <c r="D25" i="11"/>
  <c r="D24" i="11"/>
  <c r="I26" i="11"/>
  <c r="I25" i="11"/>
  <c r="I24" i="11"/>
  <c r="I27" i="11"/>
  <c r="O28" i="8" l="1"/>
  <c r="L28" i="8"/>
  <c r="I28" i="8"/>
  <c r="F28" i="8"/>
  <c r="C28" i="8"/>
  <c r="K41" i="6"/>
  <c r="K29" i="6"/>
  <c r="K17" i="6"/>
  <c r="K44" i="5"/>
  <c r="K17" i="5"/>
  <c r="K154" i="4"/>
  <c r="K133" i="4"/>
  <c r="K107" i="4"/>
  <c r="K83" i="4"/>
  <c r="K59" i="4"/>
  <c r="K38" i="4"/>
  <c r="K17" i="4"/>
  <c r="K154" i="3"/>
  <c r="K131" i="3"/>
  <c r="K111" i="3"/>
  <c r="K90" i="3"/>
  <c r="O41" i="8" a="1"/>
  <c r="L36" i="8" a="1"/>
  <c r="J26" i="11"/>
  <c r="O35" i="8" a="1"/>
  <c r="J27" i="11"/>
  <c r="I93" i="3" a="1"/>
  <c r="O39" i="8" a="1"/>
  <c r="J24" i="11"/>
  <c r="O38" i="8" a="1"/>
  <c r="L40" i="8" a="1"/>
  <c r="I37" i="8" a="1"/>
  <c r="O37" i="8" a="1"/>
  <c r="L38" i="8" a="1"/>
  <c r="L34" i="8" a="1"/>
  <c r="L30" i="8" a="1"/>
  <c r="O34" i="8" a="1"/>
  <c r="O40" i="8" a="1"/>
  <c r="I34" i="8" a="1"/>
  <c r="O31" i="8" a="1"/>
  <c r="I40" i="8" a="1"/>
  <c r="I35" i="8" a="1"/>
  <c r="I38" i="8" a="1"/>
  <c r="F34" i="8" a="1"/>
  <c r="L29" i="8" a="1"/>
  <c r="O33" i="8" a="1"/>
  <c r="O36" i="8" a="1"/>
  <c r="O32" i="8" a="1"/>
  <c r="O29" i="8" a="1"/>
  <c r="F30" i="8" a="1"/>
  <c r="F31" i="8" a="1"/>
  <c r="L32" i="8" a="1"/>
  <c r="F36" i="8" a="1"/>
  <c r="L37" i="8" a="1"/>
  <c r="F40" i="8" a="1"/>
  <c r="F29" i="8" a="1"/>
  <c r="F35" i="8" a="1"/>
  <c r="O30" i="8" a="1"/>
  <c r="F39" i="8" a="1"/>
  <c r="I29" i="8" a="1"/>
  <c r="I41" i="8" a="1"/>
  <c r="F41" i="8" a="1"/>
  <c r="L33" i="8" a="1"/>
  <c r="F38" i="8" a="1"/>
  <c r="L39" i="8" a="1"/>
  <c r="L41" i="8" a="1"/>
  <c r="F37" i="8" a="1"/>
  <c r="L31" i="8" a="1"/>
  <c r="I39" i="8" a="1"/>
  <c r="I30" i="8" a="1"/>
  <c r="J25" i="11"/>
  <c r="I31" i="8" a="1"/>
  <c r="L35" i="8" a="1"/>
  <c r="I93" i="3" l="1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L35" i="8"/>
  <c r="L41" i="8"/>
  <c r="L29" i="8"/>
  <c r="L31" i="8"/>
  <c r="L36" i="8"/>
  <c r="L40" i="8"/>
  <c r="L34" i="8"/>
  <c r="L33" i="8"/>
  <c r="L38" i="8"/>
  <c r="L37" i="8"/>
  <c r="L30" i="8"/>
  <c r="L32" i="8"/>
  <c r="L39" i="8"/>
  <c r="I35" i="8"/>
  <c r="I40" i="8"/>
  <c r="I34" i="8"/>
  <c r="I41" i="8"/>
  <c r="I39" i="8"/>
  <c r="I37" i="8"/>
  <c r="I38" i="8"/>
  <c r="I31" i="8"/>
  <c r="I29" i="8"/>
  <c r="I30" i="8"/>
  <c r="F35" i="8"/>
  <c r="F34" i="8"/>
  <c r="F41" i="8"/>
  <c r="F36" i="8"/>
  <c r="F39" i="8"/>
  <c r="F37" i="8"/>
  <c r="F40" i="8"/>
  <c r="F38" i="8"/>
  <c r="F31" i="8"/>
  <c r="F30" i="8"/>
  <c r="F29" i="8"/>
  <c r="C88" i="4"/>
  <c r="C89" i="4" s="1"/>
  <c r="D87" i="4"/>
  <c r="C87" i="4"/>
  <c r="C64" i="4"/>
  <c r="H63" i="4" s="1"/>
  <c r="C36" i="3" a="1"/>
  <c r="I157" i="4" a="1"/>
  <c r="J136" i="4" a="1"/>
  <c r="I62" i="4" a="1"/>
  <c r="J86" i="4" a="1"/>
  <c r="E71" i="3" a="1"/>
  <c r="J38" i="11" a="1"/>
  <c r="J157" i="4" a="1"/>
  <c r="K38" i="3" a="1"/>
  <c r="G38" i="3" a="1"/>
  <c r="J110" i="4" a="1"/>
  <c r="G73" i="3" a="1"/>
  <c r="I137" i="4" a="1"/>
  <c r="I136" i="4" a="1"/>
  <c r="J111" i="4" a="1"/>
  <c r="G62" i="4" a="1"/>
  <c r="E18" i="3" a="1"/>
  <c r="C36" i="11" a="1"/>
  <c r="I18" i="3" a="1"/>
  <c r="I20" i="4" a="1"/>
  <c r="C71" i="3" a="1"/>
  <c r="J29" i="6"/>
  <c r="I38" i="11" a="1"/>
  <c r="J20" i="4" a="1"/>
  <c r="J137" i="4" a="1"/>
  <c r="I86" i="4" a="1"/>
  <c r="G157" i="4" a="1"/>
  <c r="G20" i="10" a="1"/>
  <c r="I41" i="4" a="1"/>
  <c r="I71" i="3" a="1"/>
  <c r="G86" i="4" a="1"/>
  <c r="I111" i="4" a="1"/>
  <c r="E36" i="3" a="1"/>
  <c r="G18" i="10" a="1"/>
  <c r="G18" i="3" a="1"/>
  <c r="G20" i="4" a="1"/>
  <c r="I36" i="3" a="1"/>
  <c r="C18" i="10" a="1"/>
  <c r="J62" i="4" a="1"/>
  <c r="J154" i="3"/>
  <c r="G38" i="11" a="1"/>
  <c r="I36" i="11" a="1"/>
  <c r="G36" i="3" a="1"/>
  <c r="E18" i="10" a="1"/>
  <c r="I110" i="4" a="1"/>
  <c r="G71" i="3" a="1"/>
  <c r="G20" i="3" a="1"/>
  <c r="I18" i="10" a="1"/>
  <c r="J41" i="4" a="1"/>
  <c r="J41" i="6"/>
  <c r="G110" i="4" a="1"/>
  <c r="J83" i="4"/>
  <c r="G41" i="4" a="1"/>
  <c r="C18" i="3" a="1"/>
  <c r="G136" i="4" a="1"/>
  <c r="I18" i="10" l="1"/>
  <c r="G18" i="10"/>
  <c r="E18" i="10"/>
  <c r="C18" i="10"/>
  <c r="K32" i="10" s="1"/>
  <c r="G20" i="10"/>
  <c r="K38" i="3"/>
  <c r="G18" i="3"/>
  <c r="G36" i="3"/>
  <c r="G71" i="3"/>
  <c r="I36" i="3"/>
  <c r="I18" i="3"/>
  <c r="I71" i="3"/>
  <c r="E18" i="3"/>
  <c r="E36" i="3"/>
  <c r="E71" i="3"/>
  <c r="C71" i="3"/>
  <c r="K87" i="3" s="1"/>
  <c r="C18" i="3"/>
  <c r="K32" i="3" s="1"/>
  <c r="C36" i="3"/>
  <c r="K64" i="3" s="1"/>
  <c r="G38" i="3"/>
  <c r="G73" i="3"/>
  <c r="G20" i="3"/>
  <c r="J38" i="11"/>
  <c r="I38" i="11"/>
  <c r="C36" i="11"/>
  <c r="K50" i="11" s="1"/>
  <c r="G38" i="11"/>
  <c r="I36" i="11"/>
  <c r="I111" i="4"/>
  <c r="J111" i="4"/>
  <c r="I137" i="4"/>
  <c r="J137" i="4"/>
  <c r="G157" i="4"/>
  <c r="I157" i="4"/>
  <c r="J157" i="4"/>
  <c r="G136" i="4"/>
  <c r="I136" i="4"/>
  <c r="J136" i="4"/>
  <c r="G110" i="4"/>
  <c r="I110" i="4"/>
  <c r="J110" i="4"/>
  <c r="G86" i="4"/>
  <c r="I86" i="4"/>
  <c r="J86" i="4"/>
  <c r="G62" i="4"/>
  <c r="I62" i="4"/>
  <c r="J62" i="4"/>
  <c r="G41" i="4"/>
  <c r="I41" i="4"/>
  <c r="J41" i="4"/>
  <c r="G20" i="4"/>
  <c r="I20" i="4"/>
  <c r="J20" i="4"/>
  <c r="C50" i="11" a="1"/>
  <c r="D61" i="3"/>
  <c r="C64" i="3"/>
  <c r="F32" i="10" a="1"/>
  <c r="G126" i="4"/>
  <c r="J107" i="4"/>
  <c r="D28" i="10" a="1"/>
  <c r="F84" i="3"/>
  <c r="G67" i="3" a="1"/>
  <c r="G166" i="4"/>
  <c r="E32" i="3" a="1"/>
  <c r="F151" i="4"/>
  <c r="D57" i="3"/>
  <c r="G157" i="3" a="1"/>
  <c r="J90" i="3"/>
  <c r="G87" i="3" a="1"/>
  <c r="D30" i="3" a="1"/>
  <c r="C32" i="10" a="1"/>
  <c r="J114" i="3" a="1"/>
  <c r="D79" i="3" a="1"/>
  <c r="D85" i="3"/>
  <c r="D32" i="10" a="1"/>
  <c r="F95" i="4"/>
  <c r="D43" i="3" a="1"/>
  <c r="G30" i="4"/>
  <c r="G119" i="4"/>
  <c r="J17" i="6"/>
  <c r="E87" i="3" a="1"/>
  <c r="H32" i="10" a="1"/>
  <c r="D26" i="3" a="1"/>
  <c r="F62" i="3" a="1"/>
  <c r="J44" i="5"/>
  <c r="F57" i="3" a="1"/>
  <c r="F120" i="4"/>
  <c r="F32" i="3" a="1"/>
  <c r="F130" i="4"/>
  <c r="D27" i="10" a="1"/>
  <c r="G64" i="3" a="1"/>
  <c r="D53" i="3"/>
  <c r="F41" i="4" a="1"/>
  <c r="F144" i="4"/>
  <c r="D52" i="3"/>
  <c r="F136" i="4" a="1"/>
  <c r="J115" i="3" a="1"/>
  <c r="G123" i="4"/>
  <c r="F48" i="3" a="1"/>
  <c r="G124" i="4"/>
  <c r="F100" i="4"/>
  <c r="G50" i="11" a="1"/>
  <c r="G94" i="4"/>
  <c r="I134" i="3" a="1"/>
  <c r="F43" i="11" a="1"/>
  <c r="G27" i="4"/>
  <c r="F29" i="4"/>
  <c r="I115" i="3" a="1"/>
  <c r="J94" i="3" a="1"/>
  <c r="J38" i="4"/>
  <c r="D42" i="11" a="1"/>
  <c r="J133" i="4"/>
  <c r="F71" i="4"/>
  <c r="I94" i="3" a="1"/>
  <c r="E64" i="3" a="1"/>
  <c r="F87" i="3" a="1"/>
  <c r="F62" i="4" a="1"/>
  <c r="F30" i="3"/>
  <c r="J134" i="3" a="1"/>
  <c r="F157" i="4" a="1"/>
  <c r="F173" i="4"/>
  <c r="G28" i="4"/>
  <c r="F119" i="4"/>
  <c r="D62" i="3"/>
  <c r="C87" i="3"/>
  <c r="F110" i="4" a="1"/>
  <c r="D80" i="3" a="1"/>
  <c r="D43" i="11" a="1"/>
  <c r="D87" i="3" a="1"/>
  <c r="D56" i="3"/>
  <c r="F127" i="4"/>
  <c r="G127" i="4"/>
  <c r="E32" i="10" a="1"/>
  <c r="G66" i="3" a="1"/>
  <c r="D48" i="3"/>
  <c r="G72" i="4"/>
  <c r="G32" i="3"/>
  <c r="D59" i="3" a="1"/>
  <c r="F145" i="4"/>
  <c r="D32" i="3" a="1"/>
  <c r="J17" i="4"/>
  <c r="E157" i="3" a="1"/>
  <c r="J93" i="3" a="1"/>
  <c r="F166" i="4"/>
  <c r="F35" i="4"/>
  <c r="D64" i="3" a="1"/>
  <c r="D45" i="3" a="1"/>
  <c r="E50" i="11" a="1"/>
  <c r="J17" i="5"/>
  <c r="D28" i="3" a="1"/>
  <c r="D24" i="3" a="1"/>
  <c r="D78" i="3" a="1"/>
  <c r="D55" i="3"/>
  <c r="G145" i="4"/>
  <c r="C32" i="3" a="1"/>
  <c r="F54" i="3" a="1"/>
  <c r="H87" i="3" a="1"/>
  <c r="D46" i="3" a="1"/>
  <c r="F129" i="4"/>
  <c r="D44" i="11" a="1"/>
  <c r="G95" i="4"/>
  <c r="J131" i="3"/>
  <c r="G96" i="4"/>
  <c r="D30" i="10" a="1"/>
  <c r="F64" i="3" a="1"/>
  <c r="G144" i="4"/>
  <c r="F73" i="4"/>
  <c r="D66" i="3"/>
  <c r="G93" i="3" a="1"/>
  <c r="G134" i="3" a="1"/>
  <c r="G167" i="4"/>
  <c r="D47" i="3" a="1"/>
  <c r="H32" i="3" a="1"/>
  <c r="I114" i="3" a="1"/>
  <c r="D81" i="3" a="1"/>
  <c r="D46" i="11" a="1"/>
  <c r="F118" i="4"/>
  <c r="F50" i="4"/>
  <c r="B64" i="3" a="1"/>
  <c r="G32" i="10"/>
  <c r="D44" i="3" a="1"/>
  <c r="F61" i="3" a="1"/>
  <c r="F80" i="4"/>
  <c r="J157" i="3" a="1"/>
  <c r="G71" i="4"/>
  <c r="B87" i="3" a="1"/>
  <c r="D24" i="10" a="1"/>
  <c r="D45" i="11" a="1"/>
  <c r="F60" i="3" a="1"/>
  <c r="G50" i="4"/>
  <c r="D27" i="3" a="1"/>
  <c r="G65" i="3" a="1"/>
  <c r="F20" i="4" a="1"/>
  <c r="G164" i="4"/>
  <c r="D49" i="3"/>
  <c r="F146" i="4"/>
  <c r="G43" i="11" a="1"/>
  <c r="J59" i="4"/>
  <c r="D25" i="10" a="1"/>
  <c r="D67" i="3"/>
  <c r="F171" i="4"/>
  <c r="G46" i="11" a="1"/>
  <c r="F86" i="4" a="1"/>
  <c r="B32" i="10" a="1"/>
  <c r="G29" i="4"/>
  <c r="G42" i="11" a="1"/>
  <c r="H50" i="11" a="1"/>
  <c r="F97" i="4"/>
  <c r="D77" i="3" a="1"/>
  <c r="E114" i="3" a="1"/>
  <c r="F134" i="3" a="1"/>
  <c r="D26" i="10" a="1"/>
  <c r="J111" i="3"/>
  <c r="F56" i="4"/>
  <c r="F51" i="3" a="1"/>
  <c r="D51" i="3"/>
  <c r="B32" i="3" a="1"/>
  <c r="F76" i="4"/>
  <c r="J154" i="4"/>
  <c r="D60" i="3"/>
  <c r="F30" i="10"/>
  <c r="D54" i="3"/>
  <c r="F59" i="3"/>
  <c r="I157" i="3" a="1"/>
  <c r="G118" i="4"/>
  <c r="D82" i="3"/>
  <c r="D50" i="3"/>
  <c r="D25" i="3" a="1"/>
  <c r="F102" i="4"/>
  <c r="G51" i="4"/>
  <c r="F78" i="4"/>
  <c r="D65" i="3"/>
  <c r="H64" i="3" a="1"/>
  <c r="D84" i="3" a="1"/>
  <c r="B50" i="11" a="1"/>
  <c r="G165" i="4"/>
  <c r="C32" i="10" l="1"/>
  <c r="B32" i="10"/>
  <c r="H32" i="10"/>
  <c r="E32" i="10"/>
  <c r="F32" i="10"/>
  <c r="D32" i="10"/>
  <c r="D30" i="10"/>
  <c r="D26" i="10"/>
  <c r="D28" i="10"/>
  <c r="D25" i="10"/>
  <c r="D27" i="10"/>
  <c r="D24" i="10"/>
  <c r="E32" i="3"/>
  <c r="B32" i="3"/>
  <c r="H32" i="3"/>
  <c r="C32" i="3"/>
  <c r="F32" i="3"/>
  <c r="D87" i="3"/>
  <c r="D80" i="3"/>
  <c r="D77" i="3"/>
  <c r="D81" i="3"/>
  <c r="D78" i="3"/>
  <c r="D79" i="3"/>
  <c r="D32" i="3"/>
  <c r="D27" i="3"/>
  <c r="D28" i="3"/>
  <c r="D25" i="3"/>
  <c r="D26" i="3"/>
  <c r="D24" i="3"/>
  <c r="D44" i="3"/>
  <c r="D46" i="3"/>
  <c r="D45" i="3"/>
  <c r="D43" i="3"/>
  <c r="D47" i="3"/>
  <c r="D84" i="3"/>
  <c r="D59" i="3"/>
  <c r="E87" i="3"/>
  <c r="G87" i="3"/>
  <c r="H87" i="3"/>
  <c r="B87" i="3"/>
  <c r="F87" i="3"/>
  <c r="D64" i="3"/>
  <c r="F60" i="3"/>
  <c r="F61" i="3"/>
  <c r="F62" i="3"/>
  <c r="D30" i="3"/>
  <c r="H64" i="3"/>
  <c r="B64" i="3"/>
  <c r="E64" i="3"/>
  <c r="G64" i="3"/>
  <c r="F64" i="3"/>
  <c r="F54" i="3"/>
  <c r="F48" i="3"/>
  <c r="F51" i="3"/>
  <c r="F57" i="3"/>
  <c r="G66" i="3"/>
  <c r="G67" i="3"/>
  <c r="G65" i="3"/>
  <c r="F43" i="11"/>
  <c r="G42" i="11"/>
  <c r="G43" i="11"/>
  <c r="G46" i="11"/>
  <c r="C50" i="11"/>
  <c r="E50" i="11"/>
  <c r="G50" i="11"/>
  <c r="B50" i="11"/>
  <c r="H50" i="11"/>
  <c r="D46" i="11"/>
  <c r="D44" i="11"/>
  <c r="D42" i="11"/>
  <c r="D45" i="11"/>
  <c r="D43" i="11"/>
  <c r="F110" i="4"/>
  <c r="F41" i="4"/>
  <c r="F62" i="4"/>
  <c r="F157" i="4"/>
  <c r="F86" i="4"/>
  <c r="F136" i="4"/>
  <c r="F20" i="4"/>
  <c r="E87" i="4"/>
  <c r="H87" i="4"/>
  <c r="H88" i="4" s="1"/>
  <c r="E157" i="3"/>
  <c r="G134" i="3"/>
  <c r="E114" i="3"/>
  <c r="G93" i="3"/>
  <c r="G157" i="3"/>
  <c r="F134" i="3"/>
  <c r="I157" i="3"/>
  <c r="I134" i="3"/>
  <c r="I115" i="3"/>
  <c r="I114" i="3"/>
  <c r="I94" i="3"/>
  <c r="J157" i="3"/>
  <c r="J134" i="3"/>
  <c r="J114" i="3"/>
  <c r="J115" i="3"/>
  <c r="J94" i="3"/>
  <c r="J93" i="3"/>
  <c r="I81" i="3"/>
  <c r="I30" i="3"/>
  <c r="F170" i="4"/>
  <c r="I55" i="3"/>
  <c r="I56" i="3"/>
  <c r="I66" i="3"/>
  <c r="F126" i="4"/>
  <c r="G174" i="3"/>
  <c r="G70" i="4"/>
  <c r="I60" i="3"/>
  <c r="F32" i="4"/>
  <c r="I27" i="3"/>
  <c r="I67" i="3"/>
  <c r="I46" i="3"/>
  <c r="I84" i="3"/>
  <c r="I27" i="10"/>
  <c r="I82" i="3"/>
  <c r="I47" i="3"/>
  <c r="F48" i="11" a="1"/>
  <c r="F124" i="4"/>
  <c r="I52" i="3"/>
  <c r="I42" i="11"/>
  <c r="F75" i="4"/>
  <c r="G151" i="3"/>
  <c r="F120" i="3"/>
  <c r="G48" i="4"/>
  <c r="I62" i="3"/>
  <c r="F99" i="4"/>
  <c r="G49" i="4"/>
  <c r="I43" i="11"/>
  <c r="I64" i="3"/>
  <c r="I45" i="11"/>
  <c r="I50" i="3"/>
  <c r="F162" i="3"/>
  <c r="G168" i="4"/>
  <c r="I54" i="3"/>
  <c r="I49" i="3"/>
  <c r="F102" i="3"/>
  <c r="I53" i="3"/>
  <c r="G138" i="3"/>
  <c r="I32" i="10"/>
  <c r="I59" i="3"/>
  <c r="I77" i="3"/>
  <c r="F50" i="11" a="1"/>
  <c r="I28" i="10"/>
  <c r="I65" i="3"/>
  <c r="I26" i="10"/>
  <c r="I78" i="3"/>
  <c r="F123" i="4"/>
  <c r="I61" i="3"/>
  <c r="F139" i="3"/>
  <c r="I80" i="3"/>
  <c r="F173" i="3"/>
  <c r="I44" i="3"/>
  <c r="I85" i="3"/>
  <c r="I26" i="3"/>
  <c r="F149" i="4"/>
  <c r="I46" i="11"/>
  <c r="F167" i="3"/>
  <c r="I25" i="3"/>
  <c r="F105" i="3"/>
  <c r="G165" i="3"/>
  <c r="I43" i="3"/>
  <c r="F144" i="3"/>
  <c r="I28" i="3"/>
  <c r="F104" i="4"/>
  <c r="I45" i="3"/>
  <c r="I87" i="3"/>
  <c r="I24" i="3"/>
  <c r="I57" i="3"/>
  <c r="G149" i="4"/>
  <c r="I32" i="3"/>
  <c r="I51" i="3"/>
  <c r="G139" i="3"/>
  <c r="I25" i="10"/>
  <c r="F99" i="3"/>
  <c r="G162" i="3"/>
  <c r="G120" i="3"/>
  <c r="I44" i="11"/>
  <c r="F53" i="4"/>
  <c r="G142" i="3"/>
  <c r="I24" i="10"/>
  <c r="F106" i="3"/>
  <c r="G99" i="3"/>
  <c r="F33" i="4"/>
  <c r="I79" i="3"/>
  <c r="G69" i="4"/>
  <c r="I48" i="3"/>
  <c r="G93" i="4"/>
  <c r="G161" i="3"/>
  <c r="I30" i="10"/>
  <c r="F150" i="3"/>
  <c r="F48" i="11" l="1"/>
  <c r="F50" i="11"/>
  <c r="F87" i="4"/>
  <c r="F88" i="4" s="1"/>
  <c r="C159" i="4"/>
  <c r="F158" i="4"/>
  <c r="F159" i="4" s="1"/>
  <c r="D158" i="4"/>
  <c r="C158" i="4"/>
  <c r="J49" i="3"/>
  <c r="J28" i="3"/>
  <c r="J26" i="10"/>
  <c r="J85" i="3"/>
  <c r="E42" i="6" a="1"/>
  <c r="J28" i="10"/>
  <c r="J44" i="3"/>
  <c r="G155" i="4" a="1"/>
  <c r="J26" i="3"/>
  <c r="G91" i="3" a="1"/>
  <c r="F108" i="3"/>
  <c r="J55" i="3"/>
  <c r="J30" i="10"/>
  <c r="J60" i="3"/>
  <c r="J47" i="3"/>
  <c r="J32" i="3"/>
  <c r="G112" i="3" a="1"/>
  <c r="G39" i="4" a="1"/>
  <c r="F126" i="3"/>
  <c r="G155" i="3" a="1"/>
  <c r="D29" i="11" a="1"/>
  <c r="G132" i="3" a="1"/>
  <c r="J87" i="3"/>
  <c r="G84" i="4" a="1"/>
  <c r="J25" i="10"/>
  <c r="J84" i="3"/>
  <c r="J50" i="3"/>
  <c r="J54" i="3"/>
  <c r="J61" i="3"/>
  <c r="J44" i="11"/>
  <c r="G134" i="4" a="1"/>
  <c r="J78" i="3"/>
  <c r="J24" i="3"/>
  <c r="J45" i="11"/>
  <c r="J62" i="3"/>
  <c r="J52" i="3"/>
  <c r="J30" i="3"/>
  <c r="J32" i="10"/>
  <c r="J48" i="3"/>
  <c r="G108" i="4" a="1"/>
  <c r="J81" i="3"/>
  <c r="G60" i="4" a="1"/>
  <c r="F147" i="3"/>
  <c r="J27" i="10"/>
  <c r="J57" i="3"/>
  <c r="E18" i="11" a="1"/>
  <c r="D30" i="11" a="1"/>
  <c r="G148" i="3"/>
  <c r="J42" i="11"/>
  <c r="G18" i="4" a="1"/>
  <c r="J80" i="3"/>
  <c r="J56" i="3"/>
  <c r="G36" i="11" a="1"/>
  <c r="G126" i="3"/>
  <c r="J43" i="3"/>
  <c r="G171" i="3"/>
  <c r="J24" i="10"/>
  <c r="J27" i="3"/>
  <c r="J51" i="3"/>
  <c r="J79" i="3"/>
  <c r="J45" i="3"/>
  <c r="E30" i="6" a="1"/>
  <c r="J64" i="3"/>
  <c r="E18" i="6" a="1"/>
  <c r="J82" i="3"/>
  <c r="J43" i="11"/>
  <c r="J77" i="3"/>
  <c r="J59" i="3"/>
  <c r="J46" i="3"/>
  <c r="J25" i="3"/>
  <c r="J53" i="3"/>
  <c r="J46" i="11"/>
  <c r="J65" i="3"/>
  <c r="J67" i="3"/>
  <c r="G18" i="5" a="1"/>
  <c r="F128" i="3"/>
  <c r="G45" i="5" a="1"/>
  <c r="J66" i="3"/>
  <c r="G171" i="4"/>
  <c r="K170" i="4" l="1"/>
  <c r="G36" i="11"/>
  <c r="E18" i="11"/>
  <c r="D29" i="11"/>
  <c r="D30" i="11"/>
  <c r="G155" i="4"/>
  <c r="G108" i="4"/>
  <c r="G84" i="4"/>
  <c r="G18" i="4"/>
  <c r="G134" i="4"/>
  <c r="G60" i="4"/>
  <c r="G39" i="4"/>
  <c r="G45" i="5"/>
  <c r="G18" i="5"/>
  <c r="E42" i="6"/>
  <c r="E30" i="6"/>
  <c r="E18" i="6"/>
  <c r="G155" i="3"/>
  <c r="G132" i="3"/>
  <c r="G112" i="3"/>
  <c r="G91" i="3"/>
  <c r="C160" i="4"/>
  <c r="H158" i="4"/>
  <c r="H159" i="4" s="1"/>
  <c r="D148" i="3"/>
  <c r="D22" i="6"/>
  <c r="D83" i="5"/>
  <c r="D32" i="11" a="1"/>
  <c r="D82" i="5"/>
  <c r="D48" i="6"/>
  <c r="E18" i="4" a="1"/>
  <c r="D126" i="3"/>
  <c r="D26" i="6"/>
  <c r="E18" i="5" a="1"/>
  <c r="I84" i="4" a="1"/>
  <c r="D100" i="4"/>
  <c r="E134" i="4" a="1"/>
  <c r="D123" i="4"/>
  <c r="I18" i="4" a="1"/>
  <c r="E170" i="4"/>
  <c r="I91" i="3" a="1"/>
  <c r="D53" i="4"/>
  <c r="D171" i="3"/>
  <c r="E36" i="11" a="1"/>
  <c r="D84" i="5"/>
  <c r="D38" i="6"/>
  <c r="I30" i="11"/>
  <c r="E91" i="3" a="1"/>
  <c r="D149" i="4"/>
  <c r="E60" i="4" a="1"/>
  <c r="D75" i="4"/>
  <c r="D49" i="6"/>
  <c r="D86" i="5"/>
  <c r="I155" i="3" a="1"/>
  <c r="D36" i="5"/>
  <c r="E39" i="4" a="1"/>
  <c r="C170" i="4"/>
  <c r="D37" i="6"/>
  <c r="E112" i="3" a="1"/>
  <c r="D85" i="5"/>
  <c r="E155" i="3" a="1"/>
  <c r="I45" i="5" a="1"/>
  <c r="B170" i="4"/>
  <c r="D76" i="4"/>
  <c r="D78" i="5"/>
  <c r="I112" i="3" a="1"/>
  <c r="D99" i="4"/>
  <c r="I132" i="3" a="1"/>
  <c r="D36" i="6"/>
  <c r="E84" i="4" a="1"/>
  <c r="G170" i="4"/>
  <c r="I108" i="4" a="1"/>
  <c r="D80" i="5"/>
  <c r="I39" i="4" a="1"/>
  <c r="D25" i="6"/>
  <c r="D32" i="4"/>
  <c r="I134" i="4" a="1"/>
  <c r="E108" i="4" a="1"/>
  <c r="D105" i="3"/>
  <c r="D124" i="4"/>
  <c r="I29" i="11"/>
  <c r="D35" i="6"/>
  <c r="D46" i="6"/>
  <c r="D170" i="3"/>
  <c r="D79" i="5"/>
  <c r="F170" i="3"/>
  <c r="I60" i="4" a="1"/>
  <c r="D23" i="6"/>
  <c r="H170" i="4"/>
  <c r="E155" i="4" a="1"/>
  <c r="D34" i="6"/>
  <c r="D24" i="6"/>
  <c r="E45" i="5" a="1"/>
  <c r="D50" i="6"/>
  <c r="D81" i="5"/>
  <c r="E132" i="3" a="1"/>
  <c r="I18" i="5" a="1"/>
  <c r="D106" i="3"/>
  <c r="D48" i="11" a="1"/>
  <c r="D170" i="4"/>
  <c r="I155" i="4" a="1"/>
  <c r="D35" i="5"/>
  <c r="D47" i="6"/>
  <c r="D32" i="11" l="1"/>
  <c r="D48" i="11"/>
  <c r="E36" i="11"/>
  <c r="E134" i="4"/>
  <c r="E60" i="4"/>
  <c r="E84" i="4"/>
  <c r="E18" i="4"/>
  <c r="E155" i="4"/>
  <c r="E108" i="4"/>
  <c r="E39" i="4"/>
  <c r="I84" i="4"/>
  <c r="I155" i="4"/>
  <c r="I134" i="4"/>
  <c r="I18" i="4"/>
  <c r="I60" i="4"/>
  <c r="I108" i="4"/>
  <c r="I39" i="4"/>
  <c r="E45" i="5"/>
  <c r="E18" i="5"/>
  <c r="I18" i="5"/>
  <c r="I45" i="5"/>
  <c r="I155" i="3"/>
  <c r="I132" i="3"/>
  <c r="I112" i="3"/>
  <c r="I91" i="3"/>
  <c r="E155" i="3"/>
  <c r="E132" i="3"/>
  <c r="E112" i="3"/>
  <c r="E91" i="3"/>
  <c r="D69" i="4"/>
  <c r="D124" i="3"/>
  <c r="D94" i="5"/>
  <c r="D165" i="4"/>
  <c r="D144" i="4"/>
  <c r="D32" i="5"/>
  <c r="D173" i="3"/>
  <c r="D97" i="4"/>
  <c r="D80" i="4"/>
  <c r="I106" i="3"/>
  <c r="D75" i="5"/>
  <c r="I36" i="6"/>
  <c r="D147" i="4"/>
  <c r="D73" i="5"/>
  <c r="I100" i="4"/>
  <c r="I32" i="4"/>
  <c r="D71" i="4"/>
  <c r="D168" i="4"/>
  <c r="D96" i="5"/>
  <c r="D142" i="4"/>
  <c r="D163" i="3"/>
  <c r="D138" i="3"/>
  <c r="I99" i="4"/>
  <c r="D151" i="4"/>
  <c r="I76" i="4"/>
  <c r="I23" i="6"/>
  <c r="D69" i="5"/>
  <c r="D128" i="3"/>
  <c r="I47" i="6"/>
  <c r="D108" i="3"/>
  <c r="D173" i="4"/>
  <c r="I80" i="5"/>
  <c r="D161" i="3"/>
  <c r="D93" i="4"/>
  <c r="D56" i="4"/>
  <c r="I123" i="4"/>
  <c r="I53" i="4"/>
  <c r="I46" i="6"/>
  <c r="D117" i="4"/>
  <c r="D166" i="4"/>
  <c r="D28" i="4"/>
  <c r="D123" i="3"/>
  <c r="D50" i="4"/>
  <c r="D48" i="4"/>
  <c r="D70" i="4"/>
  <c r="D30" i="4"/>
  <c r="D104" i="4"/>
  <c r="D118" i="4"/>
  <c r="D103" i="3"/>
  <c r="D70" i="5"/>
  <c r="D98" i="3"/>
  <c r="D116" i="4"/>
  <c r="D165" i="3"/>
  <c r="I35" i="6"/>
  <c r="I82" i="5"/>
  <c r="D139" i="3"/>
  <c r="I36" i="5"/>
  <c r="D130" i="4"/>
  <c r="I170" i="4"/>
  <c r="J29" i="11"/>
  <c r="I22" i="6"/>
  <c r="I84" i="5"/>
  <c r="J30" i="11"/>
  <c r="D96" i="4"/>
  <c r="D146" i="4"/>
  <c r="D164" i="3"/>
  <c r="D121" i="4"/>
  <c r="D167" i="3"/>
  <c r="I24" i="6"/>
  <c r="D150" i="3"/>
  <c r="D101" i="3"/>
  <c r="D71" i="5"/>
  <c r="I50" i="6"/>
  <c r="I86" i="5"/>
  <c r="D29" i="5"/>
  <c r="D145" i="3"/>
  <c r="D142" i="3"/>
  <c r="I37" i="6"/>
  <c r="D168" i="3"/>
  <c r="D62" i="5"/>
  <c r="D51" i="4"/>
  <c r="I32" i="11"/>
  <c r="I124" i="4"/>
  <c r="D166" i="3"/>
  <c r="D119" i="4"/>
  <c r="D129" i="4"/>
  <c r="D64" i="5"/>
  <c r="D145" i="4"/>
  <c r="I49" i="6"/>
  <c r="D95" i="5"/>
  <c r="D121" i="3"/>
  <c r="D100" i="3"/>
  <c r="I149" i="4"/>
  <c r="I78" i="5"/>
  <c r="D27" i="4"/>
  <c r="I83" i="5"/>
  <c r="D29" i="4"/>
  <c r="D74" i="5"/>
  <c r="I170" i="3"/>
  <c r="D76" i="5"/>
  <c r="I79" i="5"/>
  <c r="D119" i="3"/>
  <c r="I105" i="3"/>
  <c r="I25" i="6"/>
  <c r="D102" i="3"/>
  <c r="D151" i="3"/>
  <c r="D174" i="3"/>
  <c r="D65" i="5"/>
  <c r="D140" i="3"/>
  <c r="D49" i="4"/>
  <c r="I48" i="6"/>
  <c r="I148" i="3"/>
  <c r="I26" i="6"/>
  <c r="D120" i="3"/>
  <c r="D162" i="3"/>
  <c r="I81" i="5"/>
  <c r="D144" i="3"/>
  <c r="D120" i="4"/>
  <c r="D30" i="5"/>
  <c r="D63" i="5"/>
  <c r="I48" i="11"/>
  <c r="D143" i="4"/>
  <c r="D143" i="3"/>
  <c r="I35" i="5"/>
  <c r="I38" i="6"/>
  <c r="D94" i="4"/>
  <c r="D73" i="4"/>
  <c r="D72" i="5"/>
  <c r="I171" i="3"/>
  <c r="D41" i="5"/>
  <c r="I75" i="4"/>
  <c r="D167" i="4"/>
  <c r="D164" i="4"/>
  <c r="D50" i="11" a="1"/>
  <c r="I34" i="6"/>
  <c r="D35" i="4"/>
  <c r="D95" i="4"/>
  <c r="D99" i="3"/>
  <c r="I126" i="3"/>
  <c r="I85" i="5"/>
  <c r="D93" i="5"/>
  <c r="D72" i="4"/>
  <c r="D31" i="5"/>
  <c r="D33" i="5"/>
  <c r="D66" i="5"/>
  <c r="D122" i="3"/>
  <c r="D141" i="3"/>
  <c r="D68" i="5"/>
  <c r="D50" i="11" l="1"/>
  <c r="I51" i="4"/>
  <c r="I120" i="3"/>
  <c r="I123" i="3"/>
  <c r="J105" i="3"/>
  <c r="I97" i="4"/>
  <c r="I173" i="4"/>
  <c r="I100" i="3"/>
  <c r="I144" i="4"/>
  <c r="I93" i="4"/>
  <c r="I151" i="4"/>
  <c r="I27" i="4"/>
  <c r="I68" i="5"/>
  <c r="J84" i="5"/>
  <c r="J75" i="4"/>
  <c r="I73" i="4"/>
  <c r="I76" i="5"/>
  <c r="I140" i="3"/>
  <c r="I96" i="4"/>
  <c r="I98" i="3"/>
  <c r="J32" i="4"/>
  <c r="I94" i="4"/>
  <c r="I29" i="4"/>
  <c r="I95" i="4"/>
  <c r="I41" i="5"/>
  <c r="I174" i="3"/>
  <c r="J80" i="5"/>
  <c r="I65" i="5"/>
  <c r="J83" i="5"/>
  <c r="I120" i="4"/>
  <c r="I165" i="4"/>
  <c r="I75" i="5"/>
  <c r="J78" i="5"/>
  <c r="J53" i="4"/>
  <c r="J26" i="6"/>
  <c r="J37" i="6"/>
  <c r="J106" i="3"/>
  <c r="I124" i="3"/>
  <c r="I102" i="3"/>
  <c r="I168" i="3"/>
  <c r="I103" i="3"/>
  <c r="I72" i="4"/>
  <c r="I70" i="4"/>
  <c r="I33" i="5"/>
  <c r="I146" i="4"/>
  <c r="I118" i="4"/>
  <c r="I130" i="4"/>
  <c r="I56" i="4"/>
  <c r="I93" i="5"/>
  <c r="I48" i="4"/>
  <c r="J99" i="4"/>
  <c r="J149" i="4"/>
  <c r="I168" i="4"/>
  <c r="J36" i="6"/>
  <c r="I122" i="3"/>
  <c r="I74" i="5"/>
  <c r="I167" i="4"/>
  <c r="I164" i="4"/>
  <c r="I138" i="3"/>
  <c r="I151" i="3"/>
  <c r="I32" i="5"/>
  <c r="I141" i="3"/>
  <c r="I166" i="3"/>
  <c r="I96" i="5"/>
  <c r="I143" i="4"/>
  <c r="I117" i="4"/>
  <c r="J34" i="6"/>
  <c r="J126" i="3"/>
  <c r="J25" i="6"/>
  <c r="J170" i="3"/>
  <c r="I49" i="4"/>
  <c r="J38" i="6"/>
  <c r="I71" i="4"/>
  <c r="I166" i="4"/>
  <c r="I163" i="3"/>
  <c r="I50" i="11"/>
  <c r="J48" i="6"/>
  <c r="I145" i="4"/>
  <c r="J35" i="5"/>
  <c r="I119" i="3"/>
  <c r="I66" i="5"/>
  <c r="I116" i="4"/>
  <c r="I147" i="4"/>
  <c r="J50" i="6"/>
  <c r="J24" i="6"/>
  <c r="I150" i="3"/>
  <c r="I142" i="4"/>
  <c r="I35" i="4"/>
  <c r="I99" i="3"/>
  <c r="I31" i="5"/>
  <c r="J23" i="6"/>
  <c r="J35" i="6"/>
  <c r="I144" i="3"/>
  <c r="I104" i="4"/>
  <c r="J171" i="3"/>
  <c r="I121" i="3"/>
  <c r="I164" i="3"/>
  <c r="J32" i="11"/>
  <c r="I62" i="5"/>
  <c r="I29" i="5"/>
  <c r="I72" i="5"/>
  <c r="I80" i="4"/>
  <c r="I101" i="3"/>
  <c r="I108" i="3"/>
  <c r="J100" i="4"/>
  <c r="J49" i="6"/>
  <c r="I30" i="5"/>
  <c r="I145" i="3"/>
  <c r="J36" i="5"/>
  <c r="I121" i="4"/>
  <c r="I173" i="3"/>
  <c r="I162" i="3"/>
  <c r="J124" i="4"/>
  <c r="I139" i="3"/>
  <c r="J85" i="5"/>
  <c r="I70" i="5"/>
  <c r="I129" i="4"/>
  <c r="I69" i="5"/>
  <c r="J22" i="6"/>
  <c r="I30" i="4"/>
  <c r="I143" i="3"/>
  <c r="J76" i="4"/>
  <c r="I64" i="5"/>
  <c r="I94" i="5"/>
  <c r="I95" i="5"/>
  <c r="I73" i="5"/>
  <c r="I71" i="5"/>
  <c r="J86" i="5"/>
  <c r="J123" i="4"/>
  <c r="J46" i="6"/>
  <c r="J82" i="5"/>
  <c r="I165" i="3"/>
  <c r="J170" i="4"/>
  <c r="I63" i="5"/>
  <c r="I128" i="3"/>
  <c r="J47" i="6"/>
  <c r="I119" i="4"/>
  <c r="I161" i="3"/>
  <c r="I142" i="3"/>
  <c r="J81" i="5"/>
  <c r="I69" i="4"/>
  <c r="J79" i="5"/>
  <c r="I28" i="4"/>
  <c r="J48" i="11"/>
  <c r="J148" i="3"/>
  <c r="I50" i="4"/>
  <c r="I167" i="3"/>
  <c r="I57" i="5" l="1"/>
  <c r="I58" i="5" s="1"/>
  <c r="J57" i="5" s="1"/>
  <c r="C57" i="5"/>
  <c r="D56" i="5"/>
  <c r="C56" i="5"/>
  <c r="I24" i="5"/>
  <c r="I25" i="5" s="1"/>
  <c r="J24" i="5" s="1"/>
  <c r="H160" i="5"/>
  <c r="G160" i="5"/>
  <c r="F160" i="5"/>
  <c r="H157" i="5"/>
  <c r="G157" i="5"/>
  <c r="F157" i="5"/>
  <c r="H155" i="5"/>
  <c r="G155" i="5"/>
  <c r="F155" i="5"/>
  <c r="H154" i="5"/>
  <c r="F154" i="5"/>
  <c r="H153" i="5"/>
  <c r="G153" i="5"/>
  <c r="F153" i="5"/>
  <c r="H152" i="5"/>
  <c r="G152" i="5"/>
  <c r="F152" i="5"/>
  <c r="H151" i="5"/>
  <c r="G151" i="5"/>
  <c r="F151" i="5"/>
  <c r="C151" i="5"/>
  <c r="H150" i="5"/>
  <c r="G150" i="5"/>
  <c r="F150" i="5"/>
  <c r="F145" i="5"/>
  <c r="F146" i="5" s="1"/>
  <c r="B142" i="5"/>
  <c r="H140" i="5"/>
  <c r="G140" i="5"/>
  <c r="F140" i="5"/>
  <c r="H138" i="5"/>
  <c r="G138" i="5"/>
  <c r="F138" i="5"/>
  <c r="H137" i="5"/>
  <c r="G137" i="5"/>
  <c r="F137" i="5"/>
  <c r="H135" i="5"/>
  <c r="G135" i="5"/>
  <c r="F135" i="5"/>
  <c r="H134" i="5"/>
  <c r="F134" i="5"/>
  <c r="H133" i="5"/>
  <c r="G133" i="5"/>
  <c r="F133" i="5"/>
  <c r="H132" i="5"/>
  <c r="G132" i="5"/>
  <c r="F132" i="5"/>
  <c r="H131" i="5"/>
  <c r="G131" i="5"/>
  <c r="F131" i="5"/>
  <c r="C131" i="5"/>
  <c r="C132" i="5" s="1"/>
  <c r="H130" i="5"/>
  <c r="G130" i="5"/>
  <c r="F130" i="5"/>
  <c r="F125" i="5"/>
  <c r="F126" i="5" s="1"/>
  <c r="B122" i="5"/>
  <c r="H120" i="5"/>
  <c r="G120" i="5"/>
  <c r="F120" i="5"/>
  <c r="H117" i="5"/>
  <c r="F117" i="5"/>
  <c r="H116" i="5"/>
  <c r="G116" i="5"/>
  <c r="F116" i="5"/>
  <c r="H114" i="5"/>
  <c r="G114" i="5"/>
  <c r="F114" i="5"/>
  <c r="H113" i="5"/>
  <c r="G113" i="5"/>
  <c r="F113" i="5"/>
  <c r="H112" i="5"/>
  <c r="G112" i="5"/>
  <c r="F112" i="5"/>
  <c r="H111" i="5"/>
  <c r="G111" i="5"/>
  <c r="F111" i="5"/>
  <c r="C111" i="5"/>
  <c r="H110" i="5"/>
  <c r="G110" i="5"/>
  <c r="F110" i="5"/>
  <c r="C106" i="5"/>
  <c r="F105" i="5"/>
  <c r="F106" i="5" s="1"/>
  <c r="E105" i="5"/>
  <c r="D105" i="5"/>
  <c r="C105" i="5"/>
  <c r="B102" i="5"/>
  <c r="C24" i="5"/>
  <c r="D23" i="5"/>
  <c r="C23" i="5"/>
  <c r="I140" i="5"/>
  <c r="D130" i="5"/>
  <c r="D133" i="5" s="1"/>
  <c r="F137" i="4"/>
  <c r="F138" i="4" s="1"/>
  <c r="F111" i="4"/>
  <c r="F112" i="4" s="1"/>
  <c r="J27" i="4"/>
  <c r="J145" i="3"/>
  <c r="J94" i="4"/>
  <c r="J76" i="5"/>
  <c r="J121" i="3"/>
  <c r="J33" i="5"/>
  <c r="J142" i="3"/>
  <c r="J168" i="3"/>
  <c r="J70" i="5"/>
  <c r="J119" i="4"/>
  <c r="J118" i="4"/>
  <c r="J167" i="3"/>
  <c r="J174" i="3"/>
  <c r="J121" i="4"/>
  <c r="J139" i="3"/>
  <c r="J64" i="5"/>
  <c r="J31" i="5"/>
  <c r="J50" i="11"/>
  <c r="J151" i="3"/>
  <c r="J144" i="4"/>
  <c r="J123" i="3"/>
  <c r="J65" i="5"/>
  <c r="J128" i="3"/>
  <c r="J167" i="4"/>
  <c r="J35" i="4"/>
  <c r="J32" i="5"/>
  <c r="J48" i="4"/>
  <c r="J30" i="5"/>
  <c r="J72" i="4"/>
  <c r="J94" i="5"/>
  <c r="J41" i="5"/>
  <c r="J71" i="4"/>
  <c r="J129" i="4"/>
  <c r="J143" i="4"/>
  <c r="J101" i="3"/>
  <c r="J164" i="3"/>
  <c r="J130" i="4"/>
  <c r="J97" i="4"/>
  <c r="J74" i="5"/>
  <c r="J69" i="5"/>
  <c r="J66" i="5"/>
  <c r="J95" i="4"/>
  <c r="J161" i="3"/>
  <c r="J108" i="3"/>
  <c r="J96" i="4"/>
  <c r="J120" i="4"/>
  <c r="J143" i="3"/>
  <c r="J173" i="4"/>
  <c r="J71" i="5"/>
  <c r="J162" i="3"/>
  <c r="J166" i="4"/>
  <c r="J80" i="4"/>
  <c r="J56" i="4"/>
  <c r="J73" i="4"/>
  <c r="J173" i="3"/>
  <c r="J62" i="5"/>
  <c r="J29" i="5"/>
  <c r="J102" i="3"/>
  <c r="J103" i="3"/>
  <c r="G38" i="5"/>
  <c r="J151" i="4"/>
  <c r="J166" i="3"/>
  <c r="J99" i="3"/>
  <c r="J119" i="3"/>
  <c r="J164" i="4"/>
  <c r="J104" i="4"/>
  <c r="J50" i="4"/>
  <c r="J144" i="3"/>
  <c r="J95" i="5"/>
  <c r="J30" i="4"/>
  <c r="J93" i="4"/>
  <c r="J49" i="4"/>
  <c r="J124" i="3"/>
  <c r="J96" i="5"/>
  <c r="J146" i="4"/>
  <c r="J165" i="4"/>
  <c r="J141" i="3"/>
  <c r="J28" i="4"/>
  <c r="J75" i="5"/>
  <c r="J51" i="4"/>
  <c r="J138" i="3"/>
  <c r="J72" i="5"/>
  <c r="J168" i="4"/>
  <c r="J29" i="4"/>
  <c r="J73" i="5"/>
  <c r="J147" i="4"/>
  <c r="J98" i="3"/>
  <c r="J100" i="3"/>
  <c r="J117" i="4"/>
  <c r="J122" i="3"/>
  <c r="G35" i="5"/>
  <c r="J93" i="5"/>
  <c r="J120" i="3"/>
  <c r="J145" i="4"/>
  <c r="J150" i="3"/>
  <c r="J63" i="5"/>
  <c r="J165" i="3"/>
  <c r="J140" i="3"/>
  <c r="J116" i="4"/>
  <c r="J68" i="5"/>
  <c r="J69" i="4"/>
  <c r="J70" i="4"/>
  <c r="J142" i="4"/>
  <c r="J163" i="3"/>
  <c r="C25" i="5" l="1"/>
  <c r="D150" i="5"/>
  <c r="D155" i="5" s="1"/>
  <c r="C152" i="5"/>
  <c r="C153" i="5" s="1"/>
  <c r="D157" i="5"/>
  <c r="D158" i="5" s="1"/>
  <c r="I130" i="5"/>
  <c r="I157" i="5"/>
  <c r="C133" i="5"/>
  <c r="C58" i="5"/>
  <c r="D137" i="5"/>
  <c r="D116" i="5"/>
  <c r="D110" i="5"/>
  <c r="D112" i="5" s="1"/>
  <c r="C112" i="5"/>
  <c r="D131" i="5"/>
  <c r="D134" i="5"/>
  <c r="D132" i="5"/>
  <c r="J102" i="5"/>
  <c r="I120" i="5"/>
  <c r="D135" i="5"/>
  <c r="I160" i="5"/>
  <c r="C107" i="5"/>
  <c r="I105" i="5"/>
  <c r="I106" i="5" s="1"/>
  <c r="M34" i="5"/>
  <c r="E63" i="4"/>
  <c r="C65" i="4"/>
  <c r="F63" i="4"/>
  <c r="F64" i="4" s="1"/>
  <c r="D63" i="4"/>
  <c r="C63" i="4"/>
  <c r="G39" i="5"/>
  <c r="G36" i="5"/>
  <c r="D117" i="5" l="1"/>
  <c r="D153" i="5"/>
  <c r="D154" i="5"/>
  <c r="D152" i="5"/>
  <c r="C154" i="5"/>
  <c r="C155" i="5" s="1"/>
  <c r="D151" i="5"/>
  <c r="I150" i="5"/>
  <c r="I151" i="5" s="1"/>
  <c r="C134" i="5"/>
  <c r="C135" i="5" s="1"/>
  <c r="I116" i="5"/>
  <c r="I117" i="5" s="1"/>
  <c r="I137" i="5"/>
  <c r="I110" i="5"/>
  <c r="C113" i="5"/>
  <c r="D138" i="5"/>
  <c r="D111" i="5"/>
  <c r="D113" i="5"/>
  <c r="D114" i="5"/>
  <c r="J122" i="5"/>
  <c r="I132" i="5"/>
  <c r="I133" i="5"/>
  <c r="I131" i="5"/>
  <c r="I135" i="5"/>
  <c r="I134" i="5"/>
  <c r="H64" i="4"/>
  <c r="D118" i="5" l="1"/>
  <c r="I152" i="5"/>
  <c r="I154" i="5"/>
  <c r="I153" i="5"/>
  <c r="I155" i="5"/>
  <c r="I138" i="5"/>
  <c r="I113" i="5"/>
  <c r="I112" i="5"/>
  <c r="I111" i="5"/>
  <c r="I114" i="5"/>
  <c r="C114" i="5"/>
  <c r="C157" i="5"/>
  <c r="C137" i="5"/>
  <c r="J142" i="5"/>
  <c r="C116" i="5" l="1"/>
  <c r="C158" i="5"/>
  <c r="C160" i="5" s="1"/>
  <c r="C138" i="5"/>
  <c r="C117" i="5" l="1"/>
  <c r="C140" i="5"/>
  <c r="C118" i="5" l="1"/>
  <c r="C120" i="5" s="1"/>
  <c r="F21" i="4"/>
  <c r="F22" i="4" s="1"/>
  <c r="F42" i="4"/>
  <c r="F43" i="4" s="1"/>
  <c r="C43" i="4"/>
  <c r="D42" i="4"/>
  <c r="C42" i="4"/>
  <c r="D21" i="4"/>
  <c r="C22" i="4"/>
  <c r="G32" i="4"/>
  <c r="F54" i="4"/>
  <c r="G33" i="4"/>
  <c r="H21" i="4" l="1"/>
  <c r="H22" i="4" s="1"/>
  <c r="C44" i="4"/>
  <c r="C23" i="4"/>
  <c r="I42" i="4"/>
  <c r="I43" i="4" s="1"/>
  <c r="G147" i="3"/>
  <c r="C147" i="3"/>
  <c r="B147" i="3"/>
  <c r="D147" i="3"/>
  <c r="I147" i="3"/>
  <c r="H147" i="3"/>
  <c r="E147" i="3"/>
  <c r="J14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<sst xmlns="http://schemas.openxmlformats.org/spreadsheetml/2006/main" count="740" uniqueCount="140">
  <si>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</si>
  <si>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</si>
  <si>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</si>
  <si>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</si>
  <si>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</si>
  <si>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</si>
  <si>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</si>
  <si>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</si>
  <si>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</si>
  <si>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</si>
  <si>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</si>
  <si>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</si>
  <si>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</si>
  <si>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</si>
  <si>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</si>
  <si>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</si>
  <si>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</si>
  <si>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</si>
  <si>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</si>
  <si>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طول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</si>
  <si>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</si>
  <si>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</si>
  <si>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</si>
  <si>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</si>
  <si>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</si>
  <si>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</si>
  <si>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</si>
  <si>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</si>
  <si>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</si>
  <si>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</si>
  <si>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</si>
  <si>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</si>
  <si>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</si>
  <si>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</si>
  <si>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</si>
  <si>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</si>
  <si>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</si>
  <si>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</si>
  <si>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</si>
  <si>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</si>
  <si>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</si>
  <si>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</si>
  <si>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</si>
  <si>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</si>
  <si>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</si>
  <si>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</si>
  <si>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</si>
  <si>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</si>
  <si>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 خشب</t>
  </si>
  <si>
    <t>دلف زجاج</t>
  </si>
  <si>
    <t>ظهر</t>
  </si>
  <si>
    <t>عدد الوحدات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</si>
  <si>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</si>
  <si>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</si>
  <si>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</si>
  <si>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</si>
  <si>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</si>
  <si>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</si>
  <si>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</si>
  <si>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</si>
  <si>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</si>
  <si>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</si>
  <si>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</si>
  <si>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</si>
  <si>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</si>
  <si>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</si>
  <si>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</si>
  <si>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</si>
  <si>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</si>
  <si>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تجاليد</t>
  </si>
  <si>
    <t>بورديوم</t>
  </si>
  <si>
    <t xml:space="preserve">وحدة سفلية  فرن </t>
  </si>
  <si>
    <t>فراغ ثلاجة</t>
  </si>
  <si>
    <t xml:space="preserve">وحدة علوية ميكروويف دلفة /دلفتين </t>
  </si>
  <si>
    <t>فراغ ميكروويف</t>
  </si>
  <si>
    <t>الخامات</t>
  </si>
  <si>
    <t>عمق</t>
  </si>
  <si>
    <t>يوجد ظهر؟</t>
  </si>
  <si>
    <t>مقبض مخفي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</si>
  <si>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</si>
  <si>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</si>
  <si>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</si>
  <si>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</si>
  <si>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</si>
  <si>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</si>
  <si>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</si>
  <si>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</si>
  <si>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</si>
  <si>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</si>
  <si>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</si>
  <si>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</si>
  <si>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</si>
  <si>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</si>
  <si>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</si>
  <si>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</si>
  <si>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</si>
  <si>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</si>
  <si>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تلبيسة </t>
  </si>
  <si>
    <t>تلبيسة خارجى</t>
  </si>
  <si>
    <t>وحدة علوية  تلبيسة دلفة /دلفتين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</si>
  <si>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</si>
  <si>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</si>
  <si>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</si>
  <si>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</si>
  <si>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</si>
  <si>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</si>
  <si>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</si>
  <si>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</si>
  <si>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</si>
  <si>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</si>
  <si>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</si>
  <si>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</si>
  <si>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</si>
  <si>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إظهار</t>
  </si>
  <si>
    <t>درج داخلي A</t>
  </si>
  <si>
    <t>أربع ادراج متساوية / مختلفة (1,0)</t>
  </si>
  <si>
    <t>خامات خشب</t>
  </si>
  <si>
    <t>خامات سادة</t>
  </si>
  <si>
    <t>بوليلاك سادة</t>
  </si>
  <si>
    <t>Lumber J سادة</t>
  </si>
  <si>
    <t>بولى بلس سادة</t>
  </si>
  <si>
    <t>PVC سادة</t>
  </si>
  <si>
    <t>يوفيلاك سادة</t>
  </si>
  <si>
    <t>بورديوم سادة</t>
  </si>
  <si>
    <t>كونتر ميلامين سادة</t>
  </si>
  <si>
    <t>HPL سادة</t>
  </si>
  <si>
    <t>CPL سادة</t>
  </si>
  <si>
    <t>ظهر سادة</t>
  </si>
  <si>
    <t>الرقم</t>
  </si>
  <si>
    <t>النقش</t>
  </si>
  <si>
    <t>وحدة سفلية تلبيسة دلفة / دلفتين</t>
  </si>
  <si>
    <t>خامات خشبية</t>
  </si>
  <si>
    <t>نماذج</t>
  </si>
  <si>
    <t>وحدات</t>
  </si>
  <si>
    <t>إعدادات</t>
  </si>
  <si>
    <t>وحدة سفلية دلفة / دلفتين</t>
  </si>
  <si>
    <t>وحدة تجربة</t>
  </si>
  <si>
    <t>HPL دلف</t>
  </si>
  <si>
    <t>مفعل</t>
  </si>
  <si>
    <t>وضع الحساب التلقائي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</si>
</sst>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4"/>
      <name val="Calibri"/>
      <family val="2"/>
      <scheme val="minor"/>
    </font>
    <font>
      <b/>
      <sz val="16"/>
      <color rgb="FFD9D9D9"/>
      <name val="Calibri"/>
      <family val="2"/>
      <scheme val="minor"/>
    </font>
    <font>
      <sz val="24"/>
      <name val="Calibri"/>
      <family val="2"/>
      <scheme val="minor"/>
    </font>
    <font>
      <sz val="16"/>
      <color rgb="FFD9D9D9"/>
      <name val="Calibri"/>
      <family val="2"/>
      <scheme val="minor"/>
    </font>
    <font>
      <sz val="24"/>
      <color rgb="FFD9D9D9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2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4"/>
      <color theme="8" tint="0.79998168889431442"/>
      <name val="Calibri"/>
      <family val="2"/>
      <scheme val="minor"/>
    </font>
    <font>
      <b/>
      <sz val="14"/>
      <color theme="8" tint="0.79998168889431442"/>
      <name val="Calibri"/>
      <family val="2"/>
      <scheme val="minor"/>
    </font>
    <font>
      <b/>
      <sz val="12"/>
      <color theme="8" tint="0.79998168889431442"/>
      <name val="Calibri"/>
      <family val="2"/>
      <scheme val="minor"/>
    </font>
    <font>
      <b/>
      <sz val="20"/>
      <name val="Calibri"/>
      <family val="2"/>
      <scheme val="minor"/>
    </font>
    <font>
      <sz val="14"/>
      <name val="Calibri"/>
      <family val="2"/>
      <scheme val="minor"/>
    </font>
    <font>
      <sz val="16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4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1" fillId="10" borderId="11" xfId="0" applyFont="1" applyFill="1" applyBorder="1" applyAlignment="1">
      <alignment horizontal="center" vertical="center" wrapText="1"/>
    </xf>
    <xf numFmtId="0" fontId="15" fillId="9" borderId="11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/>
    </xf>
    <xf numFmtId="0" fontId="24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25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9" fillId="4" borderId="0" xfId="0" applyFont="1" applyFill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 vertical="center" wrapText="1"/>
    </xf>
    <xf numFmtId="0" fontId="31" fillId="4" borderId="1" xfId="0" applyFont="1" applyFill="1" applyBorder="1" applyAlignment="1">
      <alignment horizontal="center" vertical="center" wrapText="1"/>
    </xf>
    <xf numFmtId="0" fontId="22" fillId="9" borderId="11" xfId="0" applyFont="1" applyFill="1" applyBorder="1" applyAlignment="1">
      <alignment horizontal="center" vertical="center"/>
    </xf>
    <xf numFmtId="0" fontId="32" fillId="9" borderId="1" xfId="0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33" fillId="3" borderId="6" xfId="0" applyFont="1" applyFill="1" applyBorder="1" applyAlignment="1">
      <alignment horizontal="center" vertical="center"/>
    </xf>
    <xf numFmtId="0" fontId="11" fillId="9" borderId="11" xfId="0" applyFont="1" applyFill="1" applyBorder="1" applyAlignment="1">
      <alignment horizontal="center"/>
    </xf>
    <xf numFmtId="0" fontId="33" fillId="9" borderId="6" xfId="0" applyFont="1" applyFill="1" applyBorder="1" applyAlignment="1">
      <alignment horizontal="center"/>
    </xf>
    <xf numFmtId="0" fontId="26" fillId="4" borderId="11" xfId="0" applyFont="1" applyFill="1" applyBorder="1" applyAlignment="1">
      <alignment horizontal="center" vertical="center"/>
    </xf>
    <xf numFmtId="0" fontId="33" fillId="4" borderId="6" xfId="0" applyFont="1" applyFill="1" applyBorder="1" applyAlignment="1">
      <alignment horizontal="center" vertical="center"/>
    </xf>
    <xf numFmtId="0" fontId="26" fillId="4" borderId="11" xfId="0" applyFont="1" applyFill="1" applyBorder="1" applyAlignment="1">
      <alignment horizontal="center" vertical="center" wrapText="1"/>
    </xf>
    <xf numFmtId="0" fontId="33" fillId="4" borderId="6" xfId="0" applyFont="1" applyFill="1" applyBorder="1" applyAlignment="1">
      <alignment horizontal="center" vertical="center" wrapText="1"/>
    </xf>
    <xf numFmtId="0" fontId="28" fillId="4" borderId="11" xfId="0" applyFont="1" applyFill="1" applyBorder="1" applyAlignment="1">
      <alignment horizontal="center" vertical="center" wrapText="1"/>
    </xf>
    <xf numFmtId="0" fontId="34" fillId="4" borderId="6" xfId="0" applyFont="1" applyFill="1" applyBorder="1" applyAlignment="1">
      <alignment horizontal="center" vertical="center" wrapText="1"/>
    </xf>
    <xf numFmtId="0" fontId="19" fillId="9" borderId="0" xfId="0" applyFont="1" applyFill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21" fillId="9" borderId="0" xfId="0" applyFont="1" applyFill="1" applyAlignment="1">
      <alignment horizontal="center"/>
    </xf>
    <xf numFmtId="0" fontId="17" fillId="9" borderId="1" xfId="0" applyFont="1" applyFill="1" applyBorder="1" applyAlignment="1">
      <alignment horizontal="center"/>
    </xf>
    <xf numFmtId="0" fontId="18" fillId="9" borderId="4" xfId="0" applyFont="1" applyFill="1" applyBorder="1" applyAlignment="1">
      <alignment horizontal="center"/>
    </xf>
    <xf numFmtId="0" fontId="18" fillId="9" borderId="2" xfId="0" applyFont="1" applyFill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30" fillId="4" borderId="0" xfId="0" applyFont="1" applyFill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/>
    </xf>
    <xf numFmtId="0" fontId="17" fillId="4" borderId="2" xfId="0" applyFont="1" applyFill="1" applyBorder="1" applyAlignment="1">
      <alignment horizontal="center"/>
    </xf>
    <xf numFmtId="0" fontId="17" fillId="4" borderId="5" xfId="0" applyFont="1" applyFill="1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19" fillId="4" borderId="0" xfId="0" applyFont="1" applyFill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6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53340</xdr:rowOff>
        </xdr:from>
        <xdr:to>
          <xdr:col>13</xdr:col>
          <xdr:colOff>434340</xdr:colOff>
          <xdr:row>11</xdr:row>
          <xdr:rowOff>236220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906780</xdr:colOff>
          <xdr:row>10</xdr:row>
          <xdr:rowOff>68580</xdr:rowOff>
        </xdr:from>
        <xdr:to>
          <xdr:col>10</xdr:col>
          <xdr:colOff>464820</xdr:colOff>
          <xdr:row>11</xdr:row>
          <xdr:rowOff>251460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10</xdr:row>
          <xdr:rowOff>68580</xdr:rowOff>
        </xdr:from>
        <xdr:to>
          <xdr:col>5</xdr:col>
          <xdr:colOff>45720</xdr:colOff>
          <xdr:row>11</xdr:row>
          <xdr:rowOff>251460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10</xdr:row>
          <xdr:rowOff>68580</xdr:rowOff>
        </xdr:from>
        <xdr:to>
          <xdr:col>7</xdr:col>
          <xdr:colOff>739140</xdr:colOff>
          <xdr:row>11</xdr:row>
          <xdr:rowOff>251460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1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541020</xdr:colOff>
          <xdr:row>10</xdr:row>
          <xdr:rowOff>53340</xdr:rowOff>
        </xdr:from>
        <xdr:to>
          <xdr:col>18</xdr:col>
          <xdr:colOff>53340</xdr:colOff>
          <xdr:row>11</xdr:row>
          <xdr:rowOff>220980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1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10</xdr:row>
          <xdr:rowOff>53340</xdr:rowOff>
        </xdr:from>
        <xdr:to>
          <xdr:col>20</xdr:col>
          <xdr:colOff>121920</xdr:colOff>
          <xdr:row>11</xdr:row>
          <xdr:rowOff>220980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</xdr:row>
          <xdr:rowOff>144780</xdr:rowOff>
        </xdr:from>
        <xdr:to>
          <xdr:col>4</xdr:col>
          <xdr:colOff>1889760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144780</xdr:colOff>
          <xdr:row>9</xdr:row>
          <xdr:rowOff>152400</xdr:rowOff>
        </xdr:from>
        <xdr:to>
          <xdr:col>7</xdr:col>
          <xdr:colOff>373380</xdr:colOff>
          <xdr:row>11</xdr:row>
          <xdr:rowOff>137160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579120</xdr:colOff>
          <xdr:row>9</xdr:row>
          <xdr:rowOff>167640</xdr:rowOff>
        </xdr:from>
        <xdr:to>
          <xdr:col>10</xdr:col>
          <xdr:colOff>213360</xdr:colOff>
          <xdr:row>11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365760</xdr:colOff>
          <xdr:row>9</xdr:row>
          <xdr:rowOff>160020</xdr:rowOff>
        </xdr:from>
        <xdr:to>
          <xdr:col>14</xdr:col>
          <xdr:colOff>160020</xdr:colOff>
          <xdr:row>11</xdr:row>
          <xdr:rowOff>144780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335280</xdr:colOff>
          <xdr:row>9</xdr:row>
          <xdr:rowOff>160020</xdr:rowOff>
        </xdr:from>
        <xdr:to>
          <xdr:col>16</xdr:col>
          <xdr:colOff>228600</xdr:colOff>
          <xdr:row>11</xdr:row>
          <xdr:rowOff>144780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182880</xdr:colOff>
          <xdr:row>10</xdr:row>
          <xdr:rowOff>45720</xdr:rowOff>
        </xdr:from>
        <xdr:to>
          <xdr:col>9</xdr:col>
          <xdr:colOff>807720</xdr:colOff>
          <xdr:row>11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10</xdr:row>
          <xdr:rowOff>53340</xdr:rowOff>
        </xdr:from>
        <xdr:to>
          <xdr:col>4</xdr:col>
          <xdr:colOff>800100</xdr:colOff>
          <xdr:row>11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937260</xdr:colOff>
          <xdr:row>10</xdr:row>
          <xdr:rowOff>53340</xdr:rowOff>
        </xdr:from>
        <xdr:to>
          <xdr:col>6</xdr:col>
          <xdr:colOff>701040</xdr:colOff>
          <xdr:row>11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10</xdr:row>
          <xdr:rowOff>45720</xdr:rowOff>
        </xdr:from>
        <xdr:to>
          <xdr:col>13</xdr:col>
          <xdr:colOff>30480</xdr:colOff>
          <xdr:row>11</xdr:row>
          <xdr:rowOff>144780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236220</xdr:colOff>
          <xdr:row>10</xdr:row>
          <xdr:rowOff>30480</xdr:rowOff>
        </xdr:from>
        <xdr:to>
          <xdr:col>17</xdr:col>
          <xdr:colOff>358140</xdr:colOff>
          <xdr:row>11</xdr:row>
          <xdr:rowOff>152400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10</xdr:row>
          <xdr:rowOff>30480</xdr:rowOff>
        </xdr:from>
        <xdr:to>
          <xdr:col>18</xdr:col>
          <xdr:colOff>320040</xdr:colOff>
          <xdr:row>11</xdr:row>
          <xdr:rowOff>152400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701040</xdr:colOff>
          <xdr:row>10</xdr:row>
          <xdr:rowOff>7620</xdr:rowOff>
        </xdr:from>
        <xdr:to>
          <xdr:col>10</xdr:col>
          <xdr:colOff>449580</xdr:colOff>
          <xdr:row>11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10</xdr:row>
          <xdr:rowOff>22860</xdr:rowOff>
        </xdr:from>
        <xdr:to>
          <xdr:col>4</xdr:col>
          <xdr:colOff>685800</xdr:colOff>
          <xdr:row>11</xdr:row>
          <xdr:rowOff>182880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822960</xdr:colOff>
          <xdr:row>10</xdr:row>
          <xdr:rowOff>22860</xdr:rowOff>
        </xdr:from>
        <xdr:to>
          <xdr:col>7</xdr:col>
          <xdr:colOff>510540</xdr:colOff>
          <xdr:row>11</xdr:row>
          <xdr:rowOff>182880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10</xdr:row>
          <xdr:rowOff>0</xdr:rowOff>
        </xdr:from>
        <xdr:to>
          <xdr:col>14</xdr:col>
          <xdr:colOff>60960</xdr:colOff>
          <xdr:row>11</xdr:row>
          <xdr:rowOff>167640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228600</xdr:colOff>
          <xdr:row>9</xdr:row>
          <xdr:rowOff>167640</xdr:rowOff>
        </xdr:from>
        <xdr:to>
          <xdr:col>17</xdr:col>
          <xdr:colOff>891540</xdr:colOff>
          <xdr:row>11</xdr:row>
          <xdr:rowOff>152400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1066800</xdr:colOff>
          <xdr:row>9</xdr:row>
          <xdr:rowOff>167640</xdr:rowOff>
        </xdr:from>
        <xdr:to>
          <xdr:col>18</xdr:col>
          <xdr:colOff>891540</xdr:colOff>
          <xdr:row>11</xdr:row>
          <xdr:rowOff>152400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716280</xdr:colOff>
          <xdr:row>10</xdr:row>
          <xdr:rowOff>53340</xdr:rowOff>
        </xdr:from>
        <xdr:to>
          <xdr:col>10</xdr:col>
          <xdr:colOff>457200</xdr:colOff>
          <xdr:row>11</xdr:row>
          <xdr:rowOff>167640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10</xdr:row>
          <xdr:rowOff>53340</xdr:rowOff>
        </xdr:from>
        <xdr:to>
          <xdr:col>4</xdr:col>
          <xdr:colOff>723900</xdr:colOff>
          <xdr:row>11</xdr:row>
          <xdr:rowOff>175260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883920</xdr:colOff>
          <xdr:row>10</xdr:row>
          <xdr:rowOff>45720</xdr:rowOff>
        </xdr:from>
        <xdr:to>
          <xdr:col>7</xdr:col>
          <xdr:colOff>594360</xdr:colOff>
          <xdr:row>11</xdr:row>
          <xdr:rowOff>167640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175260</xdr:colOff>
          <xdr:row>10</xdr:row>
          <xdr:rowOff>45720</xdr:rowOff>
        </xdr:from>
        <xdr:to>
          <xdr:col>14</xdr:col>
          <xdr:colOff>213360</xdr:colOff>
          <xdr:row>11</xdr:row>
          <xdr:rowOff>160020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426720</xdr:colOff>
          <xdr:row>10</xdr:row>
          <xdr:rowOff>38100</xdr:rowOff>
        </xdr:from>
        <xdr:to>
          <xdr:col>17</xdr:col>
          <xdr:colOff>1043940</xdr:colOff>
          <xdr:row>11</xdr:row>
          <xdr:rowOff>160020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1219200</xdr:colOff>
          <xdr:row>10</xdr:row>
          <xdr:rowOff>38100</xdr:rowOff>
        </xdr:from>
        <xdr:to>
          <xdr:col>18</xdr:col>
          <xdr:colOff>975360</xdr:colOff>
          <xdr:row>11</xdr:row>
          <xdr:rowOff>160020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10</xdr:row>
          <xdr:rowOff>7620</xdr:rowOff>
        </xdr:from>
        <xdr:to>
          <xdr:col>10</xdr:col>
          <xdr:colOff>388620</xdr:colOff>
          <xdr:row>11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10</xdr:row>
          <xdr:rowOff>7620</xdr:rowOff>
        </xdr:from>
        <xdr:to>
          <xdr:col>4</xdr:col>
          <xdr:colOff>175260</xdr:colOff>
          <xdr:row>11</xdr:row>
          <xdr:rowOff>160020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312420</xdr:colOff>
          <xdr:row>10</xdr:row>
          <xdr:rowOff>7620</xdr:rowOff>
        </xdr:from>
        <xdr:to>
          <xdr:col>7</xdr:col>
          <xdr:colOff>434340</xdr:colOff>
          <xdr:row>11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548640</xdr:colOff>
          <xdr:row>9</xdr:row>
          <xdr:rowOff>220980</xdr:rowOff>
        </xdr:from>
        <xdr:to>
          <xdr:col>14</xdr:col>
          <xdr:colOff>106680</xdr:colOff>
          <xdr:row>11</xdr:row>
          <xdr:rowOff>137160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281940</xdr:colOff>
          <xdr:row>10</xdr:row>
          <xdr:rowOff>15240</xdr:rowOff>
        </xdr:from>
        <xdr:to>
          <xdr:col>18</xdr:col>
          <xdr:colOff>220980</xdr:colOff>
          <xdr:row>11</xdr:row>
          <xdr:rowOff>137160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6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396240</xdr:colOff>
          <xdr:row>10</xdr:row>
          <xdr:rowOff>15240</xdr:rowOff>
        </xdr:from>
        <xdr:to>
          <xdr:col>20</xdr:col>
          <xdr:colOff>289560</xdr:colOff>
          <xdr:row>11</xdr:row>
          <xdr:rowOff>137160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0000000}" name="global" displayName="global" ref="C29:D41" headerRowCount="0" totalsRowShown="0" headerRowDxfId="166" dataDxfId="164" headerRowBorderDxfId="165" tableBorderDxfId="163" totalsRowBorderDxfId="162">
  <tableColumns count="2">
    <tableColumn id="1" xr3:uid="{00000000-0010-0000-0000-000001000000}" name="Column1" headerRowDxfId="161" dataDxfId="160"/>
    <tableColumn id="2" xr3:uid="{00000000-0010-0000-0000-000002000000}" name="Column2" headerRowDxfId="159" dataDxfId="158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lowerGlobal" displayName="lowerGlobal" ref="F29:G41" headerRowCount="0" totalsRowShown="0" headerRowDxfId="157" dataDxfId="155" headerRowBorderDxfId="156" tableBorderDxfId="154" totalsRowBorderDxfId="153">
  <tableColumns count="2">
    <tableColumn id="1" xr3:uid="{00000000-0010-0000-0100-000001000000}" name="Column1" headerRowDxfId="152" dataDxfId="151">
      <calculatedColumnFormula array="1">defaultValue(G29,1)</calculatedColumnFormula>
    </tableColumn>
    <tableColumn id="2" xr3:uid="{00000000-0010-0000-0100-000002000000}" name="Column2" headerRowDxfId="150" dataDxfId="14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drawersGlobal" displayName="drawersGlobal" ref="L29:M41" headerRowCount="0" totalsRowShown="0" headerRowDxfId="148" dataDxfId="146" headerRowBorderDxfId="147" tableBorderDxfId="145" totalsRowBorderDxfId="144">
  <tableColumns count="2">
    <tableColumn id="1" xr3:uid="{00000000-0010-0000-0200-000001000000}" name="Column1" headerRowDxfId="143" dataDxfId="142">
      <calculatedColumnFormula array="1">defaultValue(M29,$C$28)</calculatedColumnFormula>
    </tableColumn>
    <tableColumn id="2" xr3:uid="{00000000-0010-0000-0200-000002000000}" name="Column2" headerRowDxfId="141" dataDxfId="14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upperGlobal" displayName="upperGlobal" ref="I29:J41" headerRowCount="0" totalsRowShown="0" headerRowDxfId="139" dataDxfId="137" headerRowBorderDxfId="138" tableBorderDxfId="136" totalsRowBorderDxfId="135">
  <tableColumns count="2">
    <tableColumn id="1" xr3:uid="{00000000-0010-0000-0300-000001000000}" name="Column1" headerRowDxfId="134" dataDxfId="133">
      <calculatedColumnFormula>INDEX(global[[#All],[Column1]],MATCH(J29,global[[#All],[Column2]],0))</calculatedColumnFormula>
    </tableColumn>
    <tableColumn id="2" xr3:uid="{00000000-0010-0000-0300-000002000000}" name="Column2" headerRowDxfId="132" dataDxfId="131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segmantsGlobal" displayName="segmantsGlobal" ref="O29:P41" headerRowCount="0" totalsRowShown="0" headerRowDxfId="130" dataDxfId="128" headerRowBorderDxfId="129" tableBorderDxfId="127" totalsRowBorderDxfId="126">
  <tableColumns count="2">
    <tableColumn id="1" xr3:uid="{00000000-0010-0000-0400-000001000000}" name="Column1" headerRowDxfId="125" dataDxfId="124">
      <calculatedColumnFormula array="1">defaultValue(P29,$C$28)</calculatedColumnFormula>
    </tableColumn>
    <tableColumn id="2" xr3:uid="{00000000-0010-0000-0400-000002000000}" name="Column2" headerRowDxfId="123" dataDxfId="12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woodMaterials" displayName="woodMaterials" ref="C16:O17" headerRowCount="0" totalsRowShown="0" headerRowDxfId="121" dataDxfId="119" headerRowBorderDxfId="120" tableBorderDxfId="118" totalsRowBorderDxfId="117">
  <tableColumns count="13">
    <tableColumn id="1" xr3:uid="{00000000-0010-0000-0500-000001000000}" name="Column1" headerRowDxfId="116" dataDxfId="115"/>
    <tableColumn id="6" xr3:uid="{00000000-0010-0000-0500-000006000000}" name="Column6" headerRowDxfId="114" dataDxfId="113"/>
    <tableColumn id="2" xr3:uid="{00000000-0010-0000-0500-000002000000}" name="Column2" headerRowDxfId="112" dataDxfId="111"/>
    <tableColumn id="3" xr3:uid="{00000000-0010-0000-0500-000003000000}" name="Column3" headerRowDxfId="110" dataDxfId="109"/>
    <tableColumn id="4" xr3:uid="{00000000-0010-0000-0500-000004000000}" name="Column4" headerRowDxfId="108" dataDxfId="107"/>
    <tableColumn id="5" xr3:uid="{00000000-0010-0000-0500-000005000000}" name="Column5" headerRowDxfId="106" dataDxfId="105"/>
    <tableColumn id="7" xr3:uid="{00000000-0010-0000-0500-000007000000}" name="Column7" headerRowDxfId="104" dataDxfId="103"/>
    <tableColumn id="8" xr3:uid="{00000000-0010-0000-0500-000008000000}" name="Column8" headerRowDxfId="102" dataDxfId="101"/>
    <tableColumn id="13" xr3:uid="{8F79DD2E-D74B-4F5D-9CB3-685E0E67CE8B}" name="Column13" headerRowDxfId="100" dataDxfId="99"/>
    <tableColumn id="9" xr3:uid="{00000000-0010-0000-0500-000009000000}" name="Column9" headerRowDxfId="98" dataDxfId="97"/>
    <tableColumn id="10" xr3:uid="{00000000-0010-0000-0500-00000A000000}" name="Column10" headerRowDxfId="96" dataDxfId="95"/>
    <tableColumn id="11" xr3:uid="{00000000-0010-0000-0500-00000B000000}" name="Column11" headerRowDxfId="94" dataDxfId="93"/>
    <tableColumn id="12" xr3:uid="{00000000-0010-0000-0500-00000C000000}" name="Column12" headerRowDxfId="92" dataDxfId="91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blankMaterials" displayName="blankMaterials" ref="C21:N22" headerRowCount="0" totalsRowShown="0" headerRowDxfId="90" dataDxfId="88" headerRowBorderDxfId="89" tableBorderDxfId="87" totalsRowBorderDxfId="86">
  <tableColumns count="12">
    <tableColumn id="1" xr3:uid="{00000000-0010-0000-0600-000001000000}" name="Column1" headerRowDxfId="85" dataDxfId="84"/>
    <tableColumn id="6" xr3:uid="{00000000-0010-0000-0600-000006000000}" name="Column6" headerRowDxfId="83" dataDxfId="82"/>
    <tableColumn id="2" xr3:uid="{00000000-0010-0000-0600-000002000000}" name="Column2" headerRowDxfId="81" dataDxfId="80"/>
    <tableColumn id="3" xr3:uid="{00000000-0010-0000-0600-000003000000}" name="Column3" headerRowDxfId="79" dataDxfId="78"/>
    <tableColumn id="4" xr3:uid="{00000000-0010-0000-0600-000004000000}" name="Column4" headerRowDxfId="77" dataDxfId="76"/>
    <tableColumn id="5" xr3:uid="{00000000-0010-0000-0600-000005000000}" name="Column5" headerRowDxfId="75" dataDxfId="74"/>
    <tableColumn id="7" xr3:uid="{00000000-0010-0000-0600-000007000000}" name="Column7" headerRowDxfId="73" dataDxfId="72"/>
    <tableColumn id="8" xr3:uid="{00000000-0010-0000-0600-000008000000}" name="Column8" headerRowDxfId="71" dataDxfId="70"/>
    <tableColumn id="9" xr3:uid="{00000000-0010-0000-0600-000009000000}" name="Column9" headerRowDxfId="69" dataDxfId="68"/>
    <tableColumn id="10" xr3:uid="{00000000-0010-0000-0600-00000A000000}" name="Column10" headerRowDxfId="67" dataDxfId="66"/>
    <tableColumn id="11" xr3:uid="{00000000-0010-0000-0600-00000B000000}" name="Column11" headerRowDxfId="65" dataDxfId="64"/>
    <tableColumn id="12" xr3:uid="{00000000-0010-0000-0600-00000C000000}" name="Column12" headerRowDxfId="63" dataDxfId="62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U4" totalsRowShown="0" headerRowDxfId="55" dataDxfId="54">
  <autoFilter ref="R3:U4" xr:uid="{00000000-0009-0000-0100-000006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700-000001000000}" name="وحدات سفلية" dataDxfId="53"/>
    <tableColumn id="2" xr3:uid="{00000000-0010-0000-0700-000002000000}" name="وحدات علوية" dataDxfId="52"/>
    <tableColumn id="3" xr3:uid="{00000000-0010-0000-0700-000003000000}" name="دواليب" dataDxfId="51"/>
    <tableColumn id="4" xr3:uid="{00000000-0010-0000-0700-000004000000}" name="تجاليد" dataDxfId="5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5" Type="http://schemas.openxmlformats.org/officeDocument/2006/relationships/table" Target="../tables/table8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6"/>
  <sheetViews>
    <sheetView topLeftCell="B1" zoomScale="66" zoomScaleNormal="66" workbookViewId="0">
      <selection activeCell="D13" sqref="D13"/>
    </sheetView>
  </sheetViews>
  <sheetFormatPr defaultRowHeight="21" customHeight="1" x14ac:dyDescent="0.3"/>
  <cols>
    <col min="1" max="1" width="8.88671875" style="66" hidden="1" customWidth="1"/>
    <col min="2" max="2" width="31.88671875" style="44" customWidth="1"/>
    <col min="3" max="3" width="12.33203125" style="44" customWidth="1"/>
    <col min="4" max="4" width="17.6640625" style="44" customWidth="1"/>
    <col min="5" max="6" width="12.5546875" style="44" customWidth="1"/>
    <col min="7" max="7" width="15.77734375" style="44" customWidth="1"/>
    <col min="8" max="8" width="17.109375" style="60" bestFit="1" customWidth="1"/>
    <col min="9" max="10" width="15.77734375" style="44" customWidth="1"/>
    <col min="11" max="11" width="17.109375" style="60" bestFit="1" customWidth="1"/>
    <col min="12" max="13" width="15.77734375" style="44" customWidth="1"/>
    <col min="14" max="14" width="17.109375" style="60" bestFit="1" customWidth="1"/>
    <col min="15" max="16" width="15.77734375" style="44" customWidth="1"/>
    <col min="17" max="17" width="17.109375" style="60" bestFit="1" customWidth="1"/>
    <col min="18" max="19" width="15.77734375" style="44" customWidth="1"/>
    <col min="20" max="20" width="15.77734375" style="60" customWidth="1"/>
    <col min="21" max="22" width="15.77734375" style="44" customWidth="1"/>
    <col min="23" max="23" width="15.77734375" style="60" customWidth="1"/>
    <col min="24" max="28" width="15.77734375" style="44" customWidth="1"/>
    <col min="29" max="16384" width="8.88671875" style="44"/>
  </cols>
  <sheetData>
    <row r="1" spans="1:24" s="77" customFormat="1" ht="21" customHeight="1" x14ac:dyDescent="0.3">
      <c r="H1" s="78"/>
      <c r="K1" s="78"/>
      <c r="N1" s="78"/>
      <c r="Q1" s="78"/>
      <c r="T1" s="78"/>
      <c r="W1" s="78"/>
    </row>
    <row r="2" spans="1:24" s="77" customFormat="1" ht="31.2" x14ac:dyDescent="0.3">
      <c r="C2" s="105" t="s">
        <v>134</v>
      </c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78"/>
      <c r="T2" s="78"/>
      <c r="W2" s="78"/>
    </row>
    <row r="3" spans="1:24" s="79" customFormat="1" ht="16.8" hidden="1" customHeight="1" x14ac:dyDescent="0.3">
      <c r="B3" s="77" t="s">
        <v>108</v>
      </c>
    </row>
    <row r="4" spans="1:24" s="77" customFormat="1" ht="21" hidden="1" customHeight="1" x14ac:dyDescent="0.3">
      <c r="H4" s="78"/>
      <c r="K4" s="78"/>
      <c r="N4" s="78"/>
      <c r="Q4" s="78"/>
      <c r="T4" s="78"/>
      <c r="W4" s="78"/>
    </row>
    <row r="5" spans="1:24" s="77" customFormat="1" ht="21" hidden="1" customHeight="1" x14ac:dyDescent="0.3">
      <c r="H5" s="78"/>
      <c r="K5" s="78"/>
      <c r="N5" s="78"/>
      <c r="Q5" s="78"/>
      <c r="T5" s="78"/>
      <c r="W5" s="78"/>
    </row>
    <row r="6" spans="1:24" s="77" customFormat="1" ht="21" hidden="1" customHeight="1" x14ac:dyDescent="0.3">
      <c r="H6" s="78"/>
      <c r="K6" s="78"/>
      <c r="N6" s="78"/>
      <c r="Q6" s="78"/>
      <c r="T6" s="78"/>
      <c r="W6" s="78"/>
    </row>
    <row r="7" spans="1:24" s="77" customFormat="1" ht="21" hidden="1" customHeight="1" x14ac:dyDescent="0.3">
      <c r="H7" s="78"/>
      <c r="K7" s="78"/>
      <c r="N7" s="78"/>
      <c r="Q7" s="78"/>
      <c r="T7" s="78"/>
      <c r="W7" s="78"/>
    </row>
    <row r="8" spans="1:24" s="77" customFormat="1" ht="21" hidden="1" customHeight="1" x14ac:dyDescent="0.3">
      <c r="H8" s="78"/>
      <c r="K8" s="78"/>
      <c r="N8" s="78"/>
      <c r="Q8" s="78"/>
      <c r="T8" s="78"/>
      <c r="W8" s="78"/>
    </row>
    <row r="9" spans="1:24" s="77" customFormat="1" ht="21" hidden="1" customHeight="1" x14ac:dyDescent="0.3">
      <c r="H9" s="78"/>
      <c r="K9" s="78"/>
      <c r="N9" s="78"/>
      <c r="Q9" s="78"/>
      <c r="T9" s="78"/>
      <c r="W9" s="78"/>
    </row>
    <row r="10" spans="1:24" s="77" customFormat="1" ht="21" hidden="1" customHeight="1" x14ac:dyDescent="0.3">
      <c r="H10" s="78"/>
      <c r="K10" s="78"/>
      <c r="N10" s="78"/>
      <c r="Q10" s="78"/>
      <c r="T10" s="78"/>
      <c r="W10" s="78"/>
    </row>
    <row r="11" spans="1:24" s="77" customFormat="1" ht="21" customHeight="1" x14ac:dyDescent="0.3">
      <c r="B11" s="94" t="s">
        <v>139</v>
      </c>
      <c r="H11" s="78"/>
      <c r="K11" s="78"/>
      <c r="N11" s="78"/>
      <c r="Q11" s="78"/>
      <c r="T11" s="78"/>
      <c r="W11" s="78"/>
    </row>
    <row r="12" spans="1:24" s="77" customFormat="1" x14ac:dyDescent="0.3">
      <c r="B12" s="93" t="s">
        <v>138</v>
      </c>
      <c r="H12" s="78"/>
      <c r="K12" s="78"/>
      <c r="N12" s="78"/>
      <c r="Q12" s="78"/>
      <c r="T12" s="78"/>
      <c r="W12" s="78"/>
    </row>
    <row r="13" spans="1:24" customFormat="1" ht="21" customHeight="1" x14ac:dyDescent="0.3">
      <c r="A13" s="76"/>
    </row>
    <row r="14" spans="1:24" s="61" customFormat="1" ht="31.2" x14ac:dyDescent="0.3">
      <c r="A14" s="67"/>
    </row>
    <row r="15" spans="1:24" ht="31.2" x14ac:dyDescent="0.3">
      <c r="B15" s="47"/>
      <c r="C15" s="111" t="s">
        <v>116</v>
      </c>
      <c r="D15" s="112"/>
      <c r="E15" s="112"/>
      <c r="F15" s="112"/>
      <c r="G15" s="112"/>
      <c r="H15" s="112"/>
      <c r="I15" s="112"/>
      <c r="J15" s="112"/>
      <c r="K15" s="112"/>
      <c r="L15" s="112"/>
      <c r="M15" s="112"/>
      <c r="N15" s="112"/>
      <c r="O15" s="113"/>
      <c r="P15" s="60"/>
      <c r="Q15" s="61"/>
      <c r="R15" s="61"/>
      <c r="S15" s="60"/>
    </row>
    <row r="16" spans="1:24" ht="21" customHeight="1" x14ac:dyDescent="0.3">
      <c r="B16" s="47"/>
      <c r="C16" s="45"/>
      <c r="D16" s="45" t="s">
        <v>30</v>
      </c>
      <c r="E16" s="45" t="s">
        <v>36</v>
      </c>
      <c r="F16" s="45" t="s">
        <v>34</v>
      </c>
      <c r="G16" s="45" t="s">
        <v>33</v>
      </c>
      <c r="H16" s="45" t="s">
        <v>32</v>
      </c>
      <c r="I16" s="45" t="s">
        <v>70</v>
      </c>
      <c r="J16" s="45" t="s">
        <v>31</v>
      </c>
      <c r="K16" s="45" t="s">
        <v>137</v>
      </c>
      <c r="L16" s="45" t="s">
        <v>18</v>
      </c>
      <c r="M16" s="45" t="s">
        <v>35</v>
      </c>
      <c r="N16" s="45" t="s">
        <v>50</v>
      </c>
      <c r="O16" s="45"/>
      <c r="P16" s="61"/>
      <c r="R16" s="61"/>
      <c r="S16" s="61"/>
      <c r="U16" s="60"/>
      <c r="W16" s="44"/>
      <c r="X16" s="60"/>
    </row>
    <row r="17" spans="1:24" ht="21" customHeight="1" x14ac:dyDescent="0.3">
      <c r="B17" s="47"/>
      <c r="C17" s="45"/>
      <c r="D17" s="45">
        <v>6</v>
      </c>
      <c r="E17" s="45">
        <v>4</v>
      </c>
      <c r="F17" s="45">
        <v>4</v>
      </c>
      <c r="G17" s="45">
        <v>4</v>
      </c>
      <c r="H17" s="45">
        <v>4</v>
      </c>
      <c r="I17" s="45">
        <v>2</v>
      </c>
      <c r="J17" s="45">
        <v>2</v>
      </c>
      <c r="K17" s="45">
        <v>2</v>
      </c>
      <c r="L17" s="45">
        <v>2</v>
      </c>
      <c r="M17" s="45">
        <v>2</v>
      </c>
      <c r="N17" s="45">
        <v>2</v>
      </c>
      <c r="O17" s="45" t="s">
        <v>128</v>
      </c>
      <c r="P17" s="61"/>
      <c r="R17" s="61"/>
      <c r="S17" s="61"/>
      <c r="U17" s="60"/>
      <c r="W17" s="44"/>
      <c r="X17" s="60"/>
    </row>
    <row r="18" spans="1:24" ht="21" customHeight="1" x14ac:dyDescent="0.3"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61"/>
      <c r="P18" s="60"/>
      <c r="Q18" s="61"/>
      <c r="R18" s="61"/>
      <c r="S18" s="60"/>
    </row>
    <row r="19" spans="1:24" ht="21" customHeigh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P19" s="60"/>
      <c r="Q19" s="44"/>
      <c r="S19" s="60"/>
    </row>
    <row r="20" spans="1:24" ht="31.2" x14ac:dyDescent="0.3">
      <c r="A20" s="41"/>
      <c r="B20"/>
      <c r="C20" s="110" t="s">
        <v>117</v>
      </c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P20" s="60"/>
      <c r="Q20" s="44"/>
      <c r="S20" s="60"/>
    </row>
    <row r="21" spans="1:24" ht="21" customHeight="1" x14ac:dyDescent="0.3">
      <c r="A21" s="40"/>
      <c r="B21"/>
      <c r="C21" s="45"/>
      <c r="D21" s="45" t="s">
        <v>122</v>
      </c>
      <c r="E21" s="45" t="s">
        <v>118</v>
      </c>
      <c r="F21" s="45" t="s">
        <v>119</v>
      </c>
      <c r="G21" s="45" t="s">
        <v>120</v>
      </c>
      <c r="H21" s="45" t="s">
        <v>121</v>
      </c>
      <c r="I21" s="45" t="s">
        <v>123</v>
      </c>
      <c r="J21" s="45" t="s">
        <v>124</v>
      </c>
      <c r="K21" s="45" t="s">
        <v>125</v>
      </c>
      <c r="L21" s="45" t="s">
        <v>126</v>
      </c>
      <c r="M21" s="45" t="s">
        <v>127</v>
      </c>
      <c r="N21" s="45"/>
      <c r="P21" s="60"/>
      <c r="Q21" s="44"/>
      <c r="S21" s="60"/>
    </row>
    <row r="22" spans="1:24" ht="21" customHeight="1" x14ac:dyDescent="0.3">
      <c r="A22" s="40"/>
      <c r="B22"/>
      <c r="C22" s="45"/>
      <c r="D22" s="46">
        <v>5</v>
      </c>
      <c r="E22" s="46">
        <v>3</v>
      </c>
      <c r="F22" s="46">
        <v>3</v>
      </c>
      <c r="G22" s="46">
        <v>3</v>
      </c>
      <c r="H22" s="46">
        <v>3</v>
      </c>
      <c r="I22" s="46">
        <v>1</v>
      </c>
      <c r="J22" s="46">
        <v>1</v>
      </c>
      <c r="K22" s="46">
        <v>1</v>
      </c>
      <c r="L22" s="46">
        <v>1</v>
      </c>
      <c r="M22" s="46">
        <v>1</v>
      </c>
      <c r="N22" s="45" t="s">
        <v>128</v>
      </c>
      <c r="P22" s="60"/>
      <c r="Q22" s="44"/>
      <c r="S22" s="60"/>
    </row>
    <row r="23" spans="1:24" ht="21" customHeight="1" x14ac:dyDescent="0.3">
      <c r="A23" s="40"/>
      <c r="B23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P23" s="60"/>
      <c r="Q23" s="44"/>
      <c r="S23" s="60"/>
    </row>
    <row r="24" spans="1:24" ht="21" customHeight="1" x14ac:dyDescent="0.3">
      <c r="A24" s="40"/>
      <c r="B24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P24" s="60"/>
      <c r="Q24" s="44"/>
      <c r="S24" s="60"/>
    </row>
    <row r="25" spans="1:24" ht="21" customHeight="1" x14ac:dyDescent="0.3">
      <c r="A25" s="40"/>
      <c r="B25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P25" s="60"/>
      <c r="Q25" s="44"/>
      <c r="S25" s="60"/>
    </row>
    <row r="26" spans="1:24" ht="21" customHeight="1" x14ac:dyDescent="0.3">
      <c r="A26" s="40"/>
      <c r="B26"/>
      <c r="D26" s="60"/>
      <c r="G26" s="60"/>
      <c r="H26" s="44"/>
      <c r="J26" s="60"/>
      <c r="K26" s="44"/>
      <c r="M26" s="60"/>
      <c r="N26" s="44"/>
      <c r="P26" s="60"/>
      <c r="Q26" s="44"/>
      <c r="S26" s="60"/>
    </row>
    <row r="27" spans="1:24" ht="31.2" customHeight="1" x14ac:dyDescent="0.3">
      <c r="A27" s="40"/>
      <c r="B27"/>
      <c r="C27" s="108" t="s">
        <v>103</v>
      </c>
      <c r="D27" s="109"/>
      <c r="E27" s="61"/>
      <c r="F27" s="108" t="s">
        <v>0</v>
      </c>
      <c r="G27" s="109"/>
      <c r="H27" s="61"/>
      <c r="I27" s="108" t="s">
        <v>39</v>
      </c>
      <c r="J27" s="109"/>
      <c r="K27" s="61"/>
      <c r="L27" s="108" t="s">
        <v>54</v>
      </c>
      <c r="M27" s="109"/>
      <c r="N27" s="61"/>
      <c r="O27" s="108" t="s">
        <v>69</v>
      </c>
      <c r="P27" s="109"/>
    </row>
    <row r="28" spans="1:24" ht="21" customHeight="1" x14ac:dyDescent="0.3">
      <c r="A28" s="40"/>
      <c r="B28"/>
      <c r="C28" s="106">
        <f ca="1">_xlfn.SHEET("إعدادات")</f>
        <v>1</v>
      </c>
      <c r="D28" s="107"/>
      <c r="F28" s="106">
        <f ca="1">_xlfn.SHEET("وحدات سفلية")</f>
        <v>4</v>
      </c>
      <c r="G28" s="107"/>
      <c r="H28" s="44"/>
      <c r="I28" s="106">
        <f ca="1">_xlfn.SHEET("وحدات علوية")</f>
        <v>5</v>
      </c>
      <c r="J28" s="107"/>
      <c r="K28" s="44"/>
      <c r="L28" s="106">
        <f ca="1">_xlfn.SHEET("دواليب")</f>
        <v>6</v>
      </c>
      <c r="M28" s="107"/>
      <c r="N28" s="44"/>
      <c r="O28" s="106">
        <f ca="1">_xlfn.SHEET("تجاليد")</f>
        <v>7</v>
      </c>
      <c r="P28" s="107"/>
    </row>
    <row r="29" spans="1:24" ht="21" customHeight="1" x14ac:dyDescent="0.3">
      <c r="A29" s="40"/>
      <c r="B29"/>
      <c r="C29" s="48" t="str">
        <f>L16</f>
        <v>HPL</v>
      </c>
      <c r="D29" s="49" t="s">
        <v>27</v>
      </c>
      <c r="F29" s="48" t="str" cm="1">
        <f t="array" aca="1" ref="F29" ca="1">defaultValue(G29,$C$28)</f>
        <v>HPL</v>
      </c>
      <c r="G29" s="49" t="s">
        <v>27</v>
      </c>
      <c r="H29" s="44"/>
      <c r="I29" s="48" t="str" cm="1">
        <f t="array" aca="1" ref="I29" ca="1">defaultValue(J29,$C$28)</f>
        <v>HPL</v>
      </c>
      <c r="J29" s="49" t="s">
        <v>27</v>
      </c>
      <c r="K29" s="44"/>
      <c r="L29" s="48" t="str" cm="1">
        <f t="array" aca="1" ref="L29" ca="1">defaultValue(M29,$C$28)</f>
        <v>HPL</v>
      </c>
      <c r="M29" s="49" t="s">
        <v>27</v>
      </c>
      <c r="N29" s="44"/>
      <c r="O29" s="52" t="str" cm="1">
        <f t="array" aca="1" ref="O29" ca="1">defaultValue("دلف المطبخ",$C$28)</f>
        <v>يوفيلاك</v>
      </c>
      <c r="P29" s="52" t="s">
        <v>9</v>
      </c>
    </row>
    <row r="30" spans="1:24" ht="21" customHeight="1" x14ac:dyDescent="0.3">
      <c r="A30" s="40"/>
      <c r="B30"/>
      <c r="C30" s="50" t="str">
        <f>D16</f>
        <v>يوفيلاك</v>
      </c>
      <c r="D30" s="51" t="s">
        <v>28</v>
      </c>
      <c r="F30" s="50" t="str" cm="1">
        <f t="array" aca="1" ref="F30" ca="1">defaultValue(G30,$C$28)</f>
        <v>يوفيلاك</v>
      </c>
      <c r="G30" s="51" t="s">
        <v>28</v>
      </c>
      <c r="H30" s="44"/>
      <c r="I30" s="50" t="str" cm="1">
        <f t="array" aca="1" ref="I30" ca="1">defaultValue(J30,$C$28)</f>
        <v>يوفيلاك</v>
      </c>
      <c r="J30" s="51" t="s">
        <v>28</v>
      </c>
      <c r="K30" s="44"/>
      <c r="L30" s="50" t="str" cm="1">
        <f t="array" aca="1" ref="L30" ca="1">defaultValue(M30,$C$28)</f>
        <v>يوفيلاك</v>
      </c>
      <c r="M30" s="51" t="s">
        <v>28</v>
      </c>
      <c r="N30" s="44"/>
      <c r="O30" s="56" t="e" cm="1">
        <f t="array" aca="1" ref="O30" ca="1">defaultValue(P30,$C$28)</f>
        <v>#N/A</v>
      </c>
      <c r="P30" s="58"/>
    </row>
    <row r="31" spans="1:24" ht="21" customHeight="1" x14ac:dyDescent="0.3">
      <c r="A31" s="40"/>
      <c r="B31"/>
      <c r="C31" s="53" t="str">
        <f>N16</f>
        <v>ظهر</v>
      </c>
      <c r="D31" s="54" t="s">
        <v>50</v>
      </c>
      <c r="F31" s="53" t="str" cm="1">
        <f t="array" aca="1" ref="F31" ca="1">defaultValue(G31,$C$28)</f>
        <v>ظهر</v>
      </c>
      <c r="G31" s="54" t="s">
        <v>50</v>
      </c>
      <c r="H31" s="44"/>
      <c r="I31" s="64" t="str" cm="1">
        <f t="array" aca="1" ref="I31" ca="1">defaultValue(J31,$C$28)</f>
        <v>ظهر</v>
      </c>
      <c r="J31" s="65" t="s">
        <v>50</v>
      </c>
      <c r="K31" s="44"/>
      <c r="L31" s="64" t="str" cm="1">
        <f t="array" aca="1" ref="L31" ca="1">defaultValue(M31,$C$28)</f>
        <v>ظهر</v>
      </c>
      <c r="M31" s="65" t="s">
        <v>50</v>
      </c>
      <c r="N31" s="44"/>
      <c r="O31" s="56" t="e" cm="1">
        <f t="array" aca="1" ref="O31" ca="1">defaultValue(P31,$C$28)</f>
        <v>#N/A</v>
      </c>
      <c r="P31" s="58"/>
    </row>
    <row r="32" spans="1:24" ht="21" customHeight="1" x14ac:dyDescent="0.3">
      <c r="A32" s="40"/>
      <c r="B32"/>
      <c r="C32" s="56">
        <v>45</v>
      </c>
      <c r="D32" s="58" t="s">
        <v>17</v>
      </c>
      <c r="F32" s="56">
        <v>56</v>
      </c>
      <c r="G32" s="58" t="s">
        <v>76</v>
      </c>
      <c r="H32" s="55"/>
      <c r="I32" s="56">
        <v>30</v>
      </c>
      <c r="J32" s="58" t="s">
        <v>76</v>
      </c>
      <c r="K32" s="44"/>
      <c r="L32" s="56" t="e" cm="1">
        <f t="array" aca="1" ref="L32" ca="1">defaultValue(M32,$C$28)</f>
        <v>#N/A</v>
      </c>
      <c r="M32" s="58"/>
      <c r="N32" s="44"/>
      <c r="O32" s="56" t="e" cm="1">
        <f t="array" aca="1" ref="O32" ca="1">defaultValue(P32,$C$28)</f>
        <v>#N/A</v>
      </c>
      <c r="P32" s="58"/>
    </row>
    <row r="33" spans="1:27" ht="21" customHeight="1" x14ac:dyDescent="0.3">
      <c r="A33" s="40"/>
      <c r="B33"/>
      <c r="C33" s="57">
        <v>3.5</v>
      </c>
      <c r="D33" s="59" t="s">
        <v>14</v>
      </c>
      <c r="F33" s="56">
        <v>78</v>
      </c>
      <c r="G33" s="58" t="s">
        <v>3</v>
      </c>
      <c r="H33" s="44"/>
      <c r="I33" s="56">
        <v>70</v>
      </c>
      <c r="J33" s="58" t="s">
        <v>3</v>
      </c>
      <c r="K33" s="44"/>
      <c r="L33" s="56" t="e" cm="1">
        <f t="array" aca="1" ref="L33" ca="1">defaultValue(M33,$C$28)</f>
        <v>#N/A</v>
      </c>
      <c r="M33" s="58"/>
      <c r="N33" s="44"/>
      <c r="O33" s="56" t="e" cm="1">
        <f t="array" aca="1" ref="O33" ca="1">defaultValue(P33,$C$28)</f>
        <v>#N/A</v>
      </c>
      <c r="P33" s="58"/>
    </row>
    <row r="34" spans="1:27" ht="21" customHeight="1" x14ac:dyDescent="0.3">
      <c r="A34" s="40"/>
      <c r="B34"/>
      <c r="C34" s="62" t="b">
        <v>1</v>
      </c>
      <c r="D34" s="58" t="s">
        <v>77</v>
      </c>
      <c r="F34" s="56" cm="1">
        <f t="array" aca="1" ref="F34" ca="1">defaultValue(G34,$C$28)</f>
        <v>45</v>
      </c>
      <c r="G34" s="58" t="s">
        <v>17</v>
      </c>
      <c r="H34" s="44"/>
      <c r="I34" s="56" cm="1">
        <f t="array" aca="1" ref="I34" ca="1">defaultValue(J34,$C$28)</f>
        <v>45</v>
      </c>
      <c r="J34" s="58" t="s">
        <v>17</v>
      </c>
      <c r="K34" s="44"/>
      <c r="L34" s="56" t="e" cm="1">
        <f t="array" aca="1" ref="L34" ca="1">defaultValue(M34,$C$28)</f>
        <v>#N/A</v>
      </c>
      <c r="M34" s="58"/>
      <c r="N34" s="44"/>
      <c r="O34" s="56" t="e" cm="1">
        <f t="array" aca="1" ref="O34" ca="1">defaultValue(P34,$C$28)</f>
        <v>#N/A</v>
      </c>
      <c r="P34" s="58"/>
    </row>
    <row r="35" spans="1:27" ht="21" customHeight="1" x14ac:dyDescent="0.3">
      <c r="A35" s="40"/>
      <c r="B35"/>
      <c r="C35" s="62"/>
      <c r="D35" s="58"/>
      <c r="F35" s="56" cm="1">
        <f t="array" aca="1" ref="F35" ca="1">defaultValue(G35,$C$28)</f>
        <v>3.5</v>
      </c>
      <c r="G35" s="58" t="s">
        <v>14</v>
      </c>
      <c r="H35" s="44"/>
      <c r="I35" s="56" cm="1">
        <f t="array" aca="1" ref="I35" ca="1">defaultValue(J35,$C$28)</f>
        <v>3.5</v>
      </c>
      <c r="J35" s="58" t="s">
        <v>14</v>
      </c>
      <c r="K35" s="44"/>
      <c r="L35" s="56" t="e" cm="1">
        <f t="array" aca="1" ref="L35" ca="1">defaultValue(M35,$C$28)</f>
        <v>#N/A</v>
      </c>
      <c r="M35" s="58"/>
      <c r="N35" s="44"/>
      <c r="O35" s="56" t="e" cm="1">
        <f t="array" aca="1" ref="O35" ca="1">defaultValue(P35,$C$28)</f>
        <v>#N/A</v>
      </c>
      <c r="P35" s="58"/>
    </row>
    <row r="36" spans="1:27" ht="21" customHeight="1" x14ac:dyDescent="0.3">
      <c r="A36" s="40"/>
      <c r="B36"/>
      <c r="C36" s="62"/>
      <c r="D36" s="58"/>
      <c r="F36" s="56" t="b" cm="1">
        <f t="array" aca="1" ref="F36" ca="1">defaultValue(G36,$C$28)</f>
        <v>1</v>
      </c>
      <c r="G36" s="58" t="s">
        <v>77</v>
      </c>
      <c r="H36" s="44"/>
      <c r="I36" s="56">
        <v>0</v>
      </c>
      <c r="J36" s="58" t="s">
        <v>78</v>
      </c>
      <c r="K36" s="44"/>
      <c r="L36" s="56" t="e" cm="1">
        <f t="array" aca="1" ref="L36" ca="1">defaultValue(M36,$C$28)</f>
        <v>#N/A</v>
      </c>
      <c r="M36" s="58"/>
      <c r="N36" s="44"/>
      <c r="O36" s="56" t="e" cm="1">
        <f t="array" aca="1" ref="O36" ca="1">defaultValue(P36,$C$28)</f>
        <v>#N/A</v>
      </c>
      <c r="P36" s="59"/>
    </row>
    <row r="37" spans="1:27" ht="21" customHeight="1" x14ac:dyDescent="0.3">
      <c r="A37" s="40"/>
      <c r="B37"/>
      <c r="C37" s="63"/>
      <c r="D37" s="59"/>
      <c r="F37" s="57" t="e" cm="1">
        <f t="array" aca="1" ref="F37" ca="1">defaultValue(G37,$C$28)</f>
        <v>#N/A</v>
      </c>
      <c r="G37" s="59"/>
      <c r="H37" s="44"/>
      <c r="I37" s="57" t="e" cm="1">
        <f t="array" aca="1" ref="I37" ca="1">defaultValue(J37,$C$28)</f>
        <v>#N/A</v>
      </c>
      <c r="J37" s="59"/>
      <c r="K37" s="44"/>
      <c r="L37" s="57" t="e" cm="1">
        <f t="array" aca="1" ref="L37" ca="1">defaultValue(M37,$C$28)</f>
        <v>#N/A</v>
      </c>
      <c r="M37" s="59"/>
      <c r="N37" s="44"/>
      <c r="O37" s="56" t="e" cm="1">
        <f t="array" aca="1" ref="O37" ca="1">defaultValue(P37,$C$28)</f>
        <v>#N/A</v>
      </c>
      <c r="P37" s="58"/>
    </row>
    <row r="38" spans="1:27" ht="21" customHeight="1" x14ac:dyDescent="0.3">
      <c r="A38" s="40"/>
      <c r="B38"/>
      <c r="C38" s="62"/>
      <c r="D38" s="58"/>
      <c r="F38" s="56" t="e" cm="1">
        <f t="array" aca="1" ref="F38" ca="1">defaultValue(G38,$C$28)</f>
        <v>#N/A</v>
      </c>
      <c r="G38" s="58"/>
      <c r="H38" s="44"/>
      <c r="I38" s="56" t="e" cm="1">
        <f t="array" aca="1" ref="I38" ca="1">defaultValue(J38,$C$28)</f>
        <v>#N/A</v>
      </c>
      <c r="J38" s="58"/>
      <c r="K38" s="44"/>
      <c r="L38" s="56" t="e" cm="1">
        <f t="array" aca="1" ref="L38" ca="1">defaultValue(M38,$C$28)</f>
        <v>#N/A</v>
      </c>
      <c r="M38" s="58"/>
      <c r="N38" s="44"/>
      <c r="O38" s="56" t="e" cm="1">
        <f t="array" aca="1" ref="O38" ca="1">defaultValue(P38,$C$28)</f>
        <v>#N/A</v>
      </c>
      <c r="P38" s="58"/>
    </row>
    <row r="39" spans="1:27" ht="21" customHeight="1" x14ac:dyDescent="0.3">
      <c r="A39" s="40"/>
      <c r="B39"/>
      <c r="C39" s="62"/>
      <c r="D39" s="58"/>
      <c r="F39" s="56" t="e" cm="1">
        <f t="array" aca="1" ref="F39" ca="1">defaultValue(G39,$C$28)</f>
        <v>#N/A</v>
      </c>
      <c r="G39" s="58"/>
      <c r="H39" s="44"/>
      <c r="I39" s="56" t="e" cm="1">
        <f t="array" aca="1" ref="I39" ca="1">defaultValue(J39,$C$28)</f>
        <v>#N/A</v>
      </c>
      <c r="J39" s="58"/>
      <c r="K39" s="44"/>
      <c r="L39" s="56" t="e" cm="1">
        <f t="array" aca="1" ref="L39" ca="1">defaultValue(M39,$C$28)</f>
        <v>#N/A</v>
      </c>
      <c r="M39" s="58"/>
      <c r="N39" s="44"/>
      <c r="O39" s="56" t="e" cm="1">
        <f t="array" aca="1" ref="O39" ca="1">defaultValue(P39,$C$28)</f>
        <v>#N/A</v>
      </c>
      <c r="P39" s="58"/>
    </row>
    <row r="40" spans="1:27" ht="21" customHeight="1" x14ac:dyDescent="0.3">
      <c r="A40" s="40"/>
      <c r="B40"/>
      <c r="C40" s="62"/>
      <c r="D40" s="58"/>
      <c r="F40" s="56" t="e" cm="1">
        <f t="array" aca="1" ref="F40" ca="1">defaultValue(G40,$C$28)</f>
        <v>#N/A</v>
      </c>
      <c r="G40" s="58"/>
      <c r="H40" s="44"/>
      <c r="I40" s="56" t="e" cm="1">
        <f t="array" aca="1" ref="I40" ca="1">defaultValue(J40,$C$28)</f>
        <v>#N/A</v>
      </c>
      <c r="J40" s="58"/>
      <c r="K40" s="44"/>
      <c r="L40" s="56" t="e" cm="1">
        <f t="array" aca="1" ref="L40" ca="1">defaultValue(M40,$C$28)</f>
        <v>#N/A</v>
      </c>
      <c r="M40" s="58"/>
      <c r="N40" s="44"/>
      <c r="O40" s="56" t="e" cm="1">
        <f t="array" aca="1" ref="O40" ca="1">defaultValue(P40,$C$28)</f>
        <v>#N/A</v>
      </c>
      <c r="P40" s="59"/>
    </row>
    <row r="41" spans="1:27" ht="21" customHeight="1" x14ac:dyDescent="0.3">
      <c r="C41" s="63"/>
      <c r="D41" s="59"/>
      <c r="F41" s="57" t="e" cm="1">
        <f t="array" aca="1" ref="F41" ca="1">defaultValue(G41,$C$28)</f>
        <v>#N/A</v>
      </c>
      <c r="G41" s="59"/>
      <c r="H41" s="44"/>
      <c r="I41" s="56" t="e" cm="1">
        <f t="array" aca="1" ref="I41" ca="1">defaultValue(J41,$C$28)</f>
        <v>#N/A</v>
      </c>
      <c r="J41" s="59"/>
      <c r="K41" s="44"/>
      <c r="L41" s="56" t="e" cm="1">
        <f t="array" aca="1" ref="L41" ca="1">defaultValue(M41,$C$28)</f>
        <v>#N/A</v>
      </c>
      <c r="M41" s="59"/>
      <c r="N41" s="44"/>
      <c r="O41" s="56" t="e" cm="1">
        <f t="array" aca="1" ref="O41" ca="1">defaultValue(P41,$C$28)</f>
        <v>#N/A</v>
      </c>
      <c r="P41" s="59"/>
    </row>
    <row r="46" spans="1:27" ht="21" customHeight="1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U46"/>
      <c r="V46"/>
      <c r="W46"/>
      <c r="X46"/>
      <c r="Y46"/>
      <c r="Z46"/>
      <c r="AA46"/>
    </row>
    <row r="47" spans="1:27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U47"/>
      <c r="V47"/>
      <c r="W47"/>
      <c r="X47"/>
      <c r="Y47"/>
      <c r="Z47"/>
      <c r="AA47"/>
    </row>
    <row r="48" spans="1:27" ht="21" customHeight="1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U48"/>
      <c r="V48"/>
      <c r="W48"/>
      <c r="X48"/>
      <c r="Y48"/>
      <c r="Z48"/>
      <c r="AA48"/>
    </row>
    <row r="49" spans="2:27" ht="21" customHeight="1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U49"/>
      <c r="V49"/>
      <c r="W49"/>
      <c r="X49"/>
      <c r="Y49"/>
      <c r="Z49"/>
      <c r="AA49"/>
    </row>
    <row r="50" spans="2:27" ht="21" customHeight="1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U50"/>
      <c r="V50"/>
      <c r="W50"/>
      <c r="X50"/>
      <c r="Y50"/>
      <c r="Z50"/>
      <c r="AA50"/>
    </row>
    <row r="51" spans="2:27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U51"/>
      <c r="V51"/>
      <c r="W51"/>
      <c r="X51"/>
      <c r="Y51"/>
      <c r="Z51"/>
      <c r="AA51"/>
    </row>
    <row r="52" spans="2:27" ht="21" customHeight="1" x14ac:dyDescent="0.3"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2:27" ht="21" customHeight="1" x14ac:dyDescent="0.3"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2:27" ht="21" customHeight="1" x14ac:dyDescent="0.3"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2:27" ht="21" customHeight="1" x14ac:dyDescent="0.3"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2:27" ht="21" customHeight="1" x14ac:dyDescent="0.3">
      <c r="B56"/>
      <c r="C56"/>
      <c r="D56"/>
      <c r="E56"/>
      <c r="F56"/>
      <c r="G56"/>
      <c r="H56"/>
      <c r="I56"/>
      <c r="J56"/>
      <c r="K56"/>
      <c r="L56"/>
      <c r="M56"/>
      <c r="N56"/>
    </row>
  </sheetData>
  <mergeCells count="13">
    <mergeCell ref="C2:P2"/>
    <mergeCell ref="O28:P28"/>
    <mergeCell ref="C27:D27"/>
    <mergeCell ref="C28:D28"/>
    <mergeCell ref="F28:G28"/>
    <mergeCell ref="I28:J28"/>
    <mergeCell ref="F27:G27"/>
    <mergeCell ref="I27:J27"/>
    <mergeCell ref="L27:M27"/>
    <mergeCell ref="O27:P27"/>
    <mergeCell ref="C20:N20"/>
    <mergeCell ref="L28:M28"/>
    <mergeCell ref="C15:O15"/>
  </mergeCells>
  <phoneticPr fontId="9" type="noConversion"/>
  <conditionalFormatting sqref="B12">
    <cfRule type="cellIs" dxfId="168" priority="2" operator="equal">
      <formula>"مغلق"</formula>
    </cfRule>
    <cfRule type="cellIs" dxfId="167" priority="1" operator="equal">
      <formula>"مفعل"</formula>
    </cfRule>
  </conditionalFormatting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J70"/>
  <sheetViews>
    <sheetView zoomScale="66" zoomScaleNormal="85" workbookViewId="0">
      <pane ySplit="12" topLeftCell="A13" activePane="bottomLeft" state="frozen"/>
      <selection pane="bottomLeft" activeCell="B12" sqref="B12"/>
    </sheetView>
  </sheetViews>
  <sheetFormatPr defaultRowHeight="14.4" x14ac:dyDescent="0.3"/>
  <cols>
    <col min="1" max="1" width="8.88671875" style="31" hidden="1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6" s="81" customFormat="1" x14ac:dyDescent="0.3">
      <c r="B1" s="81">
        <v>3</v>
      </c>
    </row>
    <row r="2" spans="1:16" s="81" customFormat="1" ht="31.2" x14ac:dyDescent="0.3">
      <c r="B2" s="81" t="s">
        <v>109</v>
      </c>
      <c r="D2" s="119" t="s">
        <v>132</v>
      </c>
      <c r="E2" s="119"/>
      <c r="F2" s="119"/>
      <c r="G2" s="119"/>
      <c r="H2" s="119"/>
      <c r="I2" s="119"/>
      <c r="J2" s="119"/>
      <c r="K2" s="119"/>
    </row>
    <row r="3" spans="1:16" s="81" customFormat="1" x14ac:dyDescent="0.3">
      <c r="B3" s="81" t="s">
        <v>108</v>
      </c>
    </row>
    <row r="4" spans="1:16" s="81" customFormat="1" ht="21" x14ac:dyDescent="0.4">
      <c r="D4" s="117" t="s">
        <v>131</v>
      </c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</row>
    <row r="5" spans="1:16" s="81" customFormat="1" x14ac:dyDescent="0.3">
      <c r="D5" s="80" cm="1">
        <f t="array" ref="D5:P6">woodMaterials[]</f>
        <v>0</v>
      </c>
      <c r="E5" s="80" t="str">
        <v>يوفيلاك</v>
      </c>
      <c r="F5" s="80" t="str">
        <v>بوليلاك</v>
      </c>
      <c r="G5" s="80" t="str">
        <v>Lumber J</v>
      </c>
      <c r="H5" s="80" t="str">
        <v>بولى بلس</v>
      </c>
      <c r="I5" s="80" t="str">
        <v>PVC</v>
      </c>
      <c r="J5" s="80" t="str">
        <v>بورديوم</v>
      </c>
      <c r="K5" s="80" t="str">
        <v>كونتر ميلامين</v>
      </c>
      <c r="L5" s="80" t="str">
        <v>HPL دلف</v>
      </c>
      <c r="M5" s="80" t="str">
        <v>HPL</v>
      </c>
      <c r="N5" s="80" t="str">
        <v>CPL</v>
      </c>
      <c r="O5" s="80" t="str">
        <v>ظهر</v>
      </c>
      <c r="P5" s="81">
        <v>0</v>
      </c>
    </row>
    <row r="6" spans="1:16" s="81" customFormat="1" x14ac:dyDescent="0.3">
      <c r="D6" s="80">
        <v>0</v>
      </c>
      <c r="E6" s="80">
        <v>6</v>
      </c>
      <c r="F6" s="80">
        <v>4</v>
      </c>
      <c r="G6" s="80">
        <v>4</v>
      </c>
      <c r="H6" s="80">
        <v>4</v>
      </c>
      <c r="I6" s="80">
        <v>4</v>
      </c>
      <c r="J6" s="80">
        <v>2</v>
      </c>
      <c r="K6" s="80">
        <v>2</v>
      </c>
      <c r="L6" s="80">
        <v>2</v>
      </c>
      <c r="M6" s="80">
        <v>2</v>
      </c>
      <c r="N6" s="80">
        <v>2</v>
      </c>
      <c r="O6" s="80">
        <v>2</v>
      </c>
      <c r="P6" s="81" t="str">
        <v>الرقم</v>
      </c>
    </row>
    <row r="7" spans="1:16" s="81" customFormat="1" x14ac:dyDescent="0.3"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</row>
    <row r="8" spans="1:16" s="81" customFormat="1" ht="23.4" x14ac:dyDescent="0.45">
      <c r="D8" s="118" t="s">
        <v>117</v>
      </c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</row>
    <row r="9" spans="1:16" s="81" customFormat="1" x14ac:dyDescent="0.3">
      <c r="D9" s="80" cm="1">
        <f t="array" ref="D9:O10">blankMaterials[]</f>
        <v>0</v>
      </c>
      <c r="E9" s="80" t="str">
        <v>يوفيلاك سادة</v>
      </c>
      <c r="F9" s="80" t="str">
        <v>بوليلاك سادة</v>
      </c>
      <c r="G9" s="80" t="str">
        <v>Lumber J سادة</v>
      </c>
      <c r="H9" s="80" t="str">
        <v>بولى بلس سادة</v>
      </c>
      <c r="I9" s="80" t="str">
        <v>PVC سادة</v>
      </c>
      <c r="J9" s="80" t="str">
        <v>بورديوم سادة</v>
      </c>
      <c r="K9" s="80" t="str">
        <v>كونتر ميلامين سادة</v>
      </c>
      <c r="L9" s="80" t="str">
        <v>HPL سادة</v>
      </c>
      <c r="M9" s="80" t="str">
        <v>CPL سادة</v>
      </c>
      <c r="N9" s="80" t="str">
        <v>ظهر سادة</v>
      </c>
      <c r="O9" s="80">
        <v>0</v>
      </c>
    </row>
    <row r="10" spans="1:16" s="81" customFormat="1" x14ac:dyDescent="0.3">
      <c r="D10" s="80">
        <v>0</v>
      </c>
      <c r="E10" s="80">
        <v>5</v>
      </c>
      <c r="F10" s="80">
        <v>3</v>
      </c>
      <c r="G10" s="80">
        <v>3</v>
      </c>
      <c r="H10" s="80">
        <v>3</v>
      </c>
      <c r="I10" s="80">
        <v>3</v>
      </c>
      <c r="J10" s="80">
        <v>1</v>
      </c>
      <c r="K10" s="80">
        <v>1</v>
      </c>
      <c r="L10" s="80">
        <v>1</v>
      </c>
      <c r="M10" s="80">
        <v>1</v>
      </c>
      <c r="N10" s="80">
        <v>1</v>
      </c>
      <c r="O10" s="80" t="str">
        <v>الرقم</v>
      </c>
    </row>
    <row r="11" spans="1:16" s="81" customFormat="1" x14ac:dyDescent="0.3">
      <c r="B11" s="96" t="s">
        <v>139</v>
      </c>
    </row>
    <row r="12" spans="1:16" s="81" customFormat="1" ht="26.4" customHeight="1" x14ac:dyDescent="0.3">
      <c r="B12" s="95" t="s">
        <v>138</v>
      </c>
    </row>
    <row r="13" spans="1:16" x14ac:dyDescent="0.3">
      <c r="A13" s="35"/>
    </row>
    <row r="17" spans="1:62" ht="34.799999999999997" customHeight="1" x14ac:dyDescent="0.3">
      <c r="A17" s="41" t="s">
        <v>88</v>
      </c>
      <c r="B17" s="13"/>
      <c r="C17" s="12">
        <v>1</v>
      </c>
      <c r="D17" s="20" t="s">
        <v>51</v>
      </c>
      <c r="E17" s="114" t="s">
        <v>110</v>
      </c>
      <c r="F17" s="115"/>
      <c r="G17" s="115"/>
      <c r="H17" s="116"/>
      <c r="I17" s="2" t="s">
        <v>26</v>
      </c>
      <c r="J17" s="2">
        <f>letterToNumber(A17)</f>
        <v>1</v>
      </c>
      <c r="K17" s="25">
        <f ca="1">_xlfn.SHEET("نماذج")</f>
        <v>2</v>
      </c>
      <c r="BB17"/>
      <c r="BC17"/>
      <c r="BD17"/>
      <c r="BE17"/>
      <c r="BF17"/>
      <c r="BG17"/>
      <c r="BH17"/>
      <c r="BI17"/>
      <c r="BJ17"/>
    </row>
    <row r="18" spans="1:62" ht="21" x14ac:dyDescent="0.3">
      <c r="A18" s="40">
        <v>1</v>
      </c>
      <c r="B18" s="13"/>
      <c r="C18" s="8"/>
      <c r="D18" s="7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40">
        <v>1</v>
      </c>
      <c r="B19" s="13"/>
      <c r="C19" s="7"/>
      <c r="D19" s="16"/>
      <c r="E19" s="7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BB19"/>
      <c r="BC19"/>
      <c r="BD19"/>
      <c r="BE19"/>
      <c r="BF19"/>
      <c r="BG19"/>
      <c r="BH19"/>
      <c r="BI19"/>
      <c r="BJ19"/>
    </row>
    <row r="20" spans="1:62" ht="15.6" x14ac:dyDescent="0.3">
      <c r="A20" s="40">
        <v>1</v>
      </c>
      <c r="B20" s="13"/>
      <c r="C20" s="8"/>
      <c r="D20" s="8"/>
      <c r="E20" s="25"/>
      <c r="F20" s="7"/>
      <c r="G20" s="25" cm="1">
        <f t="array" aca="1" ref="G20" ca="1">defaultValue(G19,K17)</f>
        <v>3.5</v>
      </c>
      <c r="H20" s="8"/>
      <c r="I20" s="25"/>
      <c r="J20" s="25"/>
      <c r="K20" s="7"/>
      <c r="BB20"/>
      <c r="BC20"/>
      <c r="BD20"/>
      <c r="BE20"/>
      <c r="BF20"/>
      <c r="BG20"/>
      <c r="BH20"/>
      <c r="BI20"/>
      <c r="BJ20"/>
    </row>
    <row r="21" spans="1:62" ht="15.6" x14ac:dyDescent="0.3">
      <c r="A21" s="40">
        <v>0</v>
      </c>
      <c r="B21" s="13"/>
      <c r="C21" s="3"/>
      <c r="D21" s="3"/>
      <c r="E21" s="3"/>
      <c r="F21" s="3"/>
      <c r="G21" s="3"/>
      <c r="H21" s="3"/>
      <c r="I21" s="3"/>
      <c r="J21" s="3"/>
      <c r="K21" s="3"/>
      <c r="BB21"/>
      <c r="BC21"/>
      <c r="BD21"/>
      <c r="BE21"/>
      <c r="BF21"/>
      <c r="BG21"/>
      <c r="BH21"/>
      <c r="BI21"/>
      <c r="BJ21"/>
    </row>
    <row r="22" spans="1:62" ht="15.6" x14ac:dyDescent="0.3">
      <c r="A22" s="40">
        <v>2</v>
      </c>
      <c r="B22" s="13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40">
        <v>0</v>
      </c>
      <c r="B23" s="13"/>
      <c r="K23" s="3"/>
      <c r="BB23"/>
      <c r="BC23"/>
      <c r="BD23"/>
      <c r="BE23"/>
      <c r="BF23"/>
      <c r="BG23"/>
      <c r="BH23"/>
      <c r="BI23"/>
      <c r="BJ23"/>
    </row>
    <row r="24" spans="1:62" ht="15.6" x14ac:dyDescent="0.3">
      <c r="A24" s="40">
        <v>3</v>
      </c>
      <c r="B24" s="13" t="str" cm="1">
        <f t="array" ref="B24">visible(E17, K24)</f>
        <v>وحدة عادية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visible(("replace me"),K24)</f>
        <v>replace me</v>
      </c>
      <c r="F24" s="6" t="str" cm="1">
        <f t="array" ref="F24">visible(("replace me"),K24)</f>
        <v>replace me</v>
      </c>
      <c r="G24" s="6" t="str" cm="1">
        <f t="array" ref="G24">visible(("replace me"),K24)</f>
        <v>replace me</v>
      </c>
      <c r="H24" s="6" t="str" cm="1">
        <f t="array" ref="H24">visible(("replace me"),K24)</f>
        <v>replace me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B24"/>
      <c r="BC24"/>
      <c r="BD24"/>
      <c r="BE24"/>
      <c r="BF24"/>
      <c r="BG24"/>
      <c r="BH24"/>
      <c r="BI24"/>
      <c r="BJ24"/>
    </row>
    <row r="25" spans="1:62" ht="15.6" x14ac:dyDescent="0.3">
      <c r="A25" s="40">
        <v>3</v>
      </c>
      <c r="B25" s="13" t="str" cm="1">
        <f t="array" ref="B25">visible(E17, K25)</f>
        <v>وحدة عادية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visible(("replace me"),K25)</f>
        <v>replace me</v>
      </c>
      <c r="F25" s="6" t="str" cm="1">
        <f t="array" ref="F25">visible(("replace me"),K25)</f>
        <v>replace me</v>
      </c>
      <c r="G25" s="6" t="str" cm="1">
        <f t="array" ref="G25">visible(("replace me"),K25)</f>
        <v>replace me</v>
      </c>
      <c r="H25" s="6" t="str" cm="1">
        <f t="array" ref="H25">visible(("replace me"),K25)</f>
        <v>replace me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40">
        <v>3</v>
      </c>
      <c r="B26" s="13" t="str" cm="1">
        <f t="array" ref="B26">visible(E17, K26)</f>
        <v>وحدة عادية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visible(("replace me"),K26)</f>
        <v>replace me</v>
      </c>
      <c r="F26" s="6" t="str" cm="1">
        <f t="array" ref="F26">visible(("replace me"),K26)</f>
        <v>replace me</v>
      </c>
      <c r="G26" s="6" t="str" cm="1">
        <f t="array" ref="G26">visible(("replace me"),K26)</f>
        <v>replace me</v>
      </c>
      <c r="H26" s="6" t="str" cm="1">
        <f t="array" ref="H26">visible(("replace me"),K26)</f>
        <v>replace me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40">
        <v>3</v>
      </c>
      <c r="B27" s="13" t="str" cm="1">
        <f t="array" ref="B27">visible(E17, K27)</f>
        <v>وحدة عادية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visible(("replace me"),K27)</f>
        <v>replace me</v>
      </c>
      <c r="F27" s="6" t="str" cm="1">
        <f t="array" ref="F27">visible(("replace me"),K27)</f>
        <v>replace me</v>
      </c>
      <c r="G27" s="6" t="str" cm="1">
        <f t="array" ref="G27">visible(("replace me"),K27)</f>
        <v>replace me</v>
      </c>
      <c r="H27" s="6" t="str" cm="1">
        <f t="array" ref="H27">visible(("replace me"),K27)</f>
        <v>replace me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B27"/>
      <c r="BC27"/>
      <c r="BD27"/>
      <c r="BE27"/>
      <c r="BF27"/>
      <c r="BG27"/>
      <c r="BH27"/>
      <c r="BI27"/>
      <c r="BJ27"/>
    </row>
    <row r="28" spans="1:62" ht="15.6" x14ac:dyDescent="0.3">
      <c r="A28" s="40">
        <v>0</v>
      </c>
      <c r="B28" s="13"/>
      <c r="K28" s="3"/>
      <c r="BB28"/>
      <c r="BC28"/>
      <c r="BD28"/>
      <c r="BE28"/>
      <c r="BF28"/>
      <c r="BG28"/>
      <c r="BH28"/>
      <c r="BI28"/>
      <c r="BJ28"/>
    </row>
    <row r="29" spans="1:62" ht="15.6" x14ac:dyDescent="0.3">
      <c r="A29" s="40">
        <v>4</v>
      </c>
      <c r="B29" s="13" t="str" cm="1">
        <f t="array" ref="B29">visible(E17, K29)</f>
        <v>وحدة عادية</v>
      </c>
      <c r="C29" s="9" cm="1">
        <f t="array" ref="C29">visible(5,K29)</f>
        <v>5</v>
      </c>
      <c r="D29" s="9" t="str" cm="1">
        <f t="array" aca="1" ref="D29" ca="1">visible((G18),K29)</f>
        <v>يوفيلاك</v>
      </c>
      <c r="E29" s="9" t="str" cm="1">
        <f t="array" ref="E29">visible(("replace me"),K29)</f>
        <v>replace me</v>
      </c>
      <c r="F29" s="9" t="str" cm="1">
        <f t="array" ref="F29">visible(("replace me"),K29)</f>
        <v>replace me</v>
      </c>
      <c r="G29" s="9" t="str" cm="1">
        <f t="array" ref="G29">visible(("replace me"),K29)</f>
        <v>replace me</v>
      </c>
      <c r="H29" s="9" t="str" cm="1">
        <f t="array" ref="H29">visible(("replace me"),K29)</f>
        <v>replace me</v>
      </c>
      <c r="I29" s="9">
        <f ca="1">visible(materialNum(D29), K29)</f>
        <v>6</v>
      </c>
      <c r="J29" s="9">
        <f ca="1">visible(engraving(I29), K29)</f>
        <v>2</v>
      </c>
      <c r="K29" s="9" t="b">
        <v>1</v>
      </c>
      <c r="BB29"/>
      <c r="BC29"/>
      <c r="BD29"/>
      <c r="BE29"/>
      <c r="BF29"/>
      <c r="BG29"/>
      <c r="BH29"/>
      <c r="BI29"/>
      <c r="BJ29"/>
    </row>
    <row r="30" spans="1:62" ht="15.6" x14ac:dyDescent="0.3">
      <c r="A30" s="40">
        <v>4</v>
      </c>
      <c r="B30" s="13" t="str" cm="1">
        <f t="array" ref="B30">visible(E17, K30)</f>
        <v>وحدة عادية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visible(("replace me"),K30)</f>
        <v>replace me</v>
      </c>
      <c r="F30" s="9" t="str" cm="1">
        <f t="array" ref="F30">visible(("replace me"),K30)</f>
        <v>replace me</v>
      </c>
      <c r="G30" s="9" t="str" cm="1">
        <f t="array" ref="G30">visible(("replace me"),K30)</f>
        <v>replace me</v>
      </c>
      <c r="H30" s="9" t="str" cm="1">
        <f t="array" ref="H30">visible(("replace me"),K30)</f>
        <v>replace me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ht="15.6" x14ac:dyDescent="0.3">
      <c r="A31" s="40">
        <v>0</v>
      </c>
      <c r="B31" s="13"/>
      <c r="K31" s="3"/>
      <c r="BB31"/>
      <c r="BC31"/>
      <c r="BD31"/>
      <c r="BE31"/>
      <c r="BF31"/>
      <c r="BG31"/>
      <c r="BH31"/>
      <c r="BI31"/>
      <c r="BJ31"/>
    </row>
    <row r="32" spans="1:62" ht="15.6" x14ac:dyDescent="0.3">
      <c r="A32" s="40">
        <v>5</v>
      </c>
      <c r="B32" s="13" t="str" cm="1">
        <f t="array" ref="B32">visible(E17, K32)</f>
        <v>وحدة عادية</v>
      </c>
      <c r="C32" s="17" cm="1">
        <f t="array" ref="C32">visible(7,K32)</f>
        <v>7</v>
      </c>
      <c r="D32" s="17" t="str" cm="1">
        <f t="array" aca="1" ref="D32" ca="1">visible((E18),K32)</f>
        <v>ظهر</v>
      </c>
      <c r="E32" s="17" t="str" cm="1">
        <f t="array" ref="E32">visible(("replace me"),K32)</f>
        <v>replace me</v>
      </c>
      <c r="F32" s="17" t="str" cm="1">
        <f t="array" ref="F32">visible(("replace me"),K32)</f>
        <v>replace me</v>
      </c>
      <c r="G32" s="17" t="str" cm="1">
        <f t="array" ref="G32">visible(("replace me"),K32)</f>
        <v>replace me</v>
      </c>
      <c r="H32" s="17" t="str" cm="1">
        <f t="array" ref="H32">visible(("replace me"),K32)</f>
        <v>replace me</v>
      </c>
      <c r="I32" s="17">
        <f ca="1">visible(materialNum(D32), K32)</f>
        <v>2</v>
      </c>
      <c r="J32" s="17">
        <f ca="1">visible(engraving(I32), K32)</f>
        <v>2</v>
      </c>
      <c r="K32" s="17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1">
        <v>255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1">
        <v>255</v>
      </c>
      <c r="BB34"/>
      <c r="BC34"/>
      <c r="BD34"/>
      <c r="BE34"/>
      <c r="BF34"/>
      <c r="BG34"/>
      <c r="BH34"/>
      <c r="BI34"/>
      <c r="BJ34"/>
    </row>
    <row r="35" spans="1:62" ht="37.200000000000003" customHeight="1" x14ac:dyDescent="0.3">
      <c r="A35" s="41" t="s">
        <v>93</v>
      </c>
      <c r="B35" s="13"/>
      <c r="C35" s="12">
        <v>1</v>
      </c>
      <c r="D35" s="20" t="s">
        <v>51</v>
      </c>
      <c r="E35" s="114" t="s">
        <v>111</v>
      </c>
      <c r="F35" s="115"/>
      <c r="G35" s="115"/>
      <c r="H35" s="116"/>
      <c r="I35" s="2" t="s">
        <v>26</v>
      </c>
      <c r="J35" s="2">
        <f>letterToNumber(A35)</f>
        <v>2</v>
      </c>
      <c r="K35" s="25">
        <f ca="1">_xlfn.SHEET("وحدات سفلية")</f>
        <v>4</v>
      </c>
      <c r="BB35"/>
      <c r="BC35"/>
      <c r="BD35"/>
      <c r="BE35"/>
      <c r="BF35"/>
      <c r="BG35"/>
      <c r="BH35"/>
      <c r="BI35"/>
      <c r="BJ35"/>
    </row>
    <row r="36" spans="1:62" ht="21" x14ac:dyDescent="0.3">
      <c r="A36" s="40">
        <v>1</v>
      </c>
      <c r="B36" s="13"/>
      <c r="C36" s="25" t="b" cm="1">
        <f t="array" aca="1" ref="C36" ca="1">defaultValue(D36,K35)</f>
        <v>1</v>
      </c>
      <c r="D36" s="68" t="s">
        <v>77</v>
      </c>
      <c r="E36" s="25" t="str" cm="1">
        <f t="array" aca="1" ref="E36" ca="1">defaultValue(F36,K35)</f>
        <v>ظهر</v>
      </c>
      <c r="F36" s="7" t="s">
        <v>50</v>
      </c>
      <c r="G36" s="25" t="str" cm="1">
        <f t="array" aca="1" ref="G36" ca="1">defaultValue(H36,K35)</f>
        <v>يوفيلاك</v>
      </c>
      <c r="H36" s="7" t="s">
        <v>28</v>
      </c>
      <c r="I36" s="25" t="str" cm="1">
        <f t="array" aca="1" ref="I36" ca="1">defaultValue(J36,K35)</f>
        <v>HPL</v>
      </c>
      <c r="J36" s="7" t="s">
        <v>27</v>
      </c>
      <c r="K36" s="23" t="s">
        <v>75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40">
        <v>1</v>
      </c>
      <c r="B37" s="13"/>
      <c r="C37" s="7" t="s">
        <v>12</v>
      </c>
      <c r="D37" s="7" t="s">
        <v>16</v>
      </c>
      <c r="E37" s="68"/>
      <c r="F37" s="7"/>
      <c r="G37" s="7" t="s">
        <v>14</v>
      </c>
      <c r="H37" s="7" t="s">
        <v>19</v>
      </c>
      <c r="I37" s="7" t="s">
        <v>3</v>
      </c>
      <c r="J37" s="7" t="s">
        <v>76</v>
      </c>
      <c r="K37" s="7"/>
      <c r="BB37"/>
      <c r="BC37"/>
      <c r="BD37"/>
      <c r="BE37"/>
      <c r="BF37"/>
      <c r="BG37"/>
      <c r="BH37"/>
      <c r="BI37"/>
      <c r="BJ37"/>
    </row>
    <row r="38" spans="1:62" ht="15.6" x14ac:dyDescent="0.3">
      <c r="A38" s="40">
        <v>1</v>
      </c>
      <c r="B38" s="13"/>
      <c r="C38" s="25">
        <v>1</v>
      </c>
      <c r="D38" s="25">
        <v>5</v>
      </c>
      <c r="E38" s="38"/>
      <c r="F38" s="7"/>
      <c r="G38" s="25" cm="1">
        <f t="array" aca="1" ref="G38" ca="1">defaultValue(G37,K35)</f>
        <v>3.5</v>
      </c>
      <c r="H38" s="8"/>
      <c r="I38" s="25" cm="1">
        <f t="array" aca="1" ref="I38" ca="1">defaultValue(I37,K35)</f>
        <v>78</v>
      </c>
      <c r="J38" s="25" cm="1">
        <f t="array" aca="1" ref="J38" ca="1">defaultValue(J37,K35)</f>
        <v>56</v>
      </c>
      <c r="K38" s="7"/>
      <c r="BB38"/>
      <c r="BC38"/>
      <c r="BD38"/>
      <c r="BE38"/>
      <c r="BF38"/>
      <c r="BG38"/>
      <c r="BH38"/>
      <c r="BI38"/>
      <c r="BJ38"/>
    </row>
    <row r="39" spans="1:62" ht="15.6" x14ac:dyDescent="0.3">
      <c r="A39" s="40">
        <v>0</v>
      </c>
      <c r="B39" s="13"/>
      <c r="C39" s="3"/>
      <c r="D39" s="3"/>
      <c r="E39" s="3"/>
      <c r="F39" s="3"/>
      <c r="G39" s="3"/>
      <c r="H39" s="3"/>
      <c r="I39" s="3"/>
      <c r="J39" s="3"/>
      <c r="K39" s="3"/>
      <c r="BB39"/>
      <c r="BC39"/>
      <c r="BD39"/>
      <c r="BE39"/>
      <c r="BF39"/>
      <c r="BG39"/>
      <c r="BH39"/>
      <c r="BI39"/>
      <c r="BJ39"/>
    </row>
    <row r="40" spans="1:62" ht="15.6" x14ac:dyDescent="0.3">
      <c r="A40" s="40">
        <v>2</v>
      </c>
      <c r="B40" s="13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29</v>
      </c>
      <c r="J40" s="6" t="s">
        <v>129</v>
      </c>
      <c r="K40" s="6" t="s">
        <v>113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40">
        <v>0</v>
      </c>
      <c r="B41" s="13"/>
      <c r="K41" s="3"/>
      <c r="BB41"/>
      <c r="BC41"/>
      <c r="BD41"/>
      <c r="BE41"/>
      <c r="BF41"/>
      <c r="BG41"/>
      <c r="BH41"/>
      <c r="BI41"/>
      <c r="BJ41"/>
    </row>
    <row r="42" spans="1:62" ht="15.6" x14ac:dyDescent="0.3">
      <c r="A42" s="40">
        <v>3</v>
      </c>
      <c r="B42" s="13" t="str" cm="1">
        <f t="array" ref="B42">visible(E35, K42)</f>
        <v>وحدة سفلية</v>
      </c>
      <c r="C42" s="6" cm="1">
        <f t="array" ref="C42">visible((1),K42)</f>
        <v>1</v>
      </c>
      <c r="D42" s="6" t="str" cm="1">
        <f t="array" aca="1" ref="D42" ca="1">visible((I36),K42)</f>
        <v>HPL</v>
      </c>
      <c r="E42" s="6" t="str" cm="1">
        <f t="array" ref="E42">visible(("قاعدة"),K42)</f>
        <v>قاعدة</v>
      </c>
      <c r="F42" s="6" cm="1">
        <f t="array" ref="F42">visible((H38 -3.6),K42)</f>
        <v>-3.6</v>
      </c>
      <c r="G42" s="6" cm="1">
        <f t="array" aca="1" ref="G42" ca="1">visible((J38),K42)</f>
        <v>56</v>
      </c>
      <c r="H42" s="6" cm="1">
        <f t="array" ref="H42">visible((C35),K42)</f>
        <v>1</v>
      </c>
      <c r="I42" s="6">
        <f ca="1">visible(materialNum(D42), K42)</f>
        <v>2</v>
      </c>
      <c r="J42" s="6">
        <f ca="1">visible(engraving(I42), K42)</f>
        <v>2</v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40">
        <v>3</v>
      </c>
      <c r="B43" s="13" t="str" cm="1">
        <f t="array" ref="B43">visible(E35, K43)</f>
        <v>وحدة سفلية</v>
      </c>
      <c r="C43" s="6" cm="1">
        <f t="array" ref="C43">visible(2,K43)</f>
        <v>2</v>
      </c>
      <c r="D43" s="6" t="str" cm="1">
        <f t="array" aca="1" ref="D43" ca="1">visible((I36),K43)</f>
        <v>HPL</v>
      </c>
      <c r="E43" s="6" t="str" cm="1">
        <f t="array" ref="E43">visible(("أجناب"),K43)</f>
        <v>أجناب</v>
      </c>
      <c r="F43" s="6" cm="1">
        <f t="array" aca="1" ref="F43" ca="1">visible((I38),K43)</f>
        <v>78</v>
      </c>
      <c r="G43" s="6" cm="1">
        <f t="array" aca="1" ref="G43" ca="1">visible((J38),K43)</f>
        <v>56</v>
      </c>
      <c r="H43" s="6" cm="1">
        <f t="array" ref="H43">visible((2 *C35),K43)</f>
        <v>2</v>
      </c>
      <c r="I43" s="6">
        <f ca="1">visible(materialNum(D43), K43)</f>
        <v>2</v>
      </c>
      <c r="J43" s="6">
        <f ca="1">visible(engraving(I43), K43)</f>
        <v>2</v>
      </c>
      <c r="K43" s="6" t="b">
        <v>1</v>
      </c>
      <c r="BB43"/>
      <c r="BC43"/>
      <c r="BD43"/>
      <c r="BE43"/>
      <c r="BF43"/>
      <c r="BG43"/>
      <c r="BH43"/>
      <c r="BI43"/>
      <c r="BJ43"/>
    </row>
    <row r="44" spans="1:62" ht="15.6" x14ac:dyDescent="0.3">
      <c r="A44" s="40">
        <v>3</v>
      </c>
      <c r="B44" s="13" t="str" cm="1">
        <f t="array" ref="B44">visible(E35, K44)</f>
        <v>وحدة سفلية</v>
      </c>
      <c r="C44" s="6" cm="1">
        <f t="array" ref="C44">visible(3,K44)</f>
        <v>3</v>
      </c>
      <c r="D44" s="6" t="str" cm="1">
        <f t="array" aca="1" ref="D44" ca="1">visible((I36),K44)</f>
        <v>HPL</v>
      </c>
      <c r="E44" s="6" t="str" cm="1">
        <f t="array" ref="E44">visible(("مرايا علوية 1"),K44)</f>
        <v>مرايا علوية 1</v>
      </c>
      <c r="F44" s="6" cm="1">
        <f t="array" ref="F44">visible((H38-3.6),K44)</f>
        <v>-3.6</v>
      </c>
      <c r="G44" s="6" cm="1">
        <f t="array" ref="G44">visible((10),K44)</f>
        <v>10</v>
      </c>
      <c r="H44" s="6" cm="1">
        <f t="array" ref="H44">visible((C35),K44)</f>
        <v>1</v>
      </c>
      <c r="I44" s="6">
        <f ca="1">visible(materialNum(D44), K44)</f>
        <v>2</v>
      </c>
      <c r="J44" s="6">
        <f ca="1">visible(engraving(I44), K44)</f>
        <v>2</v>
      </c>
      <c r="K44" s="6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40">
        <v>3</v>
      </c>
      <c r="B45" s="13" t="str" cm="1">
        <f t="array" ref="B45">visible(E35, K45)</f>
        <v>وحدة سفلية</v>
      </c>
      <c r="C45" s="6" cm="1">
        <f t="array" ref="C45">visible(4,K45)</f>
        <v>4</v>
      </c>
      <c r="D45" s="6" t="str" cm="1">
        <f t="array" aca="1" ref="D45" ca="1">visible((I36),K45)</f>
        <v>HPL</v>
      </c>
      <c r="E45" s="6" t="str" cm="1">
        <f t="array" ref="E45">visible(("مرايا علوية 2"),K45)</f>
        <v>مرايا علوية 2</v>
      </c>
      <c r="F45" s="6" cm="1">
        <f t="array" ref="F45">visible((H38-3.6),K45)</f>
        <v>-3.6</v>
      </c>
      <c r="G45" s="6" cm="1">
        <f t="array" ref="G45">visible((7),K45)</f>
        <v>7</v>
      </c>
      <c r="H45" s="6" cm="1">
        <f t="array" ref="H45">visible((C35),K45)</f>
        <v>1</v>
      </c>
      <c r="I45" s="6">
        <f ca="1">visible(materialNum(D45), K45)</f>
        <v>2</v>
      </c>
      <c r="J45" s="6">
        <f ca="1">visible(engraving(I45), K45)</f>
        <v>2</v>
      </c>
      <c r="K45" s="6" t="b">
        <v>1</v>
      </c>
      <c r="BB45"/>
      <c r="BC45"/>
      <c r="BD45"/>
      <c r="BE45"/>
      <c r="BF45"/>
      <c r="BG45"/>
      <c r="BH45"/>
      <c r="BI45"/>
      <c r="BJ45"/>
    </row>
    <row r="46" spans="1:62" ht="15.6" x14ac:dyDescent="0.3">
      <c r="A46" s="40">
        <v>3</v>
      </c>
      <c r="B46" s="13" t="str" cm="1">
        <f t="array" ref="B46">visible(E35, K46)</f>
        <v>وحدة سفلية</v>
      </c>
      <c r="C46" s="6" cm="1">
        <f t="array" ref="C46">visible(5,K46)</f>
        <v>5</v>
      </c>
      <c r="D46" s="6" t="str" cm="1">
        <f t="array" aca="1" ref="D46" ca="1">visible((I36),K46)</f>
        <v>HPL</v>
      </c>
      <c r="E46" s="6" t="str" cm="1">
        <f t="array" ref="E46">visible(("رف"),K46)</f>
        <v>رف</v>
      </c>
      <c r="F46" s="6" cm="1">
        <f t="array" ref="F46">visible((H38-3.8),K46)</f>
        <v>-3.8</v>
      </c>
      <c r="G46" s="6" cm="1">
        <f t="array" aca="1" ref="G46" ca="1">visible((J38-6),K46)</f>
        <v>50</v>
      </c>
      <c r="H46" s="6" cm="1">
        <f t="array" ref="H46">visible((D38*C35),K46)</f>
        <v>5</v>
      </c>
      <c r="I46" s="6">
        <f ca="1">visible(materialNum(D46), K46)</f>
        <v>2</v>
      </c>
      <c r="J46" s="6">
        <f ca="1">visible(engraving(I46), K46)</f>
        <v>2</v>
      </c>
      <c r="K46" s="6" t="b"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40">
        <v>0</v>
      </c>
      <c r="B47" s="13"/>
      <c r="C47" s="3"/>
      <c r="D47" s="3"/>
      <c r="E47" s="3"/>
      <c r="F47" s="3"/>
      <c r="G47" s="3"/>
      <c r="H47" s="3"/>
      <c r="I47" s="3"/>
      <c r="J47" s="3"/>
      <c r="K47" s="3"/>
      <c r="BB47"/>
      <c r="BC47"/>
      <c r="BD47"/>
      <c r="BE47"/>
      <c r="BF47"/>
      <c r="BG47"/>
      <c r="BH47"/>
      <c r="BI47"/>
      <c r="BJ47"/>
    </row>
    <row r="48" spans="1:62" ht="15.6" x14ac:dyDescent="0.3">
      <c r="A48" s="40">
        <v>4</v>
      </c>
      <c r="B48" s="13" t="str" cm="1">
        <f t="array" ref="B48">visible(E35, K48)</f>
        <v>وحدة سفلية</v>
      </c>
      <c r="C48" s="9" cm="1">
        <f t="array" ref="C48">visible(6,K48)</f>
        <v>6</v>
      </c>
      <c r="D48" s="9" t="str" cm="1">
        <f t="array" aca="1" ref="D48" ca="1">visible((G36),K48)</f>
        <v>يوفيلاك</v>
      </c>
      <c r="E48" s="9" t="str" cm="1">
        <f t="array" ref="E48">visible(("دلف"),K48)</f>
        <v>دلف</v>
      </c>
      <c r="F48" s="9" cm="1">
        <f t="array" aca="1" ref="F48" ca="1">visible((I38-0.5-G38),K48)</f>
        <v>74</v>
      </c>
      <c r="G48" s="9" cm="1">
        <f t="array" ref="G48">visible(((H38/C38)-0.5),K48)</f>
        <v>-0.5</v>
      </c>
      <c r="H48" s="9" cm="1">
        <f t="array" ref="H48">visible((C38*C35),K48)</f>
        <v>1</v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ht="15.6" x14ac:dyDescent="0.3">
      <c r="A49" s="40">
        <v>0</v>
      </c>
      <c r="B49" s="13"/>
      <c r="K49" s="3"/>
      <c r="BB49"/>
      <c r="BC49"/>
      <c r="BD49"/>
      <c r="BE49"/>
      <c r="BF49"/>
      <c r="BG49"/>
      <c r="BH49"/>
      <c r="BI49"/>
      <c r="BJ49"/>
    </row>
    <row r="50" spans="1:62" ht="15.6" x14ac:dyDescent="0.3">
      <c r="A50" s="40">
        <v>5</v>
      </c>
      <c r="B50" s="13" t="str" cm="1">
        <f t="array" aca="1" ref="B50" ca="1">visible(E35, K50)</f>
        <v>وحدة سفلية</v>
      </c>
      <c r="C50" s="17" cm="1">
        <f t="array" aca="1" ref="C50" ca="1">visible(7,K50)</f>
        <v>7</v>
      </c>
      <c r="D50" s="17" t="str" cm="1">
        <f t="array" aca="1" ref="D50" ca="1">visible((E36),K50)</f>
        <v>ظهر</v>
      </c>
      <c r="E50" s="17" t="str" cm="1">
        <f t="array" aca="1" ref="E50" ca="1">visible(("ظهر"),K50)</f>
        <v>ظهر</v>
      </c>
      <c r="F50" s="17" cm="1">
        <f t="array" aca="1" ref="F50" ca="1">visible((I38-2),K50)</f>
        <v>76</v>
      </c>
      <c r="G50" s="17" cm="1">
        <f t="array" aca="1" ref="G50" ca="1">visible((H38-2),K50)</f>
        <v>-2</v>
      </c>
      <c r="H50" s="17" cm="1">
        <f t="array" aca="1" ref="H50" ca="1">visible((C35),K50)</f>
        <v>1</v>
      </c>
      <c r="I50" s="17">
        <f ca="1">visible(materialNum(D50), K50)</f>
        <v>2</v>
      </c>
      <c r="J50" s="17">
        <f ca="1">visible(engraving(I50), K50)</f>
        <v>2</v>
      </c>
      <c r="K50" s="17" t="b">
        <f ca="1">C36</f>
        <v>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40">
        <v>255</v>
      </c>
      <c r="B51" s="13"/>
      <c r="C51"/>
      <c r="D51"/>
      <c r="E51"/>
      <c r="F51"/>
      <c r="G51"/>
      <c r="H51"/>
      <c r="I51"/>
      <c r="J51"/>
      <c r="K51"/>
      <c r="BB51"/>
      <c r="BC51"/>
      <c r="BD51"/>
      <c r="BE51"/>
      <c r="BF51"/>
      <c r="BG51"/>
      <c r="BH51"/>
      <c r="BI51"/>
      <c r="BJ51"/>
    </row>
    <row r="52" spans="1:62" ht="15.6" x14ac:dyDescent="0.3">
      <c r="A52" s="40">
        <v>255</v>
      </c>
      <c r="B52" s="13"/>
      <c r="C52"/>
      <c r="D52"/>
      <c r="E52"/>
      <c r="F52"/>
      <c r="G52"/>
      <c r="H52"/>
      <c r="I52"/>
      <c r="J52"/>
      <c r="K52"/>
      <c r="BB52"/>
      <c r="BC52"/>
      <c r="BD52"/>
      <c r="BE52"/>
      <c r="BF52"/>
      <c r="BG52"/>
      <c r="BH52"/>
      <c r="BI52"/>
      <c r="BJ52"/>
    </row>
    <row r="53" spans="1:62" ht="18" x14ac:dyDescent="0.3">
      <c r="A53" s="41" t="s">
        <v>89</v>
      </c>
      <c r="B53" s="13"/>
      <c r="C53" s="12">
        <v>1</v>
      </c>
      <c r="D53" s="20" t="s">
        <v>51</v>
      </c>
      <c r="E53" s="114" t="s">
        <v>136</v>
      </c>
      <c r="F53" s="115"/>
      <c r="G53" s="115"/>
      <c r="H53" s="116"/>
      <c r="I53" s="2" t="s">
        <v>26</v>
      </c>
      <c r="J53" s="2">
        <f>letterToNumber(A53)</f>
        <v>3</v>
      </c>
      <c r="K53" s="25">
        <f ca="1">_xlfn.SHEET("نماذج")</f>
        <v>2</v>
      </c>
    </row>
    <row r="54" spans="1:62" ht="21" x14ac:dyDescent="0.3">
      <c r="A54" s="40">
        <v>1</v>
      </c>
      <c r="B54" s="13"/>
      <c r="C54" s="25" t="b" cm="1">
        <f t="array" aca="1" ref="C54" ca="1">defaultValue(D54,K53)</f>
        <v>1</v>
      </c>
      <c r="D54" s="68" t="s">
        <v>77</v>
      </c>
      <c r="E54" s="25" t="str" cm="1">
        <f t="array" aca="1" ref="E54" ca="1">defaultValue(F54,K53)</f>
        <v>ظهر</v>
      </c>
      <c r="F54" s="7" t="s">
        <v>50</v>
      </c>
      <c r="G54" s="25" t="str" cm="1">
        <f t="array" aca="1" ref="G54" ca="1">defaultValue(H54,K53)</f>
        <v>يوفيلاك</v>
      </c>
      <c r="H54" s="7" t="s">
        <v>28</v>
      </c>
      <c r="I54" s="25" t="str" cm="1">
        <f t="array" aca="1" ref="I54" ca="1">defaultValue(J54,K53)</f>
        <v>HPL</v>
      </c>
      <c r="J54" s="7" t="s">
        <v>27</v>
      </c>
      <c r="K54" s="23" t="s">
        <v>75</v>
      </c>
    </row>
    <row r="55" spans="1:62" ht="15.6" x14ac:dyDescent="0.3">
      <c r="A55" s="40">
        <v>1</v>
      </c>
      <c r="B55" s="13"/>
      <c r="C55" s="7" t="s">
        <v>12</v>
      </c>
      <c r="D55" s="7" t="s">
        <v>16</v>
      </c>
      <c r="E55" s="68"/>
      <c r="F55" s="7"/>
      <c r="G55" s="7" t="s">
        <v>14</v>
      </c>
      <c r="H55" s="7" t="s">
        <v>19</v>
      </c>
      <c r="I55" s="7" t="s">
        <v>3</v>
      </c>
      <c r="J55" s="7" t="s">
        <v>76</v>
      </c>
      <c r="K55" s="7"/>
    </row>
    <row r="56" spans="1:62" ht="15.6" x14ac:dyDescent="0.3">
      <c r="A56" s="40">
        <v>1</v>
      </c>
      <c r="B56" s="13"/>
      <c r="C56" s="25">
        <v>1</v>
      </c>
      <c r="D56" s="25">
        <v>5</v>
      </c>
      <c r="E56" s="38"/>
      <c r="F56" s="7"/>
      <c r="G56" s="25" cm="1">
        <f t="array" aca="1" ref="G56" ca="1">defaultValue(G55,K53)</f>
        <v>3.5</v>
      </c>
      <c r="H56" s="8"/>
      <c r="I56" s="25">
        <v>50</v>
      </c>
      <c r="J56" s="25">
        <v>80</v>
      </c>
      <c r="K56" s="7"/>
    </row>
    <row r="57" spans="1:62" ht="15.6" x14ac:dyDescent="0.3">
      <c r="A57" s="40">
        <v>0</v>
      </c>
      <c r="B57" s="13"/>
      <c r="C57" s="3"/>
      <c r="D57" s="3"/>
      <c r="E57" s="3"/>
      <c r="F57" s="3"/>
      <c r="G57" s="3"/>
      <c r="H57" s="3"/>
      <c r="I57" s="3"/>
      <c r="J57" s="3"/>
      <c r="K57" s="3"/>
    </row>
    <row r="58" spans="1:62" ht="15.6" x14ac:dyDescent="0.3">
      <c r="A58" s="40">
        <v>2</v>
      </c>
      <c r="B58" s="13"/>
      <c r="C58" s="6" t="s">
        <v>4</v>
      </c>
      <c r="D58" s="6" t="s">
        <v>9</v>
      </c>
      <c r="E58" s="6" t="s">
        <v>5</v>
      </c>
      <c r="F58" s="6" t="s">
        <v>7</v>
      </c>
      <c r="G58" s="6" t="s">
        <v>1</v>
      </c>
      <c r="H58" s="6" t="s">
        <v>6</v>
      </c>
      <c r="I58" s="6" t="s">
        <v>29</v>
      </c>
      <c r="J58" s="6" t="s">
        <v>129</v>
      </c>
      <c r="K58" s="6" t="s">
        <v>113</v>
      </c>
    </row>
    <row r="59" spans="1:62" ht="15.6" x14ac:dyDescent="0.3">
      <c r="A59" s="40">
        <v>0</v>
      </c>
      <c r="B59" s="13"/>
      <c r="K59" s="3"/>
    </row>
    <row r="60" spans="1:62" ht="15.6" x14ac:dyDescent="0.3">
      <c r="A60" s="40">
        <v>3</v>
      </c>
      <c r="B60" s="13" t="str" cm="1">
        <f t="array" ref="B60">visible(E53, K60)</f>
        <v>وحدة تجربة</v>
      </c>
      <c r="C60" s="6">
        <f>visible(1,K60)</f>
        <v>1</v>
      </c>
      <c r="D60" s="6" t="str" cm="1">
        <f t="array" aca="1" ref="D60" ca="1">visible((I54),K60)</f>
        <v>HPL</v>
      </c>
      <c r="E60" s="6" t="str" cm="1">
        <f t="array" ref="E60">visible(("قاعدة"),K60)</f>
        <v>قاعدة</v>
      </c>
      <c r="F60" s="6" cm="1">
        <f t="array" ref="F60">visible((H56 -3.6),K60)</f>
        <v>-3.6</v>
      </c>
      <c r="G60" s="6" cm="1">
        <f t="array" ref="G60">visible((J56),K60)</f>
        <v>80</v>
      </c>
      <c r="H60" s="6" cm="1">
        <f t="array" ref="H60">visible((C53),K60)</f>
        <v>1</v>
      </c>
      <c r="I60" s="6">
        <f ca="1">visible(materialNum(D60), K60)</f>
        <v>2</v>
      </c>
      <c r="J60" s="6">
        <f ca="1">visible(engraving(I60), K60)</f>
        <v>2</v>
      </c>
      <c r="K60" s="6" t="b">
        <v>1</v>
      </c>
    </row>
    <row r="61" spans="1:62" ht="15.6" x14ac:dyDescent="0.3">
      <c r="A61" s="40">
        <v>3</v>
      </c>
      <c r="B61" s="13" t="str" cm="1">
        <f t="array" ref="B61">visible(E53, K61)</f>
        <v>وحدة تجربة</v>
      </c>
      <c r="C61" s="6">
        <f>visible(2,K61)</f>
        <v>2</v>
      </c>
      <c r="D61" s="6" t="str" cm="1">
        <f t="array" aca="1" ref="D61" ca="1">visible((I54),K61)</f>
        <v>HPL</v>
      </c>
      <c r="E61" s="6" t="str" cm="1">
        <f t="array" ref="E61">visible(("أجناب"),K61)</f>
        <v>أجناب</v>
      </c>
      <c r="F61" s="6" cm="1">
        <f t="array" ref="F61">visible((I56),K61)</f>
        <v>50</v>
      </c>
      <c r="G61" s="6" cm="1">
        <f t="array" ref="G61">visible((J56),K61)</f>
        <v>80</v>
      </c>
      <c r="H61" s="6" cm="1">
        <f t="array" ref="H61">visible((2 *C53),K61)</f>
        <v>2</v>
      </c>
      <c r="I61" s="6">
        <f ca="1">visible(materialNum(D61), K61)</f>
        <v>2</v>
      </c>
      <c r="J61" s="6">
        <f ca="1">visible(engraving(I61), K61)</f>
        <v>2</v>
      </c>
      <c r="K61" s="6" t="b">
        <v>1</v>
      </c>
    </row>
    <row r="62" spans="1:62" ht="15.6" x14ac:dyDescent="0.3">
      <c r="A62" s="40">
        <v>3</v>
      </c>
      <c r="B62" s="13" t="str" cm="1">
        <f t="array" ref="B62">visible(E53, K62)</f>
        <v>وحدة تجربة</v>
      </c>
      <c r="C62" s="6">
        <f>visible(3,K62)</f>
        <v>3</v>
      </c>
      <c r="D62" s="6" t="str" cm="1">
        <f t="array" aca="1" ref="D62" ca="1">visible((I54),K62)</f>
        <v>HPL</v>
      </c>
      <c r="E62" s="6" t="str" cm="1">
        <f t="array" ref="E62">visible(("مرايا علوية 1"),K62)</f>
        <v>مرايا علوية 1</v>
      </c>
      <c r="F62" s="6" cm="1">
        <f t="array" ref="F62">visible((H56-3.6),K62)</f>
        <v>-3.6</v>
      </c>
      <c r="G62" s="6" cm="1">
        <f t="array" ref="G62">visible((10),K62)</f>
        <v>10</v>
      </c>
      <c r="H62" s="6" cm="1">
        <f t="array" ref="H62">visible((C53),K62)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</row>
    <row r="63" spans="1:62" ht="15.6" x14ac:dyDescent="0.3">
      <c r="A63" s="40">
        <v>3</v>
      </c>
      <c r="B63" s="13" t="str" cm="1">
        <f t="array" ref="B63">visible(E53, K63)</f>
        <v>وحدة تجربة</v>
      </c>
      <c r="C63" s="6">
        <f>visible(4,K63)</f>
        <v>4</v>
      </c>
      <c r="D63" s="6" t="str" cm="1">
        <f t="array" aca="1" ref="D63" ca="1">visible((I54),K63)</f>
        <v>HPL</v>
      </c>
      <c r="E63" s="6" t="str" cm="1">
        <f t="array" ref="E63">visible(("مرايا علوية 2"),K63)</f>
        <v>مرايا علوية 2</v>
      </c>
      <c r="F63" s="6" cm="1">
        <f t="array" ref="F63">visible((H56-3.6),K63)</f>
        <v>-3.6</v>
      </c>
      <c r="G63" s="6" cm="1">
        <f t="array" ref="G63">visible((7),K63)</f>
        <v>7</v>
      </c>
      <c r="H63" s="6" cm="1">
        <f t="array" ref="H63">visible((C53),K63)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</row>
    <row r="64" spans="1:62" ht="15.6" x14ac:dyDescent="0.3">
      <c r="A64" s="40">
        <v>3</v>
      </c>
      <c r="B64" s="13" t="str" cm="1">
        <f t="array" ref="B64">visible(E53, K64)</f>
        <v>وحدة تجربة</v>
      </c>
      <c r="C64" s="6">
        <f>visible(5,K64)</f>
        <v>5</v>
      </c>
      <c r="D64" s="6" t="str" cm="1">
        <f t="array" aca="1" ref="D64" ca="1">visible((I54),K64)</f>
        <v>HPL</v>
      </c>
      <c r="E64" s="6" t="str" cm="1">
        <f t="array" ref="E64">visible(("رف"),K64)</f>
        <v>رف</v>
      </c>
      <c r="F64" s="6" cm="1">
        <f t="array" ref="F64">visible((H56-3.8),K64)</f>
        <v>-3.8</v>
      </c>
      <c r="G64" s="6" cm="1">
        <f t="array" ref="G64">visible((J56-6),K64)</f>
        <v>74</v>
      </c>
      <c r="H64" s="6" cm="1">
        <f t="array" ref="H64">visible((D56*C53),K64)</f>
        <v>5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</row>
    <row r="65" spans="1:11" ht="15.6" x14ac:dyDescent="0.3">
      <c r="A65" s="40">
        <v>0</v>
      </c>
      <c r="B65" s="13"/>
      <c r="C65" s="3"/>
      <c r="D65" s="3"/>
      <c r="E65" s="3"/>
      <c r="F65" s="3"/>
      <c r="G65" s="3"/>
      <c r="H65" s="3"/>
      <c r="I65" s="3"/>
      <c r="J65" s="3"/>
      <c r="K65" s="3"/>
    </row>
    <row r="66" spans="1:11" ht="15.6" x14ac:dyDescent="0.3">
      <c r="A66" s="40">
        <v>4</v>
      </c>
      <c r="B66" s="13" t="str" cm="1">
        <f t="array" ref="B66">visible(E53, K66)</f>
        <v>وحدة تجربة</v>
      </c>
      <c r="C66" s="9">
        <f>visible(6,K66)</f>
        <v>6</v>
      </c>
      <c r="D66" s="9" t="str" cm="1">
        <f t="array" aca="1" ref="D66" ca="1">visible((G54),K66)</f>
        <v>يوفيلاك</v>
      </c>
      <c r="E66" s="9" t="str" cm="1">
        <f t="array" ref="E66">visible(("دلف"),K66)</f>
        <v>دلف</v>
      </c>
      <c r="F66" s="9" cm="1">
        <f t="array" aca="1" ref="F66" ca="1">visible((I56-0.5-G56),K66)</f>
        <v>46</v>
      </c>
      <c r="G66" s="9" cm="1">
        <f t="array" ref="G66">visible(((H56/C56)-0.5),K66)</f>
        <v>-0.5</v>
      </c>
      <c r="H66" s="9" cm="1">
        <f t="array" ref="H66">visible((C56*C53),K66)</f>
        <v>1</v>
      </c>
      <c r="I66" s="9">
        <f ca="1">visible(materialNum(D66), K66)</f>
        <v>6</v>
      </c>
      <c r="J66" s="9">
        <f ca="1">visible(engraving(I66), K66)</f>
        <v>2</v>
      </c>
      <c r="K66" s="9" t="b">
        <v>1</v>
      </c>
    </row>
    <row r="67" spans="1:11" ht="15.6" x14ac:dyDescent="0.3">
      <c r="A67" s="40">
        <v>0</v>
      </c>
      <c r="B67" s="13"/>
      <c r="K67" s="3"/>
    </row>
    <row r="68" spans="1:11" ht="15.6" x14ac:dyDescent="0.3">
      <c r="A68" s="40">
        <v>5</v>
      </c>
      <c r="B68" s="13" t="str" cm="1">
        <f t="array" aca="1" ref="B68" ca="1">visible(E53, K68)</f>
        <v>وحدة تجربة</v>
      </c>
      <c r="C68" s="17">
        <f ca="1">visible(7,K68)</f>
        <v>7</v>
      </c>
      <c r="D68" s="17" t="str" cm="1">
        <f t="array" aca="1" ref="D68" ca="1">visible((E54),K68)</f>
        <v>ظهر</v>
      </c>
      <c r="E68" s="17" t="str" cm="1">
        <f t="array" aca="1" ref="E68" ca="1">visible(("ظهر"),K68)</f>
        <v>ظهر</v>
      </c>
      <c r="F68" s="17" cm="1">
        <f t="array" aca="1" ref="F68" ca="1">visible((I56-2),K68)</f>
        <v>48</v>
      </c>
      <c r="G68" s="17" cm="1">
        <f t="array" aca="1" ref="G68" ca="1">visible((H56-2),K68)</f>
        <v>-2</v>
      </c>
      <c r="H68" s="17" cm="1">
        <f t="array" aca="1" ref="H68" ca="1">visible((C53),K68)</f>
        <v>1</v>
      </c>
      <c r="I68" s="17">
        <f ca="1">visible(materialNum(D68), K68)</f>
        <v>2</v>
      </c>
      <c r="J68" s="17">
        <f ca="1">visible(engraving(I68), K68)</f>
        <v>2</v>
      </c>
      <c r="K68" s="17" t="b">
        <f ca="1">C54</f>
        <v>1</v>
      </c>
    </row>
    <row r="69" spans="1:11" ht="15.6" x14ac:dyDescent="0.3">
      <c r="A69" s="40">
        <v>255</v>
      </c>
      <c r="B69" s="13"/>
      <c r="C69"/>
      <c r="D69"/>
      <c r="E69"/>
      <c r="F69"/>
      <c r="G69"/>
      <c r="H69"/>
      <c r="I69"/>
      <c r="J69"/>
      <c r="K69"/>
    </row>
    <row r="70" spans="1:11" ht="15.6" x14ac:dyDescent="0.3">
      <c r="A70" s="40">
        <v>255</v>
      </c>
      <c r="B70" s="13"/>
      <c r="C70"/>
      <c r="D70"/>
      <c r="E70"/>
      <c r="F70"/>
      <c r="G70"/>
      <c r="H70"/>
      <c r="I70"/>
      <c r="J70"/>
      <c r="K70"/>
    </row>
  </sheetData>
  <mergeCells count="6">
    <mergeCell ref="E53:H53"/>
    <mergeCell ref="D4:O4"/>
    <mergeCell ref="D8:O8"/>
    <mergeCell ref="D2:K2"/>
    <mergeCell ref="E17:H17"/>
    <mergeCell ref="E35:H35"/>
  </mergeCells>
  <conditionalFormatting sqref="B12">
    <cfRule type="cellIs" dxfId="61" priority="2" operator="equal">
      <formula>"مغلق"</formula>
    </cfRule>
    <cfRule type="cellIs" dxfId="60" priority="1" operator="equal">
      <formula>"مفعل"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4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586740</xdr:colOff>
                    <xdr:row>10</xdr:row>
                    <xdr:rowOff>53340</xdr:rowOff>
                  </from>
                  <to>
                    <xdr:col>13</xdr:col>
                    <xdr:colOff>434340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toggleOutputVisibility">
                <anchor moveWithCells="1" sizeWithCells="1">
                  <from>
                    <xdr:col>7</xdr:col>
                    <xdr:colOff>906780</xdr:colOff>
                    <xdr:row>10</xdr:row>
                    <xdr:rowOff>68580</xdr:rowOff>
                  </from>
                  <to>
                    <xdr:col>10</xdr:col>
                    <xdr:colOff>464820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Button 6">
              <controlPr defaultSize="0" print="0" autoFill="0" autoPict="0" macro="[0]!insertBlock">
                <anchor moveWithCells="1" sizeWithCells="1">
                  <from>
                    <xdr:col>2</xdr:col>
                    <xdr:colOff>731520</xdr:colOff>
                    <xdr:row>10</xdr:row>
                    <xdr:rowOff>68580</xdr:rowOff>
                  </from>
                  <to>
                    <xdr:col>5</xdr:col>
                    <xdr:colOff>45720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7" name="Button 7">
              <controlPr defaultSize="0" print="0" autoFill="0" autoPict="0" macro="[0]!deleteBlock">
                <anchor moveWithCells="1" sizeWithCells="1">
                  <from>
                    <xdr:col>5</xdr:col>
                    <xdr:colOff>190500</xdr:colOff>
                    <xdr:row>10</xdr:row>
                    <xdr:rowOff>68580</xdr:rowOff>
                  </from>
                  <to>
                    <xdr:col>7</xdr:col>
                    <xdr:colOff>739140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8" name="Button 8">
              <controlPr defaultSize="0" print="0" autoFill="0" autoPict="0" macro="[0]!toggleCalculations">
                <anchor moveWithCells="1" sizeWithCells="1">
                  <from>
                    <xdr:col>13</xdr:col>
                    <xdr:colOff>541020</xdr:colOff>
                    <xdr:row>10</xdr:row>
                    <xdr:rowOff>53340</xdr:rowOff>
                  </from>
                  <to>
                    <xdr:col>18</xdr:col>
                    <xdr:colOff>53340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9" name="Button 9">
              <controlPr defaultSize="0" print="0" autoFill="0" autoPict="0" macro="[0]!calc">
                <anchor moveWithCells="1" sizeWithCells="1">
                  <from>
                    <xdr:col>18</xdr:col>
                    <xdr:colOff>228600</xdr:colOff>
                    <xdr:row>10</xdr:row>
                    <xdr:rowOff>53340</xdr:rowOff>
                  </from>
                  <to>
                    <xdr:col>20</xdr:col>
                    <xdr:colOff>121920</xdr:colOff>
                    <xdr:row>11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K35"/>
  <sheetViews>
    <sheetView topLeftCell="B1" zoomScale="70" zoomScaleNormal="70" workbookViewId="0">
      <pane ySplit="12" topLeftCell="A13" activePane="bottomLeft" state="frozen"/>
      <selection pane="bottomLeft" activeCell="L12" sqref="L12"/>
    </sheetView>
  </sheetViews>
  <sheetFormatPr defaultRowHeight="14.4" x14ac:dyDescent="0.3"/>
  <cols>
    <col min="1" max="1" width="10.77734375" style="69" hidden="1" customWidth="1"/>
    <col min="2" max="2" width="34.44140625" style="36" customWidth="1"/>
    <col min="3" max="3" width="8.88671875" style="36" customWidth="1"/>
    <col min="4" max="4" width="11.6640625" style="36" customWidth="1"/>
    <col min="5" max="5" width="27.6640625" style="36" customWidth="1"/>
    <col min="6" max="6" width="8.88671875" style="36" customWidth="1"/>
    <col min="7" max="7" width="12.5546875" style="36" customWidth="1"/>
    <col min="8" max="8" width="10.109375" style="36" customWidth="1"/>
    <col min="9" max="9" width="13.109375" style="36" customWidth="1"/>
    <col min="10" max="10" width="11.21875" style="36" customWidth="1"/>
    <col min="11" max="11" width="11.109375" style="36" customWidth="1"/>
    <col min="12" max="12" width="12.33203125" style="36" customWidth="1"/>
    <col min="13" max="13" width="10.21875" style="36" customWidth="1"/>
    <col min="14" max="14" width="8.88671875" style="36" customWidth="1"/>
    <col min="15" max="17" width="8.88671875" style="36"/>
    <col min="18" max="22" width="10.6640625" style="36" hidden="1" customWidth="1"/>
    <col min="23" max="24" width="8.88671875" style="36" hidden="1" customWidth="1"/>
    <col min="25" max="52" width="0" style="36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36"/>
  </cols>
  <sheetData>
    <row r="1" spans="2:63" s="70" customFormat="1" x14ac:dyDescent="0.3">
      <c r="B1" s="70">
        <v>1</v>
      </c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</row>
    <row r="2" spans="2:63" s="70" customFormat="1" ht="31.2" x14ac:dyDescent="0.6">
      <c r="B2" s="70" t="s">
        <v>83</v>
      </c>
      <c r="C2" s="120" t="s">
        <v>133</v>
      </c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</row>
    <row r="3" spans="2:63" s="70" customFormat="1" x14ac:dyDescent="0.3">
      <c r="R3" s="90" t="s">
        <v>0</v>
      </c>
      <c r="S3" s="90" t="s">
        <v>39</v>
      </c>
      <c r="T3" s="90" t="s">
        <v>54</v>
      </c>
      <c r="U3" s="90" t="s">
        <v>69</v>
      </c>
      <c r="BA3" s="71"/>
      <c r="BB3" s="71"/>
      <c r="BC3" s="71"/>
      <c r="BD3" s="71"/>
      <c r="BE3" s="71"/>
      <c r="BF3" s="71"/>
      <c r="BG3" s="71"/>
      <c r="BH3" s="71"/>
      <c r="BI3" s="71"/>
      <c r="BJ3" s="71"/>
      <c r="BK3" s="71"/>
    </row>
    <row r="4" spans="2:63" s="70" customFormat="1" ht="21" x14ac:dyDescent="0.4">
      <c r="E4" s="121" t="s">
        <v>131</v>
      </c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90">
        <v>1</v>
      </c>
      <c r="S4" s="90">
        <v>2</v>
      </c>
      <c r="T4" s="90">
        <v>3</v>
      </c>
      <c r="U4" s="90">
        <v>4</v>
      </c>
      <c r="BA4" s="71"/>
      <c r="BB4" s="71"/>
      <c r="BC4" s="71"/>
      <c r="BD4" s="71"/>
      <c r="BE4" s="71"/>
      <c r="BF4" s="71"/>
      <c r="BG4" s="71"/>
      <c r="BH4" s="71"/>
      <c r="BI4" s="71"/>
      <c r="BJ4" s="71"/>
      <c r="BK4" s="71"/>
    </row>
    <row r="5" spans="2:63" s="70" customFormat="1" x14ac:dyDescent="0.3">
      <c r="E5" s="72" cm="1">
        <f t="array" ref="E5:Q6">woodMaterials[]</f>
        <v>0</v>
      </c>
      <c r="F5" s="72" t="str">
        <v>يوفيلاك</v>
      </c>
      <c r="G5" s="72" t="str">
        <v>بوليلاك</v>
      </c>
      <c r="H5" s="72" t="str">
        <v>Lumber J</v>
      </c>
      <c r="I5" s="72" t="str">
        <v>بولى بلس</v>
      </c>
      <c r="J5" s="72" t="str">
        <v>PVC</v>
      </c>
      <c r="K5" s="72" t="str">
        <v>بورديوم</v>
      </c>
      <c r="L5" s="72" t="str">
        <v>كونتر ميلامين</v>
      </c>
      <c r="M5" s="72" t="str">
        <v>HPL دلف</v>
      </c>
      <c r="N5" s="72" t="str">
        <v>HPL</v>
      </c>
      <c r="O5" s="72" t="str">
        <v>CPL</v>
      </c>
      <c r="P5" s="72" t="str">
        <v>ظهر</v>
      </c>
      <c r="Q5" s="72">
        <v>0</v>
      </c>
      <c r="BA5" s="71"/>
      <c r="BB5" s="71"/>
      <c r="BC5" s="71"/>
      <c r="BD5" s="71"/>
      <c r="BE5" s="71"/>
      <c r="BF5" s="71"/>
      <c r="BG5" s="71"/>
      <c r="BH5" s="71"/>
      <c r="BI5" s="71"/>
      <c r="BJ5" s="71"/>
      <c r="BK5" s="71"/>
    </row>
    <row r="6" spans="2:63" s="70" customFormat="1" x14ac:dyDescent="0.3">
      <c r="E6" s="72">
        <v>0</v>
      </c>
      <c r="F6" s="72">
        <v>6</v>
      </c>
      <c r="G6" s="72">
        <v>4</v>
      </c>
      <c r="H6" s="72">
        <v>4</v>
      </c>
      <c r="I6" s="72">
        <v>4</v>
      </c>
      <c r="J6" s="72">
        <v>4</v>
      </c>
      <c r="K6" s="72">
        <v>2</v>
      </c>
      <c r="L6" s="72">
        <v>2</v>
      </c>
      <c r="M6" s="72">
        <v>2</v>
      </c>
      <c r="N6" s="72">
        <v>2</v>
      </c>
      <c r="O6" s="72">
        <v>2</v>
      </c>
      <c r="P6" s="72">
        <v>2</v>
      </c>
      <c r="Q6" s="72" t="str">
        <v>الرقم</v>
      </c>
      <c r="BA6" s="71"/>
      <c r="BB6" s="71"/>
      <c r="BC6" s="71"/>
      <c r="BD6" s="71"/>
      <c r="BE6" s="71"/>
      <c r="BF6" s="71"/>
      <c r="BG6" s="71"/>
      <c r="BH6" s="71"/>
      <c r="BI6" s="71"/>
      <c r="BJ6" s="71"/>
      <c r="BK6" s="71"/>
    </row>
    <row r="7" spans="2:63" s="70" customFormat="1" ht="23.4" x14ac:dyDescent="0.45">
      <c r="E7" s="122" t="s">
        <v>117</v>
      </c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4"/>
      <c r="BA7" s="71"/>
      <c r="BB7" s="71"/>
      <c r="BC7" s="71"/>
      <c r="BD7" s="71"/>
      <c r="BE7" s="71"/>
      <c r="BF7" s="71"/>
      <c r="BG7" s="71"/>
      <c r="BH7" s="71"/>
      <c r="BI7" s="71"/>
      <c r="BJ7" s="71"/>
      <c r="BK7" s="71"/>
    </row>
    <row r="8" spans="2:63" s="70" customFormat="1" x14ac:dyDescent="0.3">
      <c r="E8" s="72" cm="1">
        <f t="array" ref="E8:P9">blankMaterials[]</f>
        <v>0</v>
      </c>
      <c r="F8" s="72" t="str">
        <v>يوفيلاك سادة</v>
      </c>
      <c r="G8" s="72" t="str">
        <v>بوليلاك سادة</v>
      </c>
      <c r="H8" s="72" t="str">
        <v>Lumber J سادة</v>
      </c>
      <c r="I8" s="72" t="str">
        <v>بولى بلس سادة</v>
      </c>
      <c r="J8" s="72" t="str">
        <v>PVC سادة</v>
      </c>
      <c r="K8" s="72" t="str">
        <v>بورديوم سادة</v>
      </c>
      <c r="L8" s="72" t="str">
        <v>كونتر ميلامين سادة</v>
      </c>
      <c r="M8" s="72" t="str">
        <v>HPL سادة</v>
      </c>
      <c r="N8" s="72" t="str">
        <v>CPL سادة</v>
      </c>
      <c r="O8" s="72" t="str">
        <v>ظهر سادة</v>
      </c>
      <c r="P8" s="72">
        <v>0</v>
      </c>
      <c r="Q8" s="72"/>
      <c r="BA8" s="71"/>
      <c r="BB8" s="71"/>
      <c r="BC8" s="71"/>
      <c r="BD8" s="71"/>
      <c r="BE8" s="71"/>
      <c r="BF8" s="71"/>
      <c r="BG8" s="71"/>
      <c r="BH8" s="71"/>
      <c r="BI8" s="71"/>
      <c r="BJ8" s="71"/>
      <c r="BK8" s="71"/>
    </row>
    <row r="9" spans="2:63" s="70" customFormat="1" x14ac:dyDescent="0.3">
      <c r="E9" s="72">
        <v>0</v>
      </c>
      <c r="F9" s="72">
        <v>5</v>
      </c>
      <c r="G9" s="72">
        <v>3</v>
      </c>
      <c r="H9" s="72">
        <v>3</v>
      </c>
      <c r="I9" s="72">
        <v>3</v>
      </c>
      <c r="J9" s="72">
        <v>3</v>
      </c>
      <c r="K9" s="72">
        <v>1</v>
      </c>
      <c r="L9" s="72">
        <v>1</v>
      </c>
      <c r="M9" s="72">
        <v>1</v>
      </c>
      <c r="N9" s="72">
        <v>1</v>
      </c>
      <c r="O9" s="72">
        <v>1</v>
      </c>
      <c r="P9" s="72" t="str">
        <v>الرقم</v>
      </c>
      <c r="Q9" s="72"/>
      <c r="BA9" s="71"/>
      <c r="BB9" s="71"/>
      <c r="BC9" s="71"/>
      <c r="BD9" s="71"/>
      <c r="BE9" s="71"/>
      <c r="BF9" s="71"/>
      <c r="BG9" s="71"/>
      <c r="BH9" s="71"/>
      <c r="BI9" s="71"/>
      <c r="BJ9" s="71"/>
      <c r="BK9" s="71"/>
    </row>
    <row r="10" spans="2:63" s="70" customFormat="1" x14ac:dyDescent="0.3">
      <c r="BA10" s="71"/>
      <c r="BB10" s="71"/>
      <c r="BC10" s="71"/>
      <c r="BD10" s="71"/>
      <c r="BE10" s="71"/>
      <c r="BF10" s="71"/>
      <c r="BG10" s="71"/>
      <c r="BH10" s="71"/>
      <c r="BI10" s="71"/>
      <c r="BJ10" s="71"/>
      <c r="BK10" s="71"/>
    </row>
    <row r="11" spans="2:63" s="70" customFormat="1" x14ac:dyDescent="0.3">
      <c r="B11" s="98" t="s">
        <v>139</v>
      </c>
      <c r="BA11" s="71"/>
      <c r="BB11" s="71"/>
      <c r="BC11" s="71"/>
      <c r="BD11" s="71"/>
      <c r="BE11" s="71"/>
      <c r="BF11" s="71"/>
      <c r="BG11" s="71"/>
      <c r="BH11" s="71"/>
      <c r="BI11" s="71"/>
      <c r="BJ11" s="71"/>
      <c r="BK11" s="71"/>
    </row>
    <row r="12" spans="2:63" s="70" customFormat="1" x14ac:dyDescent="0.3">
      <c r="B12" s="97" t="s">
        <v>138</v>
      </c>
      <c r="BA12" s="71"/>
      <c r="BB12" s="71"/>
      <c r="BC12" s="71"/>
      <c r="BD12" s="71"/>
      <c r="BE12" s="71"/>
      <c r="BF12" s="71"/>
      <c r="BG12" s="71"/>
      <c r="BH12" s="71"/>
      <c r="BI12" s="71"/>
      <c r="BJ12" s="71"/>
      <c r="BK12" s="71"/>
    </row>
    <row r="13" spans="2:63" x14ac:dyDescent="0.3">
      <c r="BD13"/>
    </row>
    <row r="17" spans="1:62" ht="18" x14ac:dyDescent="0.3">
      <c r="A17" s="41" t="s">
        <v>88</v>
      </c>
      <c r="B17" s="13"/>
      <c r="C17" s="12">
        <v>1</v>
      </c>
      <c r="D17" s="20" t="s">
        <v>51</v>
      </c>
      <c r="E17" s="114" t="s">
        <v>135</v>
      </c>
      <c r="F17" s="115"/>
      <c r="G17" s="115"/>
      <c r="H17" s="116"/>
      <c r="I17" s="2" t="s">
        <v>26</v>
      </c>
      <c r="J17" s="2">
        <f>letterToNumber(A17)</f>
        <v>1</v>
      </c>
      <c r="K17" s="25">
        <f ca="1">_xlfn.SHEET("وحدات سفلية")</f>
        <v>4</v>
      </c>
      <c r="BA17"/>
      <c r="BB17"/>
      <c r="BC17"/>
      <c r="BD17"/>
      <c r="BE17"/>
      <c r="BF17"/>
      <c r="BG17"/>
      <c r="BH17"/>
      <c r="BI17"/>
      <c r="BJ17"/>
    </row>
    <row r="18" spans="1:62" ht="31.2" x14ac:dyDescent="0.3">
      <c r="A18" s="40">
        <v>1</v>
      </c>
      <c r="B18" s="13"/>
      <c r="C18" s="25" t="b" cm="1">
        <f t="array" aca="1" ref="C18" ca="1">defaultValue(D18,K17)</f>
        <v>1</v>
      </c>
      <c r="D18" s="68" t="s">
        <v>77</v>
      </c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BA18"/>
      <c r="BB18"/>
      <c r="BC18"/>
      <c r="BD18"/>
      <c r="BE18"/>
      <c r="BF18"/>
      <c r="BG18"/>
      <c r="BH18"/>
      <c r="BI18"/>
      <c r="BJ18"/>
    </row>
    <row r="19" spans="1:62" ht="31.2" x14ac:dyDescent="0.3">
      <c r="A19" s="40">
        <v>1</v>
      </c>
      <c r="B19" s="13"/>
      <c r="C19" s="7" t="s">
        <v>12</v>
      </c>
      <c r="D19" s="7" t="s">
        <v>16</v>
      </c>
      <c r="E19" s="68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BA19"/>
      <c r="BB19"/>
      <c r="BC19"/>
      <c r="BD19"/>
      <c r="BE19"/>
      <c r="BF19"/>
      <c r="BG19"/>
      <c r="BH19"/>
      <c r="BI19"/>
      <c r="BJ19"/>
    </row>
    <row r="20" spans="1:62" ht="15.6" x14ac:dyDescent="0.3">
      <c r="A20" s="40">
        <v>1</v>
      </c>
      <c r="B20" s="13"/>
      <c r="C20" s="25">
        <v>1</v>
      </c>
      <c r="D20" s="25">
        <v>5</v>
      </c>
      <c r="E20" s="38"/>
      <c r="F20" s="7"/>
      <c r="G20" s="25" cm="1">
        <f t="array" aca="1" ref="G20" ca="1">defaultValue(G19,K17)</f>
        <v>3.5</v>
      </c>
      <c r="H20" s="8">
        <v>80</v>
      </c>
      <c r="I20" s="25" cm="1">
        <f t="array" aca="1" ref="I20" ca="1">defaultValue(I19,K17)</f>
        <v>78</v>
      </c>
      <c r="J20" s="25">
        <v>56</v>
      </c>
      <c r="K20" s="7"/>
      <c r="BA20"/>
      <c r="BB20"/>
      <c r="BC20"/>
      <c r="BD20"/>
      <c r="BE20"/>
      <c r="BF20"/>
      <c r="BG20"/>
      <c r="BH20"/>
      <c r="BI20"/>
      <c r="BJ20"/>
    </row>
    <row r="21" spans="1:62" ht="15.6" x14ac:dyDescent="0.3">
      <c r="A21" s="40">
        <v>0</v>
      </c>
      <c r="B21" s="13"/>
      <c r="C21" s="3"/>
      <c r="D21" s="3"/>
      <c r="E21" s="3"/>
      <c r="F21" s="3"/>
      <c r="G21" s="3"/>
      <c r="H21" s="3"/>
      <c r="I21" s="3"/>
      <c r="J21" s="3"/>
      <c r="K21" s="3"/>
      <c r="BA21"/>
      <c r="BB21"/>
      <c r="BC21"/>
      <c r="BD21"/>
      <c r="BE21"/>
      <c r="BF21"/>
      <c r="BG21"/>
      <c r="BH21"/>
      <c r="BI21"/>
      <c r="BJ21"/>
    </row>
    <row r="22" spans="1:62" ht="15.6" x14ac:dyDescent="0.3">
      <c r="A22" s="40">
        <v>2</v>
      </c>
      <c r="B22" s="13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BA22"/>
      <c r="BB22"/>
      <c r="BC22"/>
      <c r="BD22"/>
      <c r="BE22"/>
      <c r="BF22"/>
      <c r="BG22"/>
      <c r="BH22"/>
      <c r="BI22"/>
      <c r="BJ22"/>
    </row>
    <row r="23" spans="1:62" ht="15.6" x14ac:dyDescent="0.3">
      <c r="A23" s="40">
        <v>0</v>
      </c>
      <c r="B23" s="13"/>
      <c r="C23" s="1"/>
      <c r="D23" s="1"/>
      <c r="E23" s="1"/>
      <c r="F23" s="1"/>
      <c r="G23" s="1"/>
      <c r="H23" s="1"/>
      <c r="I23" s="1"/>
      <c r="J23" s="1"/>
      <c r="K23" s="3"/>
      <c r="BA23"/>
      <c r="BB23"/>
      <c r="BC23"/>
      <c r="BD23"/>
      <c r="BE23"/>
      <c r="BF23"/>
      <c r="BG23"/>
      <c r="BH23"/>
      <c r="BI23"/>
      <c r="BJ23"/>
    </row>
    <row r="24" spans="1:62" ht="15.6" x14ac:dyDescent="0.3">
      <c r="A24" s="40">
        <v>3</v>
      </c>
      <c r="B24" s="13" t="str" cm="1">
        <f t="array" ref="B24">visible(E17, K24)</f>
        <v>وحدة سفلية دلفة / دلفتين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visible(("قاعدة"),K24)</f>
        <v>قاعدة</v>
      </c>
      <c r="F24" s="6" cm="1">
        <f t="array" ref="F24">visible((H20 -3.6),K24)</f>
        <v>76.400000000000006</v>
      </c>
      <c r="G24" s="6" cm="1">
        <f t="array" ref="G24">visible((J20),K24)</f>
        <v>56</v>
      </c>
      <c r="H24" s="6" cm="1">
        <f t="array" ref="H24">visible((C17),K24)</f>
        <v>1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A24"/>
      <c r="BB24"/>
      <c r="BC24"/>
      <c r="BD24"/>
      <c r="BE24"/>
      <c r="BF24"/>
      <c r="BG24"/>
      <c r="BH24"/>
      <c r="BI24"/>
      <c r="BJ24"/>
    </row>
    <row r="25" spans="1:62" ht="15.6" x14ac:dyDescent="0.3">
      <c r="A25" s="40">
        <v>3</v>
      </c>
      <c r="B25" s="13" t="str" cm="1">
        <f t="array" ref="B25">visible(E17, K25)</f>
        <v>وحدة سفلية دلفة / دلفتين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visible(("أجناب"),K25)</f>
        <v>أجناب</v>
      </c>
      <c r="F25" s="6" cm="1">
        <f t="array" aca="1" ref="F25" ca="1">visible((I20),K25)</f>
        <v>78</v>
      </c>
      <c r="G25" s="6" cm="1">
        <f t="array" ref="G25">visible((J20),K25)</f>
        <v>56</v>
      </c>
      <c r="H25" s="6" cm="1">
        <f t="array" ref="H25">visible((2 *C17),K25)</f>
        <v>2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A25"/>
      <c r="BB25"/>
      <c r="BC25"/>
      <c r="BD25"/>
      <c r="BE25"/>
      <c r="BF25"/>
      <c r="BG25"/>
      <c r="BH25"/>
      <c r="BI25"/>
      <c r="BJ25"/>
    </row>
    <row r="26" spans="1:62" ht="15.6" x14ac:dyDescent="0.3">
      <c r="A26" s="40">
        <v>3</v>
      </c>
      <c r="B26" s="13" t="str" cm="1">
        <f t="array" ref="B26">visible(E17, K26)</f>
        <v>وحدة سفلية دلفة / دلفتين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visible(("مرايا علوية 1"),K26)</f>
        <v>مرايا علوية 1</v>
      </c>
      <c r="F26" s="6" cm="1">
        <f t="array" ref="F26">visible((H20-3.6),K26)</f>
        <v>76.400000000000006</v>
      </c>
      <c r="G26" s="6" cm="1">
        <f t="array" ref="G26">visible((10),K26)</f>
        <v>10</v>
      </c>
      <c r="H26" s="6" cm="1">
        <f t="array" ref="H26">visible((C17),K26)</f>
        <v>1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A26"/>
      <c r="BB26"/>
      <c r="BC26"/>
      <c r="BD26"/>
      <c r="BE26"/>
      <c r="BF26"/>
      <c r="BG26"/>
      <c r="BH26"/>
      <c r="BI26"/>
      <c r="BJ26"/>
    </row>
    <row r="27" spans="1:62" ht="15.6" x14ac:dyDescent="0.3">
      <c r="A27" s="40">
        <v>3</v>
      </c>
      <c r="B27" s="13" t="str" cm="1">
        <f t="array" ref="B27">visible(E17, K27)</f>
        <v>وحدة سفلية دلفة / دلفتين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visible(("مرايا علوية 2"),K27)</f>
        <v>مرايا علوية 2</v>
      </c>
      <c r="F27" s="6" cm="1">
        <f t="array" ref="F27">visible((H20-3.6),K27)</f>
        <v>76.400000000000006</v>
      </c>
      <c r="G27" s="6" cm="1">
        <f t="array" ref="G27">visible((7),K27)</f>
        <v>7</v>
      </c>
      <c r="H27" s="6" cm="1">
        <f t="array" ref="H27">visible((C17),K27)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A27"/>
      <c r="BB27"/>
      <c r="BC27"/>
      <c r="BD27"/>
      <c r="BE27"/>
      <c r="BF27"/>
      <c r="BG27"/>
      <c r="BH27"/>
      <c r="BI27"/>
      <c r="BJ27"/>
    </row>
    <row r="28" spans="1:62" ht="15.6" x14ac:dyDescent="0.3">
      <c r="A28" s="40">
        <v>3</v>
      </c>
      <c r="B28" s="13" t="str" cm="1">
        <f t="array" ref="B28">visible(E17, K28)</f>
        <v>وحدة سفلية دلفة / دلفتين</v>
      </c>
      <c r="C28" s="6" cm="1">
        <f t="array" ref="C28">visible(5,K28)</f>
        <v>5</v>
      </c>
      <c r="D28" s="6" t="str" cm="1">
        <f t="array" aca="1" ref="D28" ca="1">visible((I18),K28)</f>
        <v>HPL</v>
      </c>
      <c r="E28" s="6" t="str" cm="1">
        <f t="array" ref="E28">visible(("رف"),K28)</f>
        <v>رف</v>
      </c>
      <c r="F28" s="6" cm="1">
        <f t="array" ref="F28">visible((H20-3.8),K28)</f>
        <v>76.2</v>
      </c>
      <c r="G28" s="6" cm="1">
        <f t="array" ref="G28">visible((J20-6),K28)</f>
        <v>50</v>
      </c>
      <c r="H28" s="6" cm="1">
        <f t="array" ref="H28">visible((D20*C17),K28)</f>
        <v>5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BA28"/>
      <c r="BB28"/>
      <c r="BC28"/>
      <c r="BD28"/>
      <c r="BE28"/>
      <c r="BF28"/>
      <c r="BG28"/>
      <c r="BH28"/>
      <c r="BI28"/>
      <c r="BJ28"/>
    </row>
    <row r="29" spans="1:62" ht="15.6" x14ac:dyDescent="0.3">
      <c r="A29" s="40">
        <v>0</v>
      </c>
      <c r="B29" s="13"/>
      <c r="C29" s="3"/>
      <c r="D29" s="3"/>
      <c r="E29" s="3"/>
      <c r="F29" s="3"/>
      <c r="G29" s="3"/>
      <c r="H29" s="3"/>
      <c r="I29" s="3"/>
      <c r="J29" s="3"/>
      <c r="K29" s="3"/>
      <c r="BA29"/>
      <c r="BB29"/>
      <c r="BC29"/>
      <c r="BD29"/>
      <c r="BE29"/>
      <c r="BF29"/>
      <c r="BG29"/>
      <c r="BH29"/>
      <c r="BI29"/>
      <c r="BJ29"/>
    </row>
    <row r="30" spans="1:62" ht="15.6" x14ac:dyDescent="0.3">
      <c r="A30" s="40">
        <v>4</v>
      </c>
      <c r="B30" s="13" t="str" cm="1">
        <f t="array" ref="B30">visible(E17, K30)</f>
        <v>وحدة سفلية دلفة / دلفتين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visible(("دلف"),K30)</f>
        <v>دلف</v>
      </c>
      <c r="F30" s="9">
        <f ca="1">visible((I20-khlos(C20)-G20),K30)</f>
        <v>73.8</v>
      </c>
      <c r="G30" s="9" cm="1">
        <f t="array" ref="G30">_xlfn.SINGLE(visible(((H20/C20)-khlos(C20)),K30))</f>
        <v>79.3</v>
      </c>
      <c r="H30" s="9" cm="1">
        <f t="array" ref="H30">visible((C20*C17),K30)</f>
        <v>1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A30"/>
      <c r="BB30"/>
      <c r="BC30"/>
      <c r="BD30"/>
      <c r="BE30"/>
      <c r="BF30"/>
      <c r="BG30"/>
      <c r="BH30"/>
      <c r="BI30"/>
      <c r="BJ30"/>
    </row>
    <row r="31" spans="1:62" ht="15.6" x14ac:dyDescent="0.3">
      <c r="A31" s="40">
        <v>0</v>
      </c>
      <c r="B31" s="13"/>
      <c r="C31" s="1"/>
      <c r="D31" s="1"/>
      <c r="E31" s="1"/>
      <c r="F31" s="1"/>
      <c r="G31" s="1"/>
      <c r="H31" s="1"/>
      <c r="I31" s="1"/>
      <c r="J31" s="1"/>
      <c r="K31" s="3"/>
      <c r="BA31"/>
      <c r="BB31"/>
      <c r="BC31"/>
      <c r="BD31"/>
      <c r="BE31"/>
      <c r="BF31"/>
      <c r="BG31"/>
      <c r="BH31"/>
      <c r="BI31"/>
      <c r="BJ31"/>
    </row>
    <row r="32" spans="1:62" ht="15.6" x14ac:dyDescent="0.3">
      <c r="A32" s="40">
        <v>5</v>
      </c>
      <c r="B32" s="13" t="str" cm="1">
        <f t="array" aca="1" ref="B32" ca="1">visible(E17, K32)</f>
        <v>وحدة سفلية دلفة / دلفتين</v>
      </c>
      <c r="C32" s="17" cm="1">
        <f t="array" aca="1" ref="C32" ca="1">visible(7,K32)</f>
        <v>7</v>
      </c>
      <c r="D32" s="17" t="str" cm="1">
        <f t="array" aca="1" ref="D32" ca="1">visible((E18),K32)</f>
        <v>ظهر</v>
      </c>
      <c r="E32" s="17" t="str" cm="1">
        <f t="array" aca="1" ref="E32" ca="1">visible(("ظهر"),K32)</f>
        <v>ظهر</v>
      </c>
      <c r="F32" s="17" cm="1">
        <f t="array" aca="1" ref="F32" ca="1">visible((I20-2),K32)</f>
        <v>76</v>
      </c>
      <c r="G32" s="17">
        <f ca="1">visible((H20-2),K32)</f>
        <v>78</v>
      </c>
      <c r="H32" s="17" cm="1">
        <f t="array" aca="1" ref="H32" ca="1">visible((C17),K32)</f>
        <v>1</v>
      </c>
      <c r="I32" s="17">
        <f ca="1">visible(materialNum(D32), K32)</f>
        <v>2</v>
      </c>
      <c r="J32" s="17">
        <f ca="1">visible(engraving(I32), K32)</f>
        <v>2</v>
      </c>
      <c r="K32" s="17" t="b">
        <f ca="1">C18</f>
        <v>1</v>
      </c>
      <c r="BA32"/>
      <c r="BB32"/>
      <c r="BC32"/>
      <c r="BD32"/>
      <c r="BE32"/>
      <c r="BF32"/>
      <c r="BG32"/>
      <c r="BH32"/>
      <c r="BI32"/>
      <c r="BJ32"/>
    </row>
    <row r="33" spans="1:62" ht="15.6" x14ac:dyDescent="0.3">
      <c r="A33" s="40">
        <v>255</v>
      </c>
      <c r="B33" s="13"/>
      <c r="C33"/>
      <c r="D33"/>
      <c r="E33"/>
      <c r="F33"/>
      <c r="G33"/>
      <c r="H33"/>
      <c r="I33"/>
      <c r="J33"/>
      <c r="K33"/>
      <c r="BA33"/>
      <c r="BB33"/>
      <c r="BC33"/>
      <c r="BD33"/>
      <c r="BE33"/>
      <c r="BF33"/>
      <c r="BG33"/>
      <c r="BH33"/>
      <c r="BI33"/>
      <c r="BJ33"/>
    </row>
    <row r="34" spans="1:62" ht="15.6" x14ac:dyDescent="0.3">
      <c r="A34" s="40">
        <v>255</v>
      </c>
      <c r="B34" s="13"/>
      <c r="C34"/>
      <c r="D34"/>
      <c r="E34"/>
      <c r="F34"/>
      <c r="G34"/>
      <c r="H34"/>
      <c r="I34"/>
      <c r="J34"/>
      <c r="K34"/>
      <c r="BA34"/>
      <c r="BB34"/>
      <c r="BC34"/>
      <c r="BD34"/>
      <c r="BE34"/>
      <c r="BF34"/>
      <c r="BG34"/>
      <c r="BH34"/>
      <c r="BI34"/>
      <c r="BJ34"/>
    </row>
    <row r="35" spans="1:62" x14ac:dyDescent="0.3">
      <c r="BA35"/>
      <c r="BB35"/>
      <c r="BC35"/>
      <c r="BD35"/>
      <c r="BE35"/>
      <c r="BF35"/>
      <c r="BG35"/>
      <c r="BH35"/>
      <c r="BI35"/>
      <c r="BJ35"/>
    </row>
  </sheetData>
  <sortState xmlns:xlrd2="http://schemas.microsoft.com/office/spreadsheetml/2017/richdata2" ref="BB24:BJ28">
    <sortCondition ref="BD24"/>
  </sortState>
  <mergeCells count="4">
    <mergeCell ref="C2:Q2"/>
    <mergeCell ref="E17:H17"/>
    <mergeCell ref="E4:Q4"/>
    <mergeCell ref="E7:Q7"/>
  </mergeCells>
  <conditionalFormatting sqref="Q25">
    <cfRule type="cellIs" dxfId="59" priority="4" operator="equal">
      <formula>"مغلق"</formula>
    </cfRule>
    <cfRule type="cellIs" dxfId="58" priority="3" operator="equal">
      <formula>"مفعل"</formula>
    </cfRule>
  </conditionalFormatting>
  <conditionalFormatting sqref="B12">
    <cfRule type="cellIs" dxfId="57" priority="2" operator="equal">
      <formula>"مغلق"</formula>
    </cfRule>
    <cfRule type="cellIs" dxfId="56" priority="1" operator="equal">
      <formula>"مفعل"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15240</xdr:colOff>
                    <xdr:row>9</xdr:row>
                    <xdr:rowOff>144780</xdr:rowOff>
                  </from>
                  <to>
                    <xdr:col>4</xdr:col>
                    <xdr:colOff>1889760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144780</xdr:colOff>
                    <xdr:row>9</xdr:row>
                    <xdr:rowOff>152400</xdr:rowOff>
                  </from>
                  <to>
                    <xdr:col>7</xdr:col>
                    <xdr:colOff>373380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7</xdr:col>
                    <xdr:colOff>579120</xdr:colOff>
                    <xdr:row>9</xdr:row>
                    <xdr:rowOff>167640</xdr:rowOff>
                  </from>
                  <to>
                    <xdr:col>10</xdr:col>
                    <xdr:colOff>213360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3" name="Button 13">
              <controlPr defaultSize="0" print="0" autoFill="0" autoPict="0" macro="[0]!toggleCalculations">
                <anchor moveWithCells="1" sizeWithCells="1">
                  <from>
                    <xdr:col>10</xdr:col>
                    <xdr:colOff>365760</xdr:colOff>
                    <xdr:row>9</xdr:row>
                    <xdr:rowOff>160020</xdr:rowOff>
                  </from>
                  <to>
                    <xdr:col>14</xdr:col>
                    <xdr:colOff>160020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4" name="Button 14">
              <controlPr defaultSize="0" print="0" autoFill="0" autoPict="0" macro="[0]!calc">
                <anchor moveWithCells="1" sizeWithCells="1">
                  <from>
                    <xdr:col>14</xdr:col>
                    <xdr:colOff>335280</xdr:colOff>
                    <xdr:row>9</xdr:row>
                    <xdr:rowOff>160020</xdr:rowOff>
                  </from>
                  <to>
                    <xdr:col>16</xdr:col>
                    <xdr:colOff>228600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A176"/>
  <sheetViews>
    <sheetView tabSelected="1" topLeftCell="B1" zoomScale="68" zoomScaleNormal="85" workbookViewId="0">
      <pane ySplit="12" topLeftCell="A13" activePane="bottomLeft" state="frozen"/>
      <selection activeCell="B1" sqref="B1"/>
      <selection pane="bottomLeft" activeCell="O20" sqref="O20"/>
    </sheetView>
  </sheetViews>
  <sheetFormatPr defaultRowHeight="15.6" x14ac:dyDescent="0.3"/>
  <cols>
    <col min="1" max="1" width="8.21875" style="40" hidden="1" customWidth="1"/>
    <col min="2" max="2" width="28.33203125" style="13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2.21875" style="3" customWidth="1"/>
    <col min="9" max="9" width="10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85" customFormat="1" hidden="1" x14ac:dyDescent="0.3">
      <c r="A1" s="85">
        <v>13</v>
      </c>
      <c r="B1" s="84">
        <v>7</v>
      </c>
    </row>
    <row r="2" spans="1:75" s="85" customFormat="1" ht="25.8" x14ac:dyDescent="0.3">
      <c r="A2" s="85">
        <v>30</v>
      </c>
      <c r="B2" s="86" t="s">
        <v>79</v>
      </c>
      <c r="C2" s="125" t="s">
        <v>0</v>
      </c>
      <c r="D2" s="125"/>
      <c r="E2" s="125"/>
      <c r="F2" s="125"/>
      <c r="G2" s="125"/>
      <c r="H2" s="125"/>
      <c r="I2" s="125"/>
      <c r="J2" s="125"/>
      <c r="K2" s="125"/>
      <c r="Q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6"/>
      <c r="BR2" s="86"/>
      <c r="BS2" s="86"/>
      <c r="BT2" s="86"/>
      <c r="BU2" s="86"/>
      <c r="BV2" s="86"/>
      <c r="BW2" s="86"/>
    </row>
    <row r="3" spans="1:75" s="85" customFormat="1" ht="18" hidden="1" customHeight="1" x14ac:dyDescent="0.3">
      <c r="B3" s="86" t="s">
        <v>104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</row>
    <row r="4" spans="1:75" s="85" customFormat="1" ht="21" x14ac:dyDescent="0.4">
      <c r="B4" s="86"/>
      <c r="C4" s="128" t="s">
        <v>131</v>
      </c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30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</row>
    <row r="5" spans="1:75" s="85" customFormat="1" ht="14.4" x14ac:dyDescent="0.3">
      <c r="B5" s="86"/>
      <c r="C5" s="83" cm="1">
        <f t="array" ref="C5:O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 دلف</v>
      </c>
      <c r="L5" s="83" t="str">
        <v>HPL</v>
      </c>
      <c r="M5" s="83" t="str">
        <v>CPL</v>
      </c>
      <c r="N5" s="83" t="str">
        <v>ظهر</v>
      </c>
      <c r="O5" s="91">
        <v>0</v>
      </c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</row>
    <row r="6" spans="1:75" s="85" customFormat="1" ht="14.4" x14ac:dyDescent="0.3">
      <c r="B6" s="86"/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>
        <v>2</v>
      </c>
      <c r="O6" s="91" t="str">
        <v>الرقم</v>
      </c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</row>
    <row r="7" spans="1:75" s="87" customFormat="1" ht="21" x14ac:dyDescent="0.4">
      <c r="A7" s="85"/>
      <c r="B7" s="86"/>
      <c r="C7" s="128" t="s">
        <v>117</v>
      </c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30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</row>
    <row r="8" spans="1:75" s="87" customFormat="1" ht="18" x14ac:dyDescent="0.3">
      <c r="A8" s="85"/>
      <c r="B8" s="86"/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O8" s="92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</row>
    <row r="9" spans="1:75" s="87" customFormat="1" ht="18" x14ac:dyDescent="0.3">
      <c r="A9" s="85"/>
      <c r="B9" s="86"/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O9" s="92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</row>
    <row r="10" spans="1:75" s="87" customFormat="1" ht="18" hidden="1" x14ac:dyDescent="0.3">
      <c r="A10" s="85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</row>
    <row r="11" spans="1:75" s="87" customFormat="1" ht="18" x14ac:dyDescent="0.3">
      <c r="A11" s="85"/>
      <c r="B11" s="100" t="s">
        <v>139</v>
      </c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</row>
    <row r="12" spans="1:75" s="88" customFormat="1" ht="18" x14ac:dyDescent="0.3">
      <c r="A12" s="85"/>
      <c r="B12" s="99" t="s">
        <v>138</v>
      </c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</row>
    <row r="13" spans="1:75" customFormat="1" ht="14.4" x14ac:dyDescent="0.3">
      <c r="A13" s="73"/>
      <c r="K13" s="1"/>
    </row>
    <row r="14" spans="1:75" customFormat="1" ht="14.4" x14ac:dyDescent="0.3">
      <c r="A14" s="40"/>
      <c r="K14" s="1"/>
    </row>
    <row r="15" spans="1:75" x14ac:dyDescent="0.3"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6" x14ac:dyDescent="0.3">
      <c r="A17" s="41" t="s">
        <v>88</v>
      </c>
      <c r="C17" s="12">
        <v>1</v>
      </c>
      <c r="D17" s="20" t="s">
        <v>51</v>
      </c>
      <c r="E17" s="114" t="s">
        <v>135</v>
      </c>
      <c r="F17" s="115"/>
      <c r="G17" s="115"/>
      <c r="H17" s="116"/>
      <c r="I17" s="2" t="s">
        <v>26</v>
      </c>
      <c r="J17" s="2">
        <f>letterToNumber(A17)</f>
        <v>1</v>
      </c>
      <c r="K17" s="25">
        <f ca="1">_xlfn.SHEET("وحدات سفلية")</f>
        <v>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21" x14ac:dyDescent="0.3">
      <c r="A18" s="40">
        <v>1</v>
      </c>
      <c r="C18" s="25" t="b" cm="1">
        <f t="array" aca="1" ref="C18" ca="1">defaultValue(D18,K17)</f>
        <v>1</v>
      </c>
      <c r="D18" s="68" t="s">
        <v>77</v>
      </c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31.2" x14ac:dyDescent="0.3">
      <c r="A19" s="40">
        <v>1</v>
      </c>
      <c r="C19" s="7" t="s">
        <v>12</v>
      </c>
      <c r="D19" s="7" t="s">
        <v>16</v>
      </c>
      <c r="E19" s="68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40">
        <v>1</v>
      </c>
      <c r="C20" s="25">
        <v>1</v>
      </c>
      <c r="D20" s="25">
        <v>5</v>
      </c>
      <c r="E20" s="38"/>
      <c r="F20" s="7"/>
      <c r="G20" s="25" cm="1">
        <f t="array" aca="1" ref="G20" ca="1">defaultValue(G19,K17)</f>
        <v>3.5</v>
      </c>
      <c r="H20" s="8"/>
      <c r="I20" s="25" cm="1">
        <f t="array" aca="1" ref="I20" ca="1">defaultValue(I19,K17)</f>
        <v>78</v>
      </c>
      <c r="J20" s="25" cm="1">
        <f t="array" aca="1" ref="J20" ca="1">defaultValue(J19,K17)</f>
        <v>56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40">
        <v>0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40">
        <v>2</v>
      </c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40">
        <v>0</v>
      </c>
      <c r="C23" s="1"/>
      <c r="D23" s="1"/>
      <c r="E23" s="1"/>
      <c r="F23" s="1"/>
      <c r="G23" s="1"/>
      <c r="H23" s="1"/>
      <c r="I23" s="1"/>
      <c r="J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40">
        <v>3</v>
      </c>
      <c r="B24" s="13" t="str" cm="1">
        <f t="array" ref="B24">visible(E17, K24)</f>
        <v>وحدة سفلية دلفة / دلفتين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visible(("قاعدة"),K24)</f>
        <v>قاعدة</v>
      </c>
      <c r="F24" s="6" cm="1">
        <f t="array" ref="F24">visible((H20 -3.6),K24)</f>
        <v>-3.6</v>
      </c>
      <c r="G24" s="6" cm="1">
        <f t="array" aca="1" ref="G24" ca="1">visible((J20),K24)</f>
        <v>56</v>
      </c>
      <c r="H24" s="6" cm="1">
        <f t="array" ref="H24">visible((C17),K24)</f>
        <v>1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40">
        <v>3</v>
      </c>
      <c r="B25" s="13" t="str" cm="1">
        <f t="array" ref="B25">visible(E17, K25)</f>
        <v>وحدة سفلية دلفة / دلفتين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visible(("أجناب"),K25)</f>
        <v>أجناب</v>
      </c>
      <c r="F25" s="6" cm="1">
        <f t="array" aca="1" ref="F25" ca="1">visible((I20),K25)</f>
        <v>78</v>
      </c>
      <c r="G25" s="6" cm="1">
        <f t="array" aca="1" ref="G25" ca="1">visible((J20),K25)</f>
        <v>56</v>
      </c>
      <c r="H25" s="6" cm="1">
        <f t="array" ref="H25">visible((2 *C17),K25)</f>
        <v>2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40">
        <v>3</v>
      </c>
      <c r="B26" s="13" t="str" cm="1">
        <f t="array" ref="B26">visible(E17, K26)</f>
        <v>وحدة سفلية دلفة / دلفتين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visible(("مرايا علوية 1"),K26)</f>
        <v>مرايا علوية 1</v>
      </c>
      <c r="F26" s="6" cm="1">
        <f t="array" ref="F26">visible((H20-3.6),K26)</f>
        <v>-3.6</v>
      </c>
      <c r="G26" s="6" cm="1">
        <f t="array" ref="G26">visible((10),K26)</f>
        <v>10</v>
      </c>
      <c r="H26" s="6" cm="1">
        <f t="array" ref="H26">visible((C17),K26)</f>
        <v>1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40">
        <v>3</v>
      </c>
      <c r="B27" s="13" t="str" cm="1">
        <f t="array" ref="B27">visible(E17, K27)</f>
        <v>وحدة سفلية دلفة / دلفتين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visible(("مرايا علوية 2"),K27)</f>
        <v>مرايا علوية 2</v>
      </c>
      <c r="F27" s="6" cm="1">
        <f t="array" ref="F27">visible((H20-3.6),K27)</f>
        <v>-3.6</v>
      </c>
      <c r="G27" s="6" cm="1">
        <f t="array" ref="G27">visible((7),K27)</f>
        <v>7</v>
      </c>
      <c r="H27" s="6" cm="1">
        <f t="array" ref="H27">visible((C17),K27)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40">
        <v>3</v>
      </c>
      <c r="B28" s="13" t="str" cm="1">
        <f t="array" ref="B28">visible(E17, K28)</f>
        <v>وحدة سفلية دلفة / دلفتين</v>
      </c>
      <c r="C28" s="6" cm="1">
        <f t="array" ref="C28">visible(5,K28)</f>
        <v>5</v>
      </c>
      <c r="D28" s="6" t="str" cm="1">
        <f t="array" aca="1" ref="D28" ca="1">visible((I18),K28)</f>
        <v>HPL</v>
      </c>
      <c r="E28" s="6" t="str" cm="1">
        <f t="array" ref="E28">visible(("رف"),K28)</f>
        <v>رف</v>
      </c>
      <c r="F28" s="6" cm="1">
        <f t="array" ref="F28">visible((H20-3.8),K28)</f>
        <v>-3.8</v>
      </c>
      <c r="G28" s="6" cm="1">
        <f t="array" aca="1" ref="G28" ca="1">visible((J20-6),K28)</f>
        <v>50</v>
      </c>
      <c r="H28" s="6" cm="1">
        <f t="array" ref="H28">visible((D20*C17),K28)</f>
        <v>5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40">
        <v>0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40">
        <v>4</v>
      </c>
      <c r="B30" s="13" t="str" cm="1">
        <f t="array" ref="B30">visible(E17, K30)</f>
        <v>وحدة سفلية دلفة / دلفتين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visible(("دلف"),K30)</f>
        <v>دلف</v>
      </c>
      <c r="F30" s="9">
        <f ca="1">visible((I20-khlos(C20)-G20),K30)</f>
        <v>73.8</v>
      </c>
      <c r="G30" s="9" cm="1">
        <f t="array" ref="G30">_xlfn.SINGLE(visible(((H20/C20)-khlos(C20)),K30))</f>
        <v>-0.7</v>
      </c>
      <c r="H30" s="9" cm="1">
        <f t="array" ref="H30">visible((C20*C17),K30)</f>
        <v>1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40">
        <v>0</v>
      </c>
      <c r="C31" s="1"/>
      <c r="D31" s="1"/>
      <c r="E31" s="1"/>
      <c r="F31" s="1"/>
      <c r="G31" s="1"/>
      <c r="H31" s="1"/>
      <c r="I31" s="1"/>
      <c r="J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40">
        <v>5</v>
      </c>
      <c r="B32" s="13" t="str" cm="1">
        <f t="array" aca="1" ref="B32" ca="1">visible(E17, K32)</f>
        <v>وحدة سفلية دلفة / دلفتين</v>
      </c>
      <c r="C32" s="17" cm="1">
        <f t="array" aca="1" ref="C32" ca="1">visible(7,K32)</f>
        <v>7</v>
      </c>
      <c r="D32" s="17" t="str" cm="1">
        <f t="array" aca="1" ref="D32" ca="1">visible((E18),K32)</f>
        <v>ظهر</v>
      </c>
      <c r="E32" s="17" t="str" cm="1">
        <f t="array" aca="1" ref="E32" ca="1">visible(("ظهر"),K32)</f>
        <v>ظهر</v>
      </c>
      <c r="F32" s="17" cm="1">
        <f t="array" aca="1" ref="F32" ca="1">visible((I20-2),K32)</f>
        <v>76</v>
      </c>
      <c r="G32" s="17">
        <f ca="1">visible((H20-2),K32)</f>
        <v>-2</v>
      </c>
      <c r="H32" s="17" cm="1">
        <f t="array" aca="1" ref="H32" ca="1">visible((C17),K32)</f>
        <v>1</v>
      </c>
      <c r="I32" s="17">
        <f ca="1">visible(materialNum(D32), K32)</f>
        <v>2</v>
      </c>
      <c r="J32" s="17">
        <f ca="1">visible(engraving(I32), K32)</f>
        <v>2</v>
      </c>
      <c r="K32" s="17" t="b">
        <f ca="1">C18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40">
        <v>255</v>
      </c>
      <c r="C33"/>
      <c r="D33"/>
      <c r="E33"/>
      <c r="F33"/>
      <c r="G33"/>
      <c r="H33"/>
      <c r="I33"/>
      <c r="J33"/>
      <c r="K3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40">
        <v>255</v>
      </c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41" t="s">
        <v>93</v>
      </c>
      <c r="C35" s="12">
        <v>1</v>
      </c>
      <c r="D35" s="20" t="s">
        <v>51</v>
      </c>
      <c r="E35" s="114" t="s">
        <v>112</v>
      </c>
      <c r="F35" s="115"/>
      <c r="G35" s="115"/>
      <c r="H35" s="116"/>
      <c r="I35" s="2" t="s">
        <v>26</v>
      </c>
      <c r="J35" s="2">
        <f>letterToNumber(A35)</f>
        <v>2</v>
      </c>
      <c r="K35" s="25">
        <f ca="1">_xlfn.SHEET("وحدات سفلية")</f>
        <v>4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21" x14ac:dyDescent="0.3">
      <c r="A36" s="40">
        <v>1</v>
      </c>
      <c r="C36" s="25" t="b" cm="1">
        <f t="array" aca="1" ref="C36" ca="1">defaultValue(D36,K35)</f>
        <v>1</v>
      </c>
      <c r="D36" s="7" t="s">
        <v>77</v>
      </c>
      <c r="E36" s="25" t="str" cm="1">
        <f t="array" aca="1" ref="E36" ca="1">defaultValue(F36,K35)</f>
        <v>ظهر</v>
      </c>
      <c r="F36" s="7" t="s">
        <v>50</v>
      </c>
      <c r="G36" s="25" t="str" cm="1">
        <f t="array" aca="1" ref="G36" ca="1">defaultValue(H36,K35)</f>
        <v>يوفيلاك</v>
      </c>
      <c r="H36" s="7" t="s">
        <v>28</v>
      </c>
      <c r="I36" s="25" t="str" cm="1">
        <f t="array" aca="1" ref="I36" ca="1">defaultValue(J36,K35)</f>
        <v>HPL</v>
      </c>
      <c r="J36" s="7" t="s">
        <v>27</v>
      </c>
      <c r="K36" s="23" t="s">
        <v>75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ht="31.2" x14ac:dyDescent="0.3">
      <c r="A37" s="40">
        <v>1</v>
      </c>
      <c r="C37" s="7" t="s">
        <v>86</v>
      </c>
      <c r="D37" s="7" t="s">
        <v>85</v>
      </c>
      <c r="E37" s="68" t="s">
        <v>84</v>
      </c>
      <c r="F37" s="68" t="s">
        <v>114</v>
      </c>
      <c r="G37" s="7" t="s">
        <v>14</v>
      </c>
      <c r="H37" s="7" t="s">
        <v>19</v>
      </c>
      <c r="I37" s="7" t="s">
        <v>3</v>
      </c>
      <c r="J37" s="7" t="s">
        <v>76</v>
      </c>
      <c r="K37" s="7" t="s">
        <v>17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40">
        <v>1</v>
      </c>
      <c r="C38" s="25">
        <v>1</v>
      </c>
      <c r="D38" s="25">
        <v>1</v>
      </c>
      <c r="E38" s="8">
        <v>1</v>
      </c>
      <c r="F38" s="25">
        <v>1</v>
      </c>
      <c r="G38" s="25" cm="1">
        <f t="array" aca="1" ref="G38" ca="1">defaultValue(G37,K35)</f>
        <v>3.5</v>
      </c>
      <c r="H38" s="8">
        <v>80</v>
      </c>
      <c r="I38" s="25" cm="1">
        <f t="array" aca="1" ref="I38" ca="1">defaultValue(I37,K35)</f>
        <v>78</v>
      </c>
      <c r="J38" s="25" cm="1">
        <f t="array" aca="1" ref="J38" ca="1">defaultValue(J37,K35)</f>
        <v>56</v>
      </c>
      <c r="K38" s="8" cm="1">
        <f t="array" aca="1" ref="K38" ca="1">defaultValue(K37,K35)</f>
        <v>45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40">
        <v>1</v>
      </c>
      <c r="C39" s="25">
        <v>30</v>
      </c>
      <c r="D39" s="25">
        <v>20</v>
      </c>
      <c r="E39" s="38">
        <v>7</v>
      </c>
      <c r="F39" s="25">
        <v>10</v>
      </c>
      <c r="G39" s="25">
        <v>3</v>
      </c>
      <c r="H39" s="26" t="s">
        <v>87</v>
      </c>
      <c r="I39" s="25">
        <v>0</v>
      </c>
      <c r="J39" s="126" t="s">
        <v>115</v>
      </c>
      <c r="K39" s="127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40">
        <v>0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40">
        <v>2</v>
      </c>
      <c r="C41" s="6" t="s">
        <v>4</v>
      </c>
      <c r="D41" s="6" t="s">
        <v>9</v>
      </c>
      <c r="E41" s="6" t="s">
        <v>5</v>
      </c>
      <c r="F41" s="6" t="s">
        <v>7</v>
      </c>
      <c r="G41" s="6" t="s">
        <v>1</v>
      </c>
      <c r="H41" s="6" t="s">
        <v>6</v>
      </c>
      <c r="I41" s="6" t="s">
        <v>29</v>
      </c>
      <c r="J41" s="6" t="s">
        <v>129</v>
      </c>
      <c r="K41" s="6" t="s">
        <v>113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40">
        <v>0</v>
      </c>
      <c r="C42" s="1"/>
      <c r="D42" s="1"/>
      <c r="E42" s="1"/>
      <c r="F42" s="1"/>
      <c r="G42" s="1"/>
      <c r="H42" s="1"/>
      <c r="I42" s="1"/>
      <c r="J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40">
        <v>3</v>
      </c>
      <c r="B43" s="13" t="str" cm="1">
        <f t="array" ref="B43">visible(E35, K43)</f>
        <v>وحدة سفلية ادراج</v>
      </c>
      <c r="C43" s="6">
        <f>visible(1,K43)</f>
        <v>1</v>
      </c>
      <c r="D43" s="6" t="str" cm="1">
        <f t="array" aca="1" ref="D43" ca="1">visible((I36),K43)</f>
        <v>HPL</v>
      </c>
      <c r="E43" s="6" t="str" cm="1">
        <f t="array" ref="E43">visible(("قاعدة"),K43)</f>
        <v>قاعدة</v>
      </c>
      <c r="F43" s="6" cm="1">
        <f t="array" ref="F43">visible((H38 -3.6),K43)</f>
        <v>76.400000000000006</v>
      </c>
      <c r="G43" s="6" cm="1">
        <f t="array" aca="1" ref="G43" ca="1">visible((J38),K43)</f>
        <v>56</v>
      </c>
      <c r="H43" s="6" cm="1">
        <f t="array" ref="H43">visible((C35),K43)</f>
        <v>1</v>
      </c>
      <c r="I43" s="6">
        <f t="shared" ref="I43:I57" ca="1" si="0">visible(materialNum(D43), K43)</f>
        <v>2</v>
      </c>
      <c r="J43" s="6">
        <f ca="1">visible(engraving(I43), K43)</f>
        <v>2</v>
      </c>
      <c r="K43" s="6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40">
        <v>3</v>
      </c>
      <c r="B44" s="13" t="str" cm="1">
        <f t="array" ref="B44">visible(E35, K44)</f>
        <v>وحدة سفلية ادراج</v>
      </c>
      <c r="C44" s="6">
        <f>visible(2,K44)</f>
        <v>2</v>
      </c>
      <c r="D44" s="6" t="str" cm="1">
        <f t="array" aca="1" ref="D44" ca="1">visible((I36),K44)</f>
        <v>HPL</v>
      </c>
      <c r="E44" s="6" t="str" cm="1">
        <f t="array" ref="E44">visible(("أجناب"),K44)</f>
        <v>أجناب</v>
      </c>
      <c r="F44" s="6" cm="1">
        <f t="array" aca="1" ref="F44" ca="1">visible((I38),K44)</f>
        <v>78</v>
      </c>
      <c r="G44" s="6" cm="1">
        <f t="array" aca="1" ref="G44" ca="1">visible((J38),K44)</f>
        <v>56</v>
      </c>
      <c r="H44" s="6" cm="1">
        <f t="array" ref="H44">visible((2 *C35),K44)</f>
        <v>2</v>
      </c>
      <c r="I44" s="6">
        <f t="shared" ca="1" si="0"/>
        <v>2</v>
      </c>
      <c r="J44" s="6">
        <f ca="1">visible(engraving(I44), K44)</f>
        <v>2</v>
      </c>
      <c r="K44" s="6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40">
        <v>3</v>
      </c>
      <c r="B45" s="13" t="str" cm="1">
        <f t="array" ref="B45">visible(E35, K45)</f>
        <v>وحدة سفلية ادراج</v>
      </c>
      <c r="C45" s="6">
        <f>visible(3,K45)</f>
        <v>3</v>
      </c>
      <c r="D45" s="6" t="str" cm="1">
        <f t="array" aca="1" ref="D45" ca="1">visible((I36),K45)</f>
        <v>HPL</v>
      </c>
      <c r="E45" s="6" t="str" cm="1">
        <f t="array" ref="E45">visible(("مرايا علوية 1"),K45)</f>
        <v>مرايا علوية 1</v>
      </c>
      <c r="F45" s="6" cm="1">
        <f t="array" ref="F45">visible((H38-3.6),K45)</f>
        <v>76.400000000000006</v>
      </c>
      <c r="G45" s="6" cm="1">
        <f t="array" ref="G45">visible((10),K45)</f>
        <v>10</v>
      </c>
      <c r="H45" s="6" cm="1">
        <f t="array" ref="H45">visible((C35),K45)</f>
        <v>1</v>
      </c>
      <c r="I45" s="6">
        <f t="shared" ca="1" si="0"/>
        <v>2</v>
      </c>
      <c r="J45" s="6">
        <f ca="1">visible(engraving(I45), K45)</f>
        <v>2</v>
      </c>
      <c r="K45" s="6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40">
        <v>3</v>
      </c>
      <c r="B46" s="13" t="str" cm="1">
        <f t="array" ref="B46">visible(E35, K46)</f>
        <v>وحدة سفلية ادراج</v>
      </c>
      <c r="C46" s="6">
        <f>visible(4,K46)</f>
        <v>4</v>
      </c>
      <c r="D46" s="6" t="str" cm="1">
        <f t="array" aca="1" ref="D46" ca="1">visible((I36),K46)</f>
        <v>HPL</v>
      </c>
      <c r="E46" s="6" t="str" cm="1">
        <f t="array" ref="E46">visible(("مرايا علوية 2"),K46)</f>
        <v>مرايا علوية 2</v>
      </c>
      <c r="F46" s="6" cm="1">
        <f t="array" ref="F46">visible((H38-3.6),K46)</f>
        <v>76.400000000000006</v>
      </c>
      <c r="G46" s="6" cm="1">
        <f t="array" ref="G46">visible((7),K46)</f>
        <v>7</v>
      </c>
      <c r="H46" s="6" cm="1">
        <f t="array" ref="H46">visible((C35),K46)</f>
        <v>1</v>
      </c>
      <c r="I46" s="6">
        <f t="shared" ca="1" si="0"/>
        <v>2</v>
      </c>
      <c r="J46" s="6">
        <f ca="1">visible(engraving(I46), K46)</f>
        <v>2</v>
      </c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40">
        <v>3</v>
      </c>
      <c r="B47" s="13" t="str" cm="1">
        <f t="array" ref="B47">visible(E35, K47)</f>
        <v>وحدة سفلية ادراج</v>
      </c>
      <c r="C47" s="10">
        <f>visible(5,K47)</f>
        <v>5</v>
      </c>
      <c r="D47" s="10" t="str" cm="1">
        <f t="array" aca="1" ref="D47" ca="1">visible((I36),K47)</f>
        <v>HPL</v>
      </c>
      <c r="E47" s="10" t="str" cm="1">
        <f t="array" ref="E47">visible(("وش درج داخلي A"),K47)</f>
        <v>وش درج داخلي A</v>
      </c>
      <c r="F47" s="10" cm="1">
        <f t="array" ref="F47">visible((H38-3.6-3.6-2.5),K47)</f>
        <v>70.3</v>
      </c>
      <c r="G47" s="10" cm="1">
        <f t="array" ref="G47">visible((F39),K47)</f>
        <v>10</v>
      </c>
      <c r="H47" s="10" cm="1">
        <f t="array" ref="H47">visible((F38*C35),K47)</f>
        <v>1</v>
      </c>
      <c r="I47" s="10">
        <f t="shared" ca="1" si="0"/>
        <v>2</v>
      </c>
      <c r="J47" s="10">
        <f ca="1">visible(engraving(I47), K47)</f>
        <v>2</v>
      </c>
      <c r="K47" s="10" t="b">
        <f>F38&gt;0</f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40">
        <v>3</v>
      </c>
      <c r="B48" s="13" t="str">
        <f>visible(E35, K48)</f>
        <v>وحدة سفلية ادراج</v>
      </c>
      <c r="C48" s="10">
        <f>visible(6,K48)</f>
        <v>6</v>
      </c>
      <c r="D48" s="10" t="str">
        <f ca="1">visible((I36),K48)</f>
        <v>HPL</v>
      </c>
      <c r="E48" s="10" t="str" cm="1">
        <f t="array" ref="E48">visible(("جنب درج داخلي A"),K48)</f>
        <v>جنب درج داخلي A</v>
      </c>
      <c r="F48" s="10" cm="1">
        <f t="array" aca="1" ref="F48" ca="1">visible((K38),K48)</f>
        <v>45</v>
      </c>
      <c r="G48" s="10" cm="1">
        <f t="array" ref="G48">visible((F39),K48)</f>
        <v>10</v>
      </c>
      <c r="H48" s="10" cm="1">
        <f t="array" ref="H48">visible((F38*C35*2),K48)</f>
        <v>2</v>
      </c>
      <c r="I48" s="10">
        <f t="shared" ca="1" si="0"/>
        <v>2</v>
      </c>
      <c r="J48" s="10">
        <f ca="1">visible(engraving(I48), K48)</f>
        <v>2</v>
      </c>
      <c r="K48" s="10" t="b">
        <f>F38&gt;0</f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40">
        <v>3</v>
      </c>
      <c r="B49" s="13" t="str">
        <f>visible(E35, K49)</f>
        <v>وحدة سفلية ادراج</v>
      </c>
      <c r="C49" s="10">
        <f>visible(7,K49)</f>
        <v>7</v>
      </c>
      <c r="D49" s="10" t="str">
        <f ca="1">visible((I36),K49)</f>
        <v>HPL</v>
      </c>
      <c r="E49" s="10" t="str" cm="1">
        <f t="array" ref="E49">visible(("ظهر درج داخلي A"),K49)</f>
        <v>ظهر درج داخلي A</v>
      </c>
      <c r="F49" s="10" cm="1">
        <f t="array" ref="F49">visible((H38-3.6-3.6-2.5),K49)</f>
        <v>70.3</v>
      </c>
      <c r="G49" s="10" cm="1">
        <f t="array" ref="G49">visible((F39-3),K49)</f>
        <v>7</v>
      </c>
      <c r="H49" s="10" cm="1">
        <f t="array" ref="H49">visible((F38*C35),K49)</f>
        <v>1</v>
      </c>
      <c r="I49" s="10">
        <f t="shared" ca="1" si="0"/>
        <v>2</v>
      </c>
      <c r="J49" s="10">
        <f ca="1">visible(engraving(I49), K49)</f>
        <v>2</v>
      </c>
      <c r="K49" s="10" t="b">
        <f>F38&gt;0</f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40">
        <v>3</v>
      </c>
      <c r="B50" s="13" t="str">
        <f>visible(E35, K50)</f>
        <v>وحدة سفلية ادراج</v>
      </c>
      <c r="C50" s="6">
        <f>visible(8,K50)</f>
        <v>8</v>
      </c>
      <c r="D50" s="6" t="str">
        <f ca="1">visible((I36),K50)</f>
        <v>HPL</v>
      </c>
      <c r="E50" s="6" t="str" cm="1">
        <f t="array" ref="E50">visible(("وش درج داخلي 20"),K50)</f>
        <v>وش درج داخلي 20</v>
      </c>
      <c r="F50" s="6" cm="1">
        <f t="array" ref="F50">visible((H38-3.6-3.6-2.5),K50)</f>
        <v>70.3</v>
      </c>
      <c r="G50" s="6" cm="1">
        <f t="array" ref="G50">visible((D39),K50)</f>
        <v>20</v>
      </c>
      <c r="H50" s="6" cm="1">
        <f t="array" ref="H50">visible((D38*C35),K50)</f>
        <v>1</v>
      </c>
      <c r="I50" s="6">
        <f t="shared" ca="1" si="0"/>
        <v>2</v>
      </c>
      <c r="J50" s="6">
        <f ca="1">visible(engraving(I50), K50)</f>
        <v>2</v>
      </c>
      <c r="K50" s="6" t="b">
        <f>D38&gt;0</f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40">
        <v>3</v>
      </c>
      <c r="B51" s="13" t="str">
        <f>visible(E35, K51)</f>
        <v>وحدة سفلية ادراج</v>
      </c>
      <c r="C51" s="6">
        <f>visible(9,K51)</f>
        <v>9</v>
      </c>
      <c r="D51" s="6" t="str">
        <f ca="1">visible((I36),K51)</f>
        <v>HPL</v>
      </c>
      <c r="E51" s="6" t="str" cm="1">
        <f t="array" ref="E51">visible(("جنب درج داخلي 20"),K51)</f>
        <v>جنب درج داخلي 20</v>
      </c>
      <c r="F51" s="6" cm="1">
        <f t="array" aca="1" ref="F51" ca="1">visible((K38),K51)</f>
        <v>45</v>
      </c>
      <c r="G51" s="6" cm="1">
        <f t="array" ref="G51">visible((D39),K51)</f>
        <v>20</v>
      </c>
      <c r="H51" s="6" cm="1">
        <f t="array" ref="H51">visible((D38*C35*2),K51)</f>
        <v>2</v>
      </c>
      <c r="I51" s="6">
        <f t="shared" ca="1" si="0"/>
        <v>2</v>
      </c>
      <c r="J51" s="6">
        <f ca="1">visible(engraving(I51), K51)</f>
        <v>2</v>
      </c>
      <c r="K51" s="6" t="b">
        <f>D38&gt;0</f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40">
        <v>3</v>
      </c>
      <c r="B52" s="13" t="str">
        <f>visible(E35, K52)</f>
        <v>وحدة سفلية ادراج</v>
      </c>
      <c r="C52" s="6">
        <f>visible(10,K52)</f>
        <v>10</v>
      </c>
      <c r="D52" s="6" t="str">
        <f ca="1">visible((I36),K52)</f>
        <v>HPL</v>
      </c>
      <c r="E52" s="6" t="str" cm="1">
        <f t="array" ref="E52">visible(("ظهر درج داخلي 20"),K52)</f>
        <v>ظهر درج داخلي 20</v>
      </c>
      <c r="F52" s="6" cm="1">
        <f t="array" ref="F52">visible((H38-3.6-3.6-2.5),K52)</f>
        <v>70.3</v>
      </c>
      <c r="G52" s="6" cm="1">
        <f t="array" ref="G52">visible((D39-3),K52)</f>
        <v>17</v>
      </c>
      <c r="H52" s="6" cm="1">
        <f t="array" ref="H52">visible((D38*C35),K52)</f>
        <v>1</v>
      </c>
      <c r="I52" s="6">
        <f t="shared" ca="1" si="0"/>
        <v>2</v>
      </c>
      <c r="J52" s="6">
        <f ca="1">visible(engraving(I52), K52)</f>
        <v>2</v>
      </c>
      <c r="K52" s="6" t="b">
        <f>D38&gt;0</f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40">
        <v>3</v>
      </c>
      <c r="B53" s="13" t="str">
        <f>visible(E35, K53)</f>
        <v>وحدة سفلية ادراج</v>
      </c>
      <c r="C53" s="10">
        <f>visible(11,K53)</f>
        <v>11</v>
      </c>
      <c r="D53" s="10" t="str">
        <f ca="1">visible((I36),K53)</f>
        <v>HPL</v>
      </c>
      <c r="E53" s="10" t="str" cm="1">
        <f t="array" ref="E53">visible(("وش درج داخلي 30"),K53)</f>
        <v>وش درج داخلي 30</v>
      </c>
      <c r="F53" s="10" cm="1">
        <f t="array" ref="F53">visible((H38-3.6-3.6-2.5),K53)</f>
        <v>70.3</v>
      </c>
      <c r="G53" s="10" cm="1">
        <f t="array" ref="G53">visible((C39),K53)</f>
        <v>30</v>
      </c>
      <c r="H53" s="10" cm="1">
        <f t="array" ref="H53">visible((C38*C35),K53)</f>
        <v>1</v>
      </c>
      <c r="I53" s="10">
        <f t="shared" ca="1" si="0"/>
        <v>2</v>
      </c>
      <c r="J53" s="10">
        <f ca="1">visible(engraving(I53), K53)</f>
        <v>2</v>
      </c>
      <c r="K53" s="10" t="b">
        <f>C38&gt;0</f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x14ac:dyDescent="0.3">
      <c r="A54" s="40">
        <v>3</v>
      </c>
      <c r="B54" s="13" t="str">
        <f>visible(E35, K54)</f>
        <v>وحدة سفلية ادراج</v>
      </c>
      <c r="C54" s="10">
        <f>visible(12,K54)</f>
        <v>12</v>
      </c>
      <c r="D54" s="10" t="str">
        <f ca="1">visible((I36),K54)</f>
        <v>HPL</v>
      </c>
      <c r="E54" s="10" t="str" cm="1">
        <f t="array" ref="E54">visible(("جنب درج داخلي 30"),K54)</f>
        <v>جنب درج داخلي 30</v>
      </c>
      <c r="F54" s="10" cm="1">
        <f t="array" aca="1" ref="F54" ca="1">visible((K38),K54)</f>
        <v>45</v>
      </c>
      <c r="G54" s="10" cm="1">
        <f t="array" ref="G54">visible((C39),K54)</f>
        <v>30</v>
      </c>
      <c r="H54" s="10" cm="1">
        <f t="array" ref="H54">visible((C38*C35*2),K54)</f>
        <v>2</v>
      </c>
      <c r="I54" s="10">
        <f t="shared" ca="1" si="0"/>
        <v>2</v>
      </c>
      <c r="J54" s="10">
        <f ca="1">visible(engraving(I54), K54)</f>
        <v>2</v>
      </c>
      <c r="K54" s="10" t="b">
        <f>C38&gt;0</f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40">
        <v>3</v>
      </c>
      <c r="B55" s="13" t="str">
        <f>visible(E35, K55)</f>
        <v>وحدة سفلية ادراج</v>
      </c>
      <c r="C55" s="10">
        <f>visible(13,K55)</f>
        <v>13</v>
      </c>
      <c r="D55" s="10" t="str">
        <f ca="1">visible((I36),K55)</f>
        <v>HPL</v>
      </c>
      <c r="E55" s="10" t="str" cm="1">
        <f t="array" ref="E55">visible(("ظهر درج داخلي 30"),K55)</f>
        <v>ظهر درج داخلي 30</v>
      </c>
      <c r="F55" s="10" cm="1">
        <f t="array" ref="F55">visible((H38-3.6-3.6-2.5),K55)</f>
        <v>70.3</v>
      </c>
      <c r="G55" s="10" cm="1">
        <f t="array" ref="G55">visible((C39-3),K55)</f>
        <v>27</v>
      </c>
      <c r="H55" s="10" cm="1">
        <f t="array" ref="H55">visible((C38*C35),K55)</f>
        <v>1</v>
      </c>
      <c r="I55" s="10">
        <f t="shared" ca="1" si="0"/>
        <v>2</v>
      </c>
      <c r="J55" s="10">
        <f ca="1">visible(engraving(I55), K55)</f>
        <v>2</v>
      </c>
      <c r="K55" s="10" t="b">
        <f>C38&gt;0</f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40">
        <v>3</v>
      </c>
      <c r="B56" s="13" t="str">
        <f>visible(E35, K56)</f>
        <v>وحدة سفلية ادراج</v>
      </c>
      <c r="C56" s="6">
        <f>visible(14,K56)</f>
        <v>14</v>
      </c>
      <c r="D56" s="6" t="str">
        <f ca="1">visible((I36),K56)</f>
        <v>HPL</v>
      </c>
      <c r="E56" s="6" t="str" cm="1">
        <f t="array" ref="E56">visible(("وش / ظهر درج تربو"),K56)</f>
        <v>وش / ظهر درج تربو</v>
      </c>
      <c r="F56" s="6" cm="1">
        <f t="array" ref="F56">visible((H38-3.6-3.6-2.5),K56)</f>
        <v>70.3</v>
      </c>
      <c r="G56" s="6" cm="1">
        <f t="array" ref="G56">visible((E39),K56)</f>
        <v>7</v>
      </c>
      <c r="H56" s="6" cm="1">
        <f t="array" ref="H56">visible((E38*C35*2),K56)</f>
        <v>2</v>
      </c>
      <c r="I56" s="6">
        <f t="shared" ca="1" si="0"/>
        <v>2</v>
      </c>
      <c r="J56" s="6">
        <f ca="1">visible(engraving(I56), K56)</f>
        <v>2</v>
      </c>
      <c r="K56" s="6" t="b">
        <f>E38&gt;0</f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40">
        <v>3</v>
      </c>
      <c r="B57" s="13" t="str">
        <f>visible(E35, K57)</f>
        <v>وحدة سفلية ادراج</v>
      </c>
      <c r="C57" s="6">
        <f>visible(15,K57)</f>
        <v>15</v>
      </c>
      <c r="D57" s="6" t="str">
        <f ca="1">visible((I36),K57)</f>
        <v>HPL</v>
      </c>
      <c r="E57" s="6" t="str" cm="1">
        <f t="array" ref="E57">visible(("جنب درج تربو"),K57)</f>
        <v>جنب درج تربو</v>
      </c>
      <c r="F57" s="6" cm="1">
        <f t="array" aca="1" ref="F57" ca="1">visible((K38),K57)</f>
        <v>45</v>
      </c>
      <c r="G57" s="6" cm="1">
        <f t="array" ref="G57">visible((E39),K57)</f>
        <v>7</v>
      </c>
      <c r="H57" s="6" cm="1">
        <f t="array" ref="H57">visible((E38*C35*2),K57)</f>
        <v>2</v>
      </c>
      <c r="I57" s="6">
        <f t="shared" ca="1" si="0"/>
        <v>2</v>
      </c>
      <c r="J57" s="6">
        <f ca="1">visible(engraving(I57), K57)</f>
        <v>2</v>
      </c>
      <c r="K57" s="6" t="b">
        <f>E38&gt;0</f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40">
        <v>0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40">
        <v>4</v>
      </c>
      <c r="B59" s="13" t="str" cm="1">
        <f t="array" ref="B59">visible(E35, K59)</f>
        <v>وحدة سفلية ادراج</v>
      </c>
      <c r="C59" s="9">
        <f>visible(16,K59)</f>
        <v>16</v>
      </c>
      <c r="D59" s="9" t="str" cm="1">
        <f t="array" aca="1" ref="D59" ca="1">visible((G36),K59)</f>
        <v>يوفيلاك</v>
      </c>
      <c r="E59" s="9" t="str" cm="1">
        <f t="array" ref="E59">visible(("وش درج خارجى2/3  متساوية"),K59)</f>
        <v>وش درج خارجى2/3  متساوية</v>
      </c>
      <c r="F59" s="9">
        <f ca="1">visible(((I38/G39)-0.7-G38),K59)</f>
        <v>21.8</v>
      </c>
      <c r="G59" s="9">
        <f>visible((H38-0.7),K59)</f>
        <v>79.3</v>
      </c>
      <c r="H59" s="9" cm="1">
        <f t="array" ref="H59">visible((C35*G39),K59)</f>
        <v>3</v>
      </c>
      <c r="I59" s="9">
        <f ca="1">visible(materialNum(D59), K59)</f>
        <v>6</v>
      </c>
      <c r="J59" s="9">
        <f ca="1">visible(engraving(I59), K59)</f>
        <v>2</v>
      </c>
      <c r="K59" s="9" t="b">
        <f>G39&lt;=3</f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40">
        <v>4</v>
      </c>
      <c r="B60" s="13" t="str">
        <f>visible(E35, K60)</f>
        <v/>
      </c>
      <c r="C60" s="9" t="str">
        <f>visible(17,K60)</f>
        <v/>
      </c>
      <c r="D60" s="9" t="str">
        <f ca="1">visible((G36),K60)</f>
        <v/>
      </c>
      <c r="E60" s="9" t="str" cm="1">
        <f t="array" ref="E60">visible(("وش درج خارجى 4 متساوية"),K60)</f>
        <v/>
      </c>
      <c r="F60" s="9" t="str" cm="1">
        <f t="array" aca="1" ref="F60" ca="1">visible(((I38/G39)-0.5-G38),K60)</f>
        <v/>
      </c>
      <c r="G60" s="9" t="str" cm="1">
        <f t="array" ref="G60">visible((H38-0.5),K60)</f>
        <v/>
      </c>
      <c r="H60" s="9" t="str">
        <f>visible(G39*I39,K60)</f>
        <v/>
      </c>
      <c r="I60" s="9" t="str">
        <f ca="1">visible(materialNum(D60), K60)</f>
        <v/>
      </c>
      <c r="J60" s="9" t="str">
        <f ca="1">visible(engraving(I60), K60)</f>
        <v/>
      </c>
      <c r="K60" s="9" t="b">
        <f>AND(G39=4,I39)</f>
        <v>0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40">
        <v>4</v>
      </c>
      <c r="B61" s="13" t="str">
        <f>visible(E35, K61)</f>
        <v/>
      </c>
      <c r="C61" s="9" t="str">
        <f>visible(18,K61)</f>
        <v/>
      </c>
      <c r="D61" s="9" t="str">
        <f ca="1">visible((G36),K61)</f>
        <v/>
      </c>
      <c r="E61" s="9" t="str" cm="1">
        <f t="array" ref="E61">visible(("وش درج خارجى صغير- 3 مختلفة"),K61)</f>
        <v/>
      </c>
      <c r="F61" s="9" t="str" cm="1">
        <f t="array" aca="1" ref="F61" ca="1">visible(((I38/G39)-0.5-G38),K61)</f>
        <v/>
      </c>
      <c r="G61" s="9" t="str" cm="1">
        <f t="array" ref="G61">visible((H38-0.5),K61)</f>
        <v/>
      </c>
      <c r="H61" s="9" t="str">
        <f>visible(G39*I39,K61)</f>
        <v/>
      </c>
      <c r="I61" s="9" t="str">
        <f ca="1">visible(materialNum(D61), K61)</f>
        <v/>
      </c>
      <c r="J61" s="9" t="str">
        <f ca="1">visible(engraving(I61), K61)</f>
        <v/>
      </c>
      <c r="K61" s="9" t="b">
        <f>AND(G39=4,NOT(I39))</f>
        <v>0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40">
        <v>4</v>
      </c>
      <c r="B62" s="13" t="str">
        <f>visible(E35, K62)</f>
        <v/>
      </c>
      <c r="C62" s="9" t="str">
        <f>visible(19,K62)</f>
        <v/>
      </c>
      <c r="D62" s="9" t="str">
        <f ca="1">visible((G36),K62)</f>
        <v/>
      </c>
      <c r="E62" s="9" t="str" cm="1">
        <f t="array" ref="E62">visible(("وش درج خارجى كبير- 3 مختلفة"),K62)</f>
        <v/>
      </c>
      <c r="F62" s="9" t="str" cm="1">
        <f t="array" aca="1" ref="F62" ca="1">visible((((I38/G39)*2)-0.5-G38),K62)</f>
        <v/>
      </c>
      <c r="G62" s="9" t="str" cm="1">
        <f t="array" ref="G62">visible((H38-0.5),K62)</f>
        <v/>
      </c>
      <c r="H62" s="9" t="str">
        <f>visible(G39*I39,K62)</f>
        <v/>
      </c>
      <c r="I62" s="9" t="str">
        <f ca="1">visible(materialNum(D62), K62)</f>
        <v/>
      </c>
      <c r="J62" s="9" t="str">
        <f ca="1">visible(engraving(I62), K62)</f>
        <v/>
      </c>
      <c r="K62" s="9" t="b">
        <f>AND(G39=4,NOT(I39))</f>
        <v>0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40">
        <v>0</v>
      </c>
      <c r="C63" s="1"/>
      <c r="D63" s="1"/>
      <c r="E63" s="1"/>
      <c r="F63" s="1"/>
      <c r="G63" s="1"/>
      <c r="H63" s="1"/>
      <c r="I63" s="1"/>
      <c r="J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40">
        <v>5</v>
      </c>
      <c r="B64" s="13" t="str" cm="1">
        <f t="array" aca="1" ref="B64" ca="1">visible(E35, K64)</f>
        <v>وحدة سفلية ادراج</v>
      </c>
      <c r="C64" s="17">
        <f ca="1">visible(20,K64)</f>
        <v>20</v>
      </c>
      <c r="D64" s="17" t="str" cm="1">
        <f t="array" aca="1" ref="D64" ca="1">visible((E36),K64)</f>
        <v>ظهر</v>
      </c>
      <c r="E64" s="17" t="str" cm="1">
        <f t="array" aca="1" ref="E64" ca="1">visible(("ظهر"),K64)</f>
        <v>ظهر</v>
      </c>
      <c r="F64" s="17" cm="1">
        <f t="array" aca="1" ref="F64" ca="1">visible((I38-2),K64)</f>
        <v>76</v>
      </c>
      <c r="G64" s="17" cm="1">
        <f t="array" aca="1" ref="G64" ca="1">visible((H38-2),K64)</f>
        <v>78</v>
      </c>
      <c r="H64" s="17" cm="1">
        <f t="array" aca="1" ref="H64" ca="1">visible((C35),K64)</f>
        <v>1</v>
      </c>
      <c r="I64" s="17">
        <f ca="1">visible(materialNum(D64), K64)</f>
        <v>2</v>
      </c>
      <c r="J64" s="17">
        <f ca="1">visible(engraving(I64), K64)</f>
        <v>2</v>
      </c>
      <c r="K64" s="17" t="b">
        <f ca="1">C36</f>
        <v>1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40">
        <v>5</v>
      </c>
      <c r="B65" s="13" t="str">
        <f>visible(E35, K65)</f>
        <v>وحدة سفلية ادراج</v>
      </c>
      <c r="C65" s="17">
        <f>visible(21,K65)</f>
        <v>21</v>
      </c>
      <c r="D65" s="17" t="str">
        <f ca="1">visible((E36),K65)</f>
        <v>ظهر</v>
      </c>
      <c r="E65" s="17" t="str" cm="1">
        <f t="array" ref="E65">visible(("قعر درج داخلي"),K65)</f>
        <v>قعر درج داخلي</v>
      </c>
      <c r="F65" s="17" cm="1">
        <f t="array" ref="F65">visible((H38-3.6-3.6-2.5+2),K65)</f>
        <v>72.3</v>
      </c>
      <c r="G65" s="17" cm="1">
        <f t="array" aca="1" ref="G65" ca="1">visible((K38-1),K65)</f>
        <v>44</v>
      </c>
      <c r="H65" s="17">
        <f>visible(C35*F38,K65)</f>
        <v>1</v>
      </c>
      <c r="I65" s="17">
        <f ca="1">visible(materialNum(D65), K65)</f>
        <v>2</v>
      </c>
      <c r="J65" s="17">
        <f ca="1">visible(engraving(I65), K65)</f>
        <v>2</v>
      </c>
      <c r="K65" s="17" t="b">
        <f>F38&gt;0</f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40">
        <v>5</v>
      </c>
      <c r="B66" s="13" t="str">
        <f>visible(E35, K66)</f>
        <v>وحدة سفلية ادراج</v>
      </c>
      <c r="C66" s="17">
        <f>visible(22,K66)</f>
        <v>22</v>
      </c>
      <c r="D66" s="17" t="str">
        <f ca="1">visible((E36),K66)</f>
        <v>ظهر</v>
      </c>
      <c r="E66" s="17" t="str" cm="1">
        <f t="array" ref="E66">visible(("قعر درج 30"),K66)</f>
        <v>قعر درج 30</v>
      </c>
      <c r="F66" s="17" cm="1">
        <f t="array" ref="F66">visible((H38-3.6-3.6-2.5+2),K66)</f>
        <v>72.3</v>
      </c>
      <c r="G66" s="17" cm="1">
        <f t="array" aca="1" ref="G66" ca="1">visible((K38-1),K66)</f>
        <v>44</v>
      </c>
      <c r="H66" s="17">
        <f>visible(C35*C38,K66)</f>
        <v>1</v>
      </c>
      <c r="I66" s="17">
        <f ca="1">visible(materialNum(D66), K66)</f>
        <v>2</v>
      </c>
      <c r="J66" s="17">
        <f ca="1">visible(engraving(I66), K66)</f>
        <v>2</v>
      </c>
      <c r="K66" s="17" t="b">
        <f>C38&gt;0</f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40">
        <v>5</v>
      </c>
      <c r="B67" s="13" t="str">
        <f>visible(E35, K67)</f>
        <v>وحدة سفلية ادراج</v>
      </c>
      <c r="C67" s="17">
        <f>visible(23,K67)</f>
        <v>23</v>
      </c>
      <c r="D67" s="17" t="str">
        <f ca="1">visible((E36),K67)</f>
        <v>ظهر</v>
      </c>
      <c r="E67" s="17" t="str" cm="1">
        <f t="array" ref="E67">visible(("قعر درج 20"),K67)</f>
        <v>قعر درج 20</v>
      </c>
      <c r="F67" s="17" cm="1">
        <f t="array" ref="F67">visible((H38-3.6-3.6-2.5+2),K67)</f>
        <v>72.3</v>
      </c>
      <c r="G67" s="17" cm="1">
        <f t="array" aca="1" ref="G67" ca="1">visible((K38-1),K67)</f>
        <v>44</v>
      </c>
      <c r="H67" s="17">
        <f>visible(C35*D38,K67)</f>
        <v>1</v>
      </c>
      <c r="I67" s="17">
        <f ca="1">visible(materialNum(D67), K67)</f>
        <v>2</v>
      </c>
      <c r="J67" s="17">
        <f ca="1">visible(engraving(I67), K67)</f>
        <v>2</v>
      </c>
      <c r="K67" s="17" t="b">
        <f>D38&gt;0</f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40">
        <v>255</v>
      </c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40">
        <v>255</v>
      </c>
      <c r="C69"/>
      <c r="D69"/>
      <c r="E69"/>
      <c r="F69"/>
      <c r="G69"/>
      <c r="H69"/>
      <c r="I69"/>
      <c r="J69"/>
      <c r="K69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31.2" x14ac:dyDescent="0.3">
      <c r="A70" s="41" t="s">
        <v>89</v>
      </c>
      <c r="C70" s="12">
        <v>1</v>
      </c>
      <c r="D70" s="20" t="s">
        <v>51</v>
      </c>
      <c r="E70" s="114" t="s">
        <v>130</v>
      </c>
      <c r="F70" s="115"/>
      <c r="G70" s="115"/>
      <c r="H70" s="116"/>
      <c r="I70" s="2" t="s">
        <v>26</v>
      </c>
      <c r="J70" s="2">
        <f>letterToNumber(A70)</f>
        <v>3</v>
      </c>
      <c r="K70" s="25">
        <f ca="1">_xlfn.SHEET("وحدات سفلية")</f>
        <v>4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ht="21" x14ac:dyDescent="0.3">
      <c r="A71" s="40">
        <v>1</v>
      </c>
      <c r="C71" s="25" t="b" cm="1">
        <f t="array" aca="1" ref="C71" ca="1">defaultValue(D71,K70)</f>
        <v>1</v>
      </c>
      <c r="D71" s="68" t="s">
        <v>77</v>
      </c>
      <c r="E71" s="25" t="str" cm="1">
        <f t="array" aca="1" ref="E71" ca="1">defaultValue(F71,K70)</f>
        <v>ظهر</v>
      </c>
      <c r="F71" s="7" t="s">
        <v>50</v>
      </c>
      <c r="G71" s="25" t="str" cm="1">
        <f t="array" aca="1" ref="G71" ca="1">defaultValue(H71,K70)</f>
        <v>يوفيلاك</v>
      </c>
      <c r="H71" s="7" t="s">
        <v>28</v>
      </c>
      <c r="I71" s="25" t="str" cm="1">
        <f t="array" aca="1" ref="I71" ca="1">defaultValue(J71,K70)</f>
        <v>HPL</v>
      </c>
      <c r="J71" s="7" t="s">
        <v>27</v>
      </c>
      <c r="K71" s="23" t="s">
        <v>75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40">
        <v>1</v>
      </c>
      <c r="C72" s="7" t="s">
        <v>12</v>
      </c>
      <c r="D72" s="7" t="s">
        <v>16</v>
      </c>
      <c r="E72" s="68" t="s">
        <v>20</v>
      </c>
      <c r="F72" s="7"/>
      <c r="G72" s="7" t="s">
        <v>14</v>
      </c>
      <c r="H72" s="7" t="s">
        <v>19</v>
      </c>
      <c r="I72" s="7" t="s">
        <v>3</v>
      </c>
      <c r="J72" s="7" t="s">
        <v>76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40">
        <v>1</v>
      </c>
      <c r="C73" s="25">
        <v>1</v>
      </c>
      <c r="D73" s="25">
        <v>1</v>
      </c>
      <c r="E73" s="38">
        <f ca="1">J73</f>
        <v>56</v>
      </c>
      <c r="F73" s="7"/>
      <c r="G73" s="25" cm="1">
        <f t="array" aca="1" ref="G73" ca="1">defaultValue(G72,K70)</f>
        <v>3.5</v>
      </c>
      <c r="H73" s="8">
        <v>100</v>
      </c>
      <c r="I73" s="25" cm="1">
        <f t="array" aca="1" ref="I73" ca="1">defaultValue(I72,K70)</f>
        <v>78</v>
      </c>
      <c r="J73" s="25" cm="1">
        <f t="array" aca="1" ref="J73" ca="1">defaultValue(J72,K70)</f>
        <v>56</v>
      </c>
      <c r="K73" s="7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40">
        <v>0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40">
        <v>2</v>
      </c>
      <c r="C75" s="6" t="s">
        <v>4</v>
      </c>
      <c r="D75" s="6" t="s">
        <v>9</v>
      </c>
      <c r="E75" s="6" t="s">
        <v>5</v>
      </c>
      <c r="F75" s="6" t="s">
        <v>7</v>
      </c>
      <c r="G75" s="6" t="s">
        <v>1</v>
      </c>
      <c r="H75" s="6" t="s">
        <v>6</v>
      </c>
      <c r="I75" s="6" t="s">
        <v>29</v>
      </c>
      <c r="J75" s="6" t="s">
        <v>129</v>
      </c>
      <c r="K75" s="6" t="s">
        <v>113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40">
        <v>0</v>
      </c>
      <c r="C76" s="1"/>
      <c r="D76" s="1"/>
      <c r="E76" s="1"/>
      <c r="F76" s="1"/>
      <c r="G76" s="1"/>
      <c r="H76" s="1"/>
      <c r="I76" s="1"/>
      <c r="J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40">
        <v>3</v>
      </c>
      <c r="B77" s="13" t="str" cm="1">
        <f t="array" ref="B77">visible(E70, K77)</f>
        <v>وحدة سفلية تلبيسة دلفة / دلفتين</v>
      </c>
      <c r="C77" s="6">
        <f>visible(1,K77)</f>
        <v>1</v>
      </c>
      <c r="D77" s="6" t="str" cm="1">
        <f t="array" aca="1" ref="D77" ca="1">visible((I71),K77)</f>
        <v>HPL</v>
      </c>
      <c r="E77" s="6" t="str" cm="1">
        <f t="array" ref="E77">visible(("قاعدة"),K77)</f>
        <v>قاعدة</v>
      </c>
      <c r="F77" s="6" cm="1">
        <f t="array" ref="F77">visible((H73 -3.6),K77)</f>
        <v>96.4</v>
      </c>
      <c r="G77" s="6" cm="1">
        <f t="array" aca="1" ref="G77" ca="1">visible((J73),K77)</f>
        <v>56</v>
      </c>
      <c r="H77" s="6" cm="1">
        <f t="array" ref="H77">visible((C70),K77)</f>
        <v>1</v>
      </c>
      <c r="I77" s="6">
        <f t="shared" ref="I77:I82" ca="1" si="1">visible(materialNum(D77), K77)</f>
        <v>2</v>
      </c>
      <c r="J77" s="6">
        <f ca="1">visible(engraving(I77), K77)</f>
        <v>2</v>
      </c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40">
        <v>3</v>
      </c>
      <c r="B78" s="13" t="str" cm="1">
        <f t="array" ref="B78">visible(E70, K78)</f>
        <v>وحدة سفلية تلبيسة دلفة / دلفتين</v>
      </c>
      <c r="C78" s="6">
        <f>visible(2,K78)</f>
        <v>2</v>
      </c>
      <c r="D78" s="6" t="str" cm="1">
        <f t="array" aca="1" ref="D78" ca="1">visible((I71),K78)</f>
        <v>HPL</v>
      </c>
      <c r="E78" s="6" t="str" cm="1">
        <f t="array" ref="E78">visible(("أجناب"),K78)</f>
        <v>أجناب</v>
      </c>
      <c r="F78" s="6" cm="1">
        <f t="array" aca="1" ref="F78" ca="1">visible((I73),K78)</f>
        <v>78</v>
      </c>
      <c r="G78" s="6" cm="1">
        <f t="array" aca="1" ref="G78" ca="1">visible((J73),K78)</f>
        <v>56</v>
      </c>
      <c r="H78" s="6" cm="1">
        <f t="array" ref="H78">visible((2 *C70),K78)</f>
        <v>2</v>
      </c>
      <c r="I78" s="6">
        <f t="shared" ca="1" si="1"/>
        <v>2</v>
      </c>
      <c r="J78" s="6">
        <f ca="1">visible(engraving(I78), K78)</f>
        <v>2</v>
      </c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40">
        <v>3</v>
      </c>
      <c r="B79" s="13" t="str" cm="1">
        <f t="array" ref="B79">visible(E70, K79)</f>
        <v>وحدة سفلية تلبيسة دلفة / دلفتين</v>
      </c>
      <c r="C79" s="6">
        <f>visible(3,K79)</f>
        <v>3</v>
      </c>
      <c r="D79" s="6" t="str" cm="1">
        <f t="array" aca="1" ref="D79" ca="1">visible((I71),K79)</f>
        <v>HPL</v>
      </c>
      <c r="E79" s="6" t="str" cm="1">
        <f t="array" ref="E79">visible(("مرايا علوية 1"),K79)</f>
        <v>مرايا علوية 1</v>
      </c>
      <c r="F79" s="6" cm="1">
        <f t="array" ref="F79">visible((H73-3.6),K79)</f>
        <v>96.4</v>
      </c>
      <c r="G79" s="6" cm="1">
        <f t="array" ref="G79">visible((10),K79)</f>
        <v>10</v>
      </c>
      <c r="H79" s="6" cm="1">
        <f t="array" ref="H79">visible((C70),K79)</f>
        <v>1</v>
      </c>
      <c r="I79" s="6">
        <f t="shared" ca="1" si="1"/>
        <v>2</v>
      </c>
      <c r="J79" s="6">
        <f ca="1">visible(engraving(I79), K79)</f>
        <v>2</v>
      </c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40">
        <v>3</v>
      </c>
      <c r="B80" s="13" t="str" cm="1">
        <f t="array" ref="B80">visible(E70, K80)</f>
        <v>وحدة سفلية تلبيسة دلفة / دلفتين</v>
      </c>
      <c r="C80" s="6">
        <f>visible(4,K80)</f>
        <v>4</v>
      </c>
      <c r="D80" s="6" t="str" cm="1">
        <f t="array" aca="1" ref="D80" ca="1">visible((I71),K80)</f>
        <v>HPL</v>
      </c>
      <c r="E80" s="6" t="str" cm="1">
        <f t="array" ref="E80">visible(("مرايا علوية 2"),K80)</f>
        <v>مرايا علوية 2</v>
      </c>
      <c r="F80" s="6" cm="1">
        <f t="array" ref="F80">visible((H73-3.6),K80)</f>
        <v>96.4</v>
      </c>
      <c r="G80" s="6" cm="1">
        <f t="array" ref="G80">visible((7),K80)</f>
        <v>7</v>
      </c>
      <c r="H80" s="6" cm="1">
        <f t="array" ref="H80">visible((C70),K80)</f>
        <v>1</v>
      </c>
      <c r="I80" s="6">
        <f t="shared" ca="1" si="1"/>
        <v>2</v>
      </c>
      <c r="J80" s="6">
        <f ca="1">visible(engraving(I80), K80)</f>
        <v>2</v>
      </c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40">
        <v>3</v>
      </c>
      <c r="B81" s="13" t="str" cm="1">
        <f t="array" ref="B81">visible(E70, K81)</f>
        <v>وحدة سفلية تلبيسة دلفة / دلفتين</v>
      </c>
      <c r="C81" s="6">
        <f>visible(5,K81)</f>
        <v>5</v>
      </c>
      <c r="D81" s="6" t="str" cm="1">
        <f t="array" aca="1" ref="D81" ca="1">visible((I71),K81)</f>
        <v>HPL</v>
      </c>
      <c r="E81" s="6" t="str" cm="1">
        <f t="array" ref="E81">visible(("رف"),K81)</f>
        <v>رف</v>
      </c>
      <c r="F81" s="6" cm="1">
        <f t="array" ref="F81">visible((H73-3.8),K81)</f>
        <v>96.2</v>
      </c>
      <c r="G81" s="6" cm="1">
        <f t="array" aca="1" ref="G81" ca="1">visible((J73-6),K81)</f>
        <v>50</v>
      </c>
      <c r="H81" s="6" cm="1">
        <f t="array" ref="H81">visible((D73*C70),K81)</f>
        <v>1</v>
      </c>
      <c r="I81" s="6">
        <f t="shared" ca="1" si="1"/>
        <v>2</v>
      </c>
      <c r="J81" s="6">
        <f ca="1">visible(engraving(I81), K81)</f>
        <v>2</v>
      </c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x14ac:dyDescent="0.3">
      <c r="A82" s="40">
        <v>3</v>
      </c>
      <c r="B82" s="13" t="str">
        <f>visible(E70, K82)</f>
        <v>وحدة سفلية تلبيسة دلفة / دلفتين</v>
      </c>
      <c r="C82" s="6">
        <f>visible(6,K82)</f>
        <v>6</v>
      </c>
      <c r="D82" s="6" t="str">
        <f ca="1">visible((I71),K82)</f>
        <v>HPL</v>
      </c>
      <c r="E82" s="6" t="str" cm="1">
        <f t="array" ref="E82">visible(("تلبيسة"),K82)</f>
        <v>تلبيسة</v>
      </c>
      <c r="F82" s="6" cm="1">
        <f t="array" aca="1" ref="F82" ca="1">visible((I73),K82)</f>
        <v>78</v>
      </c>
      <c r="G82" s="6" cm="1">
        <f t="array" aca="1" ref="G82" ca="1">visible((E73),K82)</f>
        <v>56</v>
      </c>
      <c r="H82" s="6">
        <f>visible(C70,K82)</f>
        <v>1</v>
      </c>
      <c r="I82" s="6">
        <f t="shared" ca="1" si="1"/>
        <v>2</v>
      </c>
      <c r="J82" s="6">
        <f ca="1">visible(engraving(I82), K82)</f>
        <v>2</v>
      </c>
      <c r="K82" s="6" t="b">
        <v>1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40">
        <v>0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40">
        <v>4</v>
      </c>
      <c r="B84" s="13" t="str" cm="1">
        <f t="array" ref="B84">visible(E70, K84)</f>
        <v>وحدة سفلية تلبيسة دلفة / دلفتين</v>
      </c>
      <c r="C84" s="9">
        <f>visible(7,K84)</f>
        <v>7</v>
      </c>
      <c r="D84" s="9" t="str" cm="1">
        <f t="array" aca="1" ref="D84" ca="1">visible((G71),K84)</f>
        <v>يوفيلاك</v>
      </c>
      <c r="E84" s="9" t="str" cm="1">
        <f t="array" ref="E84">visible(("دلف"),K84)</f>
        <v>دلف</v>
      </c>
      <c r="F84" s="9">
        <f ca="1">visible((I73-khlos(C73)-G73),K84)</f>
        <v>73.8</v>
      </c>
      <c r="G84" s="9">
        <f ca="1">visible(((H73-E73-G85)/C73-0.7),K84)</f>
        <v>39.299999999999997</v>
      </c>
      <c r="H84" s="9" cm="1">
        <f t="array" ref="H84">visible((C73*C70),K84)</f>
        <v>1</v>
      </c>
      <c r="I84" s="9">
        <f ca="1">visible(materialNum(D84), K84)</f>
        <v>6</v>
      </c>
      <c r="J84" s="9">
        <f ca="1">visible(engraving(I84), K84)</f>
        <v>2</v>
      </c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40">
        <v>4</v>
      </c>
      <c r="B85" s="13" t="str">
        <f>visible(E70, K85)</f>
        <v>وحدة سفلية تلبيسة دلفة / دلفتين</v>
      </c>
      <c r="C85" s="9">
        <f>visible(8,K85)</f>
        <v>8</v>
      </c>
      <c r="D85" s="9" t="str">
        <f ca="1">visible((G71),K85)</f>
        <v>يوفيلاك</v>
      </c>
      <c r="E85" s="9" t="str" cm="1">
        <f t="array" ref="E85">visible(("تلبيسة ثابتة"),K85)</f>
        <v>تلبيسة ثابتة</v>
      </c>
      <c r="F85" s="9" cm="1">
        <f t="array" aca="1" ref="F85" ca="1">visible((I73),K85)</f>
        <v>78</v>
      </c>
      <c r="G85" s="9" cm="1">
        <f t="array" ref="G85">visible(4,K85)</f>
        <v>4</v>
      </c>
      <c r="H85" s="9">
        <f>visible(C70,K85)</f>
        <v>1</v>
      </c>
      <c r="I85" s="9">
        <f ca="1">visible(materialNum(D85), K85)</f>
        <v>6</v>
      </c>
      <c r="J85" s="9">
        <f ca="1">visible(engraving(I85), K85)</f>
        <v>2</v>
      </c>
      <c r="K85" s="9" t="b">
        <v>1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40">
        <v>0</v>
      </c>
      <c r="C86" s="1"/>
      <c r="D86" s="1"/>
      <c r="E86" s="1"/>
      <c r="F86" s="1"/>
      <c r="G86" s="1"/>
      <c r="H86" s="1"/>
      <c r="I86" s="1"/>
      <c r="J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40">
        <v>5</v>
      </c>
      <c r="B87" s="13" t="str" cm="1">
        <f t="array" aca="1" ref="B87" ca="1">visible(E70, K87)</f>
        <v>وحدة سفلية تلبيسة دلفة / دلفتين</v>
      </c>
      <c r="C87" s="17">
        <f ca="1">visible(9,K87)</f>
        <v>9</v>
      </c>
      <c r="D87" s="17" t="str" cm="1">
        <f t="array" aca="1" ref="D87" ca="1">visible((E71),K87)</f>
        <v>ظهر</v>
      </c>
      <c r="E87" s="17" t="str" cm="1">
        <f t="array" aca="1" ref="E87" ca="1">visible(("ظهر"),K87)</f>
        <v>ظهر</v>
      </c>
      <c r="F87" s="17" cm="1">
        <f t="array" aca="1" ref="F87" ca="1">visible((I73-2),K87)</f>
        <v>76</v>
      </c>
      <c r="G87" s="17" cm="1">
        <f t="array" aca="1" ref="G87" ca="1">visible((H73-2),K87)</f>
        <v>98</v>
      </c>
      <c r="H87" s="17" cm="1">
        <f t="array" aca="1" ref="H87" ca="1">visible((C70),K87)</f>
        <v>1</v>
      </c>
      <c r="I87" s="17">
        <f ca="1">visible(materialNum(D87), K87)</f>
        <v>2</v>
      </c>
      <c r="J87" s="17">
        <f ca="1">visible(engraving(I87), K87)</f>
        <v>2</v>
      </c>
      <c r="K87" s="17" t="b">
        <f ca="1">C71</f>
        <v>1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40">
        <v>255</v>
      </c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40">
        <v>255</v>
      </c>
      <c r="C89"/>
      <c r="D89"/>
      <c r="E89"/>
      <c r="F89"/>
      <c r="G89"/>
      <c r="H89"/>
      <c r="I89"/>
      <c r="J89"/>
      <c r="K89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40" t="s">
        <v>94</v>
      </c>
      <c r="C90" s="12">
        <v>1</v>
      </c>
      <c r="D90" s="20" t="s">
        <v>51</v>
      </c>
      <c r="E90" s="114" t="s">
        <v>22</v>
      </c>
      <c r="F90" s="115"/>
      <c r="G90" s="115"/>
      <c r="H90" s="116"/>
      <c r="I90" s="2" t="s">
        <v>26</v>
      </c>
      <c r="J90" s="2">
        <f>letterToNumber(A90)</f>
        <v>4</v>
      </c>
      <c r="K90" s="7">
        <f ca="1">_xlfn.SHEET("وحدات سفلية")</f>
        <v>4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ht="21" x14ac:dyDescent="0.3">
      <c r="A91" s="40">
        <v>1</v>
      </c>
      <c r="C91" s="8"/>
      <c r="D91" s="7"/>
      <c r="E91" s="25" t="str" cm="1">
        <f t="array" aca="1" ref="E91" ca="1">defaultValue(F91,K90)</f>
        <v>ظهر</v>
      </c>
      <c r="F91" s="7" t="s">
        <v>50</v>
      </c>
      <c r="G91" s="25" t="str" cm="1">
        <f t="array" aca="1" ref="G91" ca="1">defaultValue(H91,K90)</f>
        <v>يوفيلاك</v>
      </c>
      <c r="H91" s="7" t="s">
        <v>28</v>
      </c>
      <c r="I91" s="25" t="str" cm="1">
        <f t="array" aca="1" ref="I91" ca="1">defaultValue(J91,K90)</f>
        <v>HPL</v>
      </c>
      <c r="J91" s="7" t="s">
        <v>27</v>
      </c>
      <c r="K91" s="23" t="s">
        <v>75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ht="31.2" x14ac:dyDescent="0.3">
      <c r="A92" s="40">
        <v>1</v>
      </c>
      <c r="C92" s="7"/>
      <c r="D92" s="7" t="s">
        <v>16</v>
      </c>
      <c r="E92" s="8"/>
      <c r="F92" s="7"/>
      <c r="G92" s="7" t="s">
        <v>14</v>
      </c>
      <c r="H92" s="7" t="s">
        <v>19</v>
      </c>
      <c r="I92" s="7" t="s">
        <v>3</v>
      </c>
      <c r="J92" s="7" t="s">
        <v>76</v>
      </c>
      <c r="K92" s="7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x14ac:dyDescent="0.3">
      <c r="A93" s="40">
        <v>1</v>
      </c>
      <c r="C93" s="8"/>
      <c r="D93" s="8">
        <v>1</v>
      </c>
      <c r="E93" s="8"/>
      <c r="F93" s="7"/>
      <c r="G93" s="25" cm="1">
        <f t="array" aca="1" ref="G93" ca="1">defaultValue(G92,K90)</f>
        <v>3.5</v>
      </c>
      <c r="H93" s="8"/>
      <c r="I93" s="25" cm="1">
        <f t="array" aca="1" ref="I93" ca="1">defaultValue(I92,K90)</f>
        <v>78</v>
      </c>
      <c r="J93" s="25" cm="1">
        <f t="array" aca="1" ref="J93" ca="1">defaultValue(J92,K90)</f>
        <v>56</v>
      </c>
      <c r="K93" s="7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40">
        <v>1</v>
      </c>
      <c r="C94" s="8"/>
      <c r="D94" s="8"/>
      <c r="E94" s="8"/>
      <c r="F94" s="7"/>
      <c r="G94" s="7"/>
      <c r="H94" s="8"/>
      <c r="I94" s="25" cm="1">
        <f t="array" aca="1" ref="I94" ca="1">defaultValue(I92,K90)</f>
        <v>78</v>
      </c>
      <c r="J94" s="25" cm="1">
        <f t="array" aca="1" ref="J94" ca="1">defaultValue(J92,K90)</f>
        <v>56</v>
      </c>
      <c r="K94" s="7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ht="14.4" x14ac:dyDescent="0.3">
      <c r="A95" s="40">
        <v>0</v>
      </c>
      <c r="B95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40">
        <v>2</v>
      </c>
      <c r="C96" s="6" t="s">
        <v>4</v>
      </c>
      <c r="D96" s="6" t="s">
        <v>9</v>
      </c>
      <c r="E96" s="6" t="s">
        <v>5</v>
      </c>
      <c r="F96" s="6" t="s">
        <v>7</v>
      </c>
      <c r="G96" s="6" t="s">
        <v>1</v>
      </c>
      <c r="H96" s="6" t="s">
        <v>6</v>
      </c>
      <c r="I96" s="6" t="s">
        <v>29</v>
      </c>
      <c r="J96" s="6" t="s">
        <v>129</v>
      </c>
      <c r="K96" s="6" t="s">
        <v>113</v>
      </c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ht="14.4" x14ac:dyDescent="0.3">
      <c r="A97" s="40">
        <v>0</v>
      </c>
      <c r="B97"/>
      <c r="C97"/>
      <c r="D97"/>
      <c r="E97"/>
      <c r="F97"/>
      <c r="G97"/>
      <c r="H97"/>
      <c r="I97"/>
      <c r="J97"/>
      <c r="K97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40">
        <v>3</v>
      </c>
      <c r="B98" s="13" t="str">
        <f>visible(E90, K98)</f>
        <v>وحدة سفلية  زاوية 90</v>
      </c>
      <c r="C98" s="6">
        <f>visible(1,K98)</f>
        <v>1</v>
      </c>
      <c r="D98" s="6" t="str">
        <f ca="1">visible(I91, K98)</f>
        <v>HPL</v>
      </c>
      <c r="E98" s="6" t="str">
        <f>visible("قاعدة", K98)</f>
        <v>قاعدة</v>
      </c>
      <c r="F98" s="6">
        <f>visible(H93-1.8, K98)</f>
        <v>-1.8</v>
      </c>
      <c r="G98" s="6">
        <f>visible(H94-1.8, K98)</f>
        <v>-1.8</v>
      </c>
      <c r="H98" s="6">
        <f>visible(1*C90, K98)</f>
        <v>1</v>
      </c>
      <c r="I98" s="6">
        <f t="shared" ref="I98:I103" ca="1" si="2">visible(materialNum(D98), K98)</f>
        <v>2</v>
      </c>
      <c r="J98" s="6">
        <f ca="1">visible(engraving(I98), K98)</f>
        <v>2</v>
      </c>
      <c r="K98" s="6" t="b">
        <v>1</v>
      </c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40">
        <v>3</v>
      </c>
      <c r="B99" s="13" t="str">
        <f>visible(E90, K99)</f>
        <v>وحدة سفلية  زاوية 90</v>
      </c>
      <c r="C99" s="6">
        <f>visible(2,K99)</f>
        <v>2</v>
      </c>
      <c r="D99" s="6" t="str">
        <f ca="1">visible(I91, K99)</f>
        <v>HPL</v>
      </c>
      <c r="E99" s="6" t="str">
        <f>visible("أجناب", K99)</f>
        <v>أجناب</v>
      </c>
      <c r="F99" s="6">
        <f ca="1">visible(I93, K99)</f>
        <v>78</v>
      </c>
      <c r="G99" s="6">
        <f ca="1">visible(J93, K99)</f>
        <v>56</v>
      </c>
      <c r="H99" s="6">
        <f>visible(2*C90, K99)</f>
        <v>2</v>
      </c>
      <c r="I99" s="6">
        <f t="shared" ca="1" si="2"/>
        <v>2</v>
      </c>
      <c r="J99" s="6">
        <f ca="1">visible(engraving(I99), K99)</f>
        <v>2</v>
      </c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x14ac:dyDescent="0.3">
      <c r="A100" s="40">
        <v>3</v>
      </c>
      <c r="B100" s="13" t="str">
        <f>visible(E90, K100)</f>
        <v>وحدة سفلية  زاوية 90</v>
      </c>
      <c r="C100" s="6">
        <f>visible(3,K100)</f>
        <v>3</v>
      </c>
      <c r="D100" s="6" t="str">
        <f ca="1">visible(I91, K100)</f>
        <v>HPL</v>
      </c>
      <c r="E100" s="6" t="str">
        <f>visible("مرايا علوية 1", K100)</f>
        <v>مرايا علوية 1</v>
      </c>
      <c r="F100" s="6">
        <f>visible(H93-1.8, K100)</f>
        <v>-1.8</v>
      </c>
      <c r="G100" s="6">
        <f>visible("10", K100)</f>
        <v>10</v>
      </c>
      <c r="H100" s="6">
        <f>visible(2*C90, K100)</f>
        <v>2</v>
      </c>
      <c r="I100" s="6">
        <f t="shared" ca="1" si="2"/>
        <v>2</v>
      </c>
      <c r="J100" s="6">
        <f ca="1">visible(engraving(I100), K100)</f>
        <v>2</v>
      </c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40">
        <v>3</v>
      </c>
      <c r="B101" s="13" t="str">
        <f>visible(E90, K101)</f>
        <v>وحدة سفلية  زاوية 90</v>
      </c>
      <c r="C101" s="6">
        <f>visible(4,K101)</f>
        <v>4</v>
      </c>
      <c r="D101" s="6" t="str">
        <f ca="1">visible(I91, K101)</f>
        <v>HPL</v>
      </c>
      <c r="E101" s="6" t="str">
        <f>visible("مرايا علوية 2", K101)</f>
        <v>مرايا علوية 2</v>
      </c>
      <c r="F101" s="6">
        <f>visible(H93-1.8, K101)</f>
        <v>-1.8</v>
      </c>
      <c r="G101" s="6">
        <f>visible("7", K101)</f>
        <v>7</v>
      </c>
      <c r="H101" s="6">
        <f>visible(2*C90, K101)</f>
        <v>2</v>
      </c>
      <c r="I101" s="6">
        <f t="shared" ca="1" si="2"/>
        <v>2</v>
      </c>
      <c r="J101" s="6">
        <f ca="1">visible(engraving(I101), K101)</f>
        <v>2</v>
      </c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40">
        <v>3</v>
      </c>
      <c r="B102" s="13" t="str">
        <f>visible(E90, K102)</f>
        <v>وحدة سفلية  زاوية 90</v>
      </c>
      <c r="C102" s="6">
        <f>visible(5,K102)</f>
        <v>5</v>
      </c>
      <c r="D102" s="6" t="str">
        <f ca="1">visible(I91, K102)</f>
        <v>HPL</v>
      </c>
      <c r="E102" s="6" t="str">
        <f>visible("قائم خلفى", K102)</f>
        <v>قائم خلفى</v>
      </c>
      <c r="F102" s="6">
        <f ca="1">visible(I93, K102)</f>
        <v>78</v>
      </c>
      <c r="G102" s="6">
        <f>visible("10", K102)</f>
        <v>10</v>
      </c>
      <c r="H102" s="6">
        <f>visible(1*C90, K102)</f>
        <v>1</v>
      </c>
      <c r="I102" s="6">
        <f t="shared" ca="1" si="2"/>
        <v>2</v>
      </c>
      <c r="J102" s="6">
        <f ca="1">visible(engraving(I102), K102)</f>
        <v>2</v>
      </c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x14ac:dyDescent="0.3">
      <c r="A103" s="40">
        <v>3</v>
      </c>
      <c r="B103" s="13" t="str">
        <f>visible(E90, K103)</f>
        <v>وحدة سفلية  زاوية 90</v>
      </c>
      <c r="C103" s="6">
        <f>visible(6,K103)</f>
        <v>6</v>
      </c>
      <c r="D103" s="6" t="str">
        <f ca="1">visible(I91, K103)</f>
        <v>HPL</v>
      </c>
      <c r="E103" s="6" t="str">
        <f>visible("رف", K103)</f>
        <v>رف</v>
      </c>
      <c r="F103" s="6">
        <f>visible(H93-3.8, K103)</f>
        <v>-3.8</v>
      </c>
      <c r="G103" s="6">
        <f>visible(H94-3.8, K103)</f>
        <v>-3.8</v>
      </c>
      <c r="H103" s="6">
        <f>visible(D93*C90, K103)</f>
        <v>1</v>
      </c>
      <c r="I103" s="6">
        <f t="shared" ca="1" si="2"/>
        <v>2</v>
      </c>
      <c r="J103" s="6">
        <f ca="1">visible(engraving(I103), K103)</f>
        <v>2</v>
      </c>
      <c r="K103" s="6" t="b">
        <v>1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ht="14.4" x14ac:dyDescent="0.3">
      <c r="A104" s="40">
        <v>0</v>
      </c>
      <c r="B104"/>
      <c r="C104"/>
      <c r="D104"/>
      <c r="E104"/>
      <c r="F104"/>
      <c r="G104"/>
      <c r="H104"/>
      <c r="I104"/>
      <c r="J104"/>
      <c r="K104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40">
        <v>4</v>
      </c>
      <c r="B105" s="13" t="str">
        <f>visible(E90, K105)</f>
        <v>وحدة سفلية  زاوية 90</v>
      </c>
      <c r="C105" s="9">
        <f>visible(7,K105)</f>
        <v>7</v>
      </c>
      <c r="D105" s="9" t="str">
        <f ca="1">visible(G91, K105)</f>
        <v>يوفيلاك</v>
      </c>
      <c r="E105" s="9" t="str">
        <f>visible("دلف 1", K105)</f>
        <v>دلف 1</v>
      </c>
      <c r="F105" s="9">
        <f ca="1">visible(I93-0.7-G93, K105)</f>
        <v>73.8</v>
      </c>
      <c r="G105" s="9">
        <f>visible(H93-56-3.2, K105)</f>
        <v>-59.2</v>
      </c>
      <c r="H105" s="9">
        <f>visible(1*C90, K105)</f>
        <v>1</v>
      </c>
      <c r="I105" s="9">
        <f ca="1">visible(materialNum(D105), K105)</f>
        <v>6</v>
      </c>
      <c r="J105" s="9">
        <f ca="1">visible(engraving(I105), K105)</f>
        <v>2</v>
      </c>
      <c r="K105" s="9" t="b">
        <v>1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40">
        <v>4</v>
      </c>
      <c r="B106" s="13" t="str">
        <f>visible(E90, K106)</f>
        <v>وحدة سفلية  زاوية 90</v>
      </c>
      <c r="C106" s="9">
        <f>visible(8,K106)</f>
        <v>8</v>
      </c>
      <c r="D106" s="9" t="str">
        <f ca="1">visible(G91, K106)</f>
        <v>يوفيلاك</v>
      </c>
      <c r="E106" s="9" t="str">
        <f>visible("دلف 2", K106)</f>
        <v>دلف 2</v>
      </c>
      <c r="F106" s="9">
        <f ca="1">visible(I94-0.7-G93, K106)</f>
        <v>73.8</v>
      </c>
      <c r="G106" s="9">
        <f>visible(H94-56-3.2, K106)</f>
        <v>-59.2</v>
      </c>
      <c r="H106" s="9">
        <f>visible(1*C90, K106)</f>
        <v>1</v>
      </c>
      <c r="I106" s="9">
        <f ca="1">visible(materialNum(D106), K106)</f>
        <v>6</v>
      </c>
      <c r="J106" s="9">
        <f ca="1">visible(engraving(I106), K106)</f>
        <v>2</v>
      </c>
      <c r="K106" s="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14.4" x14ac:dyDescent="0.3">
      <c r="A107" s="40">
        <v>0</v>
      </c>
      <c r="B107"/>
      <c r="C107"/>
      <c r="D107"/>
      <c r="E107"/>
      <c r="F107"/>
      <c r="G107"/>
      <c r="H107"/>
      <c r="I107"/>
      <c r="J107"/>
      <c r="K10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40">
        <v>5</v>
      </c>
      <c r="B108" s="13" t="str">
        <f>visible(E90, K108)</f>
        <v>وحدة سفلية  زاوية 90</v>
      </c>
      <c r="C108" s="17">
        <f>visible(9,K108)</f>
        <v>9</v>
      </c>
      <c r="D108" s="17" t="str">
        <f ca="1">visible(E91, K108)</f>
        <v>ظهر</v>
      </c>
      <c r="E108" s="17" t="str">
        <f>visible("ظهر", K108)</f>
        <v>ظهر</v>
      </c>
      <c r="F108" s="17">
        <f ca="1">visible(I94-1, K108)</f>
        <v>77</v>
      </c>
      <c r="G108" s="17">
        <f>visible(H94-1, K108)</f>
        <v>-1</v>
      </c>
      <c r="H108" s="17">
        <f>visible(2*C90, K108)</f>
        <v>2</v>
      </c>
      <c r="I108" s="17">
        <f ca="1">visible(materialNum(D108), K108)</f>
        <v>2</v>
      </c>
      <c r="J108" s="17">
        <f ca="1">visible(engraving(I108), K108)</f>
        <v>2</v>
      </c>
      <c r="K108" s="17" t="b">
        <v>1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40">
        <v>255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40">
        <v>255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40" t="s">
        <v>90</v>
      </c>
      <c r="C111" s="12">
        <v>1</v>
      </c>
      <c r="D111" s="20" t="s">
        <v>51</v>
      </c>
      <c r="E111" s="114" t="s">
        <v>25</v>
      </c>
      <c r="F111" s="115"/>
      <c r="G111" s="115"/>
      <c r="H111" s="116"/>
      <c r="I111" s="2" t="s">
        <v>26</v>
      </c>
      <c r="J111" s="2">
        <f>letterToNumber(A111)</f>
        <v>5</v>
      </c>
      <c r="K111" s="7">
        <f ca="1">_xlfn.SHEET("وحدات سفلية")</f>
        <v>4</v>
      </c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ht="21" x14ac:dyDescent="0.3">
      <c r="A112" s="40">
        <v>1</v>
      </c>
      <c r="C112" s="8"/>
      <c r="D112" s="8"/>
      <c r="E112" s="25" t="str" cm="1">
        <f t="array" aca="1" ref="E112" ca="1">defaultValue(F112,K111)</f>
        <v>ظهر</v>
      </c>
      <c r="F112" s="7" t="s">
        <v>50</v>
      </c>
      <c r="G112" s="25" t="str" cm="1">
        <f t="array" aca="1" ref="G112" ca="1">defaultValue(H112,K111)</f>
        <v>يوفيلاك</v>
      </c>
      <c r="H112" s="7" t="s">
        <v>28</v>
      </c>
      <c r="I112" s="25" t="str" cm="1">
        <f t="array" aca="1" ref="I112" ca="1">defaultValue(J112,K111)</f>
        <v>HPL</v>
      </c>
      <c r="J112" s="7" t="s">
        <v>27</v>
      </c>
      <c r="K112" s="23" t="s">
        <v>75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40">
        <v>1</v>
      </c>
      <c r="C113" s="7"/>
      <c r="D113" s="7" t="s">
        <v>16</v>
      </c>
      <c r="E113" s="7" t="s">
        <v>14</v>
      </c>
      <c r="F113" s="7"/>
      <c r="G113" s="7"/>
      <c r="H113" s="7" t="s">
        <v>19</v>
      </c>
      <c r="I113" s="7" t="s">
        <v>3</v>
      </c>
      <c r="J113" s="7" t="s">
        <v>76</v>
      </c>
      <c r="K113" s="7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x14ac:dyDescent="0.3">
      <c r="A114" s="40">
        <v>1</v>
      </c>
      <c r="C114" s="8"/>
      <c r="D114" s="8">
        <v>1</v>
      </c>
      <c r="E114" s="25" cm="1">
        <f t="array" aca="1" ref="E114" ca="1">defaultValue(E113,K111)</f>
        <v>3.5</v>
      </c>
      <c r="F114" s="7"/>
      <c r="G114" s="7"/>
      <c r="H114" s="8"/>
      <c r="I114" s="25" cm="1">
        <f t="array" aca="1" ref="I114" ca="1">defaultValue(I113,K111)</f>
        <v>78</v>
      </c>
      <c r="J114" s="25" cm="1">
        <f t="array" aca="1" ref="J114" ca="1">defaultValue(J113,K111)</f>
        <v>56</v>
      </c>
      <c r="K114" s="7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40">
        <v>1</v>
      </c>
      <c r="C115" s="8"/>
      <c r="D115" s="8"/>
      <c r="E115" s="8"/>
      <c r="F115" s="7"/>
      <c r="G115" s="7"/>
      <c r="H115" s="8"/>
      <c r="I115" s="25" cm="1">
        <f t="array" aca="1" ref="I115" ca="1">defaultValue(I113,K111)</f>
        <v>78</v>
      </c>
      <c r="J115" s="25" cm="1">
        <f t="array" aca="1" ref="J115" ca="1">defaultValue(J113,K111)</f>
        <v>56</v>
      </c>
      <c r="K115" s="7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ht="14.4" x14ac:dyDescent="0.3">
      <c r="A116" s="40">
        <v>0</v>
      </c>
      <c r="B116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40">
        <v>2</v>
      </c>
      <c r="C117" s="6" t="s">
        <v>4</v>
      </c>
      <c r="D117" s="6" t="s">
        <v>9</v>
      </c>
      <c r="E117" s="6" t="s">
        <v>5</v>
      </c>
      <c r="F117" s="6" t="s">
        <v>7</v>
      </c>
      <c r="G117" s="6" t="s">
        <v>1</v>
      </c>
      <c r="H117" s="6" t="s">
        <v>6</v>
      </c>
      <c r="I117" s="6" t="s">
        <v>29</v>
      </c>
      <c r="J117" s="6" t="s">
        <v>129</v>
      </c>
      <c r="K117" s="6" t="s">
        <v>113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</row>
    <row r="118" spans="1:79" ht="14.4" x14ac:dyDescent="0.3">
      <c r="A118" s="40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</row>
    <row r="119" spans="1:79" x14ac:dyDescent="0.3">
      <c r="A119" s="40">
        <v>3</v>
      </c>
      <c r="B119" s="13" t="str">
        <f>visible(E111, K119)</f>
        <v>وحدة سفلية  ركنة 45</v>
      </c>
      <c r="C119" s="6">
        <f>visible(1,K119)</f>
        <v>1</v>
      </c>
      <c r="D119" s="6" t="str">
        <f ca="1">visible(I112, K119)</f>
        <v>HPL</v>
      </c>
      <c r="E119" s="6" t="str">
        <f>visible("قاعدة", K119)</f>
        <v>قاعدة</v>
      </c>
      <c r="F119" s="6">
        <f>visible(H114-1.8, K119)</f>
        <v>-1.8</v>
      </c>
      <c r="G119" s="6">
        <f>visible(H115-1.8, K119)</f>
        <v>-1.8</v>
      </c>
      <c r="H119" s="6">
        <f>visible(1*C111, K119)</f>
        <v>1</v>
      </c>
      <c r="I119" s="6">
        <f t="shared" ref="I119:I124" ca="1" si="3">visible(materialNum(D119), K119)</f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</row>
    <row r="120" spans="1:79" x14ac:dyDescent="0.3">
      <c r="A120" s="40">
        <v>3</v>
      </c>
      <c r="B120" s="13" t="str">
        <f>visible(E111, K120)</f>
        <v>وحدة سفلية  ركنة 45</v>
      </c>
      <c r="C120" s="6">
        <f>visible(2,K120)</f>
        <v>2</v>
      </c>
      <c r="D120" s="6" t="str">
        <f ca="1">visible(I112, K120)</f>
        <v>HPL</v>
      </c>
      <c r="E120" s="6" t="str">
        <f>visible("أجناب", K120)</f>
        <v>أجناب</v>
      </c>
      <c r="F120" s="6">
        <f ca="1">visible(I114, K120)</f>
        <v>78</v>
      </c>
      <c r="G120" s="6">
        <f ca="1">visible(J114, K120)</f>
        <v>56</v>
      </c>
      <c r="H120" s="6">
        <f>visible(2*C111, K120)</f>
        <v>2</v>
      </c>
      <c r="I120" s="6">
        <f t="shared" ca="1" si="3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</row>
    <row r="121" spans="1:79" x14ac:dyDescent="0.3">
      <c r="A121" s="40">
        <v>3</v>
      </c>
      <c r="B121" s="13" t="str">
        <f>visible(E111, K121)</f>
        <v>وحدة سفلية  ركنة 45</v>
      </c>
      <c r="C121" s="6">
        <f>visible(3,K121)</f>
        <v>3</v>
      </c>
      <c r="D121" s="6" t="str">
        <f ca="1">visible(I112, K121)</f>
        <v>HPL</v>
      </c>
      <c r="E121" s="6" t="str">
        <f>visible("مرايا علوية 1", K121)</f>
        <v>مرايا علوية 1</v>
      </c>
      <c r="F121" s="6">
        <f>visible(H114-1.8, K121)</f>
        <v>-1.8</v>
      </c>
      <c r="G121" s="6">
        <f>visible("10", K121)</f>
        <v>10</v>
      </c>
      <c r="H121" s="6">
        <f>visible(3*C111, K121)</f>
        <v>3</v>
      </c>
      <c r="I121" s="6">
        <f t="shared" ca="1" si="3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40">
        <v>3</v>
      </c>
      <c r="B122" s="13" t="str">
        <f>visible(E111, K122)</f>
        <v>وحدة سفلية  ركنة 45</v>
      </c>
      <c r="C122" s="6">
        <f>visible(4,K122)</f>
        <v>4</v>
      </c>
      <c r="D122" s="6" t="str">
        <f ca="1">visible(I112, K122)</f>
        <v>HPL</v>
      </c>
      <c r="E122" s="6" t="str">
        <f>visible("مرايا علوية 2", K122)</f>
        <v>مرايا علوية 2</v>
      </c>
      <c r="F122" s="6">
        <f>visible(H114-1.8, K122)</f>
        <v>-1.8</v>
      </c>
      <c r="G122" s="6">
        <f>visible("7", K122)</f>
        <v>7</v>
      </c>
      <c r="H122" s="6">
        <f>visible(2*C111, K122)</f>
        <v>2</v>
      </c>
      <c r="I122" s="6">
        <f t="shared" ca="1" si="3"/>
        <v>2</v>
      </c>
      <c r="J122" s="6">
        <f ca="1">visible(engraving(I122), K122)</f>
        <v>2</v>
      </c>
      <c r="K122" s="6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40">
        <v>3</v>
      </c>
      <c r="B123" s="13" t="str">
        <f>visible(E111, K123)</f>
        <v>وحدة سفلية  ركنة 45</v>
      </c>
      <c r="C123" s="6">
        <f>visible(5,K123)</f>
        <v>5</v>
      </c>
      <c r="D123" s="6" t="str">
        <f ca="1">visible(I112, K123)</f>
        <v>HPL</v>
      </c>
      <c r="E123" s="6" t="str">
        <f>visible("قائم خلفى", K123)</f>
        <v>قائم خلفى</v>
      </c>
      <c r="F123" s="6">
        <f>visible("70", K123)</f>
        <v>70</v>
      </c>
      <c r="G123" s="6">
        <f>visible("10", K123)</f>
        <v>10</v>
      </c>
      <c r="H123" s="6">
        <f>visible(1*C111, K123)</f>
        <v>1</v>
      </c>
      <c r="I123" s="6">
        <f t="shared" ca="1" si="3"/>
        <v>2</v>
      </c>
      <c r="J123" s="6">
        <f ca="1">visible(engraving(I123), K123)</f>
        <v>2</v>
      </c>
      <c r="K123" s="6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40">
        <v>3</v>
      </c>
      <c r="B124" s="13" t="str">
        <f>visible(E111, K124)</f>
        <v>وحدة سفلية  ركنة 45</v>
      </c>
      <c r="C124" s="6">
        <f>visible(6,K124)</f>
        <v>6</v>
      </c>
      <c r="D124" s="6" t="str">
        <f ca="1">visible(I112, K124)</f>
        <v>HPL</v>
      </c>
      <c r="E124" s="6" t="str">
        <f>visible("رف", K124)</f>
        <v>رف</v>
      </c>
      <c r="F124" s="6">
        <f>visible(H114-3.8, K124)</f>
        <v>-3.8</v>
      </c>
      <c r="G124" s="6">
        <f>visible(H115-3.8, K124)</f>
        <v>-3.8</v>
      </c>
      <c r="H124" s="6">
        <f>visible(D114*C111, K124)</f>
        <v>1</v>
      </c>
      <c r="I124" s="6">
        <f t="shared" ca="1" si="3"/>
        <v>2</v>
      </c>
      <c r="J124" s="6">
        <f ca="1">visible(engraving(I124), K124)</f>
        <v>2</v>
      </c>
      <c r="K124" s="6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ht="14.4" x14ac:dyDescent="0.3">
      <c r="A125" s="40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40">
        <v>4</v>
      </c>
      <c r="B126" s="13" t="str">
        <f>visible(E111, K126)</f>
        <v>وحدة سفلية  ركنة 45</v>
      </c>
      <c r="C126" s="9">
        <f>visible(7,K126)</f>
        <v>7</v>
      </c>
      <c r="D126" s="9" t="str">
        <f ca="1">visible(G112, K126)</f>
        <v>يوفيلاك</v>
      </c>
      <c r="E126" s="9" t="str">
        <f>visible("دلف 1", K126)</f>
        <v>دلف 1</v>
      </c>
      <c r="F126" s="9">
        <f ca="1">visible(I114-0.7-E114, K126)</f>
        <v>73.8</v>
      </c>
      <c r="G126" s="15">
        <f ca="1">visible((SQRT((H114-J114)^2+(H115-J115)^2))-2, K126)</f>
        <v>77.195959492893294</v>
      </c>
      <c r="H126" s="9">
        <f>visible(1*C111, K126)</f>
        <v>1</v>
      </c>
      <c r="I126" s="9">
        <f ca="1">visible(materialNum(D126), K126)</f>
        <v>6</v>
      </c>
      <c r="J126" s="9">
        <f ca="1">visible(engraving(I126), K126)</f>
        <v>2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40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40">
        <v>5</v>
      </c>
      <c r="B128" s="13" t="str">
        <f>visible(E111, K128)</f>
        <v>وحدة سفلية  ركنة 45</v>
      </c>
      <c r="C128" s="17">
        <f>visible(8,K128)</f>
        <v>8</v>
      </c>
      <c r="D128" s="17" t="str">
        <f ca="1">visible(E112, K128)</f>
        <v>ظهر</v>
      </c>
      <c r="E128" s="17" t="str">
        <f>visible("ظهر", K128)</f>
        <v>ظهر</v>
      </c>
      <c r="F128" s="17">
        <f ca="1">visible(I114-1, K128)</f>
        <v>77</v>
      </c>
      <c r="G128" s="17">
        <f>visible(H114-1, K128)</f>
        <v>-1</v>
      </c>
      <c r="H128" s="17">
        <f>visible(1*C111, K128)</f>
        <v>1</v>
      </c>
      <c r="I128" s="17">
        <f ca="1">visible(materialNum(D128), K128)</f>
        <v>2</v>
      </c>
      <c r="J128" s="17">
        <f ca="1">visible(engraving(I128), K128)</f>
        <v>2</v>
      </c>
      <c r="K128" s="17" t="b">
        <v>1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40">
        <v>255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40">
        <v>255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31.2" x14ac:dyDescent="0.3">
      <c r="A131" s="40" t="s">
        <v>91</v>
      </c>
      <c r="B131" s="3"/>
      <c r="C131" s="12">
        <v>1</v>
      </c>
      <c r="D131" s="20" t="s">
        <v>51</v>
      </c>
      <c r="E131" s="114" t="s">
        <v>71</v>
      </c>
      <c r="F131" s="115"/>
      <c r="G131" s="115"/>
      <c r="H131" s="116"/>
      <c r="I131" s="2" t="s">
        <v>26</v>
      </c>
      <c r="J131" s="2">
        <f>letterToNumber(A131)</f>
        <v>6</v>
      </c>
      <c r="K131" s="7">
        <f ca="1">_xlfn.SHEET("وحدات سفلية")</f>
        <v>4</v>
      </c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21" x14ac:dyDescent="0.3">
      <c r="A132" s="40">
        <v>1</v>
      </c>
      <c r="B132" s="19"/>
      <c r="C132" s="7"/>
      <c r="D132" s="8"/>
      <c r="E132" s="25" t="str" cm="1">
        <f t="array" aca="1" ref="E132" ca="1">defaultValue(F132,K131)</f>
        <v>ظهر</v>
      </c>
      <c r="F132" s="7" t="s">
        <v>50</v>
      </c>
      <c r="G132" s="25" t="str" cm="1">
        <f t="array" aca="1" ref="G132" ca="1">defaultValue(H132,K131)</f>
        <v>يوفيلاك</v>
      </c>
      <c r="H132" s="7" t="s">
        <v>28</v>
      </c>
      <c r="I132" s="25" t="str" cm="1">
        <f t="array" aca="1" ref="I132" ca="1">defaultValue(J132,K131)</f>
        <v>HPL</v>
      </c>
      <c r="J132" s="7" t="s">
        <v>27</v>
      </c>
      <c r="K132" s="23" t="s">
        <v>75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31.2" x14ac:dyDescent="0.3">
      <c r="A133" s="40">
        <v>1</v>
      </c>
      <c r="B133" s="19"/>
      <c r="C133" s="7" t="s">
        <v>12</v>
      </c>
      <c r="D133" s="7" t="s">
        <v>16</v>
      </c>
      <c r="E133" s="7"/>
      <c r="F133" s="14" t="s">
        <v>17</v>
      </c>
      <c r="G133" s="7" t="s">
        <v>14</v>
      </c>
      <c r="H133" s="7" t="s">
        <v>19</v>
      </c>
      <c r="I133" s="7" t="s">
        <v>3</v>
      </c>
      <c r="J133" s="7" t="s">
        <v>76</v>
      </c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40">
        <v>1</v>
      </c>
      <c r="B134" s="19"/>
      <c r="C134" s="8"/>
      <c r="D134" s="8">
        <v>0</v>
      </c>
      <c r="E134" s="7"/>
      <c r="F134" s="25" cm="1">
        <f t="array" aca="1" ref="F134" ca="1">defaultValue(F133,K131)</f>
        <v>45</v>
      </c>
      <c r="G134" s="25" cm="1">
        <f t="array" aca="1" ref="G134" ca="1">defaultValue(G133,K131)</f>
        <v>3.5</v>
      </c>
      <c r="H134" s="8">
        <v>60</v>
      </c>
      <c r="I134" s="25" cm="1">
        <f t="array" aca="1" ref="I134" ca="1">defaultValue(I133,K131)</f>
        <v>78</v>
      </c>
      <c r="J134" s="25" cm="1">
        <f t="array" aca="1" ref="J134" ca="1">defaultValue(J133,K131)</f>
        <v>56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14.4" x14ac:dyDescent="0.3">
      <c r="A135" s="40">
        <v>0</v>
      </c>
      <c r="B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ht="14.4" x14ac:dyDescent="0.3">
      <c r="A136" s="40">
        <v>2</v>
      </c>
      <c r="B136" s="19"/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29</v>
      </c>
      <c r="J136" s="6" t="s">
        <v>129</v>
      </c>
      <c r="K136" s="6" t="s">
        <v>113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ht="14.4" x14ac:dyDescent="0.3">
      <c r="A137" s="40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40">
        <v>3</v>
      </c>
      <c r="B138" s="13" t="str">
        <f>visible(E131, K138)</f>
        <v xml:space="preserve">وحدة سفلية  فرن </v>
      </c>
      <c r="C138" s="6">
        <f>visible(1,K138)</f>
        <v>1</v>
      </c>
      <c r="D138" s="6" t="str">
        <f ca="1">visible(I132, K138)</f>
        <v>HPL</v>
      </c>
      <c r="E138" s="6" t="str">
        <f>visible("قاعدة", K138)</f>
        <v>قاعدة</v>
      </c>
      <c r="F138" s="6">
        <f>visible(H134-3.6, K138)</f>
        <v>56.4</v>
      </c>
      <c r="G138" s="6">
        <f ca="1">visible(J134, K138)</f>
        <v>56</v>
      </c>
      <c r="H138" s="6">
        <f>visible(2*C131, K138)</f>
        <v>2</v>
      </c>
      <c r="I138" s="6">
        <f t="shared" ref="I138:I145" ca="1" si="4">visible(materialNum(D138), K138)</f>
        <v>2</v>
      </c>
      <c r="J138" s="6">
        <f ca="1">visible(engraving(I138), K138)</f>
        <v>2</v>
      </c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40">
        <v>3</v>
      </c>
      <c r="B139" s="13" t="str">
        <f>visible(E131, K139)</f>
        <v xml:space="preserve">وحدة سفلية  فرن </v>
      </c>
      <c r="C139" s="6">
        <f>visible(2,K139)</f>
        <v>2</v>
      </c>
      <c r="D139" s="6" t="str">
        <f ca="1">visible(I132, K139)</f>
        <v>HPL</v>
      </c>
      <c r="E139" s="6" t="str">
        <f>visible("أجناب", K139)</f>
        <v>أجناب</v>
      </c>
      <c r="F139" s="6">
        <f ca="1">visible(I134, K139)</f>
        <v>78</v>
      </c>
      <c r="G139" s="6">
        <f ca="1">visible(J134, K139)</f>
        <v>56</v>
      </c>
      <c r="H139" s="6">
        <f>visible(2*C131, K139)</f>
        <v>2</v>
      </c>
      <c r="I139" s="6">
        <f t="shared" ca="1" si="4"/>
        <v>2</v>
      </c>
      <c r="J139" s="6">
        <f ca="1">visible(engraving(I139), K139)</f>
        <v>2</v>
      </c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40">
        <v>3</v>
      </c>
      <c r="B140" s="13" t="str">
        <f>visible(E131, K140)</f>
        <v xml:space="preserve">وحدة سفلية  فرن </v>
      </c>
      <c r="C140" s="6">
        <f>visible(3,K140)</f>
        <v>3</v>
      </c>
      <c r="D140" s="6" t="str">
        <f ca="1">visible(I132, K140)</f>
        <v>HPL</v>
      </c>
      <c r="E140" s="6" t="str">
        <f>visible("مرايا علوية 1", K140)</f>
        <v>مرايا علوية 1</v>
      </c>
      <c r="F140" s="6">
        <f>visible(H134-3.6, K140)</f>
        <v>56.4</v>
      </c>
      <c r="G140" s="6">
        <f>visible("10", K140)</f>
        <v>10</v>
      </c>
      <c r="H140" s="6">
        <f>visible(2*C131, K140)</f>
        <v>2</v>
      </c>
      <c r="I140" s="6">
        <f t="shared" ca="1" si="4"/>
        <v>2</v>
      </c>
      <c r="J140" s="6">
        <f ca="1">visible(engraving(I140), K140)</f>
        <v>2</v>
      </c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40">
        <v>3</v>
      </c>
      <c r="B141" s="13" t="str">
        <f>visible(E131, K141)</f>
        <v xml:space="preserve">وحدة سفلية  فرن </v>
      </c>
      <c r="C141" s="6">
        <f>visible(4,K141)</f>
        <v>4</v>
      </c>
      <c r="D141" s="6" t="str">
        <f ca="1">visible(I132, K141)</f>
        <v>HPL</v>
      </c>
      <c r="E141" s="6" t="str">
        <f>visible("مرايا علوية 2", K141)</f>
        <v>مرايا علوية 2</v>
      </c>
      <c r="F141" s="6">
        <f>visible(H134-3.6, K141)</f>
        <v>56.4</v>
      </c>
      <c r="G141" s="6">
        <f>visible("7", K141)</f>
        <v>7</v>
      </c>
      <c r="H141" s="6">
        <f>visible(2*C131, K141)</f>
        <v>2</v>
      </c>
      <c r="I141" s="6">
        <f t="shared" ca="1" si="4"/>
        <v>2</v>
      </c>
      <c r="J141" s="6">
        <f ca="1">visible(engraving(I141), K141)</f>
        <v>2</v>
      </c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x14ac:dyDescent="0.3">
      <c r="A142" s="40">
        <v>3</v>
      </c>
      <c r="B142" s="13" t="str">
        <f>visible(E131, K142)</f>
        <v xml:space="preserve">وحدة سفلية  فرن </v>
      </c>
      <c r="C142" s="6">
        <f>visible(5,K142)</f>
        <v>5</v>
      </c>
      <c r="D142" s="6" t="str">
        <f ca="1">visible(I132, K142)</f>
        <v>HPL</v>
      </c>
      <c r="E142" s="6" t="str">
        <f>visible("رف", K142)</f>
        <v>رف</v>
      </c>
      <c r="F142" s="6">
        <f>visible(H134-3.8, K142)</f>
        <v>56.2</v>
      </c>
      <c r="G142" s="6">
        <f ca="1">visible(J134-6, K142)</f>
        <v>50</v>
      </c>
      <c r="H142" s="6">
        <f>visible(D134*C131, K142)</f>
        <v>0</v>
      </c>
      <c r="I142" s="6">
        <f t="shared" ca="1" si="4"/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40">
        <v>3</v>
      </c>
      <c r="B143" s="13" t="str">
        <f>visible(E131, K143)</f>
        <v xml:space="preserve">وحدة سفلية  فرن </v>
      </c>
      <c r="C143" s="10">
        <f>visible(6,K143)</f>
        <v>6</v>
      </c>
      <c r="D143" s="10" t="str">
        <f ca="1">visible(I132, K143)</f>
        <v>HPL</v>
      </c>
      <c r="E143" s="10" t="str">
        <f>visible("وش درج داخلى", K143)</f>
        <v>وش درج داخلى</v>
      </c>
      <c r="F143" s="10">
        <f>visible(H134-3.6-3.6-2.5, K143)</f>
        <v>50.3</v>
      </c>
      <c r="G143" s="10">
        <f>visible("10", K143)</f>
        <v>10</v>
      </c>
      <c r="H143" s="10">
        <f>visible(1*C131, K143)</f>
        <v>1</v>
      </c>
      <c r="I143" s="10">
        <f t="shared" ca="1" si="4"/>
        <v>2</v>
      </c>
      <c r="J143" s="10">
        <f ca="1">visible(engraving(I143), K143)</f>
        <v>2</v>
      </c>
      <c r="K143" s="10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40">
        <v>3</v>
      </c>
      <c r="B144" s="13" t="str">
        <f>visible(E131, K144)</f>
        <v xml:space="preserve">وحدة سفلية  فرن </v>
      </c>
      <c r="C144" s="10">
        <f>visible(7,K144)</f>
        <v>7</v>
      </c>
      <c r="D144" s="10" t="str">
        <f ca="1">visible(I132, K144)</f>
        <v>HPL</v>
      </c>
      <c r="E144" s="10" t="str">
        <f>visible("جنب درج داخلى ", K144)</f>
        <v xml:space="preserve">جنب درج داخلى </v>
      </c>
      <c r="F144" s="10">
        <f ca="1">visible(F134, K144)</f>
        <v>45</v>
      </c>
      <c r="G144" s="10">
        <f>visible("10", K144)</f>
        <v>10</v>
      </c>
      <c r="H144" s="10">
        <f>visible(2*C131, K144)</f>
        <v>2</v>
      </c>
      <c r="I144" s="10">
        <f t="shared" ca="1" si="4"/>
        <v>2</v>
      </c>
      <c r="J144" s="10">
        <f ca="1">visible(engraving(I144), K144)</f>
        <v>2</v>
      </c>
      <c r="K144" s="10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x14ac:dyDescent="0.3">
      <c r="A145" s="40">
        <v>3</v>
      </c>
      <c r="B145" s="13" t="str">
        <f>visible(E131, K145)</f>
        <v xml:space="preserve">وحدة سفلية  فرن </v>
      </c>
      <c r="C145" s="10">
        <f>visible(8,K145)</f>
        <v>8</v>
      </c>
      <c r="D145" s="10" t="str">
        <f ca="1">visible(I132, K145)</f>
        <v>HPL</v>
      </c>
      <c r="E145" s="10" t="str">
        <f>visible("ظهر درج داخلى ", K145)</f>
        <v xml:space="preserve">ظهر درج داخلى </v>
      </c>
      <c r="F145" s="10">
        <f>visible(H134-3.6-3.6-2.5, K145)</f>
        <v>50.3</v>
      </c>
      <c r="G145" s="10">
        <f>visible(10-3, K145)</f>
        <v>7</v>
      </c>
      <c r="H145" s="10">
        <f>visible(1*C131, K145)</f>
        <v>1</v>
      </c>
      <c r="I145" s="10">
        <f t="shared" ca="1" si="4"/>
        <v>2</v>
      </c>
      <c r="J145" s="10">
        <f ca="1">visible(engraving(I145), K145)</f>
        <v>2</v>
      </c>
      <c r="K145" s="10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ht="14.4" x14ac:dyDescent="0.3">
      <c r="A146" s="40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40">
        <v>4</v>
      </c>
      <c r="B147" s="13" t="str">
        <f>visible(E131, K147)</f>
        <v/>
      </c>
      <c r="C147" s="9" t="str">
        <f>visible(9,K147)</f>
        <v/>
      </c>
      <c r="D147" s="9" t="str">
        <f ca="1">visible(G132, K147)</f>
        <v/>
      </c>
      <c r="E147" s="9" t="str">
        <f>visible("دلف ", K147)</f>
        <v/>
      </c>
      <c r="F147" s="9" t="str">
        <f ca="1">visible((I134-0.5-G134), K147)</f>
        <v/>
      </c>
      <c r="G147" s="9" t="str">
        <f>visible((H134/C134)-0.5, K147)</f>
        <v/>
      </c>
      <c r="H147" s="9" t="str">
        <f>visible(C134*C131, K147)</f>
        <v/>
      </c>
      <c r="I147" s="9" t="str">
        <f ca="1">visible(materialNum(D147), K147)</f>
        <v/>
      </c>
      <c r="J147" s="9" t="str">
        <f ca="1">visible(engraving(I147), K147)</f>
        <v/>
      </c>
      <c r="K147" s="9" t="b">
        <f>NOT(C134=0)</f>
        <v>0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40">
        <v>4</v>
      </c>
      <c r="B148" s="13" t="str">
        <f>visible(E131, K148)</f>
        <v xml:space="preserve">وحدة سفلية  فرن </v>
      </c>
      <c r="C148" s="9">
        <f>visible(10,K148)</f>
        <v>10</v>
      </c>
      <c r="D148" s="9" t="str">
        <f ca="1">visible(G132, K148)</f>
        <v>يوفيلاك</v>
      </c>
      <c r="E148" s="9" t="str">
        <f>visible("وش درج فرن", K148)</f>
        <v>وش درج فرن</v>
      </c>
      <c r="F148" s="9">
        <f>visible(H134-0.7, K148)</f>
        <v>59.3</v>
      </c>
      <c r="G148" s="9">
        <f ca="1">visible(I134-G134-60.7, K148)</f>
        <v>13.8</v>
      </c>
      <c r="H148" s="9">
        <f>visible(1*C131, K148)</f>
        <v>1</v>
      </c>
      <c r="I148" s="9">
        <f ca="1">visible(materialNum(D148), K148)</f>
        <v>6</v>
      </c>
      <c r="J148" s="9">
        <f ca="1">visible(engraving(I148), K148)</f>
        <v>2</v>
      </c>
      <c r="K148" s="9" t="b">
        <v>1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ht="14.4" x14ac:dyDescent="0.3">
      <c r="A149" s="40">
        <v>0</v>
      </c>
      <c r="B149"/>
      <c r="C149"/>
      <c r="D149"/>
      <c r="E149"/>
      <c r="F149"/>
      <c r="G149"/>
      <c r="H149"/>
      <c r="I149"/>
      <c r="J149"/>
      <c r="K149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x14ac:dyDescent="0.3">
      <c r="A150" s="40">
        <v>5</v>
      </c>
      <c r="B150" s="13" t="str">
        <f>visible(E131, K150)</f>
        <v xml:space="preserve">وحدة سفلية  فرن </v>
      </c>
      <c r="C150" s="17">
        <f>visible(11,K150)</f>
        <v>11</v>
      </c>
      <c r="D150" s="17" t="str">
        <f ca="1">visible(E132, K150)</f>
        <v>ظهر</v>
      </c>
      <c r="E150" s="17" t="str">
        <f>visible("ظهر", K150)</f>
        <v>ظهر</v>
      </c>
      <c r="F150" s="17">
        <f ca="1">visible(I134-2, K150)</f>
        <v>76</v>
      </c>
      <c r="G150" s="17">
        <f>visible(H134-2, K150)</f>
        <v>58</v>
      </c>
      <c r="H150" s="17">
        <f>visible(1*C131, K150)</f>
        <v>1</v>
      </c>
      <c r="I150" s="17">
        <f ca="1">visible(materialNum(D150), K150)</f>
        <v>2</v>
      </c>
      <c r="J150" s="17">
        <f ca="1">visible(engraving(I150), K150)</f>
        <v>2</v>
      </c>
      <c r="K150" s="17" t="b">
        <v>1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x14ac:dyDescent="0.3">
      <c r="A151" s="40">
        <v>5</v>
      </c>
      <c r="B151" s="13" t="str">
        <f>visible(E131, K151)</f>
        <v xml:space="preserve">وحدة سفلية  فرن </v>
      </c>
      <c r="C151" s="17">
        <f>visible(12,K151)</f>
        <v>12</v>
      </c>
      <c r="D151" s="17" t="str">
        <f ca="1">visible(E132, K151)</f>
        <v>ظهر</v>
      </c>
      <c r="E151" s="17" t="str">
        <f>visible("قعر درج  A", K151)</f>
        <v>قعر درج  A</v>
      </c>
      <c r="F151" s="17">
        <f>visible(H134-3.6-3.6-2.5+2, K151)</f>
        <v>52.3</v>
      </c>
      <c r="G151" s="17">
        <f ca="1">visible(F134-1, K151)</f>
        <v>44</v>
      </c>
      <c r="H151" s="17">
        <f>visible(1*C131, K151)</f>
        <v>1</v>
      </c>
      <c r="I151" s="17">
        <f ca="1">visible(materialNum(D151), K151)</f>
        <v>2</v>
      </c>
      <c r="J151" s="17">
        <f ca="1">visible(engraving(I151), K151)</f>
        <v>2</v>
      </c>
      <c r="K151" s="17" t="b">
        <v>1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40">
        <v>255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x14ac:dyDescent="0.3">
      <c r="A153" s="40">
        <v>255</v>
      </c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</row>
    <row r="154" spans="1:79" ht="31.2" x14ac:dyDescent="0.3">
      <c r="A154" s="41" t="s">
        <v>92</v>
      </c>
      <c r="C154" s="12">
        <v>1</v>
      </c>
      <c r="D154" s="20" t="s">
        <v>51</v>
      </c>
      <c r="E154" s="114" t="s">
        <v>95</v>
      </c>
      <c r="F154" s="115"/>
      <c r="G154" s="115"/>
      <c r="H154" s="116"/>
      <c r="I154" s="2" t="s">
        <v>26</v>
      </c>
      <c r="J154" s="2">
        <f>letterToNumber(A154)</f>
        <v>7</v>
      </c>
      <c r="K154" s="7">
        <f ca="1">_xlfn.SHEET("وحدات سفلية")</f>
        <v>4</v>
      </c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</row>
    <row r="155" spans="1:79" ht="21" x14ac:dyDescent="0.3">
      <c r="A155" s="40">
        <v>1</v>
      </c>
      <c r="C155" s="7"/>
      <c r="D155" s="8"/>
      <c r="E155" s="25" t="str" cm="1">
        <f t="array" aca="1" ref="E155" ca="1">defaultValue(F155,K154)</f>
        <v>ظهر</v>
      </c>
      <c r="F155" s="7" t="s">
        <v>50</v>
      </c>
      <c r="G155" s="25" t="str" cm="1">
        <f t="array" aca="1" ref="G155" ca="1">defaultValue(H155,K154)</f>
        <v>يوفيلاك</v>
      </c>
      <c r="H155" s="7" t="s">
        <v>28</v>
      </c>
      <c r="I155" s="25" t="str" cm="1">
        <f t="array" aca="1" ref="I155" ca="1">defaultValue(J155,K154)</f>
        <v>HPL</v>
      </c>
      <c r="J155" s="7" t="s">
        <v>27</v>
      </c>
      <c r="K155" s="23" t="s">
        <v>75</v>
      </c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</row>
    <row r="156" spans="1:79" ht="31.2" x14ac:dyDescent="0.3">
      <c r="A156" s="40">
        <v>1</v>
      </c>
      <c r="C156" s="7" t="s">
        <v>12</v>
      </c>
      <c r="D156" s="16" t="s">
        <v>16</v>
      </c>
      <c r="E156" s="7" t="s">
        <v>14</v>
      </c>
      <c r="F156" s="16" t="s">
        <v>96</v>
      </c>
      <c r="G156" s="14" t="s">
        <v>17</v>
      </c>
      <c r="H156" s="7" t="s">
        <v>19</v>
      </c>
      <c r="I156" s="7" t="s">
        <v>3</v>
      </c>
      <c r="J156" s="7" t="s">
        <v>76</v>
      </c>
      <c r="K156" s="7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</row>
    <row r="157" spans="1:79" x14ac:dyDescent="0.3">
      <c r="A157" s="40">
        <v>1</v>
      </c>
      <c r="C157" s="8">
        <v>2</v>
      </c>
      <c r="D157" s="8">
        <v>1</v>
      </c>
      <c r="E157" s="25" cm="1">
        <f t="array" aca="1" ref="E157" ca="1">defaultValue(E156,K154)</f>
        <v>3.5</v>
      </c>
      <c r="F157" s="8">
        <v>1</v>
      </c>
      <c r="G157" s="25" cm="1">
        <f t="array" aca="1" ref="G157" ca="1">defaultValue(G156,K154)</f>
        <v>45</v>
      </c>
      <c r="H157" s="8">
        <v>60</v>
      </c>
      <c r="I157" s="25" cm="1">
        <f t="array" aca="1" ref="I157" ca="1">defaultValue(I156,K154)</f>
        <v>78</v>
      </c>
      <c r="J157" s="25" cm="1">
        <f t="array" aca="1" ref="J157" ca="1">defaultValue(J156,K154)</f>
        <v>56</v>
      </c>
      <c r="K157" s="7"/>
      <c r="BB157"/>
      <c r="BC157"/>
      <c r="BD157"/>
      <c r="BE157"/>
      <c r="BF157"/>
      <c r="BG157"/>
      <c r="BH157"/>
      <c r="BI157"/>
      <c r="BJ157"/>
    </row>
    <row r="158" spans="1:79" ht="14.4" x14ac:dyDescent="0.3">
      <c r="A158" s="40">
        <v>0</v>
      </c>
      <c r="B158"/>
      <c r="BB158"/>
      <c r="BC158"/>
      <c r="BD158"/>
      <c r="BE158"/>
      <c r="BF158"/>
      <c r="BG158"/>
      <c r="BH158"/>
      <c r="BI158"/>
      <c r="BJ158"/>
    </row>
    <row r="159" spans="1:79" x14ac:dyDescent="0.3">
      <c r="A159" s="40">
        <v>2</v>
      </c>
      <c r="C159" s="6" t="s">
        <v>4</v>
      </c>
      <c r="D159" s="6" t="s">
        <v>9</v>
      </c>
      <c r="E159" s="6" t="s">
        <v>5</v>
      </c>
      <c r="F159" s="6" t="s">
        <v>7</v>
      </c>
      <c r="G159" s="6" t="s">
        <v>1</v>
      </c>
      <c r="H159" s="6" t="s">
        <v>6</v>
      </c>
      <c r="I159" s="6" t="s">
        <v>29</v>
      </c>
      <c r="J159" s="6" t="s">
        <v>129</v>
      </c>
      <c r="K159" s="6" t="s">
        <v>113</v>
      </c>
      <c r="BB159"/>
      <c r="BC159"/>
      <c r="BD159"/>
      <c r="BE159"/>
      <c r="BF159"/>
      <c r="BG159"/>
      <c r="BH159"/>
      <c r="BI159"/>
      <c r="BJ159"/>
    </row>
    <row r="160" spans="1:79" ht="14.4" x14ac:dyDescent="0.3">
      <c r="A160" s="40">
        <v>0</v>
      </c>
      <c r="B160"/>
      <c r="C160"/>
      <c r="D160"/>
      <c r="E160"/>
      <c r="F160"/>
      <c r="G160"/>
      <c r="H160"/>
      <c r="I160"/>
      <c r="J160"/>
      <c r="K160"/>
      <c r="BB160"/>
      <c r="BC160"/>
      <c r="BD160"/>
      <c r="BE160"/>
      <c r="BF160"/>
      <c r="BG160"/>
      <c r="BH160"/>
      <c r="BI160"/>
      <c r="BJ160"/>
    </row>
    <row r="161" spans="1:62" x14ac:dyDescent="0.3">
      <c r="A161" s="40">
        <v>3</v>
      </c>
      <c r="B161" s="13" t="str">
        <f>visible(E154, K161)</f>
        <v>وحدة سفلية دلفة /دلفتين + درج</v>
      </c>
      <c r="C161" s="6">
        <f>visible(1,K161)</f>
        <v>1</v>
      </c>
      <c r="D161" s="6" t="str">
        <f ca="1">visible(I155, K161)</f>
        <v>HPL</v>
      </c>
      <c r="E161" s="6" t="str">
        <f>visible("قاعدة", K161)</f>
        <v>قاعدة</v>
      </c>
      <c r="F161" s="6">
        <f>visible(H157-3.6, K161)</f>
        <v>56.4</v>
      </c>
      <c r="G161" s="6">
        <f ca="1">visible(J157, K161)</f>
        <v>56</v>
      </c>
      <c r="H161" s="6">
        <f>visible(1*C154, K161)</f>
        <v>1</v>
      </c>
      <c r="I161" s="6">
        <f t="shared" ref="I161:I168" ca="1" si="5">visible(materialNum(D161), K161)</f>
        <v>2</v>
      </c>
      <c r="J161" s="6">
        <f ca="1">visible(engraving(I161), K161)</f>
        <v>2</v>
      </c>
      <c r="K161" s="6" t="b">
        <v>1</v>
      </c>
      <c r="BB161"/>
      <c r="BC161"/>
      <c r="BD161"/>
      <c r="BE161"/>
      <c r="BF161"/>
      <c r="BG161"/>
      <c r="BH161"/>
      <c r="BI161"/>
      <c r="BJ161"/>
    </row>
    <row r="162" spans="1:62" x14ac:dyDescent="0.3">
      <c r="A162" s="40">
        <v>3</v>
      </c>
      <c r="B162" s="13" t="str">
        <f>visible(E154, K162)</f>
        <v>وحدة سفلية دلفة /دلفتين + درج</v>
      </c>
      <c r="C162" s="6">
        <f>visible(2,K162)</f>
        <v>2</v>
      </c>
      <c r="D162" s="6" t="str">
        <f ca="1">visible(I155, K162)</f>
        <v>HPL</v>
      </c>
      <c r="E162" s="6" t="str">
        <f>visible("أجناب", K162)</f>
        <v>أجناب</v>
      </c>
      <c r="F162" s="6">
        <f ca="1">visible(I157, K162)</f>
        <v>78</v>
      </c>
      <c r="G162" s="6">
        <f ca="1">visible(J157, K162)</f>
        <v>56</v>
      </c>
      <c r="H162" s="6">
        <f>visible(2*C154, K162)</f>
        <v>2</v>
      </c>
      <c r="I162" s="6">
        <f t="shared" ca="1" si="5"/>
        <v>2</v>
      </c>
      <c r="J162" s="6">
        <f ca="1">visible(engraving(I162), K162)</f>
        <v>2</v>
      </c>
      <c r="K162" s="6" t="b">
        <v>1</v>
      </c>
      <c r="BB162"/>
      <c r="BC162"/>
      <c r="BD162"/>
      <c r="BE162"/>
      <c r="BF162"/>
      <c r="BG162"/>
      <c r="BH162"/>
      <c r="BI162"/>
      <c r="BJ162"/>
    </row>
    <row r="163" spans="1:62" x14ac:dyDescent="0.3">
      <c r="A163" s="40">
        <v>3</v>
      </c>
      <c r="B163" s="13" t="str">
        <f>visible(E154, K163)</f>
        <v>وحدة سفلية دلفة /دلفتين + درج</v>
      </c>
      <c r="C163" s="6">
        <f>visible(3,K163)</f>
        <v>3</v>
      </c>
      <c r="D163" s="6" t="str">
        <f ca="1">visible(I155, K163)</f>
        <v>HPL</v>
      </c>
      <c r="E163" s="6" t="str">
        <f>visible("مرايا علوية 1", K163)</f>
        <v>مرايا علوية 1</v>
      </c>
      <c r="F163" s="6">
        <f>visible(H157-3.6, K163)</f>
        <v>56.4</v>
      </c>
      <c r="G163" s="6">
        <f>visible(10, K163)</f>
        <v>10</v>
      </c>
      <c r="H163" s="6">
        <f>visible(1*C154, K163)</f>
        <v>1</v>
      </c>
      <c r="I163" s="6">
        <f t="shared" ca="1" si="5"/>
        <v>2</v>
      </c>
      <c r="J163" s="6">
        <f ca="1">visible(engraving(I163), K163)</f>
        <v>2</v>
      </c>
      <c r="K163" s="6" t="b">
        <v>1</v>
      </c>
      <c r="BB163"/>
      <c r="BC163"/>
      <c r="BD163"/>
      <c r="BE163"/>
      <c r="BF163"/>
      <c r="BG163"/>
      <c r="BH163"/>
      <c r="BI163"/>
      <c r="BJ163"/>
    </row>
    <row r="164" spans="1:62" x14ac:dyDescent="0.3">
      <c r="A164" s="40">
        <v>3</v>
      </c>
      <c r="B164" s="13" t="str">
        <f>visible(E154, K164)</f>
        <v>وحدة سفلية دلفة /دلفتين + درج</v>
      </c>
      <c r="C164" s="6">
        <f>visible(4,K164)</f>
        <v>4</v>
      </c>
      <c r="D164" s="6" t="str">
        <f ca="1">visible(I155, K164)</f>
        <v>HPL</v>
      </c>
      <c r="E164" s="6" t="str">
        <f>visible("مرايا علوية 2", K164)</f>
        <v>مرايا علوية 2</v>
      </c>
      <c r="F164" s="6">
        <f>visible(H157-3.6, K164)</f>
        <v>56.4</v>
      </c>
      <c r="G164" s="6">
        <f>visible(7, K164)</f>
        <v>7</v>
      </c>
      <c r="H164" s="6">
        <f>visible(1*C154, K164)</f>
        <v>1</v>
      </c>
      <c r="I164" s="6">
        <f t="shared" ca="1" si="5"/>
        <v>2</v>
      </c>
      <c r="J164" s="6">
        <f ca="1">visible(engraving(I164), K164)</f>
        <v>2</v>
      </c>
      <c r="K164" s="6" t="b">
        <v>1</v>
      </c>
      <c r="BB164"/>
      <c r="BC164"/>
      <c r="BD164"/>
      <c r="BE164"/>
      <c r="BF164"/>
      <c r="BG164"/>
      <c r="BH164"/>
      <c r="BI164"/>
      <c r="BJ164"/>
    </row>
    <row r="165" spans="1:62" x14ac:dyDescent="0.3">
      <c r="A165" s="40">
        <v>3</v>
      </c>
      <c r="B165" s="13" t="str">
        <f>visible(E154, K165)</f>
        <v>وحدة سفلية دلفة /دلفتين + درج</v>
      </c>
      <c r="C165" s="6">
        <f>visible(5,K165)</f>
        <v>5</v>
      </c>
      <c r="D165" s="6" t="str">
        <f ca="1">visible(I155, K165)</f>
        <v>HPL</v>
      </c>
      <c r="E165" s="6" t="str">
        <f>visible("رف", K165)</f>
        <v>رف</v>
      </c>
      <c r="F165" s="6">
        <f>visible(H157-3.8, K165)</f>
        <v>56.2</v>
      </c>
      <c r="G165" s="6">
        <f ca="1">visible(J157-6, K165)</f>
        <v>50</v>
      </c>
      <c r="H165" s="6">
        <f>visible(D157*C154, K165)</f>
        <v>1</v>
      </c>
      <c r="I165" s="6">
        <f t="shared" ca="1" si="5"/>
        <v>2</v>
      </c>
      <c r="J165" s="6">
        <f ca="1">visible(engraving(I165), K165)</f>
        <v>2</v>
      </c>
      <c r="K165" s="6" t="b">
        <v>1</v>
      </c>
      <c r="BB165"/>
      <c r="BC165"/>
      <c r="BD165"/>
      <c r="BE165"/>
      <c r="BF165"/>
      <c r="BG165"/>
      <c r="BH165"/>
      <c r="BI165"/>
      <c r="BJ165"/>
    </row>
    <row r="166" spans="1:62" x14ac:dyDescent="0.3">
      <c r="A166" s="40">
        <v>3</v>
      </c>
      <c r="B166" s="13" t="str">
        <f>visible(E154, K166)</f>
        <v>وحدة سفلية دلفة /دلفتين + درج</v>
      </c>
      <c r="C166" s="10">
        <f>visible(6,K166)</f>
        <v>6</v>
      </c>
      <c r="D166" s="10" t="str">
        <f ca="1">visible(I155, K166)</f>
        <v>HPL</v>
      </c>
      <c r="E166" s="10" t="str">
        <f>visible("وش درج داخلى", K166)</f>
        <v>وش درج داخلى</v>
      </c>
      <c r="F166" s="10">
        <f>visible(H157-3.6-3.6-2.5, K166)</f>
        <v>50.3</v>
      </c>
      <c r="G166" s="10">
        <f>visible("10", K166)</f>
        <v>10</v>
      </c>
      <c r="H166" s="10">
        <f>visible(F157*C154, K166)</f>
        <v>1</v>
      </c>
      <c r="I166" s="10">
        <f t="shared" ca="1" si="5"/>
        <v>2</v>
      </c>
      <c r="J166" s="10">
        <f ca="1">visible(engraving(I166), K166)</f>
        <v>2</v>
      </c>
      <c r="K166" s="10" t="b">
        <v>1</v>
      </c>
      <c r="BB166"/>
      <c r="BC166"/>
      <c r="BD166"/>
      <c r="BE166"/>
      <c r="BF166"/>
      <c r="BG166"/>
      <c r="BH166"/>
      <c r="BI166"/>
      <c r="BJ166"/>
    </row>
    <row r="167" spans="1:62" x14ac:dyDescent="0.3">
      <c r="A167" s="40">
        <v>3</v>
      </c>
      <c r="B167" s="13" t="str">
        <f>visible(E154, K167)</f>
        <v>وحدة سفلية دلفة /دلفتين + درج</v>
      </c>
      <c r="C167" s="10">
        <f>visible(7,K167)</f>
        <v>7</v>
      </c>
      <c r="D167" s="10" t="str">
        <f ca="1">visible(I155, K167)</f>
        <v>HPL</v>
      </c>
      <c r="E167" s="10" t="str">
        <f>visible("جنب درج داخلى ", K167)</f>
        <v xml:space="preserve">جنب درج داخلى </v>
      </c>
      <c r="F167" s="10">
        <f ca="1">visible(G157, K167)</f>
        <v>45</v>
      </c>
      <c r="G167" s="10">
        <f>visible("10", K167)</f>
        <v>10</v>
      </c>
      <c r="H167" s="10">
        <f>visible(2*C154*F157, K167)</f>
        <v>2</v>
      </c>
      <c r="I167" s="10">
        <f t="shared" ca="1" si="5"/>
        <v>2</v>
      </c>
      <c r="J167" s="10">
        <f ca="1">visible(engraving(I167), K167)</f>
        <v>2</v>
      </c>
      <c r="K167" s="10" t="b">
        <v>1</v>
      </c>
      <c r="BB167"/>
      <c r="BC167"/>
      <c r="BD167"/>
      <c r="BE167"/>
      <c r="BF167"/>
      <c r="BG167"/>
      <c r="BH167"/>
      <c r="BI167"/>
      <c r="BJ167"/>
    </row>
    <row r="168" spans="1:62" x14ac:dyDescent="0.3">
      <c r="A168" s="40">
        <v>3</v>
      </c>
      <c r="B168" s="13" t="str">
        <f>visible(E154, K168)</f>
        <v>وحدة سفلية دلفة /دلفتين + درج</v>
      </c>
      <c r="C168" s="10">
        <f>visible(8,K168)</f>
        <v>8</v>
      </c>
      <c r="D168" s="10" t="str">
        <f ca="1">visible(I155, K168)</f>
        <v>HPL</v>
      </c>
      <c r="E168" s="10" t="str">
        <f>visible("ظهر درج داخلى ", K168)</f>
        <v xml:space="preserve">ظهر درج داخلى </v>
      </c>
      <c r="F168" s="10">
        <f>visible(H157-3.6-3.6-2.5, K168)</f>
        <v>50.3</v>
      </c>
      <c r="G168" s="10">
        <f>visible(10-3, K168)</f>
        <v>7</v>
      </c>
      <c r="H168" s="10">
        <f>visible(F157*C154, K168)</f>
        <v>1</v>
      </c>
      <c r="I168" s="10">
        <f t="shared" ca="1" si="5"/>
        <v>2</v>
      </c>
      <c r="J168" s="10">
        <f ca="1">visible(engraving(I168), K168)</f>
        <v>2</v>
      </c>
      <c r="K168" s="10" t="b">
        <v>1</v>
      </c>
      <c r="BB168"/>
      <c r="BC168"/>
      <c r="BD168"/>
      <c r="BE168"/>
      <c r="BF168"/>
      <c r="BG168"/>
      <c r="BH168"/>
      <c r="BI168"/>
      <c r="BJ168"/>
    </row>
    <row r="169" spans="1:62" ht="14.4" x14ac:dyDescent="0.3">
      <c r="A169" s="40">
        <v>0</v>
      </c>
      <c r="B169"/>
      <c r="C169"/>
      <c r="D169"/>
      <c r="E169"/>
      <c r="F169"/>
      <c r="G169"/>
      <c r="H169"/>
      <c r="I169"/>
      <c r="J169"/>
      <c r="K169"/>
      <c r="BB169"/>
      <c r="BC169"/>
      <c r="BD169"/>
      <c r="BE169"/>
      <c r="BF169"/>
      <c r="BG169"/>
      <c r="BH169"/>
      <c r="BI169"/>
      <c r="BJ169"/>
    </row>
    <row r="170" spans="1:62" x14ac:dyDescent="0.3">
      <c r="A170" s="40">
        <v>4</v>
      </c>
      <c r="B170" s="13" t="str">
        <f>visible(E154, K170)</f>
        <v>وحدة سفلية دلفة /دلفتين + درج</v>
      </c>
      <c r="C170" s="9">
        <f>visible(9,K170)</f>
        <v>9</v>
      </c>
      <c r="D170" s="9" t="str">
        <f ca="1">visible(G155, K170)</f>
        <v>يوفيلاك</v>
      </c>
      <c r="E170" s="9" t="str">
        <f>visible("دلف ", K170)</f>
        <v xml:space="preserve">دلف </v>
      </c>
      <c r="F170" s="9">
        <f ca="1">visible(I157-khlos(C157)-E157-G171, K170)</f>
        <v>59.2</v>
      </c>
      <c r="G170" s="9">
        <f>visible((H157/C157)-0.7, K170)</f>
        <v>29.3</v>
      </c>
      <c r="H170" s="9">
        <f>visible(C157*C154, K170)</f>
        <v>2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BB170"/>
      <c r="BC170"/>
      <c r="BD170"/>
      <c r="BE170"/>
      <c r="BF170"/>
      <c r="BG170"/>
      <c r="BH170"/>
      <c r="BI170"/>
      <c r="BJ170"/>
    </row>
    <row r="171" spans="1:62" x14ac:dyDescent="0.3">
      <c r="A171" s="40">
        <v>4</v>
      </c>
      <c r="B171" s="13" t="str">
        <f>visible(E154, K171)</f>
        <v>وحدة سفلية دلفة /دلفتين + درج</v>
      </c>
      <c r="C171" s="9">
        <f>visible(10,K171)</f>
        <v>10</v>
      </c>
      <c r="D171" s="9" t="str">
        <f ca="1">visible(G155, K171)</f>
        <v>يوفيلاك</v>
      </c>
      <c r="E171" s="9" t="str">
        <f>visible("وش درج ", K171)</f>
        <v xml:space="preserve">وش درج </v>
      </c>
      <c r="F171" s="9">
        <f>visible(H157-0.7, K171)</f>
        <v>59.3</v>
      </c>
      <c r="G171" s="9">
        <f ca="1">visible(I157-E157-59.7, K171)</f>
        <v>14.8</v>
      </c>
      <c r="H171" s="9">
        <f>visible(F157*C154, K171)</f>
        <v>1</v>
      </c>
      <c r="I171" s="9">
        <f ca="1">visible(materialNum(D171), K171)</f>
        <v>6</v>
      </c>
      <c r="J171" s="9">
        <f ca="1">visible(engraving(I171), K171)</f>
        <v>2</v>
      </c>
      <c r="K171" s="9" t="b">
        <v>1</v>
      </c>
      <c r="BB171"/>
      <c r="BC171"/>
      <c r="BD171"/>
      <c r="BE171"/>
      <c r="BF171"/>
      <c r="BG171"/>
      <c r="BH171"/>
      <c r="BI171"/>
      <c r="BJ171"/>
    </row>
    <row r="172" spans="1:62" ht="14.4" x14ac:dyDescent="0.3">
      <c r="A172" s="40">
        <v>0</v>
      </c>
      <c r="B172"/>
      <c r="C172"/>
      <c r="D172"/>
      <c r="E172"/>
      <c r="F172"/>
      <c r="G172"/>
      <c r="H172"/>
      <c r="I172"/>
      <c r="J172"/>
      <c r="K172"/>
      <c r="BB172"/>
      <c r="BC172"/>
      <c r="BD172"/>
      <c r="BE172"/>
      <c r="BF172"/>
      <c r="BG172"/>
      <c r="BH172"/>
      <c r="BI172"/>
      <c r="BJ172"/>
    </row>
    <row r="173" spans="1:62" x14ac:dyDescent="0.3">
      <c r="A173" s="40">
        <v>5</v>
      </c>
      <c r="B173" s="13" t="str">
        <f>visible(E154, K173)</f>
        <v>وحدة سفلية دلفة /دلفتين + درج</v>
      </c>
      <c r="C173" s="17">
        <f>visible(11,K173)</f>
        <v>11</v>
      </c>
      <c r="D173" s="17" t="str">
        <f ca="1">visible(E155, K173)</f>
        <v>ظهر</v>
      </c>
      <c r="E173" s="17" t="str">
        <f>visible("ظهر", K173)</f>
        <v>ظهر</v>
      </c>
      <c r="F173" s="17">
        <f ca="1">visible(I157-2, K173)</f>
        <v>76</v>
      </c>
      <c r="G173" s="17">
        <f>visible(H157-2, K173)</f>
        <v>58</v>
      </c>
      <c r="H173" s="17">
        <f>visible(1*C154, K173)</f>
        <v>1</v>
      </c>
      <c r="I173" s="17">
        <f ca="1">visible(materialNum(D173), K173)</f>
        <v>2</v>
      </c>
      <c r="J173" s="17">
        <f ca="1">visible(engraving(I173), K173)</f>
        <v>2</v>
      </c>
      <c r="K173" s="17" t="b">
        <v>1</v>
      </c>
      <c r="BB173"/>
      <c r="BC173"/>
      <c r="BD173"/>
      <c r="BE173"/>
      <c r="BF173"/>
      <c r="BG173"/>
      <c r="BH173"/>
      <c r="BI173"/>
      <c r="BJ173"/>
    </row>
    <row r="174" spans="1:62" x14ac:dyDescent="0.3">
      <c r="A174" s="40">
        <v>5</v>
      </c>
      <c r="B174" s="13" t="str">
        <f>visible(E154, K174)</f>
        <v>وحدة سفلية دلفة /دلفتين + درج</v>
      </c>
      <c r="C174" s="17">
        <f>visible(12,K174)</f>
        <v>12</v>
      </c>
      <c r="D174" s="17" t="str">
        <f ca="1">visible(E155, K174)</f>
        <v>ظهر</v>
      </c>
      <c r="E174" s="17" t="str">
        <f>visible("قعر درج  ", K174)</f>
        <v xml:space="preserve">قعر درج  </v>
      </c>
      <c r="F174" s="17">
        <f>visible(H157-3.6-3.6-2.5+2, K174)</f>
        <v>52.3</v>
      </c>
      <c r="G174" s="17">
        <f ca="1">visible(G157-1, K174)</f>
        <v>44</v>
      </c>
      <c r="H174" s="17">
        <f>visible(1*C154, K174)</f>
        <v>1</v>
      </c>
      <c r="I174" s="17">
        <f ca="1">visible(materialNum(D174), K174)</f>
        <v>2</v>
      </c>
      <c r="J174" s="17">
        <f ca="1">visible(engraving(I174), K174)</f>
        <v>2</v>
      </c>
      <c r="K174" s="17" t="b">
        <v>1</v>
      </c>
      <c r="BB174"/>
      <c r="BC174"/>
      <c r="BD174"/>
      <c r="BE174"/>
      <c r="BF174"/>
      <c r="BG174"/>
      <c r="BH174"/>
      <c r="BI174"/>
      <c r="BJ174"/>
    </row>
    <row r="175" spans="1:62" x14ac:dyDescent="0.3">
      <c r="A175" s="40">
        <v>255</v>
      </c>
      <c r="BB175"/>
      <c r="BC175"/>
      <c r="BD175"/>
      <c r="BE175"/>
      <c r="BF175"/>
      <c r="BG175"/>
      <c r="BH175"/>
      <c r="BI175"/>
      <c r="BJ175"/>
    </row>
    <row r="176" spans="1:62" x14ac:dyDescent="0.3">
      <c r="A176" s="40">
        <v>255</v>
      </c>
      <c r="BB176"/>
      <c r="BC176"/>
      <c r="BD176"/>
      <c r="BE176"/>
      <c r="BF176"/>
      <c r="BG176"/>
      <c r="BH176"/>
      <c r="BI176"/>
      <c r="BJ176"/>
    </row>
  </sheetData>
  <mergeCells count="11">
    <mergeCell ref="C2:K2"/>
    <mergeCell ref="E90:H90"/>
    <mergeCell ref="E154:H154"/>
    <mergeCell ref="E131:H131"/>
    <mergeCell ref="E111:H111"/>
    <mergeCell ref="E17:H17"/>
    <mergeCell ref="E35:H35"/>
    <mergeCell ref="J39:K39"/>
    <mergeCell ref="E70:H70"/>
    <mergeCell ref="C7:O7"/>
    <mergeCell ref="C4:O4"/>
  </mergeCells>
  <phoneticPr fontId="9" type="noConversion"/>
  <conditionalFormatting sqref="B12">
    <cfRule type="cellIs" dxfId="49" priority="2" operator="equal">
      <formula>"مغلق"</formula>
    </cfRule>
    <cfRule type="cellIs" dxfId="48" priority="1" operator="equal">
      <formula>"مفعل"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182880</xdr:colOff>
                    <xdr:row>10</xdr:row>
                    <xdr:rowOff>45720</xdr:rowOff>
                  </from>
                  <to>
                    <xdr:col>9</xdr:col>
                    <xdr:colOff>807720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10</xdr:row>
                    <xdr:rowOff>53340</xdr:rowOff>
                  </from>
                  <to>
                    <xdr:col>4</xdr:col>
                    <xdr:colOff>800100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937260</xdr:colOff>
                    <xdr:row>10</xdr:row>
                    <xdr:rowOff>53340</xdr:rowOff>
                  </from>
                  <to>
                    <xdr:col>6</xdr:col>
                    <xdr:colOff>701040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68580</xdr:colOff>
                    <xdr:row>10</xdr:row>
                    <xdr:rowOff>45720</xdr:rowOff>
                  </from>
                  <to>
                    <xdr:col>13</xdr:col>
                    <xdr:colOff>30480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toggleCalculations">
                <anchor moveWithCells="1" sizeWithCells="1">
                  <from>
                    <xdr:col>13</xdr:col>
                    <xdr:colOff>236220</xdr:colOff>
                    <xdr:row>10</xdr:row>
                    <xdr:rowOff>30480</xdr:rowOff>
                  </from>
                  <to>
                    <xdr:col>17</xdr:col>
                    <xdr:colOff>358140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533400</xdr:colOff>
                    <xdr:row>10</xdr:row>
                    <xdr:rowOff>30480</xdr:rowOff>
                  </from>
                  <to>
                    <xdr:col>18</xdr:col>
                    <xdr:colOff>320040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91"/>
  <sheetViews>
    <sheetView topLeftCell="B1" zoomScale="70" zoomScaleNormal="70" workbookViewId="0">
      <pane ySplit="12" topLeftCell="A13" activePane="bottomLeft" state="frozen"/>
      <selection activeCell="B1" sqref="B1"/>
      <selection pane="bottomLeft" activeCell="B12" sqref="B12"/>
    </sheetView>
  </sheetViews>
  <sheetFormatPr defaultRowHeight="14.4" x14ac:dyDescent="0.3"/>
  <cols>
    <col min="1" max="1" width="9" style="32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10.5546875" style="3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85" customFormat="1" x14ac:dyDescent="0.3">
      <c r="A1" s="85">
        <v>34</v>
      </c>
      <c r="B1" s="85">
        <v>7</v>
      </c>
      <c r="P1" s="86"/>
      <c r="Q1" s="86"/>
      <c r="R1" s="86"/>
      <c r="S1" s="86"/>
      <c r="T1" s="86"/>
      <c r="U1" s="86"/>
      <c r="V1" s="86"/>
      <c r="W1" s="86"/>
      <c r="X1" s="86"/>
    </row>
    <row r="2" spans="1:81" s="85" customFormat="1" ht="31.2" customHeight="1" x14ac:dyDescent="0.3">
      <c r="A2" s="85">
        <v>54</v>
      </c>
      <c r="B2" s="86" t="s">
        <v>80</v>
      </c>
      <c r="C2" s="139" t="s">
        <v>39</v>
      </c>
      <c r="D2" s="139"/>
      <c r="E2" s="139"/>
      <c r="F2" s="139"/>
      <c r="G2" s="139"/>
      <c r="H2" s="139"/>
      <c r="I2" s="139"/>
      <c r="J2" s="139"/>
      <c r="K2" s="139"/>
      <c r="P2" s="86"/>
      <c r="Q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6"/>
      <c r="BR2" s="86"/>
      <c r="BS2" s="86"/>
      <c r="BT2" s="86"/>
      <c r="BU2" s="86"/>
      <c r="BV2" s="86"/>
      <c r="BW2" s="86"/>
      <c r="BX2" s="86"/>
      <c r="BY2" s="86"/>
      <c r="BZ2" s="86"/>
      <c r="CA2" s="86"/>
      <c r="CB2" s="86"/>
      <c r="CC2" s="86"/>
    </row>
    <row r="3" spans="1:81" s="85" customFormat="1" x14ac:dyDescent="0.3">
      <c r="B3" s="85" t="s">
        <v>105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  <c r="BX3" s="86"/>
      <c r="BY3" s="86"/>
      <c r="BZ3" s="86"/>
      <c r="CA3" s="86"/>
      <c r="CB3" s="86"/>
      <c r="CC3" s="86"/>
    </row>
    <row r="4" spans="1:81" s="85" customFormat="1" ht="21" x14ac:dyDescent="0.4">
      <c r="C4" s="128" t="s">
        <v>131</v>
      </c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30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  <c r="BX4" s="86"/>
      <c r="BY4" s="86"/>
      <c r="BZ4" s="86"/>
      <c r="CA4" s="86"/>
      <c r="CB4" s="86"/>
      <c r="CC4" s="86"/>
    </row>
    <row r="5" spans="1:81" s="85" customFormat="1" x14ac:dyDescent="0.3">
      <c r="C5" s="83" cm="1">
        <f t="array" ref="C5:O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 دلف</v>
      </c>
      <c r="L5" s="83" t="str">
        <v>HPL</v>
      </c>
      <c r="M5" s="83" t="str">
        <v>CPL</v>
      </c>
      <c r="N5" s="83" t="str">
        <v>ظهر</v>
      </c>
      <c r="O5" s="91">
        <v>0</v>
      </c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  <c r="BX5" s="86"/>
      <c r="BY5" s="86"/>
      <c r="BZ5" s="86"/>
      <c r="CA5" s="86"/>
      <c r="CB5" s="86"/>
      <c r="CC5" s="86"/>
    </row>
    <row r="6" spans="1:81" s="85" customFormat="1" x14ac:dyDescent="0.3"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>
        <v>2</v>
      </c>
      <c r="O6" s="91" t="str">
        <v>الرقم</v>
      </c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</row>
    <row r="7" spans="1:81" s="85" customFormat="1" ht="21" x14ac:dyDescent="0.4">
      <c r="C7" s="128" t="s">
        <v>117</v>
      </c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30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</row>
    <row r="8" spans="1:81" s="85" customFormat="1" x14ac:dyDescent="0.3"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O8" s="91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</row>
    <row r="9" spans="1:81" s="85" customFormat="1" x14ac:dyDescent="0.3"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O9" s="91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</row>
    <row r="10" spans="1:81" s="85" customFormat="1" x14ac:dyDescent="0.3"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</row>
    <row r="11" spans="1:81" s="85" customFormat="1" x14ac:dyDescent="0.3">
      <c r="B11" s="102" t="s">
        <v>139</v>
      </c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</row>
    <row r="12" spans="1:81" s="88" customFormat="1" ht="18" x14ac:dyDescent="0.3">
      <c r="A12" s="85"/>
      <c r="B12" s="101" t="s">
        <v>138</v>
      </c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</row>
    <row r="13" spans="1:81" customFormat="1" x14ac:dyDescent="0.3">
      <c r="A13" s="74"/>
    </row>
    <row r="14" spans="1:81" customFormat="1" x14ac:dyDescent="0.3">
      <c r="A14" s="32"/>
    </row>
    <row r="15" spans="1:81" x14ac:dyDescent="0.3"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x14ac:dyDescent="0.3">
      <c r="R16" s="39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s="4" customFormat="1" ht="31.2" customHeight="1" x14ac:dyDescent="0.3">
      <c r="A17" s="32" t="s">
        <v>88</v>
      </c>
      <c r="B17" s="3"/>
      <c r="C17" s="12">
        <v>1</v>
      </c>
      <c r="D17" s="20" t="s">
        <v>51</v>
      </c>
      <c r="E17" s="114" t="s">
        <v>40</v>
      </c>
      <c r="F17" s="115"/>
      <c r="G17" s="115"/>
      <c r="H17" s="116"/>
      <c r="I17" s="2" t="s">
        <v>26</v>
      </c>
      <c r="J17" s="2">
        <f>letterToNumber(A17)</f>
        <v>1</v>
      </c>
      <c r="K17" s="7">
        <f ca="1">_xlfn.SHEET("وحدات علوية")</f>
        <v>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21" x14ac:dyDescent="0.3">
      <c r="A18" s="32">
        <v>1</v>
      </c>
      <c r="C18" s="8"/>
      <c r="D18" s="7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2">
        <v>1</v>
      </c>
      <c r="C19" s="7" t="s">
        <v>48</v>
      </c>
      <c r="D19" s="7" t="s">
        <v>49</v>
      </c>
      <c r="E19" s="16" t="s">
        <v>16</v>
      </c>
      <c r="F19" s="7" t="s">
        <v>14</v>
      </c>
      <c r="G19" s="7" t="s">
        <v>78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25.8" customHeight="1" x14ac:dyDescent="0.3">
      <c r="A20" s="32">
        <v>1</v>
      </c>
      <c r="C20" s="8">
        <v>1</v>
      </c>
      <c r="D20" s="8">
        <v>0</v>
      </c>
      <c r="E20" s="8">
        <v>1</v>
      </c>
      <c r="F20" s="25" cm="1">
        <f t="array" aca="1" ref="F20" ca="1">defaultValue(F19,K17)</f>
        <v>3.5</v>
      </c>
      <c r="G20" s="25" cm="1">
        <f t="array" aca="1" ref="G20" ca="1">defaultValue(G19,K17)</f>
        <v>0</v>
      </c>
      <c r="H20" s="8"/>
      <c r="I20" s="25" cm="1">
        <f t="array" aca="1" ref="I20" ca="1">defaultValue(I19,K17)</f>
        <v>70</v>
      </c>
      <c r="J20" s="25" cm="1">
        <f t="array" aca="1" ref="J20" ca="1">defaultValue(J19,K17)</f>
        <v>30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15.6" x14ac:dyDescent="0.3">
      <c r="A21" s="32">
        <v>1</v>
      </c>
      <c r="C21" s="9" t="b">
        <f>C20=0</f>
        <v>0</v>
      </c>
      <c r="D21" s="9" t="b">
        <f>D20=0</f>
        <v>1</v>
      </c>
      <c r="E21" s="7" t="s">
        <v>72</v>
      </c>
      <c r="F21" s="134" t="b">
        <f ca="1">NOT(AND(F20&gt;0,G20&gt;0))</f>
        <v>1</v>
      </c>
      <c r="G21" s="134"/>
      <c r="H21" s="3" t="b">
        <f>_xlfn.XOR(H20&lt;=50,C22=2)</f>
        <v>1</v>
      </c>
      <c r="I21" s="38"/>
      <c r="J21" s="8"/>
      <c r="K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ht="15.6" x14ac:dyDescent="0.3">
      <c r="A22" s="32">
        <v>1</v>
      </c>
      <c r="C22" s="133">
        <f>C20+D20</f>
        <v>1</v>
      </c>
      <c r="D22" s="133"/>
      <c r="E22" s="24">
        <v>10</v>
      </c>
      <c r="F22" s="135" t="str">
        <f ca="1">IF(F21,"المقابض مظبوطة","مينفعش مقبض مخفي مع بيلت ان")</f>
        <v>المقابض مظبوطة</v>
      </c>
      <c r="G22" s="135"/>
      <c r="H22" s="134" t="str">
        <f>IF(H21,"عدد الدلف صحيح","عدد الدلف غير صحيح")</f>
        <v>عدد الدلف صحيح</v>
      </c>
      <c r="I22" s="134"/>
      <c r="J22" s="134"/>
      <c r="K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x14ac:dyDescent="0.3">
      <c r="A23" s="32">
        <v>1</v>
      </c>
      <c r="C23" s="134" t="b">
        <f>C22&lt;=2</f>
        <v>1</v>
      </c>
      <c r="D23" s="134"/>
      <c r="E23" s="8"/>
      <c r="F23" s="8"/>
      <c r="G23" s="8"/>
      <c r="H23" s="8"/>
      <c r="I23" s="8"/>
      <c r="J23" s="8"/>
      <c r="K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x14ac:dyDescent="0.3">
      <c r="A24" s="32">
        <v>0</v>
      </c>
      <c r="B24"/>
      <c r="C24"/>
      <c r="D24"/>
      <c r="E24"/>
      <c r="F24"/>
      <c r="G24"/>
      <c r="H24"/>
      <c r="I24"/>
      <c r="J24"/>
      <c r="K2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x14ac:dyDescent="0.3">
      <c r="A25" s="32">
        <v>2</v>
      </c>
      <c r="C25" s="6" t="s">
        <v>4</v>
      </c>
      <c r="D25" s="6" t="s">
        <v>9</v>
      </c>
      <c r="E25" s="6" t="s">
        <v>5</v>
      </c>
      <c r="F25" s="6" t="s">
        <v>7</v>
      </c>
      <c r="G25" s="6" t="s">
        <v>1</v>
      </c>
      <c r="H25" s="6" t="s">
        <v>6</v>
      </c>
      <c r="I25" s="6" t="s">
        <v>29</v>
      </c>
      <c r="J25" s="6" t="s">
        <v>129</v>
      </c>
      <c r="K25" s="6" t="s">
        <v>113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2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ht="15.6" customHeight="1" x14ac:dyDescent="0.3">
      <c r="A27" s="32">
        <v>3</v>
      </c>
      <c r="B27" s="3" t="str">
        <f>visible(E17, K27)</f>
        <v xml:space="preserve">وحدة علوية دلفة /دلفتين </v>
      </c>
      <c r="C27" s="6">
        <f>visible(1,K27)</f>
        <v>1</v>
      </c>
      <c r="D27" s="6" t="str">
        <f ca="1">visible(I18, K27)</f>
        <v>HPL</v>
      </c>
      <c r="E27" s="6" t="str">
        <f>visible("قرصة", K27)</f>
        <v>قرصة</v>
      </c>
      <c r="F27" s="6">
        <f>visible(H20-3.6, K27)</f>
        <v>-3.6</v>
      </c>
      <c r="G27" s="6">
        <f ca="1">visible(J20-E22, K27)</f>
        <v>20</v>
      </c>
      <c r="H27" s="6">
        <f>visible(1*C17, 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ht="15.6" customHeight="1" x14ac:dyDescent="0.3">
      <c r="A28" s="32">
        <v>3</v>
      </c>
      <c r="B28" s="3" t="str">
        <f>visible(E17, K28)</f>
        <v xml:space="preserve">وحدة علوية دلفة /دلفتين </v>
      </c>
      <c r="C28" s="6">
        <f>visible(2,K28)</f>
        <v>2</v>
      </c>
      <c r="D28" s="6" t="str">
        <f ca="1">visible(I18, K28)</f>
        <v>HPL</v>
      </c>
      <c r="E28" s="6" t="str">
        <f>visible("قاعدة", K28)</f>
        <v>قاعدة</v>
      </c>
      <c r="F28" s="6">
        <f>visible(H20-3.6, K28)</f>
        <v>-3.6</v>
      </c>
      <c r="G28" s="6">
        <f ca="1">visible(J20-G20-E22, K28)</f>
        <v>20</v>
      </c>
      <c r="H28" s="6">
        <f>visible(1*C17, K28)</f>
        <v>1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ht="15.6" customHeight="1" x14ac:dyDescent="0.3">
      <c r="A29" s="32">
        <v>3</v>
      </c>
      <c r="B29" s="3" t="str">
        <f>visible(E17, K29)</f>
        <v xml:space="preserve">وحدة علوية دلفة /دلفتين </v>
      </c>
      <c r="C29" s="6">
        <f>visible(3,K29)</f>
        <v>3</v>
      </c>
      <c r="D29" s="6" t="str">
        <f ca="1">visible(I18, K29)</f>
        <v>HPL</v>
      </c>
      <c r="E29" s="6" t="str">
        <f>visible("أجناب", K29)</f>
        <v>أجناب</v>
      </c>
      <c r="F29" s="6">
        <f ca="1">visible(I20, K29)</f>
        <v>70</v>
      </c>
      <c r="G29" s="6">
        <f ca="1">visible(J20, K29)</f>
        <v>30</v>
      </c>
      <c r="H29" s="6">
        <f>visible(2*C17, K29)</f>
        <v>2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2">
        <v>3</v>
      </c>
      <c r="B30" s="3" t="str">
        <f>visible(E17, K30)</f>
        <v xml:space="preserve">وحدة علوية دلفة /دلفتين </v>
      </c>
      <c r="C30" s="6">
        <f>visible(4,K30)</f>
        <v>4</v>
      </c>
      <c r="D30" s="6" t="str">
        <f ca="1">visible(I18, K30)</f>
        <v>HPL</v>
      </c>
      <c r="E30" s="6" t="str">
        <f>visible("رف", K30)</f>
        <v>رف</v>
      </c>
      <c r="F30" s="6">
        <f>visible(H20-3.8, K30)</f>
        <v>-3.8</v>
      </c>
      <c r="G30" s="6">
        <f ca="1">visible(J20-5-E22, K30)</f>
        <v>15</v>
      </c>
      <c r="H30" s="6">
        <f>visible(E20*C17,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2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2">
        <v>4</v>
      </c>
      <c r="B32" s="3" t="str">
        <f>visible(E17, K32)</f>
        <v xml:space="preserve">وحدة علوية دلفة /دلفتين </v>
      </c>
      <c r="C32" s="9">
        <f>visible(5,K32)</f>
        <v>5</v>
      </c>
      <c r="D32" s="9" t="str">
        <f ca="1">visible(G18, K32)</f>
        <v>يوفيلاك</v>
      </c>
      <c r="E32" s="9" t="str">
        <f>visible("دلفه خشب", K32)</f>
        <v>دلفه خشب</v>
      </c>
      <c r="F32" s="9">
        <f ca="1">visible(I20-khlos(C20)-F20, K32)</f>
        <v>65.8</v>
      </c>
      <c r="G32" s="9">
        <f>visible((H20/C22)-0.5, K32)</f>
        <v>-0.5</v>
      </c>
      <c r="H32" s="9">
        <f>visible(C20*C17, K32)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f>NOT(C21)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2">
        <v>4</v>
      </c>
      <c r="B33" s="3" t="str">
        <f>visible(E17, K33)</f>
        <v xml:space="preserve">وحدة علوية دلفة /دلفتين </v>
      </c>
      <c r="C33" s="9">
        <f>visible(6,K33)</f>
        <v>6</v>
      </c>
      <c r="D33" s="9" t="str">
        <f>visible("دلفة زجاج", K33)</f>
        <v>دلفة زجاج</v>
      </c>
      <c r="E33" s="9" t="str">
        <f>visible("دلفة  زجاج", K33)</f>
        <v>دلفة  زجاج</v>
      </c>
      <c r="F33" s="9">
        <f ca="1">visible(I20-0.5, K33)</f>
        <v>69.5</v>
      </c>
      <c r="G33" s="9">
        <f>visible((H20/C22)-0.7, K33)</f>
        <v>-0.7</v>
      </c>
      <c r="H33" s="9">
        <f>visible(C17*D20, K33)</f>
        <v>0</v>
      </c>
      <c r="I33" s="9">
        <f>visible(materialNum(D33), K33)</f>
        <v>-1</v>
      </c>
      <c r="J33" s="9">
        <f>visible(engraving(I33), K33)</f>
        <v>0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x14ac:dyDescent="0.3">
      <c r="A34" s="32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x14ac:dyDescent="0.3">
      <c r="A35" s="32">
        <v>5</v>
      </c>
      <c r="B35" s="3" t="str">
        <f>visible(E17, K35)</f>
        <v xml:space="preserve">وحدة علوية دلفة /دلفتين </v>
      </c>
      <c r="C35" s="17">
        <f>visible(7,K35)</f>
        <v>7</v>
      </c>
      <c r="D35" s="17" t="str">
        <f ca="1">visible(E18, K35)</f>
        <v>ظهر</v>
      </c>
      <c r="E35" s="17" t="str">
        <f>visible("ظهر", K35)</f>
        <v>ظهر</v>
      </c>
      <c r="F35" s="17">
        <f ca="1">visible(I20-2, K35)</f>
        <v>68</v>
      </c>
      <c r="G35" s="17">
        <f>visible(H20-2, K35)</f>
        <v>-2</v>
      </c>
      <c r="H35" s="17">
        <f>visible(1*C17, K35)</f>
        <v>1</v>
      </c>
      <c r="I35" s="17">
        <f ca="1">visible(materialNum(D35), K35)</f>
        <v>2</v>
      </c>
      <c r="J35" s="17">
        <f ca="1">visible(engraving(I35), K35)</f>
        <v>2</v>
      </c>
      <c r="K35" s="17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x14ac:dyDescent="0.3">
      <c r="A36" s="32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x14ac:dyDescent="0.3">
      <c r="A37" s="32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36" x14ac:dyDescent="0.3">
      <c r="A38" s="32" t="s">
        <v>93</v>
      </c>
      <c r="C38" s="12">
        <v>1</v>
      </c>
      <c r="D38" s="20" t="s">
        <v>51</v>
      </c>
      <c r="E38" s="114" t="s">
        <v>46</v>
      </c>
      <c r="F38" s="115"/>
      <c r="G38" s="115"/>
      <c r="H38" s="116"/>
      <c r="I38" s="2" t="s">
        <v>26</v>
      </c>
      <c r="J38" s="2">
        <f>letterToNumber(A38)</f>
        <v>2</v>
      </c>
      <c r="K38" s="7">
        <f ca="1">_xlfn.SHEET("وحدات علوية")</f>
        <v>5</v>
      </c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21" x14ac:dyDescent="0.3">
      <c r="A39" s="32">
        <v>1</v>
      </c>
      <c r="C39" s="7"/>
      <c r="D39" s="8"/>
      <c r="E39" s="25" t="str" cm="1">
        <f t="array" aca="1" ref="E39" ca="1">defaultValue(F39,K38)</f>
        <v>ظهر</v>
      </c>
      <c r="F39" s="7" t="s">
        <v>50</v>
      </c>
      <c r="G39" s="25" t="str" cm="1">
        <f t="array" aca="1" ref="G39" ca="1">defaultValue(H39,K38)</f>
        <v>يوفيلاك</v>
      </c>
      <c r="H39" s="7" t="s">
        <v>28</v>
      </c>
      <c r="I39" s="25" t="str" cm="1">
        <f t="array" aca="1" ref="I39" ca="1">defaultValue(J39,K38)</f>
        <v>HPL</v>
      </c>
      <c r="J39" s="7" t="s">
        <v>27</v>
      </c>
      <c r="K39" s="23" t="s">
        <v>75</v>
      </c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2">
        <v>1</v>
      </c>
      <c r="C40" s="7" t="s">
        <v>48</v>
      </c>
      <c r="D40" s="7" t="s">
        <v>49</v>
      </c>
      <c r="E40" s="7" t="s">
        <v>47</v>
      </c>
      <c r="F40" s="7" t="s">
        <v>14</v>
      </c>
      <c r="G40" s="7" t="s">
        <v>78</v>
      </c>
      <c r="H40" s="7" t="s">
        <v>19</v>
      </c>
      <c r="I40" s="7" t="s">
        <v>3</v>
      </c>
      <c r="J40" s="7" t="s">
        <v>76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ht="36" customHeight="1" x14ac:dyDescent="0.3">
      <c r="A41" s="32">
        <v>1</v>
      </c>
      <c r="C41" s="8">
        <v>2</v>
      </c>
      <c r="D41" s="8">
        <v>0</v>
      </c>
      <c r="E41" s="7">
        <v>1</v>
      </c>
      <c r="F41" s="25" cm="1">
        <f t="array" aca="1" ref="F41" ca="1">defaultValue(F40,K38)</f>
        <v>3.5</v>
      </c>
      <c r="G41" s="25" cm="1">
        <f t="array" aca="1" ref="G41" ca="1">defaultValue(G40,K38)</f>
        <v>0</v>
      </c>
      <c r="H41" s="8"/>
      <c r="I41" s="25" cm="1">
        <f t="array" aca="1" ref="I41" ca="1">defaultValue(I40,K38)</f>
        <v>70</v>
      </c>
      <c r="J41" s="25" cm="1">
        <f t="array" aca="1" ref="J41" ca="1">defaultValue(J40,K38)</f>
        <v>30</v>
      </c>
      <c r="K41" s="7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ht="15.6" x14ac:dyDescent="0.3">
      <c r="A42" s="32">
        <v>1</v>
      </c>
      <c r="C42" s="9" t="b">
        <f>C41=0</f>
        <v>0</v>
      </c>
      <c r="D42" s="9" t="b">
        <f>D41=0</f>
        <v>1</v>
      </c>
      <c r="E42" s="7" t="s">
        <v>72</v>
      </c>
      <c r="F42" s="136" t="b">
        <f ca="1">NOT(AND(F41&gt;0,G41&gt;0))</f>
        <v>1</v>
      </c>
      <c r="G42" s="136"/>
      <c r="H42" s="8"/>
      <c r="I42" s="3" t="b">
        <f ca="1">_xlfn.XOR(I41&lt;=50,C43=2)</f>
        <v>1</v>
      </c>
      <c r="J42" s="8"/>
      <c r="K42" s="7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24" x14ac:dyDescent="0.3">
      <c r="A43" s="32">
        <v>1</v>
      </c>
      <c r="C43" s="133">
        <f>C41+D41</f>
        <v>2</v>
      </c>
      <c r="D43" s="133"/>
      <c r="E43" s="7">
        <v>0</v>
      </c>
      <c r="F43" s="137" t="str">
        <f ca="1">IF(F42,"المقابض مظبوطة","مينفعش مقبض مخفي مع بيلت ان")</f>
        <v>المقابض مظبوطة</v>
      </c>
      <c r="G43" s="137"/>
      <c r="H43" s="27"/>
      <c r="I43" s="29" t="str">
        <f ca="1">IF(I42,"عدد الدلف صحيح","عدد الدلف غير صحيح")</f>
        <v>عدد الدلف صحيح</v>
      </c>
      <c r="J43" s="8"/>
      <c r="K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x14ac:dyDescent="0.3">
      <c r="A44" s="32">
        <v>1</v>
      </c>
      <c r="C44" s="134" t="b">
        <f>C43&lt;=2</f>
        <v>1</v>
      </c>
      <c r="D44" s="134"/>
      <c r="E44" s="38"/>
      <c r="F44" s="8"/>
      <c r="G44" s="8"/>
      <c r="H44" s="8"/>
      <c r="I44" s="8"/>
      <c r="J44" s="8"/>
      <c r="K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x14ac:dyDescent="0.3">
      <c r="A45" s="32">
        <v>0</v>
      </c>
      <c r="B45"/>
      <c r="C45"/>
      <c r="D45"/>
      <c r="E45"/>
      <c r="F45"/>
      <c r="G45"/>
      <c r="H45"/>
      <c r="I45"/>
      <c r="J45"/>
      <c r="K45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x14ac:dyDescent="0.3">
      <c r="A46" s="32">
        <v>2</v>
      </c>
      <c r="C46" s="6" t="s">
        <v>4</v>
      </c>
      <c r="D46" s="6" t="s">
        <v>9</v>
      </c>
      <c r="E46" s="6" t="s">
        <v>5</v>
      </c>
      <c r="F46" s="6" t="s">
        <v>7</v>
      </c>
      <c r="G46" s="6" t="s">
        <v>1</v>
      </c>
      <c r="H46" s="6" t="s">
        <v>6</v>
      </c>
      <c r="I46" s="6" t="s">
        <v>29</v>
      </c>
      <c r="J46" s="6" t="s">
        <v>129</v>
      </c>
      <c r="K46" s="6" t="s">
        <v>113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ht="15.6" customHeight="1" x14ac:dyDescent="0.3">
      <c r="A47" s="32">
        <v>0</v>
      </c>
      <c r="B47"/>
      <c r="C47"/>
      <c r="D47"/>
      <c r="E47"/>
      <c r="F47"/>
      <c r="G47"/>
      <c r="H47"/>
      <c r="I47"/>
      <c r="J47"/>
      <c r="K4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ht="15.6" customHeight="1" x14ac:dyDescent="0.3">
      <c r="A48" s="32">
        <v>3</v>
      </c>
      <c r="B48" s="3" t="str">
        <f>visible(E38, K48)</f>
        <v>وحدة علوية  قلاب / 2 قلاب</v>
      </c>
      <c r="C48" s="6">
        <f>visible(1,K48)</f>
        <v>1</v>
      </c>
      <c r="D48" s="6" t="str">
        <f ca="1">visible(I39, K48)</f>
        <v>HPL</v>
      </c>
      <c r="E48" s="6" t="str">
        <f>visible("قرصة", K48)</f>
        <v>قرصة</v>
      </c>
      <c r="F48" s="6">
        <f>visible(H41-3.6, K48)</f>
        <v>-3.6</v>
      </c>
      <c r="G48" s="6">
        <f ca="1">visible(J41-E43, K48)</f>
        <v>30</v>
      </c>
      <c r="H48" s="6">
        <f>visible(1*C38, K48)</f>
        <v>1</v>
      </c>
      <c r="I48" s="6">
        <f ca="1">visible(materialNum(D48), K48)</f>
        <v>2</v>
      </c>
      <c r="J48" s="6">
        <f ca="1">visible(engraving(I48), K48)</f>
        <v>2</v>
      </c>
      <c r="K48" s="6" t="b">
        <v>1</v>
      </c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ht="15.6" customHeight="1" x14ac:dyDescent="0.3">
      <c r="A49" s="32">
        <v>3</v>
      </c>
      <c r="B49" s="3" t="str">
        <f>visible(E38, K49)</f>
        <v>وحدة علوية  قلاب / 2 قلاب</v>
      </c>
      <c r="C49" s="6">
        <f>visible(2,K49)</f>
        <v>2</v>
      </c>
      <c r="D49" s="6" t="str">
        <f ca="1">visible(I39, K49)</f>
        <v>HPL</v>
      </c>
      <c r="E49" s="6" t="str">
        <f>visible("قاعدة", K49)</f>
        <v>قاعدة</v>
      </c>
      <c r="F49" s="6">
        <f>visible(H41-3.6, K49)</f>
        <v>-3.6</v>
      </c>
      <c r="G49" s="6">
        <f ca="1">visible(J41-G41-E43, K49)</f>
        <v>30</v>
      </c>
      <c r="H49" s="6">
        <f>visible(1*C38, K49)</f>
        <v>1</v>
      </c>
      <c r="I49" s="6">
        <f ca="1">visible(materialNum(D49), K49)</f>
        <v>2</v>
      </c>
      <c r="J49" s="6">
        <f ca="1">visible(engraving(I49), K49)</f>
        <v>2</v>
      </c>
      <c r="K49" s="6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ht="15.6" customHeight="1" x14ac:dyDescent="0.3">
      <c r="A50" s="32">
        <v>3</v>
      </c>
      <c r="B50" s="3" t="str">
        <f>visible(E38, K50)</f>
        <v>وحدة علوية  قلاب / 2 قلاب</v>
      </c>
      <c r="C50" s="6">
        <f>visible(3,K50)</f>
        <v>3</v>
      </c>
      <c r="D50" s="6" t="str">
        <f ca="1">visible(I39, K50)</f>
        <v>HPL</v>
      </c>
      <c r="E50" s="6" t="str">
        <f>visible("أجناب", K50)</f>
        <v>أجناب</v>
      </c>
      <c r="F50" s="6">
        <f ca="1">visible(I41, K50)</f>
        <v>70</v>
      </c>
      <c r="G50" s="6">
        <f ca="1">visible(J41, K50)</f>
        <v>30</v>
      </c>
      <c r="H50" s="6">
        <f>visible(2*C38, K50)</f>
        <v>2</v>
      </c>
      <c r="I50" s="6">
        <f ca="1">visible(materialNum(D50), K50)</f>
        <v>2</v>
      </c>
      <c r="J50" s="6">
        <f ca="1">visible(engraving(I50), K50)</f>
        <v>2</v>
      </c>
      <c r="K50" s="6" t="b">
        <v>1</v>
      </c>
      <c r="L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2">
        <v>3</v>
      </c>
      <c r="B51" s="3" t="str">
        <f>visible(E38, K51)</f>
        <v>وحدة علوية  قلاب / 2 قلاب</v>
      </c>
      <c r="C51" s="6">
        <f>visible(4,K51)</f>
        <v>4</v>
      </c>
      <c r="D51" s="6" t="str">
        <f ca="1">visible(I39, K51)</f>
        <v>HPL</v>
      </c>
      <c r="E51" s="6" t="str">
        <f>visible("قاطوع", K51)</f>
        <v>قاطوع</v>
      </c>
      <c r="F51" s="6">
        <f>visible((H41-3.6)*E41, K51)</f>
        <v>-3.6</v>
      </c>
      <c r="G51" s="6">
        <f ca="1">visible((J41-2.5-E43)*E41, K51)</f>
        <v>27.5</v>
      </c>
      <c r="H51" s="6">
        <f>visible(E41*C38, K51)</f>
        <v>1</v>
      </c>
      <c r="I51" s="6">
        <f ca="1">visible(materialNum(D51), K51)</f>
        <v>2</v>
      </c>
      <c r="J51" s="6">
        <f ca="1">visible(engraving(I51), K51)</f>
        <v>2</v>
      </c>
      <c r="K51" s="6" t="b">
        <v>1</v>
      </c>
      <c r="L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2">
        <v>0</v>
      </c>
      <c r="B52"/>
      <c r="C52"/>
      <c r="D52"/>
      <c r="E52"/>
      <c r="F52"/>
      <c r="G52"/>
      <c r="H52"/>
      <c r="I52"/>
      <c r="J52"/>
      <c r="K52"/>
      <c r="L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2">
        <v>4</v>
      </c>
      <c r="B53" s="3" t="str">
        <f>visible(E38, K53)</f>
        <v>وحدة علوية  قلاب / 2 قلاب</v>
      </c>
      <c r="C53" s="9">
        <f>visible(5,K53)</f>
        <v>5</v>
      </c>
      <c r="D53" s="9" t="str">
        <f ca="1">visible(G39, K53)</f>
        <v>يوفيلاك</v>
      </c>
      <c r="E53" s="9" t="str">
        <f>visible("دلفة قلاب خشب", K53)</f>
        <v>دلفة قلاب خشب</v>
      </c>
      <c r="F53" s="9">
        <f ca="1">visible((I41/C43)-khlos(C41)-F41, K53)</f>
        <v>31</v>
      </c>
      <c r="G53" s="9">
        <f>visible(H41-0.5, K53)</f>
        <v>-0.5</v>
      </c>
      <c r="H53" s="9">
        <f>visible(C41*C38, K53)</f>
        <v>2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L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2">
        <v>4</v>
      </c>
      <c r="B54" s="3" t="str">
        <f>visible(E38, K54)</f>
        <v/>
      </c>
      <c r="C54" s="9" t="str">
        <f>visible(6,K54)</f>
        <v/>
      </c>
      <c r="D54" s="9" t="str">
        <f>visible("دلفة زجاج", K54)</f>
        <v/>
      </c>
      <c r="E54" s="9" t="str">
        <f>visible("دلفة قلاب زجاج", K54)</f>
        <v/>
      </c>
      <c r="F54" s="9" t="str">
        <f ca="1">visible((I41/C43)-0.5, K54)</f>
        <v/>
      </c>
      <c r="G54" s="9" t="str">
        <f>visible(H41-0.7, K54)</f>
        <v/>
      </c>
      <c r="H54" s="9" t="str">
        <f>visible(C38*D41, K54)</f>
        <v/>
      </c>
      <c r="I54" s="9" t="str">
        <f>visible(materialNum(D54), K54)</f>
        <v/>
      </c>
      <c r="J54" s="9" t="str">
        <f>visible(engraving(I54), K54)</f>
        <v/>
      </c>
      <c r="K54" s="9" t="b">
        <f>D41&gt;0</f>
        <v>0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x14ac:dyDescent="0.3">
      <c r="A55" s="32">
        <v>0</v>
      </c>
      <c r="B55"/>
      <c r="C55"/>
      <c r="D55"/>
      <c r="E55"/>
      <c r="F55"/>
      <c r="G55"/>
      <c r="H55"/>
      <c r="I55"/>
      <c r="J55"/>
      <c r="K55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x14ac:dyDescent="0.3">
      <c r="A56" s="32">
        <v>5</v>
      </c>
      <c r="B56" s="3" t="str">
        <f>visible(E38, K56)</f>
        <v>وحدة علوية  قلاب / 2 قلاب</v>
      </c>
      <c r="C56" s="17">
        <f>visible(7,K56)</f>
        <v>7</v>
      </c>
      <c r="D56" s="17" t="str">
        <f ca="1">visible(E39, K56)</f>
        <v>ظهر</v>
      </c>
      <c r="E56" s="17" t="str">
        <f>visible("ظهر", K56)</f>
        <v>ظهر</v>
      </c>
      <c r="F56" s="17">
        <f ca="1">visible(I41-2, K56)</f>
        <v>68</v>
      </c>
      <c r="G56" s="17">
        <f>visible(H41-2, K56)</f>
        <v>-2</v>
      </c>
      <c r="H56" s="17">
        <f>visible(1*C38, K56)</f>
        <v>1</v>
      </c>
      <c r="I56" s="17">
        <f ca="1">visible(materialNum(D56), K56)</f>
        <v>2</v>
      </c>
      <c r="J56" s="17">
        <f ca="1">visible(engraving(I56), K56)</f>
        <v>2</v>
      </c>
      <c r="K56" s="17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x14ac:dyDescent="0.3">
      <c r="A57" s="32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x14ac:dyDescent="0.3">
      <c r="A58" s="32">
        <v>255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36" x14ac:dyDescent="0.3">
      <c r="A59" s="32" t="s">
        <v>89</v>
      </c>
      <c r="C59" s="12">
        <v>1</v>
      </c>
      <c r="D59" s="20" t="s">
        <v>51</v>
      </c>
      <c r="E59" s="114" t="s">
        <v>41</v>
      </c>
      <c r="F59" s="115"/>
      <c r="G59" s="115"/>
      <c r="H59" s="116"/>
      <c r="I59" s="2" t="s">
        <v>26</v>
      </c>
      <c r="J59" s="2">
        <f>letterToNumber(A59)</f>
        <v>3</v>
      </c>
      <c r="K59" s="7">
        <f ca="1">_xlfn.SHEET("وحدات علوية")</f>
        <v>5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21" x14ac:dyDescent="0.3">
      <c r="A60" s="32">
        <v>1</v>
      </c>
      <c r="C60" s="7"/>
      <c r="D60" s="8"/>
      <c r="E60" s="25" t="str" cm="1">
        <f t="array" aca="1" ref="E60" ca="1">defaultValue(F60,K59)</f>
        <v>ظهر</v>
      </c>
      <c r="F60" s="7" t="s">
        <v>50</v>
      </c>
      <c r="G60" s="25" t="str" cm="1">
        <f t="array" aca="1" ref="G60" ca="1">defaultValue(H60,K59)</f>
        <v>يوفيلاك</v>
      </c>
      <c r="H60" s="7" t="s">
        <v>28</v>
      </c>
      <c r="I60" s="25" t="str" cm="1">
        <f t="array" aca="1" ref="I60" ca="1">defaultValue(J60,K59)</f>
        <v>HPL</v>
      </c>
      <c r="J60" s="7" t="s">
        <v>27</v>
      </c>
      <c r="K60" s="23" t="s">
        <v>75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2">
        <v>1</v>
      </c>
      <c r="C61" s="7" t="s">
        <v>12</v>
      </c>
      <c r="D61" s="7" t="s">
        <v>49</v>
      </c>
      <c r="E61" s="7" t="s">
        <v>16</v>
      </c>
      <c r="F61" s="7" t="s">
        <v>14</v>
      </c>
      <c r="G61" s="7" t="s">
        <v>78</v>
      </c>
      <c r="H61" s="7" t="s">
        <v>19</v>
      </c>
      <c r="I61" s="7" t="s">
        <v>3</v>
      </c>
      <c r="J61" s="7" t="s">
        <v>76</v>
      </c>
      <c r="K61" s="7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ht="15.6" x14ac:dyDescent="0.3">
      <c r="A62" s="32">
        <v>1</v>
      </c>
      <c r="C62" s="8">
        <v>2</v>
      </c>
      <c r="D62" s="8"/>
      <c r="E62" s="8">
        <v>1</v>
      </c>
      <c r="F62" s="25" cm="1">
        <f t="array" aca="1" ref="F62" ca="1">defaultValue(F61,K59)</f>
        <v>3.5</v>
      </c>
      <c r="G62" s="25" cm="1">
        <f t="array" aca="1" ref="G62" ca="1">defaultValue(G61,K59)</f>
        <v>0</v>
      </c>
      <c r="H62" s="8"/>
      <c r="I62" s="25" cm="1">
        <f t="array" aca="1" ref="I62" ca="1">defaultValue(I61,K59)</f>
        <v>70</v>
      </c>
      <c r="J62" s="25" cm="1">
        <f t="array" aca="1" ref="J62" ca="1">defaultValue(J61,K59)</f>
        <v>30</v>
      </c>
      <c r="K62" s="7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ht="15.6" x14ac:dyDescent="0.3">
      <c r="A63" s="32">
        <v>1</v>
      </c>
      <c r="C63" s="9" t="b">
        <f>C62=0</f>
        <v>0</v>
      </c>
      <c r="D63" s="9" t="b">
        <f>E62=0</f>
        <v>0</v>
      </c>
      <c r="E63" s="3" t="b">
        <f ca="1">_xlfn.XOR(I62&lt;=50,E62=1)</f>
        <v>1</v>
      </c>
      <c r="F63" s="134" t="b">
        <f ca="1">NOT(AND(F62&gt;0,G62&gt;0))</f>
        <v>1</v>
      </c>
      <c r="G63" s="131"/>
      <c r="H63" s="3" t="b">
        <f>_xlfn.XOR(H62&lt;=50,C64=2)</f>
        <v>0</v>
      </c>
      <c r="I63" s="42" t="s">
        <v>97</v>
      </c>
      <c r="J63" s="43" t="s">
        <v>98</v>
      </c>
      <c r="K63" s="7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24" x14ac:dyDescent="0.3">
      <c r="A64" s="32">
        <v>1</v>
      </c>
      <c r="C64" s="133">
        <f>C62+D62</f>
        <v>2</v>
      </c>
      <c r="D64" s="133"/>
      <c r="E64" s="7" t="s">
        <v>72</v>
      </c>
      <c r="F64" s="138" t="str">
        <f ca="1">IF(F63,"المقابض مظبوطة","مينفعش مقبض مخفي مع بيلت ان")</f>
        <v>المقابض مظبوطة</v>
      </c>
      <c r="G64" s="138"/>
      <c r="H64" s="30" t="str">
        <f>IF(H63,"عدد الدلف صحيح","عدد الدلف غير صحيح")</f>
        <v>عدد الدلف غير صحيح</v>
      </c>
      <c r="I64" s="42">
        <v>30</v>
      </c>
      <c r="J64" s="43">
        <v>4</v>
      </c>
      <c r="K64" s="7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x14ac:dyDescent="0.3">
      <c r="A65" s="32">
        <v>1</v>
      </c>
      <c r="B65" s="1"/>
      <c r="C65" s="134" t="b">
        <f>C64&lt;=2</f>
        <v>1</v>
      </c>
      <c r="D65" s="134"/>
      <c r="E65" s="7">
        <v>0</v>
      </c>
      <c r="F65" s="8"/>
      <c r="G65" s="8"/>
      <c r="H65" s="8"/>
      <c r="I65" s="8"/>
      <c r="J65" s="8"/>
      <c r="K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x14ac:dyDescent="0.3">
      <c r="A66" s="32">
        <v>0</v>
      </c>
      <c r="B66"/>
      <c r="C66"/>
      <c r="D66"/>
      <c r="E66"/>
      <c r="F66"/>
      <c r="G66"/>
      <c r="H66"/>
      <c r="I66"/>
      <c r="J66"/>
      <c r="K6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x14ac:dyDescent="0.3">
      <c r="A67" s="32">
        <v>2</v>
      </c>
      <c r="C67" s="6" t="s">
        <v>4</v>
      </c>
      <c r="D67" s="6" t="s">
        <v>9</v>
      </c>
      <c r="E67" s="6" t="s">
        <v>5</v>
      </c>
      <c r="F67" s="6" t="s">
        <v>7</v>
      </c>
      <c r="G67" s="6" t="s">
        <v>1</v>
      </c>
      <c r="H67" s="6" t="s">
        <v>6</v>
      </c>
      <c r="I67" s="6" t="s">
        <v>29</v>
      </c>
      <c r="J67" s="6" t="s">
        <v>129</v>
      </c>
      <c r="K67" s="6" t="s">
        <v>113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2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15.6" customHeight="1" x14ac:dyDescent="0.3">
      <c r="A69" s="32">
        <v>3</v>
      </c>
      <c r="B69" s="3" t="str">
        <f>visible(E59, K69)</f>
        <v xml:space="preserve">وحدة علوية  تلبيسة دلفة /دلفتين </v>
      </c>
      <c r="C69" s="6">
        <f>visible(1,K69)</f>
        <v>1</v>
      </c>
      <c r="D69" s="6" t="str">
        <f ca="1">visible(I60, K69)</f>
        <v>HPL</v>
      </c>
      <c r="E69" s="6" t="str">
        <f>visible("قرصة", K69)</f>
        <v>قرصة</v>
      </c>
      <c r="F69" s="6">
        <f>visible(H62-3.6, K69)</f>
        <v>-3.6</v>
      </c>
      <c r="G69" s="6">
        <f ca="1">visible(J62-E65, K69)</f>
        <v>30</v>
      </c>
      <c r="H69" s="6">
        <f>visible(1*C59, K69)</f>
        <v>1</v>
      </c>
      <c r="I69" s="6">
        <f ca="1">visible(materialNum(D69), K69)</f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ht="15.6" customHeight="1" x14ac:dyDescent="0.3">
      <c r="A70" s="32">
        <v>3</v>
      </c>
      <c r="B70" s="3" t="str">
        <f>visible(E59, K70)</f>
        <v xml:space="preserve">وحدة علوية  تلبيسة دلفة /دلفتين </v>
      </c>
      <c r="C70" s="6">
        <f>visible(2,K70)</f>
        <v>2</v>
      </c>
      <c r="D70" s="6" t="str">
        <f ca="1">visible(I60, K70)</f>
        <v>HPL</v>
      </c>
      <c r="E70" s="6" t="str">
        <f>visible("قاعدة", K70)</f>
        <v>قاعدة</v>
      </c>
      <c r="F70" s="6">
        <f>visible(H62-3.6, K70)</f>
        <v>-3.6</v>
      </c>
      <c r="G70" s="6">
        <f ca="1">visible(J62-G62-E65, K70)</f>
        <v>30</v>
      </c>
      <c r="H70" s="6">
        <f>visible(1*C59, K70)</f>
        <v>1</v>
      </c>
      <c r="I70" s="6">
        <f ca="1">visible(materialNum(D70), K70)</f>
        <v>2</v>
      </c>
      <c r="J70" s="6">
        <f ca="1">visible(engraving(I70), K70)</f>
        <v>2</v>
      </c>
      <c r="K70" s="6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ht="15.6" customHeight="1" x14ac:dyDescent="0.3">
      <c r="A71" s="32">
        <v>3</v>
      </c>
      <c r="B71" s="3" t="str">
        <f>visible(E59, K71)</f>
        <v xml:space="preserve">وحدة علوية  تلبيسة دلفة /دلفتين </v>
      </c>
      <c r="C71" s="6">
        <f>visible(3,K71)</f>
        <v>3</v>
      </c>
      <c r="D71" s="6" t="str">
        <f ca="1">visible(I60, K71)</f>
        <v>HPL</v>
      </c>
      <c r="E71" s="6" t="str">
        <f>visible("أجناب", K71)</f>
        <v>أجناب</v>
      </c>
      <c r="F71" s="6">
        <f ca="1">visible(I62, K71)</f>
        <v>70</v>
      </c>
      <c r="G71" s="6">
        <f ca="1">visible(J62, K71)</f>
        <v>30</v>
      </c>
      <c r="H71" s="6">
        <f>visible(2*C59, K71)</f>
        <v>2</v>
      </c>
      <c r="I71" s="6">
        <f ca="1">visible(materialNum(D71), K71)</f>
        <v>2</v>
      </c>
      <c r="J71" s="6">
        <f ca="1">visible(engraving(I71), K71)</f>
        <v>2</v>
      </c>
      <c r="K71" s="6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ht="15.6" customHeight="1" x14ac:dyDescent="0.3">
      <c r="A72" s="32">
        <v>3</v>
      </c>
      <c r="B72" s="3" t="str">
        <f>visible(E59, K72)</f>
        <v xml:space="preserve">وحدة علوية  تلبيسة دلفة /دلفتين </v>
      </c>
      <c r="C72" s="6">
        <f>visible(4,K72)</f>
        <v>4</v>
      </c>
      <c r="D72" s="6" t="str">
        <f ca="1">visible(I60, K72)</f>
        <v>HPL</v>
      </c>
      <c r="E72" s="6" t="str">
        <f>visible("رف", K72)</f>
        <v>رف</v>
      </c>
      <c r="F72" s="6">
        <f>visible(H62-3.8, K72)</f>
        <v>-3.8</v>
      </c>
      <c r="G72" s="6">
        <f ca="1">visible(J62-6-E65, K72)</f>
        <v>24</v>
      </c>
      <c r="H72" s="6">
        <f>visible(E62*C59, K72)</f>
        <v>1</v>
      </c>
      <c r="I72" s="6">
        <f ca="1">visible(materialNum(D72), K72)</f>
        <v>2</v>
      </c>
      <c r="J72" s="6">
        <f ca="1">visible(engraving(I72), K72)</f>
        <v>2</v>
      </c>
      <c r="K72" s="6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2">
        <v>3</v>
      </c>
      <c r="B73" s="3" t="str">
        <f>visible(E59, K73)</f>
        <v xml:space="preserve">وحدة علوية  تلبيسة دلفة /دلفتين </v>
      </c>
      <c r="C73" s="6">
        <f>visible(5,K73)</f>
        <v>5</v>
      </c>
      <c r="D73" s="6" t="str">
        <f ca="1">visible(I60, K73)</f>
        <v>HPL</v>
      </c>
      <c r="E73" s="6" t="str">
        <f>visible("تلبيسة", K73)</f>
        <v>تلبيسة</v>
      </c>
      <c r="F73" s="6">
        <f ca="1">visible(I62, K73)</f>
        <v>70</v>
      </c>
      <c r="G73" s="6">
        <f>visible(I64, K73)</f>
        <v>30</v>
      </c>
      <c r="H73" s="6">
        <f>visible(1*C59, K73)</f>
        <v>1</v>
      </c>
      <c r="I73" s="6">
        <f ca="1">visible(materialNum(D73), K73)</f>
        <v>2</v>
      </c>
      <c r="J73" s="6">
        <f ca="1">visible(engraving(I73), K73)</f>
        <v>2</v>
      </c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2">
        <v>0</v>
      </c>
      <c r="B74"/>
      <c r="C74"/>
      <c r="D74"/>
      <c r="E74"/>
      <c r="F74"/>
      <c r="G74"/>
      <c r="H74"/>
      <c r="I74"/>
      <c r="J74"/>
      <c r="K7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2">
        <v>4</v>
      </c>
      <c r="B75" s="3" t="str">
        <f>visible(E59, K75)</f>
        <v xml:space="preserve">وحدة علوية  تلبيسة دلفة /دلفتين </v>
      </c>
      <c r="C75" s="9">
        <f>visible(6,K75)</f>
        <v>6</v>
      </c>
      <c r="D75" s="9" t="str">
        <f ca="1">visible(G60, K75)</f>
        <v>يوفيلاك</v>
      </c>
      <c r="E75" s="9" t="str">
        <f>visible("دلف ", K75)</f>
        <v xml:space="preserve">دلف </v>
      </c>
      <c r="F75" s="9">
        <f ca="1">visible(I62-khlos(C62)-F62, K75)</f>
        <v>66</v>
      </c>
      <c r="G75" s="9">
        <f>visible((H62-I64-J64)/C62-0.5, K75)</f>
        <v>-17.5</v>
      </c>
      <c r="H75" s="9">
        <f>visible(C62*C59, K75)</f>
        <v>2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2">
        <v>4</v>
      </c>
      <c r="B76" s="3" t="str">
        <f>visible(E59, K76)</f>
        <v xml:space="preserve">وحدة علوية  تلبيسة دلفة /دلفتين </v>
      </c>
      <c r="C76" s="9">
        <f>visible(7,K76)</f>
        <v>7</v>
      </c>
      <c r="D76" s="9" t="str">
        <f ca="1">visible(G60, K76)</f>
        <v>يوفيلاك</v>
      </c>
      <c r="E76" s="9" t="str">
        <f>visible("تلبييسة ثابتة", K76)</f>
        <v>تلبييسة ثابتة</v>
      </c>
      <c r="F76" s="9">
        <f ca="1">visible(I62, K76)</f>
        <v>70</v>
      </c>
      <c r="G76" s="9">
        <f>visible(J64, K76)</f>
        <v>4</v>
      </c>
      <c r="H76" s="9">
        <f>visible(1*C59, K76)</f>
        <v>1</v>
      </c>
      <c r="I76" s="9">
        <f ca="1">visible(materialNum(D76), K76)</f>
        <v>6</v>
      </c>
      <c r="J76" s="9">
        <f ca="1">visible(engraving(I76), K76)</f>
        <v>2</v>
      </c>
      <c r="K76" s="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2">
        <v>0</v>
      </c>
      <c r="B77"/>
      <c r="C77"/>
      <c r="D77"/>
      <c r="E77"/>
      <c r="F77"/>
      <c r="G77"/>
      <c r="H77"/>
      <c r="I77"/>
      <c r="J77"/>
      <c r="K7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2">
        <v>4</v>
      </c>
      <c r="B78" s="3" t="str">
        <f>visible(E59, K78)</f>
        <v/>
      </c>
      <c r="C78" s="9" t="str">
        <f>visible(8,K78)</f>
        <v/>
      </c>
      <c r="D78" s="9" t="str">
        <f>visible("دلفة زجاج", K78)</f>
        <v/>
      </c>
      <c r="E78" s="9" t="str">
        <f>visible("دلفة  زجاج", K78)</f>
        <v/>
      </c>
      <c r="F78" s="9" t="str">
        <f ca="1">visible(I62-0.5, K78)</f>
        <v/>
      </c>
      <c r="G78" s="9" t="str">
        <f>visible((H62-I64-J64)/D62-0.7, K78)</f>
        <v/>
      </c>
      <c r="H78" s="9" t="str">
        <f>visible(C59*D62, K78)</f>
        <v/>
      </c>
      <c r="I78" s="9" t="str">
        <f>visible(materialNum(D78), K78)</f>
        <v/>
      </c>
      <c r="J78" s="9" t="str">
        <f>visible(engraving(I78), K78)</f>
        <v/>
      </c>
      <c r="K78" s="9" t="b">
        <f>D62&gt;0</f>
        <v>0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x14ac:dyDescent="0.3">
      <c r="A79" s="32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x14ac:dyDescent="0.3">
      <c r="A80" s="32">
        <v>5</v>
      </c>
      <c r="B80" s="3" t="str">
        <f>visible(E59, K80)</f>
        <v xml:space="preserve">وحدة علوية  تلبيسة دلفة /دلفتين </v>
      </c>
      <c r="C80" s="17">
        <f>visible(9,K80)</f>
        <v>9</v>
      </c>
      <c r="D80" s="17" t="str">
        <f ca="1">visible(E60, K80)</f>
        <v>ظهر</v>
      </c>
      <c r="E80" s="17" t="str">
        <f>visible("ظهر", K80)</f>
        <v>ظهر</v>
      </c>
      <c r="F80" s="17">
        <f ca="1">visible(I62-2, K80)</f>
        <v>68</v>
      </c>
      <c r="G80" s="17">
        <f>visible(H62-2, K80)</f>
        <v>-2</v>
      </c>
      <c r="H80" s="17">
        <f>visible(1*C59, K80)</f>
        <v>1</v>
      </c>
      <c r="I80" s="17">
        <f ca="1">visible(materialNum(D80), K80)</f>
        <v>2</v>
      </c>
      <c r="J80" s="17">
        <f ca="1">visible(engraving(I80), K80)</f>
        <v>2</v>
      </c>
      <c r="K80" s="17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32">
        <v>255</v>
      </c>
      <c r="C81" s="1"/>
      <c r="D81" s="1"/>
      <c r="E81" s="1"/>
      <c r="F81" s="1"/>
      <c r="G81" s="1"/>
      <c r="H81" s="1"/>
      <c r="I81" s="1"/>
      <c r="J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x14ac:dyDescent="0.3">
      <c r="A82" s="32">
        <v>255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36" x14ac:dyDescent="0.3">
      <c r="A83" s="32" t="s">
        <v>94</v>
      </c>
      <c r="C83" s="12">
        <v>1</v>
      </c>
      <c r="D83" s="20" t="s">
        <v>51</v>
      </c>
      <c r="E83" s="114" t="s">
        <v>99</v>
      </c>
      <c r="F83" s="115"/>
      <c r="G83" s="115"/>
      <c r="H83" s="116"/>
      <c r="I83" s="2" t="s">
        <v>26</v>
      </c>
      <c r="J83" s="2">
        <f>letterToNumber(A83)</f>
        <v>4</v>
      </c>
      <c r="K83" s="7">
        <f ca="1">_xlfn.SHEET("وحدات علوية")</f>
        <v>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21" x14ac:dyDescent="0.3">
      <c r="A84" s="32">
        <v>1</v>
      </c>
      <c r="C84" s="7"/>
      <c r="D84" s="8"/>
      <c r="E84" s="25" t="str" cm="1">
        <f t="array" aca="1" ref="E84" ca="1">defaultValue(F84,K83)</f>
        <v>ظهر</v>
      </c>
      <c r="F84" s="7" t="s">
        <v>50</v>
      </c>
      <c r="G84" s="25" t="str" cm="1">
        <f t="array" aca="1" ref="G84" ca="1">defaultValue(H84,K83)</f>
        <v>يوفيلاك</v>
      </c>
      <c r="H84" s="7" t="s">
        <v>28</v>
      </c>
      <c r="I84" s="25" t="str" cm="1">
        <f t="array" aca="1" ref="I84" ca="1">defaultValue(J84,K83)</f>
        <v>HPL</v>
      </c>
      <c r="J84" s="7" t="s">
        <v>27</v>
      </c>
      <c r="K84" s="23" t="s">
        <v>75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2">
        <v>1</v>
      </c>
      <c r="C85" s="7" t="s">
        <v>12</v>
      </c>
      <c r="D85" s="7" t="s">
        <v>49</v>
      </c>
      <c r="E85" s="7" t="s">
        <v>47</v>
      </c>
      <c r="F85" s="7" t="s">
        <v>14</v>
      </c>
      <c r="G85" s="7" t="s">
        <v>78</v>
      </c>
      <c r="H85" s="7" t="s">
        <v>19</v>
      </c>
      <c r="I85" s="7" t="s">
        <v>3</v>
      </c>
      <c r="J85" s="7" t="s">
        <v>76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x14ac:dyDescent="0.3">
      <c r="A86" s="32">
        <v>1</v>
      </c>
      <c r="C86" s="8">
        <v>1</v>
      </c>
      <c r="D86" s="8">
        <v>0</v>
      </c>
      <c r="E86" s="8">
        <v>0</v>
      </c>
      <c r="F86" s="25" cm="1">
        <f t="array" aca="1" ref="F86" ca="1">defaultValue(F85,K83)</f>
        <v>3.5</v>
      </c>
      <c r="G86" s="25" cm="1">
        <f t="array" aca="1" ref="G86" ca="1">defaultValue(G85,K83)</f>
        <v>0</v>
      </c>
      <c r="H86" s="8"/>
      <c r="I86" s="25" cm="1">
        <f t="array" aca="1" ref="I86" ca="1">defaultValue(I85,K83)</f>
        <v>70</v>
      </c>
      <c r="J86" s="25" cm="1">
        <f t="array" aca="1" ref="J86" ca="1">defaultValue(J85,K83)</f>
        <v>30</v>
      </c>
      <c r="K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15.6" x14ac:dyDescent="0.3">
      <c r="A87" s="32">
        <v>1</v>
      </c>
      <c r="C87" s="9" t="b">
        <f>C86=0</f>
        <v>0</v>
      </c>
      <c r="D87" s="9" t="b">
        <f>E86=0</f>
        <v>1</v>
      </c>
      <c r="E87" s="3" t="b">
        <f ca="1">_xlfn.XOR(I86&lt;=50,E86=1)</f>
        <v>0</v>
      </c>
      <c r="F87" s="134" t="b">
        <f ca="1">NOT(AND(F86&gt;0,G86&gt;0))</f>
        <v>1</v>
      </c>
      <c r="G87" s="131"/>
      <c r="H87" s="3" t="b">
        <f ca="1">_xlfn.XOR(I86&lt;=50,C88=2)</f>
        <v>0</v>
      </c>
      <c r="I87" s="42" t="s">
        <v>97</v>
      </c>
      <c r="J87" s="43" t="s">
        <v>98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24" x14ac:dyDescent="0.3">
      <c r="A88" s="32">
        <v>1</v>
      </c>
      <c r="C88" s="133">
        <f>C86+D86</f>
        <v>1</v>
      </c>
      <c r="D88" s="133"/>
      <c r="E88" s="7" t="s">
        <v>72</v>
      </c>
      <c r="F88" s="138" t="str">
        <f ca="1">IF(F87,"المقابض مظبوطة","مينفعش مقبض مخفي مع بيلت ان")</f>
        <v>المقابض مظبوطة</v>
      </c>
      <c r="G88" s="138"/>
      <c r="H88" s="30" t="str">
        <f ca="1">IF(H87,"عدد الدلف صحيح","عدد الدلف غير صحيح")</f>
        <v>عدد الدلف غير صحيح</v>
      </c>
      <c r="I88" s="42">
        <v>0</v>
      </c>
      <c r="J88" s="43">
        <v>44</v>
      </c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x14ac:dyDescent="0.3">
      <c r="A89" s="32">
        <v>1</v>
      </c>
      <c r="B89" s="1"/>
      <c r="C89" s="134" t="b">
        <f>C88&lt;=2</f>
        <v>1</v>
      </c>
      <c r="D89" s="134"/>
      <c r="E89" s="7">
        <v>0</v>
      </c>
      <c r="F89" s="8"/>
      <c r="G89" s="8"/>
      <c r="H89" s="8"/>
      <c r="I89" s="8"/>
      <c r="J89" s="8"/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x14ac:dyDescent="0.3">
      <c r="A90" s="32">
        <v>0</v>
      </c>
      <c r="B90"/>
      <c r="C90"/>
      <c r="D90"/>
      <c r="E90"/>
      <c r="F90"/>
      <c r="G90"/>
      <c r="H90"/>
      <c r="I90"/>
      <c r="J90"/>
      <c r="K90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32">
        <v>2</v>
      </c>
      <c r="C91" s="6" t="s">
        <v>4</v>
      </c>
      <c r="D91" s="6" t="s">
        <v>9</v>
      </c>
      <c r="E91" s="6" t="s">
        <v>5</v>
      </c>
      <c r="F91" s="6" t="s">
        <v>7</v>
      </c>
      <c r="G91" s="6" t="s">
        <v>1</v>
      </c>
      <c r="H91" s="6" t="s">
        <v>6</v>
      </c>
      <c r="I91" s="6" t="s">
        <v>29</v>
      </c>
      <c r="J91" s="6" t="s">
        <v>129</v>
      </c>
      <c r="K91" s="6" t="s">
        <v>113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2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ht="15.6" customHeight="1" x14ac:dyDescent="0.3">
      <c r="A93" s="32">
        <v>3</v>
      </c>
      <c r="B93" s="3" t="str">
        <f>visible(E83, K93)</f>
        <v>وحدة علوية  تلبيسة دلفة /دلفتين قلاب</v>
      </c>
      <c r="C93" s="6">
        <f>visible(1,K93)</f>
        <v>1</v>
      </c>
      <c r="D93" s="6" t="str">
        <f ca="1">visible(I84, K93)</f>
        <v>HPL</v>
      </c>
      <c r="E93" s="6" t="str">
        <f>visible("قرصة", K93)</f>
        <v>قرصة</v>
      </c>
      <c r="F93" s="6">
        <f>visible(H86-3.6, K93)</f>
        <v>-3.6</v>
      </c>
      <c r="G93" s="6">
        <f ca="1">visible(J86-E89, K93)</f>
        <v>30</v>
      </c>
      <c r="H93" s="6">
        <f>visible(1*C83, K93)</f>
        <v>1</v>
      </c>
      <c r="I93" s="6">
        <f ca="1">visible(materialNum(D93), K93)</f>
        <v>2</v>
      </c>
      <c r="J93" s="6">
        <f ca="1">visible(engraving(I93), K93)</f>
        <v>2</v>
      </c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ht="15.6" customHeight="1" x14ac:dyDescent="0.3">
      <c r="A94" s="32">
        <v>3</v>
      </c>
      <c r="B94" s="3" t="str">
        <f>visible(E83, K94)</f>
        <v>وحدة علوية  تلبيسة دلفة /دلفتين قلاب</v>
      </c>
      <c r="C94" s="6">
        <f>visible(2,K94)</f>
        <v>2</v>
      </c>
      <c r="D94" s="6" t="str">
        <f ca="1">visible(I84, K94)</f>
        <v>HPL</v>
      </c>
      <c r="E94" s="6" t="str">
        <f>visible("قاعدة", K94)</f>
        <v>قاعدة</v>
      </c>
      <c r="F94" s="6">
        <f>visible(H86-3.6, K94)</f>
        <v>-3.6</v>
      </c>
      <c r="G94" s="6">
        <f ca="1">visible(J86-G86-E89, K94)</f>
        <v>30</v>
      </c>
      <c r="H94" s="6">
        <f>visible(1*C83, K94)</f>
        <v>1</v>
      </c>
      <c r="I94" s="6">
        <f ca="1">visible(materialNum(D94), K94)</f>
        <v>2</v>
      </c>
      <c r="J94" s="6">
        <f ca="1">visible(engraving(I94), K94)</f>
        <v>2</v>
      </c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ht="15.6" customHeight="1" x14ac:dyDescent="0.3">
      <c r="A95" s="32">
        <v>3</v>
      </c>
      <c r="B95" s="3" t="str">
        <f>visible(E83, K95)</f>
        <v>وحدة علوية  تلبيسة دلفة /دلفتين قلاب</v>
      </c>
      <c r="C95" s="6">
        <f>visible(3,K95)</f>
        <v>3</v>
      </c>
      <c r="D95" s="6" t="str">
        <f ca="1">visible(I84, K95)</f>
        <v>HPL</v>
      </c>
      <c r="E95" s="6" t="str">
        <f>visible("أجناب", K95)</f>
        <v>أجناب</v>
      </c>
      <c r="F95" s="6">
        <f ca="1">visible(I86, K95)</f>
        <v>70</v>
      </c>
      <c r="G95" s="6">
        <f ca="1">visible(J86, K95)</f>
        <v>30</v>
      </c>
      <c r="H95" s="6">
        <f>visible(2*C83, K95)</f>
        <v>2</v>
      </c>
      <c r="I95" s="6">
        <f ca="1">visible(materialNum(D95), K95)</f>
        <v>2</v>
      </c>
      <c r="J95" s="6">
        <f ca="1">visible(engraving(I95), K95)</f>
        <v>2</v>
      </c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ht="15.6" customHeight="1" x14ac:dyDescent="0.3">
      <c r="A96" s="32">
        <v>3</v>
      </c>
      <c r="B96" s="3" t="str">
        <f>visible(E83, K96)</f>
        <v>وحدة علوية  تلبيسة دلفة /دلفتين قلاب</v>
      </c>
      <c r="C96" s="6">
        <f>visible(4,K96)</f>
        <v>4</v>
      </c>
      <c r="D96" s="6" t="str">
        <f ca="1">visible(I84, K96)</f>
        <v>HPL</v>
      </c>
      <c r="E96" s="6" t="str">
        <f>visible("قاطوع", K96)</f>
        <v>قاطوع</v>
      </c>
      <c r="F96" s="6">
        <f>visible(H86-3.6, K96)</f>
        <v>-3.6</v>
      </c>
      <c r="G96" s="6">
        <f ca="1">visible(J86-6-E89, K96)</f>
        <v>24</v>
      </c>
      <c r="H96" s="6">
        <f>visible(E86*C83, K96)</f>
        <v>0</v>
      </c>
      <c r="I96" s="6">
        <f ca="1">visible(materialNum(D96), K96)</f>
        <v>2</v>
      </c>
      <c r="J96" s="6">
        <f ca="1">visible(engraving(I96), K96)</f>
        <v>2</v>
      </c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2">
        <v>3</v>
      </c>
      <c r="B97" s="3" t="str">
        <f>visible(E83, K97)</f>
        <v>وحدة علوية  تلبيسة دلفة /دلفتين قلاب</v>
      </c>
      <c r="C97" s="6">
        <f>visible(5,K97)</f>
        <v>5</v>
      </c>
      <c r="D97" s="6" t="str">
        <f ca="1">visible(I84, K97)</f>
        <v>HPL</v>
      </c>
      <c r="E97" s="6" t="str">
        <f>visible("تلبيسة", K97)</f>
        <v>تلبيسة</v>
      </c>
      <c r="F97" s="6">
        <f ca="1">visible(I86, K97)</f>
        <v>70</v>
      </c>
      <c r="G97" s="6">
        <f>visible(I88, K97)</f>
        <v>0</v>
      </c>
      <c r="H97" s="6">
        <f>visible(1*C83, K97)</f>
        <v>1</v>
      </c>
      <c r="I97" s="6">
        <f ca="1">visible(materialNum(D97), K97)</f>
        <v>2</v>
      </c>
      <c r="J97" s="6">
        <f ca="1">visible(engraving(I97), K97)</f>
        <v>2</v>
      </c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2">
        <v>0</v>
      </c>
      <c r="B98"/>
      <c r="C98"/>
      <c r="D98"/>
      <c r="E98"/>
      <c r="F98"/>
      <c r="G98"/>
      <c r="H98"/>
      <c r="I98"/>
      <c r="J98"/>
      <c r="K98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2">
        <v>4</v>
      </c>
      <c r="B99" s="3" t="str">
        <f>visible(E83, K99)</f>
        <v>وحدة علوية  تلبيسة دلفة /دلفتين قلاب</v>
      </c>
      <c r="C99" s="9">
        <f>visible(6,K99)</f>
        <v>6</v>
      </c>
      <c r="D99" s="9" t="str">
        <f ca="1">visible(G84, K99)</f>
        <v>يوفيلاك</v>
      </c>
      <c r="E99" s="9" t="str">
        <f>visible("دلف قلاب", K99)</f>
        <v>دلف قلاب</v>
      </c>
      <c r="F99" s="9">
        <f ca="1">visible((I86/C88)-khlos(C86)-F86, K99)</f>
        <v>65.8</v>
      </c>
      <c r="G99" s="9">
        <f>visible(H86-0.5-I88-J88, K99)</f>
        <v>-44.5</v>
      </c>
      <c r="H99" s="9">
        <f>visible(C86*C83, K99)</f>
        <v>1</v>
      </c>
      <c r="I99" s="9">
        <f ca="1">visible(materialNum(D99), K99)</f>
        <v>6</v>
      </c>
      <c r="J99" s="9">
        <f ca="1">visible(engraving(I99), K99)</f>
        <v>2</v>
      </c>
      <c r="K99" s="9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2">
        <v>4</v>
      </c>
      <c r="B100" s="3" t="str">
        <f>visible(E83, K100)</f>
        <v>وحدة علوية  تلبيسة دلفة /دلفتين قلاب</v>
      </c>
      <c r="C100" s="9">
        <f>visible(7,K100)</f>
        <v>7</v>
      </c>
      <c r="D100" s="9" t="str">
        <f ca="1">visible(G84, K100)</f>
        <v>يوفيلاك</v>
      </c>
      <c r="E100" s="9" t="str">
        <f>visible("تلبييسة ثابتة", K100)</f>
        <v>تلبييسة ثابتة</v>
      </c>
      <c r="F100" s="9">
        <f ca="1">visible(I86, K100)</f>
        <v>70</v>
      </c>
      <c r="G100" s="9">
        <f>visible(J88, K100)</f>
        <v>44</v>
      </c>
      <c r="H100" s="9">
        <f>visible(1*C83, K100)</f>
        <v>1</v>
      </c>
      <c r="I100" s="9">
        <f ca="1">visible(materialNum(D100), K100)</f>
        <v>6</v>
      </c>
      <c r="J100" s="9">
        <f ca="1">visible(engraving(I100), K100)</f>
        <v>2</v>
      </c>
      <c r="K100" s="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2">
        <v>0</v>
      </c>
      <c r="B101"/>
      <c r="C101"/>
      <c r="D101"/>
      <c r="E101"/>
      <c r="F101"/>
      <c r="G101"/>
      <c r="H101"/>
      <c r="I101"/>
      <c r="J101"/>
      <c r="K10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2">
        <v>4</v>
      </c>
      <c r="B102" s="3" t="str">
        <f>visible(E83, K102)</f>
        <v/>
      </c>
      <c r="C102" s="9" t="str">
        <f>visible(8,K102)</f>
        <v/>
      </c>
      <c r="D102" s="9" t="str">
        <f>visible("دلفة زجاج", K102)</f>
        <v/>
      </c>
      <c r="E102" s="9" t="str">
        <f>visible("دلفة  زجاج", K102)</f>
        <v/>
      </c>
      <c r="F102" s="9" t="str">
        <f ca="1">visible((I86/C88)-0.5, K102)</f>
        <v/>
      </c>
      <c r="G102" s="9" t="str">
        <f>visible(H86-0.7-I88-J88, K102)</f>
        <v/>
      </c>
      <c r="H102" s="9" t="str">
        <f>visible(C83*D86, K102)</f>
        <v/>
      </c>
      <c r="I102" s="9" t="str">
        <f>visible(materialNum(D102), K102)</f>
        <v/>
      </c>
      <c r="J102" s="9" t="str">
        <f>visible(engraving(I102), K102)</f>
        <v/>
      </c>
      <c r="K102" s="9" t="b">
        <f>D86&gt;0</f>
        <v>0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x14ac:dyDescent="0.3">
      <c r="A103" s="32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32">
        <v>5</v>
      </c>
      <c r="B104" s="3" t="str">
        <f>visible(E83, K104)</f>
        <v>وحدة علوية  تلبيسة دلفة /دلفتين قلاب</v>
      </c>
      <c r="C104" s="17">
        <f>visible(9,K104)</f>
        <v>9</v>
      </c>
      <c r="D104" s="17" t="str">
        <f ca="1">visible(E84, K104)</f>
        <v>ظهر</v>
      </c>
      <c r="E104" s="17" t="str">
        <f>visible("ظهر", K104)</f>
        <v>ظهر</v>
      </c>
      <c r="F104" s="17">
        <f ca="1">visible(I86-2, K104)</f>
        <v>68</v>
      </c>
      <c r="G104" s="17">
        <f>visible(H86-2, K104)</f>
        <v>-2</v>
      </c>
      <c r="H104" s="17">
        <f>visible(1*C83, K104)</f>
        <v>1</v>
      </c>
      <c r="I104" s="17">
        <f ca="1">visible(materialNum(D104), K104)</f>
        <v>2</v>
      </c>
      <c r="J104" s="17">
        <f ca="1">visible(engraving(I104), K104)</f>
        <v>2</v>
      </c>
      <c r="K104" s="17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x14ac:dyDescent="0.3">
      <c r="A105" s="32">
        <v>255</v>
      </c>
      <c r="C105" s="1"/>
      <c r="D105" s="1"/>
      <c r="E105" s="1"/>
      <c r="F105" s="1"/>
      <c r="G105" s="1"/>
      <c r="H105" s="1"/>
      <c r="I105" s="1"/>
      <c r="J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32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36" x14ac:dyDescent="0.3">
      <c r="A107" s="32" t="s">
        <v>90</v>
      </c>
      <c r="C107" s="12">
        <v>1</v>
      </c>
      <c r="D107" s="20" t="s">
        <v>51</v>
      </c>
      <c r="E107" s="114" t="s">
        <v>42</v>
      </c>
      <c r="F107" s="115"/>
      <c r="G107" s="115"/>
      <c r="H107" s="116"/>
      <c r="I107" s="2" t="s">
        <v>26</v>
      </c>
      <c r="J107" s="2">
        <f>letterToNumber(A107)</f>
        <v>5</v>
      </c>
      <c r="K107" s="7">
        <f ca="1">_xlfn.SHEET("وحدات علوية")</f>
        <v>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21" x14ac:dyDescent="0.3">
      <c r="A108" s="32">
        <v>1</v>
      </c>
      <c r="C108" s="7"/>
      <c r="D108" s="8"/>
      <c r="E108" s="25" t="str" cm="1">
        <f t="array" aca="1" ref="E108" ca="1">defaultValue(F108,K107)</f>
        <v>ظهر</v>
      </c>
      <c r="F108" s="7" t="s">
        <v>50</v>
      </c>
      <c r="G108" s="25" t="str" cm="1">
        <f t="array" aca="1" ref="G108" ca="1">defaultValue(H108,K107)</f>
        <v>يوفيلاك</v>
      </c>
      <c r="H108" s="7" t="s">
        <v>28</v>
      </c>
      <c r="I108" s="25" t="str" cm="1">
        <f t="array" aca="1" ref="I108" ca="1">defaultValue(J108,K107)</f>
        <v>HPL</v>
      </c>
      <c r="J108" s="7" t="s">
        <v>27</v>
      </c>
      <c r="K108" s="23" t="s">
        <v>75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31.2" x14ac:dyDescent="0.3">
      <c r="A109" s="32">
        <v>1</v>
      </c>
      <c r="C109" s="7"/>
      <c r="D109" s="7" t="s">
        <v>16</v>
      </c>
      <c r="E109" s="7"/>
      <c r="F109" s="7" t="s">
        <v>14</v>
      </c>
      <c r="G109" s="7" t="s">
        <v>78</v>
      </c>
      <c r="H109" s="7" t="s">
        <v>19</v>
      </c>
      <c r="I109" s="7" t="s">
        <v>3</v>
      </c>
      <c r="J109" s="7" t="s">
        <v>76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x14ac:dyDescent="0.3">
      <c r="A110" s="32">
        <v>1</v>
      </c>
      <c r="C110" s="8"/>
      <c r="D110" s="8">
        <v>2</v>
      </c>
      <c r="E110" s="8"/>
      <c r="F110" s="25" cm="1">
        <f t="array" aca="1" ref="F110" ca="1">defaultValue(F109,K107)</f>
        <v>3.5</v>
      </c>
      <c r="G110" s="25" cm="1">
        <f t="array" aca="1" ref="G110" ca="1">defaultValue(G109,K107)</f>
        <v>0</v>
      </c>
      <c r="H110" s="8"/>
      <c r="I110" s="25" cm="1">
        <f t="array" aca="1" ref="I110" ca="1">defaultValue(I109,K107)</f>
        <v>70</v>
      </c>
      <c r="J110" s="25" cm="1">
        <f t="array" aca="1" ref="J110" ca="1">defaultValue(J109,K107)</f>
        <v>30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x14ac:dyDescent="0.3">
      <c r="A111" s="32">
        <v>1</v>
      </c>
      <c r="C111" s="8"/>
      <c r="D111" s="8"/>
      <c r="E111" s="8"/>
      <c r="F111" s="134" t="b">
        <f ca="1">NOT(AND(F110&gt;0,G110&gt;0))</f>
        <v>1</v>
      </c>
      <c r="G111" s="134"/>
      <c r="H111" s="8">
        <v>60</v>
      </c>
      <c r="I111" s="25" cm="1">
        <f t="array" aca="1" ref="I111" ca="1">defaultValue(I109,K107)</f>
        <v>70</v>
      </c>
      <c r="J111" s="25" cm="1">
        <f t="array" aca="1" ref="J111" ca="1">defaultValue(J109,K107)</f>
        <v>30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x14ac:dyDescent="0.3">
      <c r="A112" s="32">
        <v>1</v>
      </c>
      <c r="C112" s="8"/>
      <c r="D112" s="8"/>
      <c r="E112" s="8"/>
      <c r="F112" s="137" t="str">
        <f ca="1">IF(F111,"المقابض مظبوطة","مينفعش مقبض مخفي مع بيلت ان")</f>
        <v>المقابض مظبوطة</v>
      </c>
      <c r="G112" s="137"/>
      <c r="H112" s="8"/>
      <c r="I112" s="8"/>
      <c r="J112" s="8"/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x14ac:dyDescent="0.3">
      <c r="A113" s="32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32">
        <v>2</v>
      </c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29</v>
      </c>
      <c r="J114" s="6" t="s">
        <v>129</v>
      </c>
      <c r="K114" s="6" t="s">
        <v>113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2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2">
        <v>3</v>
      </c>
      <c r="B116" s="3" t="str">
        <f>visible(E107, K116)</f>
        <v>وحدة علوية  زاوية 90</v>
      </c>
      <c r="C116" s="6">
        <f>visible(1,K116)</f>
        <v>1</v>
      </c>
      <c r="D116" s="6" t="str">
        <f ca="1">visible(I108, K116)</f>
        <v>HPL</v>
      </c>
      <c r="E116" s="6" t="str">
        <f>visible("قرصة", K116)</f>
        <v>قرصة</v>
      </c>
      <c r="F116" s="6">
        <f>visible(H110-1.8, K116)</f>
        <v>-1.8</v>
      </c>
      <c r="G116" s="6">
        <f>visible(H111-1.8, K116)</f>
        <v>58.2</v>
      </c>
      <c r="H116" s="6">
        <f>visible(1*C107, K116)</f>
        <v>1</v>
      </c>
      <c r="I116" s="6">
        <f t="shared" ref="I116:I121" ca="1" si="0">visible(materialNum(D116), K116)</f>
        <v>2</v>
      </c>
      <c r="J116" s="6">
        <f ca="1">visible(engraving(I116), K116)</f>
        <v>2</v>
      </c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15.6" customHeight="1" x14ac:dyDescent="0.3">
      <c r="A117" s="32">
        <v>3</v>
      </c>
      <c r="B117" s="3" t="str">
        <f>visible(E107, K117)</f>
        <v>وحدة علوية  زاوية 90</v>
      </c>
      <c r="C117" s="6">
        <f>visible(2,K117)</f>
        <v>2</v>
      </c>
      <c r="D117" s="6" t="str">
        <f ca="1">visible(I108, K117)</f>
        <v>HPL</v>
      </c>
      <c r="E117" s="6" t="str">
        <f>visible("قاعدة", K117)</f>
        <v>قاعدة</v>
      </c>
      <c r="F117" s="6">
        <f>visible(H110-1.8, K117)</f>
        <v>-1.8</v>
      </c>
      <c r="G117" s="6">
        <f>visible(H111-1.8, K117)</f>
        <v>58.2</v>
      </c>
      <c r="H117" s="6">
        <f>visible(1*C107, K117)</f>
        <v>1</v>
      </c>
      <c r="I117" s="6">
        <f t="shared" ca="1" si="0"/>
        <v>2</v>
      </c>
      <c r="J117" s="6">
        <f ca="1">visible(engraving(I117), K117)</f>
        <v>2</v>
      </c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ht="15.6" customHeight="1" x14ac:dyDescent="0.3">
      <c r="A118" s="32">
        <v>3</v>
      </c>
      <c r="B118" s="3" t="str">
        <f>visible(E107, K118)</f>
        <v>وحدة علوية  زاوية 90</v>
      </c>
      <c r="C118" s="6">
        <f>visible(3,K118)</f>
        <v>3</v>
      </c>
      <c r="D118" s="6" t="str">
        <f ca="1">visible(I108, K118)</f>
        <v>HPL</v>
      </c>
      <c r="E118" s="6" t="str">
        <f>visible("جنب 1", K118)</f>
        <v>جنب 1</v>
      </c>
      <c r="F118" s="6">
        <f ca="1">visible(I110, K118)</f>
        <v>70</v>
      </c>
      <c r="G118" s="6">
        <f ca="1">visible(J110, K118)</f>
        <v>30</v>
      </c>
      <c r="H118" s="6">
        <f>visible(1*C107, K118)</f>
        <v>1</v>
      </c>
      <c r="I118" s="6">
        <f t="shared" ca="1" si="0"/>
        <v>2</v>
      </c>
      <c r="J118" s="6">
        <f ca="1">visible(engraving(I118), K118)</f>
        <v>2</v>
      </c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ht="15.6" customHeight="1" x14ac:dyDescent="0.3">
      <c r="A119" s="32">
        <v>3</v>
      </c>
      <c r="B119" s="3" t="str">
        <f>visible(E107, K119)</f>
        <v>وحدة علوية  زاوية 90</v>
      </c>
      <c r="C119" s="6">
        <f>visible(4,K119)</f>
        <v>4</v>
      </c>
      <c r="D119" s="6" t="str">
        <f ca="1">visible(I108, K119)</f>
        <v>HPL</v>
      </c>
      <c r="E119" s="6" t="str">
        <f>visible("جنب 2", K119)</f>
        <v>جنب 2</v>
      </c>
      <c r="F119" s="6">
        <f ca="1">visible(I111, K119)</f>
        <v>70</v>
      </c>
      <c r="G119" s="6">
        <f ca="1">visible(J111, K119)</f>
        <v>30</v>
      </c>
      <c r="H119" s="6">
        <f>visible(1*C107, K119)</f>
        <v>1</v>
      </c>
      <c r="I119" s="6">
        <f t="shared" ca="1" si="0"/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ht="15.6" customHeight="1" x14ac:dyDescent="0.3">
      <c r="A120" s="32">
        <v>3</v>
      </c>
      <c r="B120" s="3" t="str">
        <f>visible(E107, K120)</f>
        <v>وحدة علوية  زاوية 90</v>
      </c>
      <c r="C120" s="6">
        <f>visible(5,K120)</f>
        <v>5</v>
      </c>
      <c r="D120" s="6" t="str">
        <f ca="1">visible(I108, K120)</f>
        <v>HPL</v>
      </c>
      <c r="E120" s="6" t="str">
        <f>visible("قائم خلفى", K120)</f>
        <v>قائم خلفى</v>
      </c>
      <c r="F120" s="6">
        <f ca="1">visible(I110, K120)</f>
        <v>70</v>
      </c>
      <c r="G120" s="6">
        <f>visible("10", K120)</f>
        <v>10</v>
      </c>
      <c r="H120" s="6">
        <f>visible(1*C107, K120)</f>
        <v>1</v>
      </c>
      <c r="I120" s="6">
        <f t="shared" ca="1" si="0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2">
        <v>3</v>
      </c>
      <c r="B121" s="3" t="str">
        <f>visible(E107, K121)</f>
        <v>وحدة علوية  زاوية 90</v>
      </c>
      <c r="C121" s="6">
        <f>visible(6,K121)</f>
        <v>6</v>
      </c>
      <c r="D121" s="6" t="str">
        <f ca="1">visible(I108, K121)</f>
        <v>HPL</v>
      </c>
      <c r="E121" s="6" t="str">
        <f>visible("رف", K121)</f>
        <v>رف</v>
      </c>
      <c r="F121" s="6">
        <f>visible(H110-3.8, K121)</f>
        <v>-3.8</v>
      </c>
      <c r="G121" s="6">
        <f>visible(H111-3.8, K121)</f>
        <v>56.2</v>
      </c>
      <c r="H121" s="6">
        <f>visible(D110*C107, K121)</f>
        <v>2</v>
      </c>
      <c r="I121" s="6">
        <f t="shared" ca="1" si="0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2">
        <v>0</v>
      </c>
      <c r="B122"/>
      <c r="C122"/>
      <c r="D122"/>
      <c r="E122"/>
      <c r="F122"/>
      <c r="G122"/>
      <c r="H122"/>
      <c r="I122"/>
      <c r="J122"/>
      <c r="K122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2">
        <v>4</v>
      </c>
      <c r="B123" s="3" t="str">
        <f>visible(E107, K123)</f>
        <v>وحدة علوية  زاوية 90</v>
      </c>
      <c r="C123" s="9">
        <f>visible(7,K123)</f>
        <v>7</v>
      </c>
      <c r="D123" s="9" t="str">
        <f ca="1">visible(G108, K123)</f>
        <v>يوفيلاك</v>
      </c>
      <c r="E123" s="9" t="str">
        <f>visible("دلف 1", K123)</f>
        <v>دلف 1</v>
      </c>
      <c r="F123" s="9">
        <f ca="1">visible(I110-0.5-F110, K123)</f>
        <v>66</v>
      </c>
      <c r="G123" s="9">
        <f ca="1">visible(H110-J110-3, K123)</f>
        <v>-33</v>
      </c>
      <c r="H123" s="9">
        <f>visible(1*C107, K123)</f>
        <v>1</v>
      </c>
      <c r="I123" s="9">
        <f ca="1">visible(materialNum(D123), K123)</f>
        <v>6</v>
      </c>
      <c r="J123" s="9">
        <f ca="1">visible(engraving(I123), K123)</f>
        <v>2</v>
      </c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2">
        <v>4</v>
      </c>
      <c r="B124" s="3" t="str">
        <f>visible(E107, K124)</f>
        <v>وحدة علوية  زاوية 90</v>
      </c>
      <c r="C124" s="9">
        <f>visible(8,K124)</f>
        <v>8</v>
      </c>
      <c r="D124" s="9" t="str">
        <f ca="1">visible(G108, K124)</f>
        <v>يوفيلاك</v>
      </c>
      <c r="E124" s="9" t="str">
        <f>visible("دلف 2", K124)</f>
        <v>دلف 2</v>
      </c>
      <c r="F124" s="9">
        <f ca="1">visible(I111-0.5-F110, K124)</f>
        <v>66</v>
      </c>
      <c r="G124" s="9">
        <f ca="1">visible(H111-J111-3, K124)</f>
        <v>27</v>
      </c>
      <c r="H124" s="9">
        <f>visible(1*C107, K124)</f>
        <v>1</v>
      </c>
      <c r="I124" s="9">
        <f ca="1">visible(materialNum(D124), K124)</f>
        <v>6</v>
      </c>
      <c r="J124" s="9">
        <f ca="1">visible(engraving(I124), K124)</f>
        <v>2</v>
      </c>
      <c r="K124" s="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2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2">
        <v>4</v>
      </c>
      <c r="B126" s="3" t="str">
        <f>visible(E107, K126)</f>
        <v>وحدة علوية  زاوية 90</v>
      </c>
      <c r="C126" s="9">
        <f>visible(9,K126)</f>
        <v>9</v>
      </c>
      <c r="D126" s="9" t="str">
        <f>visible("دلفة زجاج", K126)</f>
        <v>دلفة زجاج</v>
      </c>
      <c r="E126" s="9" t="str">
        <f>visible("دلفة  زجاج", K126)</f>
        <v>دلفة  زجاج</v>
      </c>
      <c r="F126" s="9">
        <f ca="1">visible(I110-0.5, K126)</f>
        <v>69.5</v>
      </c>
      <c r="G126" s="9">
        <f ca="1">visible(H110-J110-3.3, K126)</f>
        <v>-33.299999999999997</v>
      </c>
      <c r="H126" s="9">
        <f>visible(C107*1, K126)</f>
        <v>1</v>
      </c>
      <c r="I126" s="9">
        <f>visible(materialNum(D126), K126)</f>
        <v>-1</v>
      </c>
      <c r="J126" s="9">
        <f>visible(engraving(I126), K126)</f>
        <v>0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2">
        <v>4</v>
      </c>
      <c r="B127" s="3" t="str">
        <f>visible(E107, K127)</f>
        <v>وحدة علوية  زاوية 90</v>
      </c>
      <c r="C127" s="9">
        <f>visible(10,K127)</f>
        <v>10</v>
      </c>
      <c r="D127" s="9" t="str">
        <f>visible("دلفة زجاج", K127)</f>
        <v>دلفة زجاج</v>
      </c>
      <c r="E127" s="9" t="str">
        <f>visible("دلفة  زجاج", K127)</f>
        <v>دلفة  زجاج</v>
      </c>
      <c r="F127" s="9">
        <f ca="1">visible(I111-0.5, K127)</f>
        <v>69.5</v>
      </c>
      <c r="G127" s="9">
        <f ca="1">visible(H110-J110-3.3, K127)</f>
        <v>-33.299999999999997</v>
      </c>
      <c r="H127" s="9">
        <f>visible(C107*1, K127)</f>
        <v>1</v>
      </c>
      <c r="I127" s="9">
        <f>visible(materialNum(D127), K127)</f>
        <v>-1</v>
      </c>
      <c r="J127" s="9">
        <f>visible(engraving(I127), K127)</f>
        <v>0</v>
      </c>
      <c r="K127" s="9" t="b">
        <v>1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2">
        <v>0</v>
      </c>
      <c r="B128"/>
      <c r="C128"/>
      <c r="D128"/>
      <c r="E128"/>
      <c r="F128"/>
      <c r="G128"/>
      <c r="H128"/>
      <c r="I128"/>
      <c r="J128"/>
      <c r="K128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32">
        <v>5</v>
      </c>
      <c r="B129" s="3" t="str">
        <f>visible(E107, K129)</f>
        <v>وحدة علوية  زاوية 90</v>
      </c>
      <c r="C129" s="17">
        <f>visible(11,K129)</f>
        <v>11</v>
      </c>
      <c r="D129" s="17" t="str">
        <f ca="1">visible(E108, K129)</f>
        <v>ظهر</v>
      </c>
      <c r="E129" s="17" t="str">
        <f>visible("ظهر 1", K129)</f>
        <v>ظهر 1</v>
      </c>
      <c r="F129" s="17">
        <f ca="1">visible(I110-2, K129)</f>
        <v>68</v>
      </c>
      <c r="G129" s="17">
        <f>visible(H110-1, K129)</f>
        <v>-1</v>
      </c>
      <c r="H129" s="17">
        <f>visible(1*C107, K129)</f>
        <v>1</v>
      </c>
      <c r="I129" s="17">
        <f ca="1">visible(materialNum(D129), K129)</f>
        <v>2</v>
      </c>
      <c r="J129" s="17">
        <f ca="1">visible(engraving(I129), K129)</f>
        <v>2</v>
      </c>
      <c r="K129" s="17" t="b">
        <v>1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32">
        <v>5</v>
      </c>
      <c r="B130" s="3" t="str">
        <f>visible(E107, K130)</f>
        <v>وحدة علوية  زاوية 90</v>
      </c>
      <c r="C130" s="17">
        <f>visible(12,K130)</f>
        <v>12</v>
      </c>
      <c r="D130" s="17" t="str">
        <f ca="1">visible(E108, K130)</f>
        <v>ظهر</v>
      </c>
      <c r="E130" s="17" t="str">
        <f>visible("ظهر 2", K130)</f>
        <v>ظهر 2</v>
      </c>
      <c r="F130" s="17">
        <f ca="1">visible(I111-2, K130)</f>
        <v>68</v>
      </c>
      <c r="G130" s="17">
        <f>visible(H111-1, K130)</f>
        <v>59</v>
      </c>
      <c r="H130" s="17">
        <f>visible(1*C107, K130)</f>
        <v>1</v>
      </c>
      <c r="I130" s="17">
        <f ca="1">visible(materialNum(D130), K130)</f>
        <v>2</v>
      </c>
      <c r="J130" s="17">
        <f ca="1">visible(engraving(I130), K130)</f>
        <v>2</v>
      </c>
      <c r="K130" s="17" t="b">
        <v>1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32">
        <v>255</v>
      </c>
      <c r="C131" s="1"/>
      <c r="D131" s="1"/>
      <c r="E131" s="1"/>
      <c r="F131" s="1"/>
      <c r="G131" s="1"/>
      <c r="H131" s="1"/>
      <c r="I131" s="1"/>
      <c r="J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32">
        <v>255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36" x14ac:dyDescent="0.3">
      <c r="A133" s="32" t="s">
        <v>91</v>
      </c>
      <c r="C133" s="12">
        <v>1</v>
      </c>
      <c r="D133" s="20" t="s">
        <v>51</v>
      </c>
      <c r="E133" s="114" t="s">
        <v>43</v>
      </c>
      <c r="F133" s="115"/>
      <c r="G133" s="115"/>
      <c r="H133" s="116"/>
      <c r="I133" s="2" t="s">
        <v>26</v>
      </c>
      <c r="J133" s="2">
        <f>letterToNumber(A133)</f>
        <v>6</v>
      </c>
      <c r="K133" s="7">
        <f ca="1">_xlfn.SHEET("وحدات علوية")</f>
        <v>5</v>
      </c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21" x14ac:dyDescent="0.3">
      <c r="A134" s="32">
        <v>1</v>
      </c>
      <c r="C134" s="7"/>
      <c r="D134" s="8"/>
      <c r="E134" s="25" t="str" cm="1">
        <f t="array" aca="1" ref="E134" ca="1">defaultValue(F134,K133)</f>
        <v>ظهر</v>
      </c>
      <c r="F134" s="7" t="s">
        <v>50</v>
      </c>
      <c r="G134" s="25" t="str" cm="1">
        <f t="array" aca="1" ref="G134" ca="1">defaultValue(H134,K133)</f>
        <v>يوفيلاك</v>
      </c>
      <c r="H134" s="7" t="s">
        <v>28</v>
      </c>
      <c r="I134" s="25" t="str" cm="1">
        <f t="array" aca="1" ref="I134" ca="1">defaultValue(J134,K133)</f>
        <v>HPL</v>
      </c>
      <c r="J134" s="7" t="s">
        <v>27</v>
      </c>
      <c r="K134" s="23" t="s">
        <v>75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ht="31.2" x14ac:dyDescent="0.3">
      <c r="A135" s="32">
        <v>1</v>
      </c>
      <c r="C135" s="7"/>
      <c r="D135" s="7" t="s">
        <v>16</v>
      </c>
      <c r="E135" s="7"/>
      <c r="F135" s="7" t="s">
        <v>14</v>
      </c>
      <c r="G135" s="7" t="s">
        <v>78</v>
      </c>
      <c r="H135" s="7" t="s">
        <v>19</v>
      </c>
      <c r="I135" s="7" t="s">
        <v>3</v>
      </c>
      <c r="J135" s="7" t="s">
        <v>76</v>
      </c>
      <c r="K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ht="15.6" x14ac:dyDescent="0.3">
      <c r="A136" s="32">
        <v>1</v>
      </c>
      <c r="C136" s="8"/>
      <c r="D136" s="8">
        <v>1</v>
      </c>
      <c r="E136" s="8"/>
      <c r="F136" s="25" cm="1">
        <f t="array" aca="1" ref="F136" ca="1">defaultValue(F135,K133)</f>
        <v>3.5</v>
      </c>
      <c r="G136" s="25" cm="1">
        <f t="array" aca="1" ref="G136" ca="1">defaultValue(G135,K133)</f>
        <v>0</v>
      </c>
      <c r="H136" s="8"/>
      <c r="I136" s="25" cm="1">
        <f t="array" aca="1" ref="I136" ca="1">defaultValue(I135,K133)</f>
        <v>70</v>
      </c>
      <c r="J136" s="25" cm="1">
        <f t="array" aca="1" ref="J136" ca="1">defaultValue(J135,K133)</f>
        <v>30</v>
      </c>
      <c r="K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x14ac:dyDescent="0.3">
      <c r="A137" s="32">
        <v>1</v>
      </c>
      <c r="C137" s="8"/>
      <c r="D137" s="8"/>
      <c r="E137" s="8"/>
      <c r="F137" s="134" t="b">
        <f ca="1">NOT(AND(F136&gt;0,G136&gt;0))</f>
        <v>1</v>
      </c>
      <c r="G137" s="134"/>
      <c r="H137" s="8"/>
      <c r="I137" s="25" cm="1">
        <f t="array" aca="1" ref="I137" ca="1">defaultValue(I135,K133)</f>
        <v>70</v>
      </c>
      <c r="J137" s="25" cm="1">
        <f t="array" aca="1" ref="J137" ca="1">defaultValue(J135,K133)</f>
        <v>30</v>
      </c>
      <c r="K137" s="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x14ac:dyDescent="0.3">
      <c r="A138" s="32">
        <v>1</v>
      </c>
      <c r="C138" s="8"/>
      <c r="D138" s="8"/>
      <c r="E138" s="8"/>
      <c r="F138" s="137" t="str">
        <f ca="1">IF(F137,"المقابض مظبوطة","مينفعش مقبض مخفي مع بيلت ان")</f>
        <v>المقابض مظبوطة</v>
      </c>
      <c r="G138" s="137"/>
      <c r="H138" s="8"/>
      <c r="I138" s="8"/>
      <c r="J138" s="8"/>
      <c r="K138" s="7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32">
        <v>0</v>
      </c>
      <c r="B139"/>
      <c r="C139"/>
      <c r="D139"/>
      <c r="E139"/>
      <c r="F139"/>
      <c r="G139"/>
      <c r="H139"/>
      <c r="I139"/>
      <c r="J139"/>
      <c r="K139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32">
        <v>2</v>
      </c>
      <c r="C140" s="6" t="s">
        <v>4</v>
      </c>
      <c r="D140" s="6" t="s">
        <v>9</v>
      </c>
      <c r="E140" s="6" t="s">
        <v>5</v>
      </c>
      <c r="F140" s="6" t="s">
        <v>7</v>
      </c>
      <c r="G140" s="6" t="s">
        <v>1</v>
      </c>
      <c r="H140" s="6" t="s">
        <v>6</v>
      </c>
      <c r="I140" s="6" t="s">
        <v>29</v>
      </c>
      <c r="J140" s="6" t="s">
        <v>129</v>
      </c>
      <c r="K140" s="6" t="s">
        <v>113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2">
        <v>0</v>
      </c>
      <c r="B141"/>
      <c r="C141"/>
      <c r="D141"/>
      <c r="E141"/>
      <c r="F141"/>
      <c r="G141"/>
      <c r="H141"/>
      <c r="I141"/>
      <c r="J141"/>
      <c r="K14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2">
        <v>3</v>
      </c>
      <c r="B142" s="3" t="str">
        <f>visible(E133, K142)</f>
        <v>وحدة علوية  ركنة 45</v>
      </c>
      <c r="C142" s="6">
        <f>visible(1,K142)</f>
        <v>1</v>
      </c>
      <c r="D142" s="6" t="str">
        <f ca="1">visible(I134, K142)</f>
        <v>HPL</v>
      </c>
      <c r="E142" s="6" t="str">
        <f>visible("قرصة", K142)</f>
        <v>قرصة</v>
      </c>
      <c r="F142" s="6">
        <f>visible(H136-1.8, K142)</f>
        <v>-1.8</v>
      </c>
      <c r="G142" s="6">
        <f>visible(H137-1.8, K142)</f>
        <v>-1.8</v>
      </c>
      <c r="H142" s="6">
        <f>visible(1*C133, K142)</f>
        <v>1</v>
      </c>
      <c r="I142" s="6">
        <f t="shared" ref="I142:I147" ca="1" si="1">visible(materialNum(D142), K142)</f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ht="15.6" customHeight="1" x14ac:dyDescent="0.3">
      <c r="A143" s="32">
        <v>3</v>
      </c>
      <c r="B143" s="3" t="str">
        <f>visible(E133, K143)</f>
        <v>وحدة علوية  ركنة 45</v>
      </c>
      <c r="C143" s="6">
        <f>visible(2,K143)</f>
        <v>2</v>
      </c>
      <c r="D143" s="6" t="str">
        <f ca="1">visible(I134, K143)</f>
        <v>HPL</v>
      </c>
      <c r="E143" s="6" t="str">
        <f>visible("قاعدة", K143)</f>
        <v>قاعدة</v>
      </c>
      <c r="F143" s="6">
        <f>visible(H136-1.8, K143)</f>
        <v>-1.8</v>
      </c>
      <c r="G143" s="6">
        <f>visible(H137-1.8, K143)</f>
        <v>-1.8</v>
      </c>
      <c r="H143" s="6">
        <f>visible(1*C133, K143)</f>
        <v>1</v>
      </c>
      <c r="I143" s="6">
        <f t="shared" ca="1" si="1"/>
        <v>2</v>
      </c>
      <c r="J143" s="6">
        <f ca="1">visible(engraving(I143), K143)</f>
        <v>2</v>
      </c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ht="15.6" customHeight="1" x14ac:dyDescent="0.3">
      <c r="A144" s="32">
        <v>3</v>
      </c>
      <c r="B144" s="3" t="str">
        <f>visible(E133, K144)</f>
        <v>وحدة علوية  ركنة 45</v>
      </c>
      <c r="C144" s="6">
        <f>visible(3,K144)</f>
        <v>3</v>
      </c>
      <c r="D144" s="6" t="str">
        <f ca="1">visible(I134, K144)</f>
        <v>HPL</v>
      </c>
      <c r="E144" s="6" t="str">
        <f>visible("جنب 1", K144)</f>
        <v>جنب 1</v>
      </c>
      <c r="F144" s="6">
        <f ca="1">visible(I136, K144)</f>
        <v>70</v>
      </c>
      <c r="G144" s="6">
        <f ca="1">visible(J136, K144)</f>
        <v>30</v>
      </c>
      <c r="H144" s="6">
        <f>visible(1*C133, K144)</f>
        <v>1</v>
      </c>
      <c r="I144" s="6">
        <f t="shared" ca="1" si="1"/>
        <v>2</v>
      </c>
      <c r="J144" s="6">
        <f ca="1">visible(engraving(I144), K144)</f>
        <v>2</v>
      </c>
      <c r="K144" s="6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ht="15.6" customHeight="1" x14ac:dyDescent="0.3">
      <c r="A145" s="32">
        <v>3</v>
      </c>
      <c r="B145" s="3" t="str">
        <f>visible(E133, K145)</f>
        <v>وحدة علوية  ركنة 45</v>
      </c>
      <c r="C145" s="6">
        <f>visible(4,K145)</f>
        <v>4</v>
      </c>
      <c r="D145" s="6" t="str">
        <f ca="1">visible(I134, K145)</f>
        <v>HPL</v>
      </c>
      <c r="E145" s="6" t="str">
        <f>visible("جنب 2", K145)</f>
        <v>جنب 2</v>
      </c>
      <c r="F145" s="6">
        <f ca="1">visible(I137, K145)</f>
        <v>70</v>
      </c>
      <c r="G145" s="6">
        <f ca="1">visible(J137, K145)</f>
        <v>30</v>
      </c>
      <c r="H145" s="6">
        <f>visible(1*C133, K145)</f>
        <v>1</v>
      </c>
      <c r="I145" s="6">
        <f t="shared" ca="1" si="1"/>
        <v>2</v>
      </c>
      <c r="J145" s="6">
        <f ca="1">visible(engraving(I145), K145)</f>
        <v>2</v>
      </c>
      <c r="K145" s="6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ht="15.6" customHeight="1" x14ac:dyDescent="0.3">
      <c r="A146" s="32">
        <v>3</v>
      </c>
      <c r="B146" s="3" t="str">
        <f>visible(E133, K146)</f>
        <v>وحدة علوية  ركنة 45</v>
      </c>
      <c r="C146" s="6">
        <f>visible(5,K146)</f>
        <v>5</v>
      </c>
      <c r="D146" s="6" t="str">
        <f ca="1">visible(I134, K146)</f>
        <v>HPL</v>
      </c>
      <c r="E146" s="6" t="str">
        <f>visible("قائم خلفى", K146)</f>
        <v>قائم خلفى</v>
      </c>
      <c r="F146" s="6">
        <f ca="1">visible(I136, K146)</f>
        <v>70</v>
      </c>
      <c r="G146" s="6">
        <f>visible("10", K146)</f>
        <v>10</v>
      </c>
      <c r="H146" s="6">
        <f>visible(1*C133, K146)</f>
        <v>1</v>
      </c>
      <c r="I146" s="6">
        <f t="shared" ca="1" si="1"/>
        <v>2</v>
      </c>
      <c r="J146" s="6">
        <f ca="1">visible(engraving(I146), K146)</f>
        <v>2</v>
      </c>
      <c r="K146" s="6" t="b">
        <v>1</v>
      </c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2">
        <v>3</v>
      </c>
      <c r="B147" s="3" t="str">
        <f>visible(E133, K147)</f>
        <v>وحدة علوية  ركنة 45</v>
      </c>
      <c r="C147" s="6">
        <f>visible(6,K147)</f>
        <v>6</v>
      </c>
      <c r="D147" s="6" t="str">
        <f ca="1">visible(I134, K147)</f>
        <v>HPL</v>
      </c>
      <c r="E147" s="6" t="str">
        <f>visible("رف", K147)</f>
        <v>رف</v>
      </c>
      <c r="F147" s="6">
        <f>visible(H136-3.8, K147)</f>
        <v>-3.8</v>
      </c>
      <c r="G147" s="6">
        <f>visible(H137-3.8, K147)</f>
        <v>-3.8</v>
      </c>
      <c r="H147" s="6">
        <f>visible(D136*C133, K147)</f>
        <v>1</v>
      </c>
      <c r="I147" s="6">
        <f t="shared" ca="1" si="1"/>
        <v>2</v>
      </c>
      <c r="J147" s="6">
        <f ca="1">visible(engraving(I147), K147)</f>
        <v>2</v>
      </c>
      <c r="K147" s="6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2">
        <v>0</v>
      </c>
      <c r="B148"/>
      <c r="C148"/>
      <c r="D148"/>
      <c r="E148"/>
      <c r="F148"/>
      <c r="G148"/>
      <c r="H148"/>
      <c r="I148"/>
      <c r="J148"/>
      <c r="K148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2">
        <v>4</v>
      </c>
      <c r="B149" s="3" t="str">
        <f>visible(E133, K149)</f>
        <v>وحدة علوية  ركنة 45</v>
      </c>
      <c r="C149" s="9">
        <f>visible(7,K149)</f>
        <v>7</v>
      </c>
      <c r="D149" s="9" t="str">
        <f ca="1">visible(G134, K149)</f>
        <v>يوفيلاك</v>
      </c>
      <c r="E149" s="9" t="str">
        <f>visible("دلف 1", K149)</f>
        <v>دلف 1</v>
      </c>
      <c r="F149" s="9">
        <f ca="1">visible(I136-0.5-F136, K149)</f>
        <v>66</v>
      </c>
      <c r="G149" s="15">
        <f ca="1">visible((SQRT((H136-J136)^2+(H137-J137)^2))-2, K149)</f>
        <v>40.426406871192903</v>
      </c>
      <c r="H149" s="9">
        <f>visible(1*C133, K149)</f>
        <v>1</v>
      </c>
      <c r="I149" s="9">
        <f ca="1">visible(materialNum(D149), K149)</f>
        <v>6</v>
      </c>
      <c r="J149" s="9">
        <f ca="1">visible(engraving(I149), K149)</f>
        <v>2</v>
      </c>
      <c r="K149" s="9" t="b">
        <v>1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x14ac:dyDescent="0.3">
      <c r="A150" s="32">
        <v>0</v>
      </c>
      <c r="B150"/>
      <c r="C150"/>
      <c r="D150"/>
      <c r="E150"/>
      <c r="F150"/>
      <c r="G150"/>
      <c r="H150"/>
      <c r="I150"/>
      <c r="J150"/>
      <c r="K150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x14ac:dyDescent="0.3">
      <c r="A151" s="32">
        <v>5</v>
      </c>
      <c r="B151" s="3" t="str">
        <f>visible(E133, K151)</f>
        <v>وحدة علوية  ركنة 45</v>
      </c>
      <c r="C151" s="17">
        <f>visible(8,K151)</f>
        <v>8</v>
      </c>
      <c r="D151" s="17" t="str">
        <f ca="1">visible(E134, K151)</f>
        <v>ظهر</v>
      </c>
      <c r="E151" s="17" t="str">
        <f>visible("ظهر", K151)</f>
        <v>ظهر</v>
      </c>
      <c r="F151" s="17">
        <f ca="1">visible(I136-2, K151)</f>
        <v>68</v>
      </c>
      <c r="G151" s="17">
        <f>visible(H136-1, K151)</f>
        <v>-1</v>
      </c>
      <c r="H151" s="17">
        <f>visible(1*C133, K151)</f>
        <v>1</v>
      </c>
      <c r="I151" s="17">
        <f ca="1">visible(materialNum(D151), K151)</f>
        <v>2</v>
      </c>
      <c r="J151" s="17">
        <f ca="1">visible(engraving(I151), K151)</f>
        <v>2</v>
      </c>
      <c r="K151" s="17" t="b">
        <v>1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x14ac:dyDescent="0.3">
      <c r="A152" s="32">
        <v>255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x14ac:dyDescent="0.3">
      <c r="A153" s="32">
        <v>255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36" x14ac:dyDescent="0.3">
      <c r="A154" s="32" t="s">
        <v>92</v>
      </c>
      <c r="C154" s="12">
        <v>1</v>
      </c>
      <c r="D154" s="20" t="s">
        <v>51</v>
      </c>
      <c r="E154" s="114" t="s">
        <v>73</v>
      </c>
      <c r="F154" s="115"/>
      <c r="G154" s="115"/>
      <c r="H154" s="116"/>
      <c r="I154" s="2" t="s">
        <v>26</v>
      </c>
      <c r="J154" s="2">
        <f>letterToNumber(A154)</f>
        <v>7</v>
      </c>
      <c r="K154" s="7">
        <f ca="1">_xlfn.SHEET("وحدات علوية")</f>
        <v>5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21" x14ac:dyDescent="0.3">
      <c r="A155" s="32">
        <v>1</v>
      </c>
      <c r="C155" s="7"/>
      <c r="D155" s="8"/>
      <c r="E155" s="25" t="str" cm="1">
        <f t="array" aca="1" ref="E155" ca="1">defaultValue(F155,K154)</f>
        <v>ظهر</v>
      </c>
      <c r="F155" s="7" t="s">
        <v>50</v>
      </c>
      <c r="G155" s="25" t="str" cm="1">
        <f t="array" aca="1" ref="G155" ca="1">defaultValue(H155,K154)</f>
        <v>يوفيلاك</v>
      </c>
      <c r="H155" s="7" t="s">
        <v>28</v>
      </c>
      <c r="I155" s="25" t="str" cm="1">
        <f t="array" aca="1" ref="I155" ca="1">defaultValue(J155,K154)</f>
        <v>HPL</v>
      </c>
      <c r="J155" s="7" t="s">
        <v>27</v>
      </c>
      <c r="K155" s="23" t="s">
        <v>75</v>
      </c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2">
        <v>1</v>
      </c>
      <c r="C156" s="7" t="s">
        <v>48</v>
      </c>
      <c r="D156" s="7" t="s">
        <v>49</v>
      </c>
      <c r="E156" s="16" t="s">
        <v>16</v>
      </c>
      <c r="F156" s="7" t="s">
        <v>14</v>
      </c>
      <c r="G156" s="7" t="s">
        <v>78</v>
      </c>
      <c r="H156" s="7" t="s">
        <v>19</v>
      </c>
      <c r="I156" s="7" t="s">
        <v>3</v>
      </c>
      <c r="J156" s="7" t="s">
        <v>76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ht="15.6" x14ac:dyDescent="0.3">
      <c r="A157" s="32">
        <v>1</v>
      </c>
      <c r="C157" s="8">
        <v>1</v>
      </c>
      <c r="D157" s="8">
        <v>0</v>
      </c>
      <c r="E157" s="8">
        <v>2</v>
      </c>
      <c r="F157" s="25" cm="1">
        <f t="array" aca="1" ref="F157" ca="1">defaultValue(F156,K154)</f>
        <v>3.5</v>
      </c>
      <c r="G157" s="25" cm="1">
        <f t="array" aca="1" ref="G157" ca="1">defaultValue(G156,K154)</f>
        <v>0</v>
      </c>
      <c r="H157" s="8"/>
      <c r="I157" s="25" cm="1">
        <f t="array" aca="1" ref="I157" ca="1">defaultValue(I156,K154)</f>
        <v>70</v>
      </c>
      <c r="J157" s="25" cm="1">
        <f t="array" aca="1" ref="J157" ca="1">defaultValue(J156,K154)</f>
        <v>30</v>
      </c>
      <c r="K157" s="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ht="15.6" x14ac:dyDescent="0.3">
      <c r="A158" s="32">
        <v>1</v>
      </c>
      <c r="C158" s="9" t="b">
        <f>C157=0</f>
        <v>0</v>
      </c>
      <c r="D158" s="9" t="b">
        <f>D157=0</f>
        <v>1</v>
      </c>
      <c r="E158" s="7" t="s">
        <v>72</v>
      </c>
      <c r="F158" s="6" t="b">
        <f ca="1">NOT(AND(F157&gt;0,G157&gt;0))</f>
        <v>1</v>
      </c>
      <c r="G158" s="8"/>
      <c r="H158" s="6" t="b">
        <f>_xlfn.XOR(H157&lt;=50,C159=2)</f>
        <v>1</v>
      </c>
      <c r="I158" s="38"/>
      <c r="J158" s="7" t="s">
        <v>74</v>
      </c>
      <c r="K158" s="7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ht="28.8" x14ac:dyDescent="0.3">
      <c r="A159" s="32">
        <v>1</v>
      </c>
      <c r="C159" s="140">
        <f>C157+D157</f>
        <v>1</v>
      </c>
      <c r="D159" s="141"/>
      <c r="E159" s="7">
        <v>0</v>
      </c>
      <c r="F159" s="6" t="str">
        <f ca="1">IF(F158,"المقابض مظبوطة","مينفعش مقبض مخفي مع بيلت ان")</f>
        <v>المقابض مظبوطة</v>
      </c>
      <c r="G159" s="8"/>
      <c r="H159" s="6" t="str">
        <f>IF(H158,"عدد الدلف صحيح","عدد الدلف غير صحيح")</f>
        <v>عدد الدلف صحيح</v>
      </c>
      <c r="I159" s="8"/>
      <c r="J159" s="8">
        <v>32</v>
      </c>
      <c r="K159" s="7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ht="15.6" x14ac:dyDescent="0.3">
      <c r="A160" s="32">
        <v>1</v>
      </c>
      <c r="C160" s="131" t="b">
        <f>C159&lt;=2</f>
        <v>1</v>
      </c>
      <c r="D160" s="132"/>
      <c r="E160" s="8"/>
      <c r="F160" s="8"/>
      <c r="G160" s="8"/>
      <c r="H160" s="8"/>
      <c r="I160" s="8"/>
      <c r="J160" s="8"/>
      <c r="K160" s="7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2">
        <v>0</v>
      </c>
      <c r="B161"/>
      <c r="C161"/>
      <c r="D161"/>
      <c r="E161"/>
      <c r="F161"/>
      <c r="G161"/>
      <c r="H161"/>
      <c r="I161"/>
      <c r="J161"/>
      <c r="K16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2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29</v>
      </c>
      <c r="J162" s="6" t="s">
        <v>129</v>
      </c>
      <c r="K162" s="6" t="s">
        <v>113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2">
        <v>0</v>
      </c>
      <c r="B163"/>
      <c r="C163"/>
      <c r="D163"/>
      <c r="E163"/>
      <c r="F163"/>
      <c r="G163"/>
      <c r="H163"/>
      <c r="I163"/>
      <c r="J163"/>
      <c r="K163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2">
        <v>3</v>
      </c>
      <c r="B164" s="3" t="str">
        <f>visible(E154, K164)</f>
        <v xml:space="preserve">وحدة علوية ميكروويف دلفة /دلفتين </v>
      </c>
      <c r="C164" s="6">
        <f>visible(1,K164)</f>
        <v>1</v>
      </c>
      <c r="D164" s="6" t="str">
        <f ca="1">visible(I155, K164)</f>
        <v>HPL</v>
      </c>
      <c r="E164" s="6" t="str">
        <f>visible("قرصة", K164)</f>
        <v>قرصة</v>
      </c>
      <c r="F164" s="6">
        <f>visible(H157-3.6, K164)</f>
        <v>-3.6</v>
      </c>
      <c r="G164" s="6">
        <f ca="1">visible(J157-E159, K164)</f>
        <v>30</v>
      </c>
      <c r="H164" s="6">
        <f>visible(1*C154, K164)</f>
        <v>1</v>
      </c>
      <c r="I164" s="6">
        <f ca="1">visible(materialNum(D164), K164)</f>
        <v>2</v>
      </c>
      <c r="J164" s="6">
        <f ca="1">visible(engraving(I164), K164)</f>
        <v>2</v>
      </c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2">
        <v>3</v>
      </c>
      <c r="B165" s="3" t="str">
        <f>visible(E154, K165)</f>
        <v xml:space="preserve">وحدة علوية ميكروويف دلفة /دلفتين </v>
      </c>
      <c r="C165" s="6">
        <f>visible(2,K165)</f>
        <v>2</v>
      </c>
      <c r="D165" s="6" t="str">
        <f ca="1">visible(I155, K165)</f>
        <v>HPL</v>
      </c>
      <c r="E165" s="6" t="str">
        <f>visible("قاعدة", K165)</f>
        <v>قاعدة</v>
      </c>
      <c r="F165" s="6">
        <f>visible(H157-3.6, K165)</f>
        <v>-3.6</v>
      </c>
      <c r="G165" s="6">
        <f ca="1">visible(40-G157-E159, K165)</f>
        <v>40</v>
      </c>
      <c r="H165" s="6">
        <f>visible(1*C154, K165)</f>
        <v>1</v>
      </c>
      <c r="I165" s="6">
        <f ca="1">visible(materialNum(D165), K165)</f>
        <v>2</v>
      </c>
      <c r="J165" s="6">
        <f ca="1">visible(engraving(I165), K165)</f>
        <v>2</v>
      </c>
      <c r="K165" s="6" t="b">
        <v>1</v>
      </c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2">
        <v>3</v>
      </c>
      <c r="B166" s="3" t="str">
        <f>visible(E154, K166)</f>
        <v xml:space="preserve">وحدة علوية ميكروويف دلفة /دلفتين </v>
      </c>
      <c r="C166" s="6">
        <f>visible(3,K166)</f>
        <v>3</v>
      </c>
      <c r="D166" s="6" t="str">
        <f ca="1">visible(I155, K166)</f>
        <v>HPL</v>
      </c>
      <c r="E166" s="6" t="str">
        <f>visible("أجناب", K166)</f>
        <v>أجناب</v>
      </c>
      <c r="F166" s="6">
        <f ca="1">visible(I157, K166)</f>
        <v>70</v>
      </c>
      <c r="G166" s="6">
        <f ca="1">visible(J157, K166)</f>
        <v>30</v>
      </c>
      <c r="H166" s="6">
        <f>visible(2*C154, K166)</f>
        <v>2</v>
      </c>
      <c r="I166" s="6">
        <f ca="1">visible(materialNum(D166), K166)</f>
        <v>2</v>
      </c>
      <c r="J166" s="6">
        <f ca="1">visible(engraving(I166), K166)</f>
        <v>2</v>
      </c>
      <c r="K166" s="6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2">
        <v>3</v>
      </c>
      <c r="B167" s="3" t="str">
        <f>visible(E154, K167)</f>
        <v xml:space="preserve">وحدة علوية ميكروويف دلفة /دلفتين </v>
      </c>
      <c r="C167" s="6">
        <f>visible(4,K167)</f>
        <v>4</v>
      </c>
      <c r="D167" s="6" t="str">
        <f ca="1">visible(I155, K167)</f>
        <v>HPL</v>
      </c>
      <c r="E167" s="6" t="str">
        <f>visible("رف", K167)</f>
        <v>رف</v>
      </c>
      <c r="F167" s="6">
        <f>visible(H157-3.8, K167)</f>
        <v>-3.8</v>
      </c>
      <c r="G167" s="6">
        <f ca="1">visible(J157-5-E159, K167)</f>
        <v>25</v>
      </c>
      <c r="H167" s="6">
        <f>visible(E157*C154, K167)</f>
        <v>2</v>
      </c>
      <c r="I167" s="6">
        <f ca="1">visible(materialNum(D167), K167)</f>
        <v>2</v>
      </c>
      <c r="J167" s="6">
        <f ca="1">visible(engraving(I167), K167)</f>
        <v>2</v>
      </c>
      <c r="K167" s="6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2">
        <v>3</v>
      </c>
      <c r="B168" s="3" t="str">
        <f>visible(E154, K168)</f>
        <v xml:space="preserve">وحدة علوية ميكروويف دلفة /دلفتين </v>
      </c>
      <c r="C168" s="6">
        <f>visible(5,K168)</f>
        <v>5</v>
      </c>
      <c r="D168" s="6" t="str">
        <f ca="1">visible(I155, K168)</f>
        <v>HPL</v>
      </c>
      <c r="E168" s="6" t="str">
        <f>visible("قاطوع", K168)</f>
        <v>قاطوع</v>
      </c>
      <c r="F168" s="6">
        <f>visible(H157-3.6, K168)</f>
        <v>-3.6</v>
      </c>
      <c r="G168" s="6">
        <f ca="1">visible(J157-G157-E159, K168)</f>
        <v>30</v>
      </c>
      <c r="H168" s="6">
        <f>visible(1*C154, K168)</f>
        <v>1</v>
      </c>
      <c r="I168" s="6">
        <f ca="1">visible(materialNum(D168), K168)</f>
        <v>2</v>
      </c>
      <c r="J168" s="6">
        <f ca="1">visible(engraving(I168), K168)</f>
        <v>2</v>
      </c>
      <c r="K168" s="6" t="b">
        <v>1</v>
      </c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2">
        <v>0</v>
      </c>
      <c r="B169"/>
      <c r="C169"/>
      <c r="D169"/>
      <c r="E169"/>
      <c r="F169"/>
      <c r="G169"/>
      <c r="H169"/>
      <c r="I169"/>
      <c r="J169"/>
      <c r="K169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2">
        <v>4</v>
      </c>
      <c r="B170" s="3" t="str">
        <f>visible(E154, K170)</f>
        <v xml:space="preserve">وحدة علوية ميكروويف دلفة /دلفتين </v>
      </c>
      <c r="C170" s="9">
        <f>visible(6,K170)</f>
        <v>6</v>
      </c>
      <c r="D170" s="9" t="str">
        <f ca="1">visible(G155, K170)</f>
        <v>يوفيلاك</v>
      </c>
      <c r="E170" s="9" t="str">
        <f>visible("دلفه خشب", K170)</f>
        <v>دلفه خشب</v>
      </c>
      <c r="F170" s="9">
        <f ca="1">visible(I157-khlos(C157)-F157-J159, K170)</f>
        <v>33.799999999999997</v>
      </c>
      <c r="G170" s="9">
        <f>visible((H157/C159)-0.5, K170)</f>
        <v>-0.5</v>
      </c>
      <c r="H170" s="9">
        <f>visible(C157*C154, K170)</f>
        <v>1</v>
      </c>
      <c r="I170" s="9">
        <f ca="1">visible(materialNum(D170), K170)</f>
        <v>6</v>
      </c>
      <c r="J170" s="9">
        <f ca="1">visible(engraving(I170), K170)</f>
        <v>2</v>
      </c>
      <c r="K170" s="9" t="b">
        <f>NOT(C158)</f>
        <v>1</v>
      </c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2">
        <v>4</v>
      </c>
      <c r="B171" s="3" t="str">
        <f>visible(E154, K171)</f>
        <v/>
      </c>
      <c r="C171" s="9" t="str">
        <f>visible(7,K171)</f>
        <v/>
      </c>
      <c r="D171" s="9" t="str">
        <f>visible("دلفة زجاج", K171)</f>
        <v/>
      </c>
      <c r="E171" s="9" t="str">
        <f>visible("دلفة  زجاج", K171)</f>
        <v/>
      </c>
      <c r="F171" s="9" t="str">
        <f ca="1">visible(I157-khlos(C157)-J159, K171)</f>
        <v/>
      </c>
      <c r="G171" s="9" t="str">
        <f>visible((H157/C159)-0.7, K171)</f>
        <v/>
      </c>
      <c r="H171" s="9" t="str">
        <f>visible(C154*D157, K171)</f>
        <v/>
      </c>
      <c r="I171" s="9" t="str">
        <f>visible(materialNum(D171), K171)</f>
        <v/>
      </c>
      <c r="J171" s="9" t="str">
        <f>visible(engraving(I171), K171)</f>
        <v/>
      </c>
      <c r="K171" s="9" t="b">
        <f>D157&gt;0</f>
        <v>0</v>
      </c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A172" s="32">
        <v>0</v>
      </c>
      <c r="B172"/>
      <c r="C172"/>
      <c r="D172"/>
      <c r="E172"/>
      <c r="F172"/>
      <c r="G172"/>
      <c r="H172"/>
      <c r="I172"/>
      <c r="J172"/>
      <c r="K172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A173" s="32">
        <v>5</v>
      </c>
      <c r="B173" s="3" t="str">
        <f>visible(E154, K173)</f>
        <v xml:space="preserve">وحدة علوية ميكروويف دلفة /دلفتين </v>
      </c>
      <c r="C173" s="17">
        <f>visible(8,K173)</f>
        <v>8</v>
      </c>
      <c r="D173" s="17" t="str">
        <f ca="1">visible(E155, K173)</f>
        <v>ظهر</v>
      </c>
      <c r="E173" s="17" t="str">
        <f>visible("ظهر", K173)</f>
        <v>ظهر</v>
      </c>
      <c r="F173" s="17">
        <f ca="1">visible(I157-2, K173)</f>
        <v>68</v>
      </c>
      <c r="G173" s="17">
        <f>visible(H157-2, K173)</f>
        <v>-2</v>
      </c>
      <c r="H173" s="17">
        <f>visible(1*C154, K173)</f>
        <v>1</v>
      </c>
      <c r="I173" s="17">
        <f ca="1">visible(materialNum(D173), K173)</f>
        <v>2</v>
      </c>
      <c r="J173" s="17">
        <f ca="1">visible(engraving(I173), K173)</f>
        <v>2</v>
      </c>
      <c r="K173" s="17" t="b">
        <v>1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/>
      <c r="BC173"/>
      <c r="BD173"/>
      <c r="BE173"/>
      <c r="BF173"/>
      <c r="BG173"/>
      <c r="BH173"/>
      <c r="BI173"/>
      <c r="BJ173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A174" s="32">
        <v>255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/>
      <c r="BC174"/>
      <c r="BD174"/>
      <c r="BE174"/>
      <c r="BF174"/>
      <c r="BG174"/>
      <c r="BH174"/>
      <c r="BI174"/>
      <c r="BJ174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A175" s="32">
        <v>255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/>
      <c r="BC175"/>
      <c r="BD175"/>
      <c r="BE175"/>
      <c r="BF175"/>
      <c r="BG175"/>
      <c r="BH175"/>
      <c r="BI175"/>
      <c r="BJ175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/>
      <c r="BC176"/>
      <c r="BD176"/>
      <c r="BE176"/>
      <c r="BF176"/>
      <c r="BG176"/>
      <c r="BH176"/>
      <c r="BI176"/>
      <c r="BJ176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2:81" x14ac:dyDescent="0.3"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2:81" x14ac:dyDescent="0.3"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2:81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2:81" x14ac:dyDescent="0.3"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</sheetData>
  <mergeCells count="33">
    <mergeCell ref="F112:G112"/>
    <mergeCell ref="C2:K2"/>
    <mergeCell ref="F87:G87"/>
    <mergeCell ref="E133:H133"/>
    <mergeCell ref="C88:D88"/>
    <mergeCell ref="F137:G137"/>
    <mergeCell ref="C4:O4"/>
    <mergeCell ref="C7:O7"/>
    <mergeCell ref="E17:H17"/>
    <mergeCell ref="C89:D89"/>
    <mergeCell ref="C64:D64"/>
    <mergeCell ref="F64:G64"/>
    <mergeCell ref="C43:D43"/>
    <mergeCell ref="C44:D44"/>
    <mergeCell ref="C65:D65"/>
    <mergeCell ref="E107:H107"/>
    <mergeCell ref="F111:G111"/>
    <mergeCell ref="C160:D160"/>
    <mergeCell ref="C22:D22"/>
    <mergeCell ref="F21:G21"/>
    <mergeCell ref="F22:G22"/>
    <mergeCell ref="H22:J22"/>
    <mergeCell ref="C23:D23"/>
    <mergeCell ref="E38:H38"/>
    <mergeCell ref="E59:H59"/>
    <mergeCell ref="F42:G42"/>
    <mergeCell ref="F43:G43"/>
    <mergeCell ref="F63:G63"/>
    <mergeCell ref="F88:G88"/>
    <mergeCell ref="E83:H83"/>
    <mergeCell ref="F138:G138"/>
    <mergeCell ref="C159:D159"/>
    <mergeCell ref="E154:H154"/>
  </mergeCells>
  <conditionalFormatting sqref="C23">
    <cfRule type="cellIs" dxfId="47" priority="97" operator="equal">
      <formula>TRUE</formula>
    </cfRule>
    <cfRule type="cellIs" dxfId="46" priority="98" operator="equal">
      <formula>FALSE</formula>
    </cfRule>
  </conditionalFormatting>
  <conditionalFormatting sqref="C160">
    <cfRule type="cellIs" dxfId="45" priority="17" operator="equal">
      <formula>TRUE</formula>
    </cfRule>
    <cfRule type="cellIs" dxfId="44" priority="18" operator="equal">
      <formula>FALSE</formula>
    </cfRule>
  </conditionalFormatting>
  <conditionalFormatting sqref="E63:F63">
    <cfRule type="cellIs" dxfId="43" priority="87" operator="equal">
      <formula>TRUE</formula>
    </cfRule>
    <cfRule type="cellIs" dxfId="42" priority="88" operator="equal">
      <formula>FALSE</formula>
    </cfRule>
  </conditionalFormatting>
  <conditionalFormatting sqref="F21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F111">
    <cfRule type="cellIs" dxfId="39" priority="85" operator="equal">
      <formula>TRUE</formula>
    </cfRule>
    <cfRule type="cellIs" dxfId="38" priority="86" operator="equal">
      <formula>FALSE</formula>
    </cfRule>
  </conditionalFormatting>
  <conditionalFormatting sqref="F137">
    <cfRule type="cellIs" dxfId="37" priority="83" operator="equal">
      <formula>TRUE</formula>
    </cfRule>
    <cfRule type="cellIs" dxfId="36" priority="84" operator="equal">
      <formula>FALSE</formula>
    </cfRule>
  </conditionalFormatting>
  <conditionalFormatting sqref="F158">
    <cfRule type="cellIs" dxfId="35" priority="15" operator="equal">
      <formula>TRUE</formula>
    </cfRule>
    <cfRule type="cellIs" dxfId="34" priority="16" operator="equal">
      <formula>FALSE</formula>
    </cfRule>
  </conditionalFormatting>
  <conditionalFormatting sqref="H21">
    <cfRule type="cellIs" dxfId="33" priority="93" operator="equal">
      <formula>TRUE</formula>
    </cfRule>
    <cfRule type="cellIs" dxfId="32" priority="94" operator="equal">
      <formula>FALSE</formula>
    </cfRule>
  </conditionalFormatting>
  <conditionalFormatting sqref="H158">
    <cfRule type="cellIs" dxfId="31" priority="13" operator="equal">
      <formula>TRUE</formula>
    </cfRule>
    <cfRule type="cellIs" dxfId="30" priority="14" operator="equal">
      <formula>FALSE</formula>
    </cfRule>
  </conditionalFormatting>
  <conditionalFormatting sqref="H63 C65">
    <cfRule type="cellIs" dxfId="29" priority="89" operator="equal">
      <formula>TRUE</formula>
    </cfRule>
    <cfRule type="cellIs" dxfId="28" priority="90" operator="equal">
      <formula>FALSE</formula>
    </cfRule>
  </conditionalFormatting>
  <conditionalFormatting sqref="F42 I42 C44">
    <cfRule type="cellIs" dxfId="27" priority="99" operator="equal">
      <formula>TRUE</formula>
    </cfRule>
    <cfRule type="cellIs" dxfId="26" priority="100" operator="equal">
      <formula>FALSE</formula>
    </cfRule>
  </conditionalFormatting>
  <conditionalFormatting sqref="E87:F87">
    <cfRule type="cellIs" dxfId="25" priority="3" operator="equal">
      <formula>TRUE</formula>
    </cfRule>
    <cfRule type="cellIs" dxfId="24" priority="4" operator="equal">
      <formula>FALSE</formula>
    </cfRule>
  </conditionalFormatting>
  <conditionalFormatting sqref="H87 C89">
    <cfRule type="cellIs" dxfId="23" priority="5" operator="equal">
      <formula>TRUE</formula>
    </cfRule>
    <cfRule type="cellIs" dxfId="22" priority="6" operator="equal">
      <formula>FALSE</formula>
    </cfRule>
  </conditionalFormatting>
  <conditionalFormatting sqref="B12">
    <cfRule type="cellIs" dxfId="21" priority="2" operator="equal">
      <formula>"مغلق"</formula>
    </cfRule>
    <cfRule type="cellIs" dxfId="20" priority="1" operator="equal">
      <formula>"مفعل"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701040</xdr:colOff>
                    <xdr:row>10</xdr:row>
                    <xdr:rowOff>7620</xdr:rowOff>
                  </from>
                  <to>
                    <xdr:col>10</xdr:col>
                    <xdr:colOff>449580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7620</xdr:colOff>
                    <xdr:row>10</xdr:row>
                    <xdr:rowOff>22860</xdr:rowOff>
                  </from>
                  <to>
                    <xdr:col>4</xdr:col>
                    <xdr:colOff>685800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822960</xdr:colOff>
                    <xdr:row>10</xdr:row>
                    <xdr:rowOff>22860</xdr:rowOff>
                  </from>
                  <to>
                    <xdr:col>7</xdr:col>
                    <xdr:colOff>510540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11</xdr:col>
                    <xdr:colOff>30480</xdr:colOff>
                    <xdr:row>10</xdr:row>
                    <xdr:rowOff>0</xdr:rowOff>
                  </from>
                  <to>
                    <xdr:col>14</xdr:col>
                    <xdr:colOff>60960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toggleCalculations">
                <anchor moveWithCells="1" sizeWithCells="1">
                  <from>
                    <xdr:col>14</xdr:col>
                    <xdr:colOff>228600</xdr:colOff>
                    <xdr:row>9</xdr:row>
                    <xdr:rowOff>167640</xdr:rowOff>
                  </from>
                  <to>
                    <xdr:col>17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alc">
                <anchor moveWithCells="1" sizeWithCells="1">
                  <from>
                    <xdr:col>17</xdr:col>
                    <xdr:colOff>1066800</xdr:colOff>
                    <xdr:row>9</xdr:row>
                    <xdr:rowOff>167640</xdr:rowOff>
                  </from>
                  <to>
                    <xdr:col>18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7"/>
  <sheetViews>
    <sheetView topLeftCell="B1" zoomScale="70" zoomScaleNormal="70" workbookViewId="0">
      <pane ySplit="12" topLeftCell="A55" activePane="bottomLeft" state="frozen"/>
      <selection activeCell="B1" sqref="B1"/>
      <selection pane="bottomLeft" activeCell="B12" sqref="B12"/>
    </sheetView>
  </sheetViews>
  <sheetFormatPr defaultRowHeight="14.4" x14ac:dyDescent="0.3"/>
  <cols>
    <col min="1" max="1" width="7.77734375" style="32" hidden="1" customWidth="1"/>
    <col min="2" max="2" width="20.55468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11.6640625" style="3" customWidth="1"/>
    <col min="10" max="10" width="13.77734375" style="3" customWidth="1"/>
    <col min="11" max="11" width="9.5546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85" customFormat="1" x14ac:dyDescent="0.3">
      <c r="A1" s="85">
        <v>40</v>
      </c>
      <c r="B1" s="85">
        <v>2</v>
      </c>
    </row>
    <row r="2" spans="1:23" s="85" customFormat="1" ht="31.2" customHeight="1" x14ac:dyDescent="0.3">
      <c r="A2" s="85">
        <v>91</v>
      </c>
      <c r="B2" s="85" t="s">
        <v>81</v>
      </c>
      <c r="C2" s="139" t="s">
        <v>54</v>
      </c>
      <c r="D2" s="139"/>
      <c r="E2" s="139"/>
      <c r="F2" s="139"/>
      <c r="G2" s="139"/>
      <c r="H2" s="139"/>
      <c r="I2" s="139"/>
      <c r="J2" s="139"/>
      <c r="K2" s="139"/>
    </row>
    <row r="3" spans="1:23" s="85" customFormat="1" x14ac:dyDescent="0.3">
      <c r="B3" s="85" t="s">
        <v>106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R3" s="86"/>
      <c r="S3" s="86"/>
      <c r="T3" s="86"/>
      <c r="U3" s="86"/>
      <c r="V3" s="86"/>
      <c r="W3" s="86"/>
    </row>
    <row r="4" spans="1:23" s="85" customFormat="1" ht="21" x14ac:dyDescent="0.4">
      <c r="C4" s="128" t="s">
        <v>131</v>
      </c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30"/>
      <c r="R4" s="86"/>
      <c r="S4" s="86"/>
      <c r="T4" s="86"/>
      <c r="U4" s="86"/>
      <c r="V4" s="86"/>
      <c r="W4" s="86"/>
    </row>
    <row r="5" spans="1:23" s="85" customFormat="1" x14ac:dyDescent="0.3">
      <c r="C5" s="83" cm="1">
        <f t="array" ref="C5:O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 دلف</v>
      </c>
      <c r="L5" s="83" t="str">
        <v>HPL</v>
      </c>
      <c r="M5" s="83" t="str">
        <v>CPL</v>
      </c>
      <c r="N5" s="83" t="str">
        <v>ظهر</v>
      </c>
      <c r="O5" s="91">
        <v>0</v>
      </c>
    </row>
    <row r="6" spans="1:23" s="85" customFormat="1" x14ac:dyDescent="0.3"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>
        <v>2</v>
      </c>
      <c r="O6" s="91" t="str">
        <v>الرقم</v>
      </c>
    </row>
    <row r="7" spans="1:23" s="85" customFormat="1" ht="21" x14ac:dyDescent="0.4">
      <c r="C7" s="128" t="s">
        <v>117</v>
      </c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30"/>
    </row>
    <row r="8" spans="1:23" s="85" customFormat="1" x14ac:dyDescent="0.3"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O8" s="91"/>
    </row>
    <row r="9" spans="1:23" s="85" customFormat="1" x14ac:dyDescent="0.3"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O9" s="91"/>
    </row>
    <row r="10" spans="1:23" s="85" customFormat="1" ht="18" x14ac:dyDescent="0.3">
      <c r="C10" s="87"/>
      <c r="D10" s="87"/>
      <c r="E10" s="86"/>
      <c r="F10" s="86"/>
      <c r="G10" s="86"/>
      <c r="H10" s="86"/>
      <c r="I10" s="86"/>
      <c r="J10" s="86"/>
      <c r="K10" s="87"/>
      <c r="L10" s="87"/>
      <c r="M10" s="87"/>
      <c r="N10" s="87"/>
    </row>
    <row r="11" spans="1:23" s="85" customFormat="1" ht="18" x14ac:dyDescent="0.3">
      <c r="B11" s="102" t="s">
        <v>139</v>
      </c>
      <c r="C11" s="87"/>
      <c r="D11" s="87"/>
      <c r="E11" s="86"/>
      <c r="F11" s="86"/>
      <c r="G11" s="86"/>
      <c r="H11" s="86"/>
      <c r="I11" s="86"/>
      <c r="J11" s="86"/>
      <c r="K11" s="87"/>
      <c r="L11" s="87"/>
      <c r="M11" s="87"/>
      <c r="N11" s="87"/>
    </row>
    <row r="12" spans="1:23" s="88" customFormat="1" ht="18" x14ac:dyDescent="0.3">
      <c r="A12" s="85"/>
      <c r="B12" s="101" t="s">
        <v>138</v>
      </c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</row>
    <row r="13" spans="1:23" customFormat="1" x14ac:dyDescent="0.3">
      <c r="A13" s="74"/>
    </row>
    <row r="14" spans="1:23" customFormat="1" x14ac:dyDescent="0.3">
      <c r="A14" s="32"/>
    </row>
    <row r="17" spans="1:11" s="4" customFormat="1" ht="31.2" x14ac:dyDescent="0.3">
      <c r="A17" s="32" t="s">
        <v>88</v>
      </c>
      <c r="B17" s="3"/>
      <c r="C17" s="12">
        <v>1</v>
      </c>
      <c r="D17" s="20" t="s">
        <v>51</v>
      </c>
      <c r="E17" s="143" t="s">
        <v>55</v>
      </c>
      <c r="F17" s="143"/>
      <c r="G17" s="143"/>
      <c r="H17" s="143"/>
      <c r="I17" s="2" t="s">
        <v>26</v>
      </c>
      <c r="J17" s="2">
        <f>letterToNumber(A17)</f>
        <v>1</v>
      </c>
      <c r="K17" s="7">
        <f ca="1">_xlfn.SHEET("دواليب")</f>
        <v>6</v>
      </c>
    </row>
    <row r="18" spans="1:11" ht="21" x14ac:dyDescent="0.3">
      <c r="A18" s="32">
        <v>1</v>
      </c>
      <c r="C18" s="7"/>
      <c r="D18" s="8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</row>
    <row r="19" spans="1:11" ht="31.2" x14ac:dyDescent="0.3">
      <c r="A19" s="32">
        <v>1</v>
      </c>
      <c r="C19" s="16"/>
      <c r="D19" s="16"/>
      <c r="E19" s="16" t="s">
        <v>16</v>
      </c>
      <c r="F19" s="7" t="s">
        <v>47</v>
      </c>
      <c r="G19" s="7" t="s">
        <v>14</v>
      </c>
      <c r="H19" s="7" t="s">
        <v>19</v>
      </c>
      <c r="I19" s="7" t="s">
        <v>3</v>
      </c>
      <c r="J19" s="7" t="s">
        <v>2</v>
      </c>
      <c r="K19" s="7"/>
    </row>
    <row r="20" spans="1:11" ht="15.6" x14ac:dyDescent="0.3">
      <c r="A20" s="32">
        <v>1</v>
      </c>
      <c r="C20" s="16"/>
      <c r="D20" s="16"/>
      <c r="E20" s="8">
        <v>2</v>
      </c>
      <c r="F20" s="8">
        <v>1</v>
      </c>
      <c r="G20" s="8">
        <v>3.5</v>
      </c>
      <c r="H20" s="8"/>
      <c r="I20" s="8">
        <v>210</v>
      </c>
      <c r="J20" s="8">
        <v>56</v>
      </c>
      <c r="K20" s="7"/>
    </row>
    <row r="21" spans="1:11" ht="15.6" x14ac:dyDescent="0.3">
      <c r="A21" s="32">
        <v>1</v>
      </c>
      <c r="C21" s="8"/>
      <c r="D21" s="8"/>
      <c r="E21" s="8"/>
      <c r="F21" s="8"/>
      <c r="G21" s="7" t="s">
        <v>48</v>
      </c>
      <c r="H21" s="7" t="s">
        <v>49</v>
      </c>
      <c r="I21" s="8"/>
      <c r="J21" s="8"/>
      <c r="K21" s="7"/>
    </row>
    <row r="22" spans="1:11" ht="25.8" customHeight="1" x14ac:dyDescent="0.3">
      <c r="A22" s="32">
        <v>1</v>
      </c>
      <c r="C22" s="8"/>
      <c r="D22" s="8"/>
      <c r="E22" s="8"/>
      <c r="F22" s="8"/>
      <c r="G22" s="8">
        <v>1</v>
      </c>
      <c r="H22" s="8">
        <v>1</v>
      </c>
      <c r="I22" s="8">
        <v>140</v>
      </c>
      <c r="J22" s="8" t="s">
        <v>59</v>
      </c>
      <c r="K22" s="7"/>
    </row>
    <row r="23" spans="1:11" ht="15.6" x14ac:dyDescent="0.3">
      <c r="A23" s="32">
        <v>1</v>
      </c>
      <c r="C23" s="9" t="b">
        <f>G22=0</f>
        <v>0</v>
      </c>
      <c r="D23" s="9" t="b">
        <f>H22=0</f>
        <v>0</v>
      </c>
      <c r="E23" s="8"/>
      <c r="F23" s="38"/>
      <c r="G23" s="8">
        <v>1</v>
      </c>
      <c r="H23" s="8">
        <v>1</v>
      </c>
      <c r="I23" s="8">
        <v>70</v>
      </c>
      <c r="J23" s="8" t="s">
        <v>60</v>
      </c>
      <c r="K23" s="7"/>
    </row>
    <row r="24" spans="1:11" ht="15.6" x14ac:dyDescent="0.3">
      <c r="A24" s="32">
        <v>1</v>
      </c>
      <c r="C24" s="133">
        <f>G22+H22</f>
        <v>2</v>
      </c>
      <c r="D24" s="133"/>
      <c r="E24" s="8"/>
      <c r="F24" s="38"/>
      <c r="G24" s="38"/>
      <c r="H24" s="38"/>
      <c r="I24" s="8">
        <f>SUM(I22:I23)</f>
        <v>210</v>
      </c>
      <c r="J24" s="137" t="str">
        <f>IF(I25,"مقاس الدلف صحيح","مقاس الدلف غير صحيح")</f>
        <v>مقاس الدلف صحيح</v>
      </c>
      <c r="K24" s="7"/>
    </row>
    <row r="25" spans="1:11" ht="15.6" x14ac:dyDescent="0.3">
      <c r="A25" s="32">
        <v>1</v>
      </c>
      <c r="B25" s="1"/>
      <c r="C25" s="134" t="b">
        <f>C24&lt;=2</f>
        <v>1</v>
      </c>
      <c r="D25" s="134"/>
      <c r="E25" s="8"/>
      <c r="F25" s="8"/>
      <c r="G25" s="8"/>
      <c r="H25" s="8"/>
      <c r="I25" s="6" t="b">
        <f>I24=I20</f>
        <v>1</v>
      </c>
      <c r="J25" s="137"/>
      <c r="K25" s="7"/>
    </row>
    <row r="26" spans="1:11" x14ac:dyDescent="0.3">
      <c r="A26" s="32">
        <v>0</v>
      </c>
      <c r="B26"/>
      <c r="C26"/>
      <c r="D26"/>
      <c r="E26"/>
      <c r="F26"/>
      <c r="G26"/>
      <c r="H26"/>
      <c r="I26"/>
      <c r="J26"/>
      <c r="K26"/>
    </row>
    <row r="27" spans="1:11" x14ac:dyDescent="0.3">
      <c r="A27" s="32">
        <v>2</v>
      </c>
      <c r="C27" s="6" t="s">
        <v>4</v>
      </c>
      <c r="D27" s="6" t="s">
        <v>9</v>
      </c>
      <c r="E27" s="6" t="s">
        <v>5</v>
      </c>
      <c r="F27" s="6" t="s">
        <v>7</v>
      </c>
      <c r="G27" s="6" t="s">
        <v>1</v>
      </c>
      <c r="H27" s="6" t="s">
        <v>6</v>
      </c>
      <c r="I27" s="6" t="s">
        <v>29</v>
      </c>
      <c r="J27" s="6" t="s">
        <v>129</v>
      </c>
      <c r="K27" s="6" t="s">
        <v>113</v>
      </c>
    </row>
    <row r="28" spans="1:11" x14ac:dyDescent="0.3">
      <c r="A28" s="32">
        <v>0</v>
      </c>
      <c r="B28"/>
      <c r="C28"/>
      <c r="D28"/>
      <c r="E28"/>
      <c r="F28"/>
      <c r="G28"/>
      <c r="H28"/>
      <c r="I28"/>
      <c r="J28"/>
      <c r="K28"/>
    </row>
    <row r="29" spans="1:11" ht="15.6" customHeight="1" x14ac:dyDescent="0.3">
      <c r="A29" s="32">
        <v>3</v>
      </c>
      <c r="B29" s="3" t="str">
        <f>visible(E17, K29)</f>
        <v xml:space="preserve">دواليب دلفة /دلفتين </v>
      </c>
      <c r="C29" s="6">
        <f>visible(1,K29)</f>
        <v>1</v>
      </c>
      <c r="D29" s="6" t="str">
        <f ca="1">visible(I18, K29)</f>
        <v>HPL</v>
      </c>
      <c r="E29" s="6" t="str">
        <f>visible("قرصة", K29)</f>
        <v>قرصة</v>
      </c>
      <c r="F29" s="6">
        <f>visible(H20-3.6, K29)</f>
        <v>-3.6</v>
      </c>
      <c r="G29" s="6">
        <f>visible(J20, K29)</f>
        <v>56</v>
      </c>
      <c r="H29" s="6">
        <f>visible(1*C17, K29)</f>
        <v>1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</row>
    <row r="30" spans="1:11" ht="15.6" customHeight="1" x14ac:dyDescent="0.3">
      <c r="A30" s="32">
        <v>3</v>
      </c>
      <c r="B30" s="3" t="str">
        <f>visible(E17, K30)</f>
        <v xml:space="preserve">دواليب دلفة /دلفتين </v>
      </c>
      <c r="C30" s="6">
        <f>visible(2,K30)</f>
        <v>2</v>
      </c>
      <c r="D30" s="6" t="str">
        <f ca="1">visible(I18, K30)</f>
        <v>HPL</v>
      </c>
      <c r="E30" s="6" t="str">
        <f>visible("قاعدة", K30)</f>
        <v>قاعدة</v>
      </c>
      <c r="F30" s="6">
        <f>visible(H20-3.6, K30)</f>
        <v>-3.6</v>
      </c>
      <c r="G30" s="6">
        <f>visible(J20, K30)</f>
        <v>56</v>
      </c>
      <c r="H30" s="6">
        <f>visible(1*C17,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</row>
    <row r="31" spans="1:11" ht="15.6" customHeight="1" x14ac:dyDescent="0.3">
      <c r="A31" s="32">
        <v>3</v>
      </c>
      <c r="B31" s="3" t="str">
        <f>visible(E17, K31)</f>
        <v xml:space="preserve">دواليب دلفة /دلفتين </v>
      </c>
      <c r="C31" s="6">
        <f>visible(3,K31)</f>
        <v>3</v>
      </c>
      <c r="D31" s="6" t="str">
        <f ca="1">visible(I18, K31)</f>
        <v>HPL</v>
      </c>
      <c r="E31" s="6" t="str">
        <f>visible("قاطوع", K31)</f>
        <v>قاطوع</v>
      </c>
      <c r="F31" s="6">
        <f>visible(H20-3.6, K31)</f>
        <v>-3.6</v>
      </c>
      <c r="G31" s="6">
        <f>visible(J20-2.5, K31)</f>
        <v>53.5</v>
      </c>
      <c r="H31" s="6">
        <f>visible(1*C17*F20, K31)</f>
        <v>1</v>
      </c>
      <c r="I31" s="6">
        <f ca="1">visible(materialNum(D31), K31)</f>
        <v>2</v>
      </c>
      <c r="J31" s="6">
        <f ca="1">visible(engraving(I31), K31)</f>
        <v>2</v>
      </c>
      <c r="K31" s="6" t="b">
        <v>1</v>
      </c>
    </row>
    <row r="32" spans="1:11" ht="15.6" customHeight="1" x14ac:dyDescent="0.3">
      <c r="A32" s="32">
        <v>3</v>
      </c>
      <c r="B32" s="3" t="str">
        <f>visible(E17, K32)</f>
        <v xml:space="preserve">دواليب دلفة /دلفتين </v>
      </c>
      <c r="C32" s="6">
        <f>visible(4,K32)</f>
        <v>4</v>
      </c>
      <c r="D32" s="6" t="str">
        <f ca="1">visible(I18, K32)</f>
        <v>HPL</v>
      </c>
      <c r="E32" s="6" t="str">
        <f>visible("أجناب", K32)</f>
        <v>أجناب</v>
      </c>
      <c r="F32" s="6">
        <f>visible(I20, K32)</f>
        <v>210</v>
      </c>
      <c r="G32" s="6">
        <f>visible(J20, K32)</f>
        <v>56</v>
      </c>
      <c r="H32" s="6">
        <f>visible(2*C17, K32)</f>
        <v>2</v>
      </c>
      <c r="I32" s="6">
        <f ca="1">visible(materialNum(D32), K32)</f>
        <v>2</v>
      </c>
      <c r="J32" s="6">
        <f ca="1">visible(engraving(I32), K32)</f>
        <v>2</v>
      </c>
      <c r="K32" s="6" t="b">
        <v>1</v>
      </c>
    </row>
    <row r="33" spans="1:13" x14ac:dyDescent="0.3">
      <c r="A33" s="32">
        <v>3</v>
      </c>
      <c r="B33" s="3" t="str">
        <f>visible(E17, K33)</f>
        <v xml:space="preserve">دواليب دلفة /دلفتين </v>
      </c>
      <c r="C33" s="6">
        <f>visible(5,K33)</f>
        <v>5</v>
      </c>
      <c r="D33" s="6" t="str">
        <f ca="1">visible(I18, K33)</f>
        <v>HPL</v>
      </c>
      <c r="E33" s="6" t="str">
        <f>visible("رف", K33)</f>
        <v>رف</v>
      </c>
      <c r="F33" s="6">
        <f>visible(H20-3.8, K33)</f>
        <v>-3.8</v>
      </c>
      <c r="G33" s="6">
        <f>visible(J20-5, K33)</f>
        <v>51</v>
      </c>
      <c r="H33" s="6">
        <f>visible(E20*C17, K33)</f>
        <v>2</v>
      </c>
      <c r="I33" s="6">
        <f ca="1">visible(materialNum(D33), K33)</f>
        <v>2</v>
      </c>
      <c r="J33" s="6">
        <f ca="1">visible(engraving(I33), K33)</f>
        <v>2</v>
      </c>
      <c r="K33" s="6" t="b">
        <v>1</v>
      </c>
    </row>
    <row r="34" spans="1:13" x14ac:dyDescent="0.3">
      <c r="A34" s="32">
        <v>0</v>
      </c>
      <c r="B34"/>
      <c r="C34"/>
      <c r="D34"/>
      <c r="E34"/>
      <c r="F34"/>
      <c r="G34"/>
      <c r="H34"/>
      <c r="I34"/>
      <c r="J34"/>
      <c r="K34"/>
      <c r="M34" s="3" t="str">
        <f>IF(K174=0, "",F60)</f>
        <v/>
      </c>
    </row>
    <row r="35" spans="1:13" x14ac:dyDescent="0.3">
      <c r="A35" s="32">
        <v>4</v>
      </c>
      <c r="B35" s="3" t="str">
        <f>visible(E17, K35)</f>
        <v xml:space="preserve">دواليب دلفة /دلفتين </v>
      </c>
      <c r="C35" s="9">
        <f>visible(6,K35)</f>
        <v>6</v>
      </c>
      <c r="D35" s="9" t="str">
        <f ca="1">visible(G18, K35)</f>
        <v>يوفيلاك</v>
      </c>
      <c r="E35" s="9" t="str">
        <f>visible("دلف دولاب سفلية", K35)</f>
        <v>دلف دولاب سفلية</v>
      </c>
      <c r="F35" s="9">
        <f>visible(I22-0.5-G20, K35)</f>
        <v>136</v>
      </c>
      <c r="G35" s="9">
        <f>visible((H20/C24)-0.5, K35)</f>
        <v>-0.5</v>
      </c>
      <c r="H35" s="9">
        <f>visible(G22*C17, K35)</f>
        <v>1</v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</row>
    <row r="36" spans="1:13" x14ac:dyDescent="0.3">
      <c r="A36" s="32">
        <v>4</v>
      </c>
      <c r="B36" s="3" t="str">
        <f>visible(E17, K36)</f>
        <v xml:space="preserve">دواليب دلفة /دلفتين </v>
      </c>
      <c r="C36" s="9">
        <f>visible(7,K36)</f>
        <v>7</v>
      </c>
      <c r="D36" s="9" t="str">
        <f ca="1">visible(G18, K36)</f>
        <v>يوفيلاك</v>
      </c>
      <c r="E36" s="9" t="str">
        <f>visible("دلف دولاب علوية", K36)</f>
        <v>دلف دولاب علوية</v>
      </c>
      <c r="F36" s="9">
        <f>visible(I23-0.5-G20, K36)</f>
        <v>66</v>
      </c>
      <c r="G36" s="9">
        <f>visible((H20/C24)-0.5, K36)</f>
        <v>-0.5</v>
      </c>
      <c r="H36" s="9">
        <f>visible(G23*C17, K36)</f>
        <v>1</v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</row>
    <row r="37" spans="1:13" x14ac:dyDescent="0.3">
      <c r="A37" s="32">
        <v>0</v>
      </c>
      <c r="B37"/>
      <c r="C37"/>
      <c r="D37"/>
      <c r="E37"/>
      <c r="F37"/>
      <c r="G37"/>
      <c r="H37"/>
      <c r="I37"/>
      <c r="J37"/>
      <c r="K37"/>
    </row>
    <row r="38" spans="1:13" x14ac:dyDescent="0.3">
      <c r="A38" s="32">
        <v>4</v>
      </c>
      <c r="B38" s="3" t="str">
        <f>visible(E17, K38)</f>
        <v xml:space="preserve">دواليب دلفة /دلفتين </v>
      </c>
      <c r="C38" s="9">
        <f>visible(8,K38)</f>
        <v>8</v>
      </c>
      <c r="D38" s="9" t="str">
        <f>visible("دلفة زجاج", K38)</f>
        <v>دلفة زجاج</v>
      </c>
      <c r="E38" s="9" t="str">
        <f>visible("دلفة  زجاج سفلية", K38)</f>
        <v>دلفة  زجاج سفلية</v>
      </c>
      <c r="F38" s="9">
        <f>visible(I22-0.5, K38)</f>
        <v>139.5</v>
      </c>
      <c r="G38" s="9">
        <f>visible((H20/C24)-0.5, K38)</f>
        <v>-0.5</v>
      </c>
      <c r="H38" s="9">
        <f>visible(H22*C17, K38)</f>
        <v>1</v>
      </c>
      <c r="I38" s="9">
        <f>visible(materialNum(D38), K38)</f>
        <v>-1</v>
      </c>
      <c r="J38" s="9">
        <f>visible(engraving(I38), K38)</f>
        <v>0</v>
      </c>
      <c r="K38" s="9" t="b">
        <v>1</v>
      </c>
    </row>
    <row r="39" spans="1:13" x14ac:dyDescent="0.3">
      <c r="A39" s="32">
        <v>4</v>
      </c>
      <c r="B39" s="3" t="str">
        <f>visible(E17, K39)</f>
        <v xml:space="preserve">دواليب دلفة /دلفتين </v>
      </c>
      <c r="C39" s="9">
        <f>visible(9,K39)</f>
        <v>9</v>
      </c>
      <c r="D39" s="9" t="str">
        <f>visible("دلفة زجاج", K39)</f>
        <v>دلفة زجاج</v>
      </c>
      <c r="E39" s="9" t="str">
        <f>visible("دلفة  زجاج علوية", K39)</f>
        <v>دلفة  زجاج علوية</v>
      </c>
      <c r="F39" s="9">
        <f>visible(I23-0.5, K39)</f>
        <v>69.5</v>
      </c>
      <c r="G39" s="9">
        <f>visible((H20/C24)-0.5, K39)</f>
        <v>-0.5</v>
      </c>
      <c r="H39" s="9">
        <f>visible(H23*C17, K39)</f>
        <v>1</v>
      </c>
      <c r="I39" s="9">
        <f>visible(materialNum(D39), K39)</f>
        <v>-1</v>
      </c>
      <c r="J39" s="9">
        <f>visible(engraving(I39), K39)</f>
        <v>0</v>
      </c>
      <c r="K39" s="9" t="b">
        <v>1</v>
      </c>
    </row>
    <row r="40" spans="1:13" x14ac:dyDescent="0.3">
      <c r="A40" s="32">
        <v>0</v>
      </c>
      <c r="B40"/>
      <c r="C40"/>
      <c r="D40"/>
      <c r="E40"/>
      <c r="F40"/>
      <c r="G40"/>
      <c r="H40"/>
      <c r="I40"/>
      <c r="J40"/>
      <c r="K40"/>
    </row>
    <row r="41" spans="1:13" x14ac:dyDescent="0.3">
      <c r="A41" s="32">
        <v>5</v>
      </c>
      <c r="B41" s="3" t="str">
        <f>visible(E17, K41)</f>
        <v xml:space="preserve">دواليب دلفة /دلفتين </v>
      </c>
      <c r="C41" s="17">
        <f>visible(10,K41)</f>
        <v>10</v>
      </c>
      <c r="D41" s="17" t="str">
        <f ca="1">visible(E18, K41)</f>
        <v>ظهر</v>
      </c>
      <c r="E41" s="17" t="str">
        <f>visible("ظهر", K41)</f>
        <v>ظهر</v>
      </c>
      <c r="F41" s="17">
        <f>visible(I20-2, K41)</f>
        <v>208</v>
      </c>
      <c r="G41" s="17">
        <f>visible(H20-2, K41)</f>
        <v>-2</v>
      </c>
      <c r="H41" s="17">
        <f>visible(1*C17, K41)</f>
        <v>1</v>
      </c>
      <c r="I41" s="17">
        <f ca="1">visible(materialNum(D41), K41)</f>
        <v>2</v>
      </c>
      <c r="J41" s="17">
        <f ca="1">visible(engraving(I41), K41)</f>
        <v>2</v>
      </c>
      <c r="K41" s="17" t="b">
        <v>1</v>
      </c>
    </row>
    <row r="42" spans="1:13" x14ac:dyDescent="0.3">
      <c r="A42" s="32">
        <v>255</v>
      </c>
    </row>
    <row r="43" spans="1:13" x14ac:dyDescent="0.3">
      <c r="A43" s="32">
        <v>255</v>
      </c>
      <c r="K43" s="1"/>
      <c r="L43" s="1"/>
      <c r="M43" s="1"/>
    </row>
    <row r="44" spans="1:13" ht="31.2" x14ac:dyDescent="0.3">
      <c r="A44" s="32" t="s">
        <v>93</v>
      </c>
      <c r="C44" s="12">
        <v>1</v>
      </c>
      <c r="D44" s="20" t="s">
        <v>51</v>
      </c>
      <c r="E44" s="143" t="s">
        <v>61</v>
      </c>
      <c r="F44" s="143"/>
      <c r="G44" s="143"/>
      <c r="H44" s="143"/>
      <c r="I44" s="2" t="s">
        <v>26</v>
      </c>
      <c r="J44" s="2">
        <f>letterToNumber(A44)</f>
        <v>2</v>
      </c>
      <c r="K44" s="7">
        <f ca="1">_xlfn.SHEET("دواليب")</f>
        <v>6</v>
      </c>
      <c r="L44" s="1"/>
      <c r="M44" s="1"/>
    </row>
    <row r="45" spans="1:13" ht="21" x14ac:dyDescent="0.3">
      <c r="A45" s="32">
        <v>1</v>
      </c>
      <c r="C45" s="7"/>
      <c r="D45" s="8"/>
      <c r="E45" s="25" t="str" cm="1">
        <f t="array" aca="1" ref="E45" ca="1">defaultValue(F45,K44)</f>
        <v>ظهر</v>
      </c>
      <c r="F45" s="7" t="s">
        <v>50</v>
      </c>
      <c r="G45" s="25" t="str" cm="1">
        <f t="array" aca="1" ref="G45" ca="1">defaultValue(H45,K44)</f>
        <v>يوفيلاك</v>
      </c>
      <c r="H45" s="7" t="s">
        <v>28</v>
      </c>
      <c r="I45" s="25" t="str" cm="1">
        <f t="array" aca="1" ref="I45" ca="1">defaultValue(J45,K44)</f>
        <v>HPL</v>
      </c>
      <c r="J45" s="7" t="s">
        <v>27</v>
      </c>
      <c r="K45" s="23" t="s">
        <v>75</v>
      </c>
      <c r="L45" s="1"/>
      <c r="M45" s="1"/>
    </row>
    <row r="46" spans="1:13" ht="31.2" x14ac:dyDescent="0.3">
      <c r="A46" s="32">
        <v>1</v>
      </c>
      <c r="C46" s="16"/>
      <c r="D46" s="14" t="s">
        <v>17</v>
      </c>
      <c r="E46" s="16" t="s">
        <v>16</v>
      </c>
      <c r="F46" s="7" t="s">
        <v>47</v>
      </c>
      <c r="G46" s="7" t="s">
        <v>14</v>
      </c>
      <c r="H46" s="7" t="s">
        <v>19</v>
      </c>
      <c r="I46" s="7" t="s">
        <v>3</v>
      </c>
      <c r="J46" s="7" t="s">
        <v>2</v>
      </c>
      <c r="K46" s="7"/>
      <c r="L46" s="1"/>
      <c r="M46" s="1"/>
    </row>
    <row r="47" spans="1:13" ht="15.6" x14ac:dyDescent="0.3">
      <c r="A47" s="32">
        <v>1</v>
      </c>
      <c r="C47" s="16"/>
      <c r="D47" s="9">
        <v>45</v>
      </c>
      <c r="E47" s="8">
        <v>2</v>
      </c>
      <c r="F47" s="8">
        <v>1</v>
      </c>
      <c r="G47" s="8">
        <v>3.5</v>
      </c>
      <c r="H47" s="8">
        <v>60</v>
      </c>
      <c r="I47" s="8">
        <v>220</v>
      </c>
      <c r="J47" s="8">
        <v>56</v>
      </c>
      <c r="K47" s="7"/>
      <c r="L47" s="1"/>
      <c r="M47" s="1"/>
    </row>
    <row r="48" spans="1:13" ht="15.6" x14ac:dyDescent="0.3">
      <c r="A48" s="32">
        <v>1</v>
      </c>
      <c r="C48" s="8"/>
      <c r="D48" s="8"/>
      <c r="E48" s="8"/>
      <c r="F48" s="8"/>
      <c r="G48" s="7" t="s">
        <v>48</v>
      </c>
      <c r="H48" s="7" t="s">
        <v>49</v>
      </c>
      <c r="I48" s="8"/>
      <c r="J48" s="8"/>
      <c r="K48" s="7"/>
    </row>
    <row r="49" spans="1:13" ht="15.6" x14ac:dyDescent="0.3">
      <c r="A49" s="32">
        <v>1</v>
      </c>
      <c r="C49" s="8"/>
      <c r="D49" s="8"/>
      <c r="E49" s="8"/>
      <c r="F49" s="8"/>
      <c r="G49" s="7">
        <v>1</v>
      </c>
      <c r="H49" s="7"/>
      <c r="I49" s="8">
        <v>20</v>
      </c>
      <c r="J49" s="8" t="s">
        <v>62</v>
      </c>
      <c r="K49" s="7"/>
      <c r="L49" s="1"/>
      <c r="M49" s="1"/>
    </row>
    <row r="50" spans="1:13" ht="15.6" x14ac:dyDescent="0.3">
      <c r="A50" s="32">
        <v>1</v>
      </c>
      <c r="C50" s="8"/>
      <c r="D50" s="8"/>
      <c r="E50" s="8"/>
      <c r="F50" s="8"/>
      <c r="G50" s="7">
        <v>1</v>
      </c>
      <c r="H50" s="7"/>
      <c r="I50" s="8">
        <v>20</v>
      </c>
      <c r="J50" s="8" t="s">
        <v>63</v>
      </c>
      <c r="K50" s="7"/>
      <c r="L50" s="1"/>
      <c r="M50" s="1"/>
    </row>
    <row r="51" spans="1:13" ht="15.6" x14ac:dyDescent="0.3">
      <c r="A51" s="32">
        <v>1</v>
      </c>
      <c r="C51" s="8"/>
      <c r="D51" s="8"/>
      <c r="E51" s="8"/>
      <c r="F51" s="8"/>
      <c r="G51" s="7">
        <v>1</v>
      </c>
      <c r="H51" s="7"/>
      <c r="I51" s="8"/>
      <c r="J51" s="8" t="s">
        <v>64</v>
      </c>
      <c r="K51" s="7"/>
      <c r="L51" s="1"/>
      <c r="M51" s="1"/>
    </row>
    <row r="52" spans="1:13" ht="15.6" x14ac:dyDescent="0.3">
      <c r="A52" s="32">
        <v>1</v>
      </c>
      <c r="C52" s="8"/>
      <c r="D52" s="8"/>
      <c r="E52" s="8"/>
      <c r="F52" s="8"/>
      <c r="G52" s="8">
        <v>1</v>
      </c>
      <c r="H52" s="8"/>
      <c r="I52" s="8"/>
      <c r="J52" s="8" t="s">
        <v>59</v>
      </c>
      <c r="K52" s="7"/>
      <c r="L52" s="1"/>
      <c r="M52" s="1"/>
    </row>
    <row r="53" spans="1:13" ht="15.6" x14ac:dyDescent="0.3">
      <c r="A53" s="32">
        <v>1</v>
      </c>
      <c r="C53" s="8"/>
      <c r="D53" s="8"/>
      <c r="E53" s="8"/>
      <c r="F53" s="8"/>
      <c r="G53" s="8">
        <v>1</v>
      </c>
      <c r="H53" s="8"/>
      <c r="I53" s="8">
        <v>67</v>
      </c>
      <c r="J53" s="8" t="s">
        <v>65</v>
      </c>
      <c r="K53" s="7"/>
      <c r="L53" s="1"/>
      <c r="M53" s="1"/>
    </row>
    <row r="54" spans="1:13" ht="15.6" x14ac:dyDescent="0.3">
      <c r="A54" s="32">
        <v>1</v>
      </c>
      <c r="C54" s="8"/>
      <c r="D54" s="8"/>
      <c r="E54" s="8"/>
      <c r="F54" s="8"/>
      <c r="G54" s="8">
        <v>1</v>
      </c>
      <c r="H54" s="8"/>
      <c r="I54" s="8">
        <v>35</v>
      </c>
      <c r="J54" s="8" t="s">
        <v>66</v>
      </c>
      <c r="K54" s="7"/>
      <c r="L54" s="1"/>
      <c r="M54" s="1"/>
    </row>
    <row r="55" spans="1:13" ht="15.6" x14ac:dyDescent="0.3">
      <c r="A55" s="32">
        <v>1</v>
      </c>
      <c r="C55" s="8"/>
      <c r="D55" s="8"/>
      <c r="E55" s="8"/>
      <c r="F55" s="8"/>
      <c r="G55" s="8">
        <v>2</v>
      </c>
      <c r="H55" s="8"/>
      <c r="I55" s="8">
        <v>78</v>
      </c>
      <c r="J55" s="8" t="s">
        <v>67</v>
      </c>
      <c r="K55" s="7"/>
      <c r="L55" s="1"/>
      <c r="M55" s="1"/>
    </row>
    <row r="56" spans="1:13" ht="15.6" x14ac:dyDescent="0.3">
      <c r="A56" s="32">
        <v>1</v>
      </c>
      <c r="C56" s="9" t="b">
        <f>G52=0</f>
        <v>0</v>
      </c>
      <c r="D56" s="9" t="b">
        <f>H52=0</f>
        <v>1</v>
      </c>
      <c r="E56" s="8"/>
      <c r="F56" s="38"/>
      <c r="G56" s="8"/>
      <c r="H56" s="8"/>
      <c r="I56" s="8"/>
      <c r="J56" s="8" t="s">
        <v>68</v>
      </c>
      <c r="K56" s="7"/>
      <c r="L56" s="1"/>
      <c r="M56" s="1"/>
    </row>
    <row r="57" spans="1:13" ht="15.6" x14ac:dyDescent="0.3">
      <c r="A57" s="32">
        <v>1</v>
      </c>
      <c r="C57" s="133">
        <f>G52+H52</f>
        <v>1</v>
      </c>
      <c r="D57" s="133"/>
      <c r="E57" s="8"/>
      <c r="F57" s="38"/>
      <c r="G57" s="38"/>
      <c r="H57" s="38"/>
      <c r="I57" s="8">
        <f>SUM(I49:I56)</f>
        <v>220</v>
      </c>
      <c r="J57" s="137" t="str">
        <f>IF(I58,"مقاس الدلف صحيح","مقاس الدلف غير صحيح")</f>
        <v>مقاس الدلف صحيح</v>
      </c>
      <c r="K57" s="7"/>
      <c r="L57" s="1"/>
      <c r="M57" s="1"/>
    </row>
    <row r="58" spans="1:13" ht="15.6" x14ac:dyDescent="0.3">
      <c r="A58" s="32">
        <v>1</v>
      </c>
      <c r="B58" s="1"/>
      <c r="C58" s="134" t="b">
        <f>C57&lt;=2</f>
        <v>1</v>
      </c>
      <c r="D58" s="134"/>
      <c r="E58" s="8"/>
      <c r="F58" s="8"/>
      <c r="G58" s="8"/>
      <c r="H58" s="8"/>
      <c r="I58" s="6" t="b">
        <f>I57=I47</f>
        <v>1</v>
      </c>
      <c r="J58" s="137"/>
      <c r="K58" s="7"/>
      <c r="L58" s="1"/>
      <c r="M58" s="1"/>
    </row>
    <row r="59" spans="1:13" ht="15.6" customHeight="1" x14ac:dyDescent="0.3">
      <c r="A59" s="32">
        <v>0</v>
      </c>
      <c r="B59"/>
      <c r="C59"/>
      <c r="D59"/>
      <c r="E59"/>
      <c r="F59"/>
      <c r="G59"/>
      <c r="H59"/>
      <c r="I59"/>
      <c r="J59"/>
      <c r="K59"/>
      <c r="L59" s="1"/>
      <c r="M59" s="1"/>
    </row>
    <row r="60" spans="1:13" ht="15.6" customHeight="1" x14ac:dyDescent="0.3">
      <c r="A60" s="32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29</v>
      </c>
      <c r="J60" s="6" t="s">
        <v>129</v>
      </c>
      <c r="K60" s="6" t="s">
        <v>113</v>
      </c>
      <c r="L60" s="1"/>
      <c r="M60" s="1"/>
    </row>
    <row r="61" spans="1:13" ht="15.6" customHeight="1" x14ac:dyDescent="0.3">
      <c r="A61" s="32">
        <v>0</v>
      </c>
      <c r="B61"/>
      <c r="C61"/>
      <c r="D61"/>
      <c r="E61"/>
      <c r="F61"/>
      <c r="G61"/>
      <c r="H61"/>
      <c r="I61"/>
      <c r="J61"/>
      <c r="K61"/>
      <c r="L61" s="1"/>
      <c r="M61" s="1"/>
    </row>
    <row r="62" spans="1:13" ht="15.6" customHeight="1" x14ac:dyDescent="0.3">
      <c r="A62" s="32">
        <v>3</v>
      </c>
      <c r="B62" s="3" t="str">
        <f>visible(E44, K62)</f>
        <v>دواليب منوع /فرن /أدراج</v>
      </c>
      <c r="C62" s="6">
        <f>visible(1,K62)</f>
        <v>1</v>
      </c>
      <c r="D62" s="6" t="str">
        <f ca="1">visible(I45, K62)</f>
        <v>HPL</v>
      </c>
      <c r="E62" s="6" t="str">
        <f>visible("قرصة", K62)</f>
        <v>قرصة</v>
      </c>
      <c r="F62" s="6">
        <f>visible(H47-3.6, K62)</f>
        <v>56.4</v>
      </c>
      <c r="G62" s="6">
        <f>visible(J47, K62)</f>
        <v>56</v>
      </c>
      <c r="H62" s="6">
        <f>visible(1*C44, 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  <c r="L62" s="1"/>
      <c r="M62" s="1"/>
    </row>
    <row r="63" spans="1:13" x14ac:dyDescent="0.3">
      <c r="A63" s="32">
        <v>3</v>
      </c>
      <c r="B63" s="3" t="str">
        <f>visible(E44, K63)</f>
        <v>دواليب منوع /فرن /أدراج</v>
      </c>
      <c r="C63" s="6">
        <f>visible(2,K63)</f>
        <v>2</v>
      </c>
      <c r="D63" s="6" t="str">
        <f ca="1">visible(I45, K63)</f>
        <v>HPL</v>
      </c>
      <c r="E63" s="6" t="str">
        <f>visible("قاعدة", K63)</f>
        <v>قاعدة</v>
      </c>
      <c r="F63" s="6">
        <f>visible(H47-3.6, K63)</f>
        <v>56.4</v>
      </c>
      <c r="G63" s="6">
        <f>visible(J47, K63)</f>
        <v>56</v>
      </c>
      <c r="H63" s="6">
        <f>visible(1*C44, 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  <c r="L63" s="1"/>
      <c r="M63" s="1"/>
    </row>
    <row r="64" spans="1:13" x14ac:dyDescent="0.3">
      <c r="A64" s="32">
        <v>3</v>
      </c>
      <c r="B64" s="3" t="str">
        <f>visible(E44, K64)</f>
        <v>دواليب منوع /فرن /أدراج</v>
      </c>
      <c r="C64" s="6">
        <f>visible(3,K64)</f>
        <v>3</v>
      </c>
      <c r="D64" s="6" t="str">
        <f ca="1">visible(I45, K64)</f>
        <v>HPL</v>
      </c>
      <c r="E64" s="6" t="str">
        <f>visible("قاطوع", K64)</f>
        <v>قاطوع</v>
      </c>
      <c r="F64" s="6">
        <f>visible(H47-3.6, K64)</f>
        <v>56.4</v>
      </c>
      <c r="G64" s="6">
        <f>visible(J47-2.5, K64)</f>
        <v>53.5</v>
      </c>
      <c r="H64" s="6">
        <f>visible(1*C44*F47, K64)</f>
        <v>1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  <c r="L64" s="1"/>
      <c r="M64" s="1"/>
    </row>
    <row r="65" spans="1:13" ht="15.6" customHeight="1" x14ac:dyDescent="0.3">
      <c r="A65" s="32">
        <v>3</v>
      </c>
      <c r="B65" s="3" t="str">
        <f>visible(E44, K65)</f>
        <v>دواليب منوع /فرن /أدراج</v>
      </c>
      <c r="C65" s="6">
        <f>visible(4,K65)</f>
        <v>4</v>
      </c>
      <c r="D65" s="6" t="str">
        <f ca="1">visible(I45, K65)</f>
        <v>HPL</v>
      </c>
      <c r="E65" s="6" t="str">
        <f>visible("أجناب", K65)</f>
        <v>أجناب</v>
      </c>
      <c r="F65" s="6">
        <f>visible(I47, K65)</f>
        <v>220</v>
      </c>
      <c r="G65" s="6">
        <f>visible(J47, K65)</f>
        <v>56</v>
      </c>
      <c r="H65" s="6">
        <f>visible(2*C44, K65)</f>
        <v>2</v>
      </c>
      <c r="I65" s="6">
        <f ca="1">visible(materialNum(D65), K65)</f>
        <v>2</v>
      </c>
      <c r="J65" s="6">
        <f ca="1">visible(engraving(I65), K65)</f>
        <v>2</v>
      </c>
      <c r="K65" s="6" t="b">
        <v>1</v>
      </c>
      <c r="L65" s="1"/>
      <c r="M65" s="1"/>
    </row>
    <row r="66" spans="1:13" x14ac:dyDescent="0.3">
      <c r="A66" s="32">
        <v>3</v>
      </c>
      <c r="B66" s="3" t="str">
        <f>visible(E44, K66)</f>
        <v>دواليب منوع /فرن /أدراج</v>
      </c>
      <c r="C66" s="6">
        <f>visible(5,K66)</f>
        <v>5</v>
      </c>
      <c r="D66" s="6" t="str">
        <f ca="1">visible(I45, K66)</f>
        <v>HPL</v>
      </c>
      <c r="E66" s="6" t="str">
        <f>visible("رف", K66)</f>
        <v>رف</v>
      </c>
      <c r="F66" s="6">
        <f>visible(H47-3.8, K66)</f>
        <v>56.2</v>
      </c>
      <c r="G66" s="6">
        <f>visible(J47-5, K66)</f>
        <v>51</v>
      </c>
      <c r="H66" s="6">
        <f>visible(E47*C44, K66)</f>
        <v>2</v>
      </c>
      <c r="I66" s="6">
        <f ca="1">visible(materialNum(D66), K66)</f>
        <v>2</v>
      </c>
      <c r="J66" s="6">
        <f ca="1">visible(engraving(I66), K66)</f>
        <v>2</v>
      </c>
      <c r="K66" s="6" t="b">
        <v>1</v>
      </c>
      <c r="L66" s="1"/>
      <c r="M66" s="1"/>
    </row>
    <row r="67" spans="1:13" x14ac:dyDescent="0.3">
      <c r="A67" s="32">
        <v>0</v>
      </c>
      <c r="B67"/>
      <c r="C67"/>
      <c r="D67"/>
      <c r="E67"/>
      <c r="F67"/>
      <c r="G67"/>
      <c r="H67"/>
      <c r="I67"/>
      <c r="J67"/>
      <c r="K67"/>
      <c r="L67" s="1"/>
      <c r="M67" s="1"/>
    </row>
    <row r="68" spans="1:13" x14ac:dyDescent="0.3">
      <c r="A68" s="32">
        <v>3</v>
      </c>
      <c r="B68" s="3" t="str">
        <f>visible(E44, K68)</f>
        <v>دواليب منوع /فرن /أدراج</v>
      </c>
      <c r="C68" s="18">
        <f>visible(6,K68)</f>
        <v>6</v>
      </c>
      <c r="D68" s="18" t="str">
        <f ca="1">visible(I45, K68)</f>
        <v>HPL</v>
      </c>
      <c r="E68" s="18" t="str">
        <f>visible("وش درج 1 داخلى", K68)</f>
        <v>وش درج 1 داخلى</v>
      </c>
      <c r="F68" s="18">
        <f>visible((H47-3.6-3.6-2.5), K68)</f>
        <v>50.3</v>
      </c>
      <c r="G68" s="18">
        <f>visible((I49-6), K68)</f>
        <v>14</v>
      </c>
      <c r="H68" s="18">
        <f>visible(G49*C44, K68)</f>
        <v>1</v>
      </c>
      <c r="I68" s="18">
        <f t="shared" ref="I68:I76" ca="1" si="0">visible(materialNum(D68), K68)</f>
        <v>2</v>
      </c>
      <c r="J68" s="18">
        <f ca="1">visible(engraving(I68), K68)</f>
        <v>2</v>
      </c>
      <c r="K68" s="18" t="b">
        <f>G49&gt;0</f>
        <v>1</v>
      </c>
    </row>
    <row r="69" spans="1:13" x14ac:dyDescent="0.3">
      <c r="A69" s="32">
        <v>3</v>
      </c>
      <c r="B69" s="3" t="str">
        <f>visible(E44, K69)</f>
        <v>دواليب منوع /فرن /أدراج</v>
      </c>
      <c r="C69" s="18">
        <f>visible(7,K69)</f>
        <v>7</v>
      </c>
      <c r="D69" s="18" t="str">
        <f ca="1">visible(I45, K69)</f>
        <v>HPL</v>
      </c>
      <c r="E69" s="18" t="str">
        <f>visible("جنب درج 1 داخلى", K69)</f>
        <v>جنب درج 1 داخلى</v>
      </c>
      <c r="F69" s="18">
        <f>visible(D47, K69)</f>
        <v>45</v>
      </c>
      <c r="G69" s="18">
        <f>visible((I49-6), K69)</f>
        <v>14</v>
      </c>
      <c r="H69" s="18">
        <f>visible(2*G49*C44, K69)</f>
        <v>2</v>
      </c>
      <c r="I69" s="18">
        <f t="shared" ca="1" si="0"/>
        <v>2</v>
      </c>
      <c r="J69" s="18">
        <f ca="1">visible(engraving(I69), K69)</f>
        <v>2</v>
      </c>
      <c r="K69" s="18" t="b">
        <f>G49&gt;0</f>
        <v>1</v>
      </c>
    </row>
    <row r="70" spans="1:13" x14ac:dyDescent="0.3">
      <c r="A70" s="32">
        <v>3</v>
      </c>
      <c r="B70" s="3" t="str">
        <f>visible(E44, K70)</f>
        <v>دواليب منوع /فرن /أدراج</v>
      </c>
      <c r="C70" s="18">
        <f>visible(8,K70)</f>
        <v>8</v>
      </c>
      <c r="D70" s="18" t="str">
        <f ca="1">visible(I45, K70)</f>
        <v>HPL</v>
      </c>
      <c r="E70" s="18" t="str">
        <f>visible("ظهر درج 1 داخلى", K70)</f>
        <v>ظهر درج 1 داخلى</v>
      </c>
      <c r="F70" s="18">
        <f>visible((H47-3.6-3.6-2.5), K70)</f>
        <v>50.3</v>
      </c>
      <c r="G70" s="18">
        <f>visible((I49-6-3), K70)</f>
        <v>11</v>
      </c>
      <c r="H70" s="18">
        <f>visible(G49*C44, K70)</f>
        <v>1</v>
      </c>
      <c r="I70" s="18">
        <f t="shared" ca="1" si="0"/>
        <v>2</v>
      </c>
      <c r="J70" s="18">
        <f ca="1">visible(engraving(I70), K70)</f>
        <v>2</v>
      </c>
      <c r="K70" s="18" t="b">
        <f>G49&gt;0</f>
        <v>1</v>
      </c>
    </row>
    <row r="71" spans="1:13" x14ac:dyDescent="0.3">
      <c r="A71" s="32">
        <v>3</v>
      </c>
      <c r="B71" s="3" t="str">
        <f>visible(E44, K71)</f>
        <v>دواليب منوع /فرن /أدراج</v>
      </c>
      <c r="C71" s="10">
        <f>visible(9,K71)</f>
        <v>9</v>
      </c>
      <c r="D71" s="10" t="str">
        <f ca="1">visible(I45, K71)</f>
        <v>HPL</v>
      </c>
      <c r="E71" s="10" t="str">
        <f>visible("وش درج 2 داخلى", K71)</f>
        <v>وش درج 2 داخلى</v>
      </c>
      <c r="F71" s="10">
        <f>visible((H47-3.6-3.6-2.5), K71)</f>
        <v>50.3</v>
      </c>
      <c r="G71" s="10">
        <f>visible((I50-6), K71)</f>
        <v>14</v>
      </c>
      <c r="H71" s="10">
        <f>visible(G50*C44, K71)</f>
        <v>1</v>
      </c>
      <c r="I71" s="10">
        <f t="shared" ca="1" si="0"/>
        <v>2</v>
      </c>
      <c r="J71" s="10">
        <f ca="1">visible(engraving(I71), K71)</f>
        <v>2</v>
      </c>
      <c r="K71" s="10" t="b">
        <f>G50&gt;0</f>
        <v>1</v>
      </c>
    </row>
    <row r="72" spans="1:13" x14ac:dyDescent="0.3">
      <c r="A72" s="32">
        <v>3</v>
      </c>
      <c r="B72" s="3" t="str">
        <f>visible(E44, K72)</f>
        <v>دواليب منوع /فرن /أدراج</v>
      </c>
      <c r="C72" s="10">
        <f>visible(10,K72)</f>
        <v>10</v>
      </c>
      <c r="D72" s="10" t="str">
        <f ca="1">visible(I45, K72)</f>
        <v>HPL</v>
      </c>
      <c r="E72" s="10" t="str">
        <f>visible("جنب درج 2 داخلى", K72)</f>
        <v>جنب درج 2 داخلى</v>
      </c>
      <c r="F72" s="10">
        <f>visible(D47, K72)</f>
        <v>45</v>
      </c>
      <c r="G72" s="10">
        <f>visible((I50-6), K72)</f>
        <v>14</v>
      </c>
      <c r="H72" s="10">
        <f>visible(2*G50*C44, K72)</f>
        <v>2</v>
      </c>
      <c r="I72" s="10">
        <f t="shared" ca="1" si="0"/>
        <v>2</v>
      </c>
      <c r="J72" s="10">
        <f ca="1">visible(engraving(I72), K72)</f>
        <v>2</v>
      </c>
      <c r="K72" s="10" t="b">
        <f>G50&gt;0</f>
        <v>1</v>
      </c>
    </row>
    <row r="73" spans="1:13" x14ac:dyDescent="0.3">
      <c r="A73" s="32">
        <v>3</v>
      </c>
      <c r="B73" s="3" t="str">
        <f>visible(E44, K73)</f>
        <v>دواليب منوع /فرن /أدراج</v>
      </c>
      <c r="C73" s="10">
        <f>visible(11,K73)</f>
        <v>11</v>
      </c>
      <c r="D73" s="10" t="str">
        <f ca="1">visible(I45, K73)</f>
        <v>HPL</v>
      </c>
      <c r="E73" s="10" t="str">
        <f>visible("ظهر درج 2 داخلى", K73)</f>
        <v>ظهر درج 2 داخلى</v>
      </c>
      <c r="F73" s="10">
        <f>visible((H47-3.6-3.6-2.5), K73)</f>
        <v>50.3</v>
      </c>
      <c r="G73" s="10">
        <f>visible((I50-6-3), K73)</f>
        <v>11</v>
      </c>
      <c r="H73" s="10">
        <f>visible(G50*C44, K73)</f>
        <v>1</v>
      </c>
      <c r="I73" s="10">
        <f t="shared" ca="1" si="0"/>
        <v>2</v>
      </c>
      <c r="J73" s="10">
        <f ca="1">visible(engraving(I73), K73)</f>
        <v>2</v>
      </c>
      <c r="K73" s="10" t="b">
        <f>G50&gt;0</f>
        <v>1</v>
      </c>
    </row>
    <row r="74" spans="1:13" x14ac:dyDescent="0.3">
      <c r="A74" s="32">
        <v>3</v>
      </c>
      <c r="B74" s="3" t="str">
        <f>visible(E44, K74)</f>
        <v>دواليب منوع /فرن /أدراج</v>
      </c>
      <c r="C74" s="18">
        <f>visible(12,K74)</f>
        <v>12</v>
      </c>
      <c r="D74" s="18" t="str">
        <f ca="1">visible(I45, K74)</f>
        <v>HPL</v>
      </c>
      <c r="E74" s="18" t="str">
        <f>visible("وش درج 3 داخلى", K74)</f>
        <v>وش درج 3 داخلى</v>
      </c>
      <c r="F74" s="18">
        <f>visible((H47-3.6-3.6-2.5), K74)</f>
        <v>50.3</v>
      </c>
      <c r="G74" s="18">
        <f>visible((I51-6), K74)</f>
        <v>-6</v>
      </c>
      <c r="H74" s="18">
        <f>visible(G51*C44, K74)</f>
        <v>1</v>
      </c>
      <c r="I74" s="18">
        <f t="shared" ca="1" si="0"/>
        <v>2</v>
      </c>
      <c r="J74" s="18">
        <f ca="1">visible(engraving(I74), K74)</f>
        <v>2</v>
      </c>
      <c r="K74" s="18" t="b">
        <f>G51&gt;0</f>
        <v>1</v>
      </c>
    </row>
    <row r="75" spans="1:13" x14ac:dyDescent="0.3">
      <c r="A75" s="32">
        <v>3</v>
      </c>
      <c r="B75" s="3" t="str">
        <f>visible(E44, K75)</f>
        <v>دواليب منوع /فرن /أدراج</v>
      </c>
      <c r="C75" s="18">
        <f>visible(13,K75)</f>
        <v>13</v>
      </c>
      <c r="D75" s="18" t="str">
        <f ca="1">visible(I45, K75)</f>
        <v>HPL</v>
      </c>
      <c r="E75" s="18" t="str">
        <f>visible("جنب درج 3 داخلى", K75)</f>
        <v>جنب درج 3 داخلى</v>
      </c>
      <c r="F75" s="18">
        <f>visible(D47, K75)</f>
        <v>45</v>
      </c>
      <c r="G75" s="18">
        <f>visible((I51-6), K75)</f>
        <v>-6</v>
      </c>
      <c r="H75" s="18">
        <f>visible(2*G51*C44, K75)</f>
        <v>2</v>
      </c>
      <c r="I75" s="18">
        <f t="shared" ca="1" si="0"/>
        <v>2</v>
      </c>
      <c r="J75" s="18">
        <f ca="1">visible(engraving(I75), K75)</f>
        <v>2</v>
      </c>
      <c r="K75" s="18" t="b">
        <f>G51&gt;0</f>
        <v>1</v>
      </c>
    </row>
    <row r="76" spans="1:13" x14ac:dyDescent="0.3">
      <c r="A76" s="32">
        <v>3</v>
      </c>
      <c r="B76" s="3" t="str">
        <f>visible(E44, K76)</f>
        <v>دواليب منوع /فرن /أدراج</v>
      </c>
      <c r="C76" s="18">
        <f>visible(14,K76)</f>
        <v>14</v>
      </c>
      <c r="D76" s="18" t="str">
        <f ca="1">visible(I45, K76)</f>
        <v>HPL</v>
      </c>
      <c r="E76" s="18" t="str">
        <f>visible("ظهر درج 3 داخلى", K76)</f>
        <v>ظهر درج 3 داخلى</v>
      </c>
      <c r="F76" s="18">
        <f>visible((H47-3.6-3.6-2.5), K76)</f>
        <v>50.3</v>
      </c>
      <c r="G76" s="18">
        <f>visible((I51-6-3), K76)</f>
        <v>-9</v>
      </c>
      <c r="H76" s="18">
        <f>visible(G51*C44, K76)</f>
        <v>1</v>
      </c>
      <c r="I76" s="18">
        <f t="shared" ca="1" si="0"/>
        <v>2</v>
      </c>
      <c r="J76" s="18">
        <f ca="1">visible(engraving(I76), K76)</f>
        <v>2</v>
      </c>
      <c r="K76" s="18" t="b">
        <f>G51&gt;0</f>
        <v>1</v>
      </c>
    </row>
    <row r="77" spans="1:13" x14ac:dyDescent="0.3">
      <c r="A77" s="32">
        <v>0</v>
      </c>
      <c r="B77"/>
      <c r="C77"/>
      <c r="D77"/>
      <c r="E77"/>
      <c r="F77"/>
      <c r="G77"/>
      <c r="H77"/>
      <c r="I77"/>
      <c r="J77"/>
      <c r="K77"/>
    </row>
    <row r="78" spans="1:13" x14ac:dyDescent="0.3">
      <c r="A78" s="32">
        <v>4</v>
      </c>
      <c r="B78" s="3" t="str">
        <f>visible(E44, K78)</f>
        <v>دواليب منوع /فرن /أدراج</v>
      </c>
      <c r="C78" s="9">
        <f>visible(15,K78)</f>
        <v>15</v>
      </c>
      <c r="D78" s="9" t="str">
        <f ca="1">visible(G45, K78)</f>
        <v>يوفيلاك</v>
      </c>
      <c r="E78" s="9" t="str">
        <f>visible(" وش درج 1", K78)</f>
        <v xml:space="preserve"> وش درج 1</v>
      </c>
      <c r="F78" s="9">
        <f>visible((I49-0.5-G47), K78)</f>
        <v>16</v>
      </c>
      <c r="G78" s="9">
        <f>visible((H47-0.5), K78)</f>
        <v>59.5</v>
      </c>
      <c r="H78" s="9">
        <f>visible(G49*C44, K78)</f>
        <v>1</v>
      </c>
      <c r="I78" s="9">
        <f t="shared" ref="I78:I86" ca="1" si="1">visible(materialNum(D78), K78)</f>
        <v>6</v>
      </c>
      <c r="J78" s="9">
        <f ca="1">visible(engraving(I78), K78)</f>
        <v>2</v>
      </c>
      <c r="K78" s="9" t="b">
        <f>G49&gt;0</f>
        <v>1</v>
      </c>
    </row>
    <row r="79" spans="1:13" x14ac:dyDescent="0.3">
      <c r="A79" s="32">
        <v>4</v>
      </c>
      <c r="B79" s="3" t="str">
        <f>visible(E44, K79)</f>
        <v>دواليب منوع /فرن /أدراج</v>
      </c>
      <c r="C79" s="9">
        <f>visible(16,K79)</f>
        <v>16</v>
      </c>
      <c r="D79" s="9" t="str">
        <f ca="1">visible(G45, K79)</f>
        <v>يوفيلاك</v>
      </c>
      <c r="E79" s="9" t="str">
        <f>visible(" وش درج 2", K79)</f>
        <v xml:space="preserve"> وش درج 2</v>
      </c>
      <c r="F79" s="9">
        <f>visible((I50-0.5-G47), K79)</f>
        <v>16</v>
      </c>
      <c r="G79" s="9">
        <f>visible((H47-0.5), K79)</f>
        <v>59.5</v>
      </c>
      <c r="H79" s="9">
        <f>visible(G50*C44, K79)</f>
        <v>1</v>
      </c>
      <c r="I79" s="9">
        <f t="shared" ca="1" si="1"/>
        <v>6</v>
      </c>
      <c r="J79" s="9">
        <f ca="1">visible(engraving(I79), K79)</f>
        <v>2</v>
      </c>
      <c r="K79" s="9" t="b">
        <f>G50&gt;0</f>
        <v>1</v>
      </c>
    </row>
    <row r="80" spans="1:13" x14ac:dyDescent="0.3">
      <c r="A80" s="32">
        <v>4</v>
      </c>
      <c r="B80" s="3" t="str">
        <f>visible(E44, K80)</f>
        <v>دواليب منوع /فرن /أدراج</v>
      </c>
      <c r="C80" s="9">
        <f>visible(17,K80)</f>
        <v>17</v>
      </c>
      <c r="D80" s="9" t="str">
        <f ca="1">visible(G45, K80)</f>
        <v>يوفيلاك</v>
      </c>
      <c r="E80" s="9" t="str">
        <f>visible(" وش درج 3", K80)</f>
        <v xml:space="preserve"> وش درج 3</v>
      </c>
      <c r="F80" s="9">
        <f>visible((I51-0.5-G47), K80)</f>
        <v>-4</v>
      </c>
      <c r="G80" s="9">
        <f>visible((H47-0.5), K80)</f>
        <v>59.5</v>
      </c>
      <c r="H80" s="9">
        <f>visible(G51*C44, K80)</f>
        <v>1</v>
      </c>
      <c r="I80" s="9">
        <f t="shared" ca="1" si="1"/>
        <v>6</v>
      </c>
      <c r="J80" s="9">
        <f ca="1">visible(engraving(I80), K80)</f>
        <v>2</v>
      </c>
      <c r="K80" s="9" t="b">
        <f>G51&gt;0</f>
        <v>1</v>
      </c>
    </row>
    <row r="81" spans="1:11" x14ac:dyDescent="0.3">
      <c r="A81" s="32">
        <v>4</v>
      </c>
      <c r="B81" s="3" t="str">
        <f>visible(E44, K81)</f>
        <v>دواليب منوع /فرن /أدراج</v>
      </c>
      <c r="C81" s="9">
        <f>visible(18,K81)</f>
        <v>18</v>
      </c>
      <c r="D81" s="9" t="str">
        <f ca="1">visible(G45, K81)</f>
        <v>يوفيلاك</v>
      </c>
      <c r="E81" s="9" t="str">
        <f>visible("دلف دولاب سفلية", K81)</f>
        <v>دلف دولاب سفلية</v>
      </c>
      <c r="F81" s="9">
        <f>visible((I52-0.5-G47), K81)</f>
        <v>-4</v>
      </c>
      <c r="G81" s="9">
        <f>visible(((H47/G52)-0.5), K81)</f>
        <v>59.5</v>
      </c>
      <c r="H81" s="9">
        <f>visible((G52+H52)*C44, K81)</f>
        <v>1</v>
      </c>
      <c r="I81" s="9">
        <f t="shared" ca="1" si="1"/>
        <v>6</v>
      </c>
      <c r="J81" s="9">
        <f ca="1">visible(engraving(I81), K81)</f>
        <v>2</v>
      </c>
      <c r="K81" s="9" t="b">
        <f>(G52+H52)&gt;0</f>
        <v>1</v>
      </c>
    </row>
    <row r="82" spans="1:11" x14ac:dyDescent="0.3">
      <c r="A82" s="32">
        <v>4</v>
      </c>
      <c r="B82" s="3" t="str">
        <f>visible(E44, K82)</f>
        <v>دواليب منوع /فرن /أدراج</v>
      </c>
      <c r="C82" s="9">
        <f>visible(19,K82)</f>
        <v>19</v>
      </c>
      <c r="D82" s="9" t="str">
        <f ca="1">visible(G45, K82)</f>
        <v>يوفيلاك</v>
      </c>
      <c r="E82" s="9" t="str">
        <f>visible("وش فرن", K82)</f>
        <v>وش فرن</v>
      </c>
      <c r="F82" s="9">
        <f>visible((H47-0.5), K82)</f>
        <v>59.5</v>
      </c>
      <c r="G82" s="22">
        <f>visible((I53-60.5), K82)</f>
        <v>6.5</v>
      </c>
      <c r="H82" s="9">
        <f>visible(G53*C44, K82)</f>
        <v>1</v>
      </c>
      <c r="I82" s="9">
        <f t="shared" ca="1" si="1"/>
        <v>6</v>
      </c>
      <c r="J82" s="9">
        <f ca="1">visible(engraving(I82), K82)</f>
        <v>2</v>
      </c>
      <c r="K82" s="9" t="b">
        <f>G53&gt;0</f>
        <v>1</v>
      </c>
    </row>
    <row r="83" spans="1:11" x14ac:dyDescent="0.3">
      <c r="A83" s="32">
        <v>4</v>
      </c>
      <c r="B83" s="3" t="str">
        <f>visible(E44, K83)</f>
        <v>دواليب منوع /فرن /أدراج</v>
      </c>
      <c r="C83" s="9">
        <f>visible(20,K83)</f>
        <v>20</v>
      </c>
      <c r="D83" s="9" t="str">
        <f ca="1">visible(G45, K83)</f>
        <v>يوفيلاك</v>
      </c>
      <c r="E83" s="9" t="str">
        <f>visible("تجاليد مايكروويف 1", K83)</f>
        <v>تجاليد مايكروويف 1</v>
      </c>
      <c r="F83" s="9" t="str">
        <f>visible("", K83)</f>
        <v/>
      </c>
      <c r="G83" s="9" t="str">
        <f>visible("", K83)</f>
        <v/>
      </c>
      <c r="H83" s="9" t="str">
        <f>visible("", K83)</f>
        <v/>
      </c>
      <c r="I83" s="9">
        <f ca="1">visible(materialNum(D83), K83)</f>
        <v>6</v>
      </c>
      <c r="J83" s="9">
        <f ca="1">visible(engraving(I83), K83)</f>
        <v>2</v>
      </c>
      <c r="K83" s="9" t="b">
        <v>1</v>
      </c>
    </row>
    <row r="84" spans="1:11" x14ac:dyDescent="0.3">
      <c r="A84" s="32">
        <v>4</v>
      </c>
      <c r="B84" s="3" t="str">
        <f>visible(E44, K84)</f>
        <v>دواليب منوع /فرن /أدراج</v>
      </c>
      <c r="C84" s="9">
        <f>visible(21,K84)</f>
        <v>21</v>
      </c>
      <c r="D84" s="9" t="str">
        <f ca="1">visible(G45, K84)</f>
        <v>يوفيلاك</v>
      </c>
      <c r="E84" s="9" t="str">
        <f>visible("تجاليد مايكروويف 2", K84)</f>
        <v>تجاليد مايكروويف 2</v>
      </c>
      <c r="F84" s="9" t="str">
        <f>visible("", K84)</f>
        <v/>
      </c>
      <c r="G84" s="9" t="str">
        <f>visible("", K84)</f>
        <v/>
      </c>
      <c r="H84" s="9" t="str">
        <f>visible("", K84)</f>
        <v/>
      </c>
      <c r="I84" s="9">
        <f t="shared" ca="1" si="1"/>
        <v>6</v>
      </c>
      <c r="J84" s="9">
        <f ca="1">visible(engraving(I84), K84)</f>
        <v>2</v>
      </c>
      <c r="K84" s="9" t="b">
        <v>1</v>
      </c>
    </row>
    <row r="85" spans="1:11" x14ac:dyDescent="0.3">
      <c r="A85" s="32">
        <v>4</v>
      </c>
      <c r="B85" s="3" t="str">
        <f>visible(E44, K85)</f>
        <v>دواليب منوع /فرن /أدراج</v>
      </c>
      <c r="C85" s="9">
        <f>visible(22,K85)</f>
        <v>22</v>
      </c>
      <c r="D85" s="9" t="str">
        <f ca="1">visible(G45, K85)</f>
        <v>يوفيلاك</v>
      </c>
      <c r="E85" s="9" t="str">
        <f>visible("دلف دولاب علوية 1", K85)</f>
        <v>دلف دولاب علوية 1</v>
      </c>
      <c r="F85" s="9">
        <f>visible((I55-0.5-G47), K85)</f>
        <v>74</v>
      </c>
      <c r="G85" s="9">
        <f>visible((H47/G55)-0.5, K85)</f>
        <v>29.5</v>
      </c>
      <c r="H85" s="9">
        <f>visible(G55*C44, K85)</f>
        <v>2</v>
      </c>
      <c r="I85" s="9">
        <f t="shared" ca="1" si="1"/>
        <v>6</v>
      </c>
      <c r="J85" s="9">
        <f ca="1">visible(engraving(I85), K85)</f>
        <v>2</v>
      </c>
      <c r="K85" s="9" t="b">
        <f>G55&gt;0</f>
        <v>1</v>
      </c>
    </row>
    <row r="86" spans="1:11" x14ac:dyDescent="0.3">
      <c r="A86" s="32">
        <v>4</v>
      </c>
      <c r="B86" s="3" t="str">
        <f>visible(E44, K86)</f>
        <v/>
      </c>
      <c r="C86" s="9" t="str">
        <f>visible(23,K86)</f>
        <v/>
      </c>
      <c r="D86" s="9" t="str">
        <f ca="1">visible(G45, K86)</f>
        <v/>
      </c>
      <c r="E86" s="9" t="str">
        <f>visible("دلف دولاب علوية 2", K86)</f>
        <v/>
      </c>
      <c r="F86" s="9" t="str">
        <f>visible((I56-0.5-G47), K86)</f>
        <v/>
      </c>
      <c r="G86" s="9" t="str">
        <f>visible((H47/G56)-0.5, K86)</f>
        <v/>
      </c>
      <c r="H86" s="9" t="str">
        <f>visible(G56*C44, K86)</f>
        <v/>
      </c>
      <c r="I86" s="9" t="str">
        <f t="shared" ca="1" si="1"/>
        <v/>
      </c>
      <c r="J86" s="9" t="str">
        <f ca="1">visible(engraving(I86), K86)</f>
        <v/>
      </c>
      <c r="K86" s="9" t="b">
        <f>G56&gt;0</f>
        <v>0</v>
      </c>
    </row>
    <row r="87" spans="1:11" x14ac:dyDescent="0.3">
      <c r="A87" s="32">
        <v>0</v>
      </c>
      <c r="B87"/>
      <c r="C87"/>
      <c r="D87"/>
      <c r="E87"/>
      <c r="F87"/>
      <c r="G87"/>
      <c r="H87"/>
      <c r="I87"/>
      <c r="J87"/>
      <c r="K87"/>
    </row>
    <row r="88" spans="1:11" x14ac:dyDescent="0.3">
      <c r="A88" s="32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2">
        <v>4</v>
      </c>
      <c r="B89" s="3" t="str">
        <f>visible(E44, K89)</f>
        <v/>
      </c>
      <c r="C89" s="9" t="str">
        <f>visible(24,K89)</f>
        <v/>
      </c>
      <c r="D89" s="9" t="str">
        <f>visible("دلفة زجاج", K89)</f>
        <v/>
      </c>
      <c r="E89" s="9" t="str">
        <f>visible("دلفة  زجاج سفلية", K89)</f>
        <v/>
      </c>
      <c r="F89" s="9" t="str">
        <f>visible((I52-0.5-G47), K89)</f>
        <v/>
      </c>
      <c r="G89" s="9" t="str">
        <f>visible((H47/G52)-0.5, K89)</f>
        <v/>
      </c>
      <c r="H89" s="9" t="str">
        <f>visible(H52*C44, K89)</f>
        <v/>
      </c>
      <c r="I89" s="9" t="str">
        <f>visible(materialNum(D89), K89)</f>
        <v/>
      </c>
      <c r="J89" s="9" t="str">
        <f>visible(engraving(I89), K89)</f>
        <v/>
      </c>
      <c r="K89" s="9" t="b">
        <f>H52&gt;0</f>
        <v>0</v>
      </c>
    </row>
    <row r="90" spans="1:11" x14ac:dyDescent="0.3">
      <c r="A90" s="32">
        <v>4</v>
      </c>
      <c r="B90" s="3" t="str">
        <f>visible(E44, K90)</f>
        <v/>
      </c>
      <c r="C90" s="9" t="str">
        <f>visible(25,K90)</f>
        <v/>
      </c>
      <c r="D90" s="9" t="str">
        <f>visible("دلفة زجاج", K90)</f>
        <v/>
      </c>
      <c r="E90" s="9" t="str">
        <f>visible("دلفة  زجاج علوية 1", K90)</f>
        <v/>
      </c>
      <c r="F90" s="9" t="str">
        <f>visible((I55-0.5), K90)</f>
        <v/>
      </c>
      <c r="G90" s="9" t="str">
        <f>visible((H47/H55)-0.5, K90)</f>
        <v/>
      </c>
      <c r="H90" s="9" t="str">
        <f>visible(H55*C44, K90)</f>
        <v/>
      </c>
      <c r="I90" s="9" t="str">
        <f>visible(materialNum(D90), K90)</f>
        <v/>
      </c>
      <c r="J90" s="9" t="str">
        <f>visible(engraving(I90), K90)</f>
        <v/>
      </c>
      <c r="K90" s="9" t="b">
        <f>H55&gt;0</f>
        <v>0</v>
      </c>
    </row>
    <row r="91" spans="1:11" x14ac:dyDescent="0.3">
      <c r="A91" s="32">
        <v>4</v>
      </c>
      <c r="B91" s="3" t="str">
        <f>visible(E44, K91)</f>
        <v/>
      </c>
      <c r="C91" s="9" t="str">
        <f>visible(26,K91)</f>
        <v/>
      </c>
      <c r="D91" s="9" t="str">
        <f>visible("دلفة زجاج", K91)</f>
        <v/>
      </c>
      <c r="E91" s="9" t="str">
        <f>visible("دلفة  زجاج علوية2", K91)</f>
        <v/>
      </c>
      <c r="F91" s="9" t="str">
        <f>visible((I56-0.5), K91)</f>
        <v/>
      </c>
      <c r="G91" s="9" t="str">
        <f>visible((H47/H56)-0.5, K91)</f>
        <v/>
      </c>
      <c r="H91" s="9" t="str">
        <f>visible(H56*C44, K91)</f>
        <v/>
      </c>
      <c r="I91" s="9" t="str">
        <f>visible(materialNum(D91), K91)</f>
        <v/>
      </c>
      <c r="J91" s="9" t="str">
        <f>visible(engraving(I91), K91)</f>
        <v/>
      </c>
      <c r="K91" s="9" t="b">
        <f>H56&gt;0</f>
        <v>0</v>
      </c>
    </row>
    <row r="92" spans="1:11" x14ac:dyDescent="0.3">
      <c r="A92" s="32">
        <v>0</v>
      </c>
      <c r="B92"/>
      <c r="C92"/>
      <c r="D92"/>
      <c r="E92"/>
      <c r="F92"/>
      <c r="G92"/>
      <c r="H92"/>
      <c r="I92"/>
      <c r="J92"/>
      <c r="K92"/>
    </row>
    <row r="93" spans="1:11" x14ac:dyDescent="0.3">
      <c r="A93" s="32">
        <v>5</v>
      </c>
      <c r="B93" s="3" t="str">
        <f>visible(E44, K93)</f>
        <v>دواليب منوع /فرن /أدراج</v>
      </c>
      <c r="C93" s="17">
        <f>visible(27,K93)</f>
        <v>27</v>
      </c>
      <c r="D93" s="17" t="str">
        <f ca="1">visible(E45, K93)</f>
        <v>ظهر</v>
      </c>
      <c r="E93" s="17" t="str">
        <f>visible("ظهر", K93)</f>
        <v>ظهر</v>
      </c>
      <c r="F93" s="17">
        <f>visible(I47-2, K93)</f>
        <v>218</v>
      </c>
      <c r="G93" s="17">
        <f>visible(H47-2, K93)</f>
        <v>58</v>
      </c>
      <c r="H93" s="17">
        <f>visible(1*C44, K93)</f>
        <v>1</v>
      </c>
      <c r="I93" s="17">
        <f ca="1">visible(materialNum(D93), K93)</f>
        <v>2</v>
      </c>
      <c r="J93" s="17">
        <f ca="1">visible(engraving(I93), K93)</f>
        <v>2</v>
      </c>
      <c r="K93" s="17" t="b">
        <v>1</v>
      </c>
    </row>
    <row r="94" spans="1:11" x14ac:dyDescent="0.3">
      <c r="A94" s="32">
        <v>5</v>
      </c>
      <c r="B94" s="3" t="str">
        <f>visible(E44, K94)</f>
        <v>دواليب منوع /فرن /أدراج</v>
      </c>
      <c r="C94" s="17">
        <f>visible(28,K94)</f>
        <v>28</v>
      </c>
      <c r="D94" s="17" t="str">
        <f ca="1">visible(E45, K94)</f>
        <v>ظهر</v>
      </c>
      <c r="E94" s="17" t="str">
        <f>visible("ظهر", K94)</f>
        <v>ظهر</v>
      </c>
      <c r="F94" s="17">
        <f>visible((H47-3.6-3.6-2.5+2), K94)</f>
        <v>52.3</v>
      </c>
      <c r="G94" s="17">
        <f>visible(H47-2, K94)</f>
        <v>58</v>
      </c>
      <c r="H94" s="17">
        <f>visible(C44,K94)</f>
        <v>1</v>
      </c>
      <c r="I94" s="17">
        <f ca="1">visible(materialNum(D94), K94)</f>
        <v>2</v>
      </c>
      <c r="J94" s="17">
        <f ca="1">visible(engraving(I94), K94)</f>
        <v>2</v>
      </c>
      <c r="K94" s="17" t="b">
        <v>1</v>
      </c>
    </row>
    <row r="95" spans="1:11" x14ac:dyDescent="0.3">
      <c r="A95" s="32">
        <v>5</v>
      </c>
      <c r="B95" s="3" t="str">
        <f>visible(E44, K95)</f>
        <v>دواليب منوع /فرن /أدراج</v>
      </c>
      <c r="C95" s="17">
        <f>visible(29,K95)</f>
        <v>29</v>
      </c>
      <c r="D95" s="17" t="str">
        <f ca="1">visible(E45, K95)</f>
        <v>ظهر</v>
      </c>
      <c r="E95" s="17" t="str">
        <f>visible("قعر درج 1", K95)</f>
        <v>قعر درج 1</v>
      </c>
      <c r="F95" s="17">
        <f>visible((H47-3.6-3.6-2.5+2), K95)</f>
        <v>52.3</v>
      </c>
      <c r="G95" s="17">
        <f>visible((D47-1), K95)</f>
        <v>44</v>
      </c>
      <c r="H95" s="17">
        <f>visible(C44*G49,K95)</f>
        <v>1</v>
      </c>
      <c r="I95" s="17">
        <f ca="1">visible(materialNum(D95), K95)</f>
        <v>2</v>
      </c>
      <c r="J95" s="17">
        <f ca="1">visible(engraving(I95), K95)</f>
        <v>2</v>
      </c>
      <c r="K95" s="17" t="b">
        <f>G49&gt;0</f>
        <v>1</v>
      </c>
    </row>
    <row r="96" spans="1:11" x14ac:dyDescent="0.3">
      <c r="A96" s="32">
        <v>5</v>
      </c>
      <c r="B96" s="3" t="str">
        <f>visible(E44, K96)</f>
        <v>دواليب منوع /فرن /أدراج</v>
      </c>
      <c r="C96" s="17">
        <f>visible(30,K96)</f>
        <v>30</v>
      </c>
      <c r="D96" s="17" t="str">
        <f ca="1">visible(E45, K96)</f>
        <v>ظهر</v>
      </c>
      <c r="E96" s="17" t="str">
        <f>visible("قعر درج 2", K96)</f>
        <v>قعر درج 2</v>
      </c>
      <c r="F96" s="17">
        <f>visible((H47-3.6-3.6-2.5+2), K96)</f>
        <v>52.3</v>
      </c>
      <c r="G96" s="17">
        <f>visible((D47-1), K96)</f>
        <v>44</v>
      </c>
      <c r="H96" s="17">
        <f>visible(C44*G50,K96)</f>
        <v>1</v>
      </c>
      <c r="I96" s="17">
        <f ca="1">visible(materialNum(D96), K96)</f>
        <v>2</v>
      </c>
      <c r="J96" s="17">
        <f ca="1">visible(engraving(I96), K96)</f>
        <v>2</v>
      </c>
      <c r="K96" s="17" t="b">
        <f>G50&gt;0</f>
        <v>1</v>
      </c>
    </row>
    <row r="97" spans="1:10" x14ac:dyDescent="0.3">
      <c r="A97" s="32">
        <v>255</v>
      </c>
    </row>
    <row r="98" spans="1:10" x14ac:dyDescent="0.3">
      <c r="A98" s="32">
        <v>255</v>
      </c>
    </row>
    <row r="102" spans="1:10" ht="36" hidden="1" customHeight="1" x14ac:dyDescent="0.3">
      <c r="B102" s="3" t="str">
        <f>E102</f>
        <v xml:space="preserve">دواليب  تلبيسة دلفة /دلفتين </v>
      </c>
      <c r="C102" s="12">
        <v>2</v>
      </c>
      <c r="D102" s="20" t="s">
        <v>51</v>
      </c>
      <c r="E102" s="114" t="s">
        <v>56</v>
      </c>
      <c r="F102" s="115"/>
      <c r="G102" s="115"/>
      <c r="H102" s="116"/>
      <c r="I102" s="2" t="s">
        <v>26</v>
      </c>
      <c r="J102" s="2">
        <f>J44+1</f>
        <v>3</v>
      </c>
    </row>
    <row r="103" spans="1:10" ht="31.2" hidden="1" customHeight="1" x14ac:dyDescent="0.3">
      <c r="C103" s="7" t="s">
        <v>12</v>
      </c>
      <c r="D103" s="7"/>
      <c r="E103" s="7" t="s">
        <v>16</v>
      </c>
      <c r="F103" s="7" t="s">
        <v>14</v>
      </c>
      <c r="G103" s="7" t="s">
        <v>44</v>
      </c>
      <c r="H103" s="7" t="s">
        <v>19</v>
      </c>
      <c r="I103" s="7" t="s">
        <v>3</v>
      </c>
      <c r="J103" s="7" t="s">
        <v>2</v>
      </c>
    </row>
    <row r="104" spans="1:10" ht="15.6" hidden="1" customHeight="1" x14ac:dyDescent="0.3">
      <c r="C104" s="8">
        <v>2</v>
      </c>
      <c r="D104" s="8"/>
      <c r="E104" s="8">
        <v>1</v>
      </c>
      <c r="F104" s="8">
        <v>3.5</v>
      </c>
      <c r="G104" s="8"/>
      <c r="H104" s="8">
        <v>120</v>
      </c>
      <c r="I104" s="8">
        <v>80</v>
      </c>
      <c r="J104" s="8">
        <v>30</v>
      </c>
    </row>
    <row r="105" spans="1:10" ht="15.6" hidden="1" customHeight="1" x14ac:dyDescent="0.3">
      <c r="C105" s="9" t="b">
        <f>C104=0</f>
        <v>0</v>
      </c>
      <c r="D105" s="9" t="b">
        <f>E104=0</f>
        <v>0</v>
      </c>
      <c r="E105" s="3" t="b">
        <f>_xlfn.XOR(I104&lt;=50,E104=1)</f>
        <v>1</v>
      </c>
      <c r="F105" s="134" t="b">
        <f>NOT(AND(F104&gt;0,G104&gt;0))</f>
        <v>1</v>
      </c>
      <c r="G105" s="134"/>
      <c r="I105" s="3" t="b">
        <f>_xlfn.XOR(I104&lt;=50,C106=2)</f>
        <v>0</v>
      </c>
    </row>
    <row r="106" spans="1:10" ht="24" hidden="1" customHeight="1" x14ac:dyDescent="0.3">
      <c r="C106" s="134">
        <f>C104+E104</f>
        <v>3</v>
      </c>
      <c r="D106" s="134"/>
      <c r="E106" s="30"/>
      <c r="F106" s="138" t="str">
        <f>IF(F105,"المقابض مظبوطة","مينفعش مقبض مخفي مع بيلت ان")</f>
        <v>المقابض مظبوطة</v>
      </c>
      <c r="G106" s="138"/>
      <c r="H106" s="21"/>
      <c r="I106" s="30" t="str">
        <f>IF(I105,"عدد الدلف صحيح","عدد الدلف غير صحيح")</f>
        <v>عدد الدلف غير صحيح</v>
      </c>
      <c r="J106" s="28"/>
    </row>
    <row r="107" spans="1:10" ht="15.6" hidden="1" customHeight="1" x14ac:dyDescent="0.3">
      <c r="C107" s="134" t="b">
        <f>C106&lt;=2</f>
        <v>0</v>
      </c>
      <c r="D107" s="134"/>
      <c r="E107" s="1"/>
    </row>
    <row r="108" spans="1:10" ht="15.6" hidden="1" customHeight="1" x14ac:dyDescent="0.3">
      <c r="C108" s="6" t="s">
        <v>4</v>
      </c>
      <c r="D108" s="6" t="s">
        <v>9</v>
      </c>
      <c r="E108" s="6" t="s">
        <v>5</v>
      </c>
      <c r="F108" s="6" t="s">
        <v>7</v>
      </c>
      <c r="G108" s="6" t="s">
        <v>1</v>
      </c>
      <c r="H108" s="6" t="s">
        <v>6</v>
      </c>
      <c r="I108" s="6" t="s">
        <v>29</v>
      </c>
      <c r="J108" s="6" t="s">
        <v>8</v>
      </c>
    </row>
    <row r="109" spans="1:10" ht="15.6" hidden="1" customHeight="1" x14ac:dyDescent="0.3">
      <c r="C109" s="6"/>
      <c r="D109" s="6"/>
      <c r="E109" s="6"/>
      <c r="F109" s="6"/>
      <c r="G109" s="6"/>
      <c r="H109" s="6"/>
      <c r="I109" s="6"/>
      <c r="J109" s="6"/>
    </row>
    <row r="110" spans="1:10" ht="15.6" hidden="1" customHeight="1" x14ac:dyDescent="0.3">
      <c r="C110" s="6">
        <v>1</v>
      </c>
      <c r="D110" s="6">
        <f>H10</f>
        <v>0</v>
      </c>
      <c r="E110" s="6" t="s">
        <v>45</v>
      </c>
      <c r="F110" s="6">
        <f>H104-3.6</f>
        <v>116.4</v>
      </c>
      <c r="G110" s="6">
        <f>J104</f>
        <v>30</v>
      </c>
      <c r="H110" s="6">
        <f>1*C102</f>
        <v>2</v>
      </c>
      <c r="I110" s="6">
        <f>F10</f>
        <v>0</v>
      </c>
      <c r="J110" s="6"/>
    </row>
    <row r="111" spans="1:10" ht="15.6" hidden="1" customHeight="1" x14ac:dyDescent="0.3">
      <c r="C111" s="6">
        <f t="shared" ref="C111:C114" si="2">C110+1</f>
        <v>2</v>
      </c>
      <c r="D111" s="6">
        <f>D110</f>
        <v>0</v>
      </c>
      <c r="E111" s="6" t="s">
        <v>10</v>
      </c>
      <c r="F111" s="6">
        <f>H104-3.6</f>
        <v>116.4</v>
      </c>
      <c r="G111" s="6">
        <f>J104-G104</f>
        <v>30</v>
      </c>
      <c r="H111" s="6">
        <f>1*C102</f>
        <v>2</v>
      </c>
      <c r="I111" s="6">
        <f>I110</f>
        <v>0</v>
      </c>
      <c r="J111" s="6"/>
    </row>
    <row r="112" spans="1:10" ht="15.6" hidden="1" customHeight="1" x14ac:dyDescent="0.3">
      <c r="C112" s="6">
        <f t="shared" si="2"/>
        <v>3</v>
      </c>
      <c r="D112" s="6">
        <f>D110</f>
        <v>0</v>
      </c>
      <c r="E112" s="6" t="s">
        <v>11</v>
      </c>
      <c r="F112" s="6">
        <f>I104</f>
        <v>80</v>
      </c>
      <c r="G112" s="6">
        <f>J104</f>
        <v>30</v>
      </c>
      <c r="H112" s="6">
        <f>2*C102</f>
        <v>4</v>
      </c>
      <c r="I112" s="6">
        <f>I110</f>
        <v>0</v>
      </c>
      <c r="J112" s="6"/>
    </row>
    <row r="113" spans="2:10" ht="15.6" hidden="1" customHeight="1" x14ac:dyDescent="0.3">
      <c r="C113" s="6">
        <f t="shared" si="2"/>
        <v>4</v>
      </c>
      <c r="D113" s="6">
        <f>D110</f>
        <v>0</v>
      </c>
      <c r="E113" s="6" t="s">
        <v>15</v>
      </c>
      <c r="F113" s="6">
        <f>H104-3.8</f>
        <v>116.2</v>
      </c>
      <c r="G113" s="6">
        <f>J104-6</f>
        <v>24</v>
      </c>
      <c r="H113" s="6">
        <f>E104*C102</f>
        <v>2</v>
      </c>
      <c r="I113" s="6">
        <f>I110</f>
        <v>0</v>
      </c>
      <c r="J113" s="6"/>
    </row>
    <row r="114" spans="2:10" ht="15.6" hidden="1" customHeight="1" x14ac:dyDescent="0.3">
      <c r="C114" s="6">
        <f t="shared" si="2"/>
        <v>5</v>
      </c>
      <c r="D114" s="6">
        <f>D110</f>
        <v>0</v>
      </c>
      <c r="E114" s="6" t="s">
        <v>20</v>
      </c>
      <c r="F114" s="6">
        <f>I104</f>
        <v>80</v>
      </c>
      <c r="G114" s="6">
        <f>J104</f>
        <v>30</v>
      </c>
      <c r="H114" s="6">
        <f>1*C102</f>
        <v>2</v>
      </c>
      <c r="I114" s="6">
        <f>I110</f>
        <v>0</v>
      </c>
      <c r="J114" s="6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9">
        <f>C114+1</f>
        <v>6</v>
      </c>
      <c r="D116" s="9">
        <f>H12</f>
        <v>0</v>
      </c>
      <c r="E116" s="9" t="s">
        <v>13</v>
      </c>
      <c r="F116" s="9">
        <f>I104-0.5-F104</f>
        <v>76</v>
      </c>
      <c r="G116" s="9">
        <f>(H104-J104-G117)/C104-0.5</f>
        <v>42.5</v>
      </c>
      <c r="H116" s="9">
        <f>C104*C102</f>
        <v>4</v>
      </c>
      <c r="I116" s="9">
        <f>F12</f>
        <v>0</v>
      </c>
      <c r="J116" s="9"/>
    </row>
    <row r="117" spans="2:10" ht="15.6" hidden="1" customHeight="1" x14ac:dyDescent="0.3">
      <c r="C117" s="9">
        <f t="shared" ref="C117:C118" si="3">C116+1</f>
        <v>7</v>
      </c>
      <c r="D117" s="9">
        <f>D116</f>
        <v>0</v>
      </c>
      <c r="E117" s="9" t="s">
        <v>21</v>
      </c>
      <c r="F117" s="9">
        <f>I104</f>
        <v>80</v>
      </c>
      <c r="G117" s="9">
        <v>4</v>
      </c>
      <c r="H117" s="9">
        <f>1*C102</f>
        <v>2</v>
      </c>
      <c r="I117" s="9">
        <f>I116</f>
        <v>0</v>
      </c>
      <c r="J117" s="9"/>
    </row>
    <row r="118" spans="2:10" ht="15.6" hidden="1" customHeight="1" x14ac:dyDescent="0.3">
      <c r="C118" s="9">
        <f t="shared" si="3"/>
        <v>8</v>
      </c>
      <c r="D118" s="9">
        <f>D117</f>
        <v>0</v>
      </c>
      <c r="E118" s="9"/>
      <c r="F118" s="9"/>
      <c r="G118" s="9"/>
      <c r="H118" s="9"/>
      <c r="I118" s="9"/>
      <c r="J118" s="9"/>
    </row>
    <row r="119" spans="2:10" ht="15.6" hidden="1" customHeight="1" x14ac:dyDescent="0.3">
      <c r="C119" s="6"/>
      <c r="D119" s="6"/>
      <c r="E119" s="6"/>
      <c r="F119" s="6"/>
      <c r="G119" s="6"/>
      <c r="H119" s="6"/>
      <c r="I119" s="6"/>
      <c r="J119" s="6"/>
    </row>
    <row r="120" spans="2:10" ht="15.6" hidden="1" customHeight="1" x14ac:dyDescent="0.3">
      <c r="C120" s="17">
        <f>C118+1</f>
        <v>9</v>
      </c>
      <c r="D120" s="17" t="s">
        <v>50</v>
      </c>
      <c r="E120" s="17" t="s">
        <v>50</v>
      </c>
      <c r="F120" s="17">
        <f>I104-2</f>
        <v>78</v>
      </c>
      <c r="G120" s="17">
        <f>H104-2</f>
        <v>118</v>
      </c>
      <c r="H120" s="17">
        <f>1*C102</f>
        <v>2</v>
      </c>
      <c r="I120" s="17">
        <f>F13</f>
        <v>0</v>
      </c>
      <c r="J120" s="17"/>
    </row>
    <row r="121" spans="2:10" ht="15.6" hidden="1" customHeight="1" x14ac:dyDescent="0.3"/>
    <row r="122" spans="2:10" ht="36" hidden="1" customHeight="1" x14ac:dyDescent="0.3">
      <c r="B122" s="3" t="str">
        <f>E122</f>
        <v>دواليب  زاوية 90</v>
      </c>
      <c r="C122" s="12">
        <v>1</v>
      </c>
      <c r="D122" s="20" t="s">
        <v>51</v>
      </c>
      <c r="E122" s="114" t="s">
        <v>57</v>
      </c>
      <c r="F122" s="115"/>
      <c r="G122" s="115"/>
      <c r="H122" s="116"/>
      <c r="I122" s="2" t="s">
        <v>26</v>
      </c>
      <c r="J122" s="2">
        <f>J102+1</f>
        <v>4</v>
      </c>
    </row>
    <row r="123" spans="2:10" ht="31.2" hidden="1" customHeight="1" x14ac:dyDescent="0.3">
      <c r="C123" s="7"/>
      <c r="D123" s="7" t="s">
        <v>16</v>
      </c>
      <c r="E123" s="7"/>
      <c r="F123" s="7" t="s">
        <v>14</v>
      </c>
      <c r="G123" s="7" t="s">
        <v>44</v>
      </c>
      <c r="H123" s="7" t="s">
        <v>19</v>
      </c>
      <c r="I123" s="7" t="s">
        <v>3</v>
      </c>
      <c r="J123" s="7" t="s">
        <v>2</v>
      </c>
    </row>
    <row r="124" spans="2:10" ht="15.6" hidden="1" customHeight="1" x14ac:dyDescent="0.3">
      <c r="C124" s="8"/>
      <c r="D124" s="8">
        <v>2</v>
      </c>
      <c r="E124" s="8"/>
      <c r="F124" s="8">
        <v>3.5</v>
      </c>
      <c r="G124" s="8"/>
      <c r="H124" s="8">
        <v>70</v>
      </c>
      <c r="I124" s="8">
        <v>80</v>
      </c>
      <c r="J124" s="8">
        <v>30</v>
      </c>
    </row>
    <row r="125" spans="2:10" ht="15.6" hidden="1" customHeight="1" x14ac:dyDescent="0.3">
      <c r="C125" s="11"/>
      <c r="D125" s="11"/>
      <c r="E125" s="11"/>
      <c r="F125" s="134" t="b">
        <f>NOT(AND(F124&gt;0,G124&gt;0))</f>
        <v>1</v>
      </c>
      <c r="G125" s="134"/>
      <c r="H125" s="8">
        <v>70</v>
      </c>
      <c r="I125" s="8">
        <v>80</v>
      </c>
      <c r="J125" s="8">
        <v>30</v>
      </c>
    </row>
    <row r="126" spans="2:10" ht="15.6" hidden="1" customHeight="1" x14ac:dyDescent="0.3">
      <c r="F126" s="138" t="str">
        <f>IF(F125,"المقابض مظبوطة","مينفعش مقبض مخفي مع بيلت ان")</f>
        <v>المقابض مظبوطة</v>
      </c>
      <c r="G126" s="138"/>
    </row>
    <row r="127" spans="2:10" ht="15.6" hidden="1" customHeight="1" x14ac:dyDescent="0.3"/>
    <row r="128" spans="2:10" ht="15.6" hidden="1" customHeight="1" x14ac:dyDescent="0.3"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29</v>
      </c>
      <c r="J128" s="6" t="s">
        <v>8</v>
      </c>
    </row>
    <row r="129" spans="2:10" ht="15.6" hidden="1" customHeight="1" x14ac:dyDescent="0.3">
      <c r="C129" s="6"/>
      <c r="D129" s="6"/>
      <c r="E129" s="6"/>
      <c r="F129" s="6"/>
      <c r="G129" s="6"/>
      <c r="H129" s="6"/>
      <c r="I129" s="6"/>
      <c r="J129" s="6"/>
    </row>
    <row r="130" spans="2:10" ht="15.6" hidden="1" customHeight="1" x14ac:dyDescent="0.3">
      <c r="C130" s="6">
        <v>1</v>
      </c>
      <c r="D130" s="6">
        <f>H10</f>
        <v>0</v>
      </c>
      <c r="E130" s="6" t="s">
        <v>45</v>
      </c>
      <c r="F130" s="6">
        <f>H124-1.8</f>
        <v>68.2</v>
      </c>
      <c r="G130" s="6">
        <f>H125-1.8</f>
        <v>68.2</v>
      </c>
      <c r="H130" s="6">
        <f>1*C122</f>
        <v>1</v>
      </c>
      <c r="I130" s="6">
        <f>F10</f>
        <v>0</v>
      </c>
      <c r="J130" s="6"/>
    </row>
    <row r="131" spans="2:10" ht="15.6" hidden="1" customHeight="1" x14ac:dyDescent="0.3">
      <c r="C131" s="6">
        <f>C130+1</f>
        <v>2</v>
      </c>
      <c r="D131" s="6">
        <f>D130</f>
        <v>0</v>
      </c>
      <c r="E131" s="6" t="s">
        <v>10</v>
      </c>
      <c r="F131" s="6">
        <f>H124-1.8</f>
        <v>68.2</v>
      </c>
      <c r="G131" s="6">
        <f>H125-1.8</f>
        <v>68.2</v>
      </c>
      <c r="H131" s="6">
        <f>1*C122</f>
        <v>1</v>
      </c>
      <c r="I131" s="6">
        <f>I130</f>
        <v>0</v>
      </c>
      <c r="J131" s="6"/>
    </row>
    <row r="132" spans="2:10" ht="15.6" hidden="1" customHeight="1" x14ac:dyDescent="0.3">
      <c r="C132" s="6">
        <f>C131+1</f>
        <v>3</v>
      </c>
      <c r="D132" s="6">
        <f>D130</f>
        <v>0</v>
      </c>
      <c r="E132" s="6" t="s">
        <v>52</v>
      </c>
      <c r="F132" s="6">
        <f>I124</f>
        <v>80</v>
      </c>
      <c r="G132" s="6">
        <f>J124</f>
        <v>30</v>
      </c>
      <c r="H132" s="6">
        <f>1*C122</f>
        <v>1</v>
      </c>
      <c r="I132" s="6">
        <f>I130</f>
        <v>0</v>
      </c>
      <c r="J132" s="6"/>
    </row>
    <row r="133" spans="2:10" ht="15.6" hidden="1" customHeight="1" x14ac:dyDescent="0.3">
      <c r="C133" s="6">
        <f>C132+1</f>
        <v>4</v>
      </c>
      <c r="D133" s="6">
        <f>D130</f>
        <v>0</v>
      </c>
      <c r="E133" s="6" t="s">
        <v>53</v>
      </c>
      <c r="F133" s="6">
        <f>I125</f>
        <v>80</v>
      </c>
      <c r="G133" s="6">
        <f>J125</f>
        <v>30</v>
      </c>
      <c r="H133" s="6">
        <f>1*C122</f>
        <v>1</v>
      </c>
      <c r="I133" s="6">
        <f>I130</f>
        <v>0</v>
      </c>
      <c r="J133" s="6"/>
    </row>
    <row r="134" spans="2:10" ht="15.6" hidden="1" customHeight="1" x14ac:dyDescent="0.3">
      <c r="C134" s="6">
        <f>C133+1</f>
        <v>5</v>
      </c>
      <c r="D134" s="6">
        <f>D130</f>
        <v>0</v>
      </c>
      <c r="E134" s="6" t="s">
        <v>23</v>
      </c>
      <c r="F134" s="6">
        <f>I124</f>
        <v>80</v>
      </c>
      <c r="G134" s="6">
        <v>10</v>
      </c>
      <c r="H134" s="6">
        <f>1*C122</f>
        <v>1</v>
      </c>
      <c r="I134" s="6">
        <f>I130</f>
        <v>0</v>
      </c>
      <c r="J134" s="6"/>
    </row>
    <row r="135" spans="2:10" ht="15.6" hidden="1" customHeight="1" x14ac:dyDescent="0.3">
      <c r="C135" s="6">
        <f t="shared" ref="C135" si="4">C134+1</f>
        <v>6</v>
      </c>
      <c r="D135" s="6">
        <f>D130</f>
        <v>0</v>
      </c>
      <c r="E135" s="6" t="s">
        <v>15</v>
      </c>
      <c r="F135" s="6">
        <f>H124-3.8</f>
        <v>66.2</v>
      </c>
      <c r="G135" s="6">
        <f>H125-3.8</f>
        <v>66.2</v>
      </c>
      <c r="H135" s="6">
        <f>D124*C122</f>
        <v>2</v>
      </c>
      <c r="I135" s="6">
        <f>I130</f>
        <v>0</v>
      </c>
      <c r="J135" s="6"/>
    </row>
    <row r="136" spans="2:10" ht="15.6" hidden="1" customHeight="1" x14ac:dyDescent="0.3">
      <c r="C136" s="6"/>
      <c r="D136" s="6"/>
      <c r="E136" s="6"/>
      <c r="F136" s="6"/>
      <c r="G136" s="6"/>
      <c r="H136" s="6"/>
      <c r="I136" s="6"/>
      <c r="J136" s="6"/>
    </row>
    <row r="137" spans="2:10" ht="15.6" hidden="1" customHeight="1" x14ac:dyDescent="0.3">
      <c r="C137" s="9">
        <f>C135+1</f>
        <v>7</v>
      </c>
      <c r="D137" s="9">
        <f>H12</f>
        <v>0</v>
      </c>
      <c r="E137" s="9" t="s">
        <v>24</v>
      </c>
      <c r="F137" s="9">
        <f>I124-0.5-F124</f>
        <v>76</v>
      </c>
      <c r="G137" s="9">
        <f>H124-J124-3</f>
        <v>37</v>
      </c>
      <c r="H137" s="9">
        <f>1*C122</f>
        <v>1</v>
      </c>
      <c r="I137" s="9">
        <f>F12</f>
        <v>0</v>
      </c>
      <c r="J137" s="9"/>
    </row>
    <row r="138" spans="2:10" ht="15.6" hidden="1" customHeight="1" x14ac:dyDescent="0.3">
      <c r="C138" s="9">
        <f t="shared" ref="C138" si="5">C137+1</f>
        <v>8</v>
      </c>
      <c r="D138" s="9">
        <f>D137</f>
        <v>0</v>
      </c>
      <c r="E138" s="9" t="s">
        <v>37</v>
      </c>
      <c r="F138" s="9">
        <f>I125-0.5-F124</f>
        <v>76</v>
      </c>
      <c r="G138" s="9">
        <f>H125-J125-3</f>
        <v>37</v>
      </c>
      <c r="H138" s="9">
        <f>1*C122</f>
        <v>1</v>
      </c>
      <c r="I138" s="9">
        <f>I137</f>
        <v>0</v>
      </c>
      <c r="J138" s="9"/>
    </row>
    <row r="139" spans="2:10" ht="15.6" hidden="1" customHeight="1" x14ac:dyDescent="0.3">
      <c r="C139" s="6"/>
      <c r="D139" s="6"/>
      <c r="E139" s="6"/>
      <c r="F139" s="6"/>
      <c r="G139" s="6"/>
      <c r="H139" s="6"/>
      <c r="I139" s="6"/>
      <c r="J139" s="6"/>
    </row>
    <row r="140" spans="2:10" ht="15.6" hidden="1" customHeight="1" x14ac:dyDescent="0.3">
      <c r="C140" s="17">
        <f>C138+1</f>
        <v>9</v>
      </c>
      <c r="D140" s="17" t="s">
        <v>50</v>
      </c>
      <c r="E140" s="17" t="s">
        <v>50</v>
      </c>
      <c r="F140" s="17">
        <f>I124-2</f>
        <v>78</v>
      </c>
      <c r="G140" s="17">
        <f>H124-2</f>
        <v>68</v>
      </c>
      <c r="H140" s="17">
        <f>2*C122</f>
        <v>2</v>
      </c>
      <c r="I140" s="17">
        <f>F13</f>
        <v>0</v>
      </c>
      <c r="J140" s="17"/>
    </row>
    <row r="141" spans="2:10" ht="15.6" hidden="1" customHeight="1" x14ac:dyDescent="0.3"/>
    <row r="142" spans="2:10" ht="36" hidden="1" customHeight="1" x14ac:dyDescent="0.3">
      <c r="B142" s="3" t="str">
        <f>E142</f>
        <v>دواليب  ركنة 45</v>
      </c>
      <c r="C142" s="12">
        <v>2</v>
      </c>
      <c r="D142" s="20" t="s">
        <v>51</v>
      </c>
      <c r="E142" s="114" t="s">
        <v>58</v>
      </c>
      <c r="F142" s="115"/>
      <c r="G142" s="115"/>
      <c r="H142" s="116"/>
      <c r="I142" s="2" t="s">
        <v>26</v>
      </c>
      <c r="J142" s="2">
        <f>J122+1</f>
        <v>5</v>
      </c>
    </row>
    <row r="143" spans="2:10" ht="31.2" hidden="1" customHeight="1" x14ac:dyDescent="0.3">
      <c r="C143" s="7"/>
      <c r="D143" s="7" t="s">
        <v>16</v>
      </c>
      <c r="E143" s="7"/>
      <c r="F143" s="7" t="s">
        <v>14</v>
      </c>
      <c r="G143" s="7" t="s">
        <v>44</v>
      </c>
      <c r="H143" s="7" t="s">
        <v>19</v>
      </c>
      <c r="I143" s="7" t="s">
        <v>3</v>
      </c>
      <c r="J143" s="7" t="s">
        <v>2</v>
      </c>
    </row>
    <row r="144" spans="2:10" ht="15.6" hidden="1" customHeight="1" x14ac:dyDescent="0.3">
      <c r="C144" s="8"/>
      <c r="D144" s="8">
        <v>1</v>
      </c>
      <c r="E144" s="8"/>
      <c r="F144" s="8">
        <v>3.5</v>
      </c>
      <c r="G144" s="8"/>
      <c r="H144" s="8">
        <v>60</v>
      </c>
      <c r="I144" s="8">
        <v>80</v>
      </c>
      <c r="J144" s="8">
        <v>30</v>
      </c>
    </row>
    <row r="145" spans="3:12" ht="15.6" hidden="1" customHeight="1" x14ac:dyDescent="0.3">
      <c r="C145" s="11"/>
      <c r="D145" s="11"/>
      <c r="E145" s="11"/>
      <c r="F145" s="134" t="b">
        <f>NOT(AND(F144&gt;0,G144&gt;0))</f>
        <v>1</v>
      </c>
      <c r="G145" s="134"/>
      <c r="H145" s="8">
        <v>60</v>
      </c>
      <c r="I145" s="8">
        <v>80</v>
      </c>
      <c r="J145" s="8">
        <v>30</v>
      </c>
    </row>
    <row r="146" spans="3:12" ht="15.6" hidden="1" customHeight="1" x14ac:dyDescent="0.3">
      <c r="F146" s="138" t="str">
        <f>IF(F145,"المقابض مظبوطة","مينفعش مقبض مخفي مع بيلت ان")</f>
        <v>المقابض مظبوطة</v>
      </c>
      <c r="G146" s="138"/>
    </row>
    <row r="147" spans="3:12" ht="15.6" hidden="1" customHeight="1" x14ac:dyDescent="0.3"/>
    <row r="148" spans="3:12" ht="15.6" hidden="1" customHeight="1" x14ac:dyDescent="0.3">
      <c r="C148" s="6" t="s">
        <v>4</v>
      </c>
      <c r="D148" s="6" t="s">
        <v>9</v>
      </c>
      <c r="E148" s="6" t="s">
        <v>5</v>
      </c>
      <c r="F148" s="6" t="s">
        <v>7</v>
      </c>
      <c r="G148" s="6" t="s">
        <v>1</v>
      </c>
      <c r="H148" s="6" t="s">
        <v>6</v>
      </c>
      <c r="I148" s="6" t="s">
        <v>29</v>
      </c>
      <c r="J148" s="6" t="s">
        <v>8</v>
      </c>
    </row>
    <row r="149" spans="3:12" ht="15.6" hidden="1" customHeight="1" x14ac:dyDescent="0.3">
      <c r="C149" s="6"/>
      <c r="D149" s="6"/>
      <c r="E149" s="6"/>
      <c r="F149" s="6"/>
      <c r="G149" s="6"/>
      <c r="H149" s="6"/>
      <c r="I149" s="6"/>
      <c r="J149" s="6"/>
    </row>
    <row r="150" spans="3:12" ht="15.6" hidden="1" customHeight="1" x14ac:dyDescent="0.3">
      <c r="C150" s="6">
        <v>1</v>
      </c>
      <c r="D150" s="6">
        <f>H10</f>
        <v>0</v>
      </c>
      <c r="E150" s="6" t="s">
        <v>45</v>
      </c>
      <c r="F150" s="6">
        <f>H144-1.8</f>
        <v>58.2</v>
      </c>
      <c r="G150" s="6">
        <f>H145-1.8</f>
        <v>58.2</v>
      </c>
      <c r="H150" s="6">
        <f>1*C142</f>
        <v>2</v>
      </c>
      <c r="I150" s="6">
        <f>F10</f>
        <v>0</v>
      </c>
      <c r="J150" s="6"/>
    </row>
    <row r="151" spans="3:12" ht="15.6" hidden="1" customHeight="1" x14ac:dyDescent="0.3">
      <c r="C151" s="6">
        <f>C150+1</f>
        <v>2</v>
      </c>
      <c r="D151" s="6">
        <f>D150</f>
        <v>0</v>
      </c>
      <c r="E151" s="6" t="s">
        <v>10</v>
      </c>
      <c r="F151" s="6">
        <f>H144-1.8</f>
        <v>58.2</v>
      </c>
      <c r="G151" s="6">
        <f>H145-1.8</f>
        <v>58.2</v>
      </c>
      <c r="H151" s="6">
        <f>1*C142</f>
        <v>2</v>
      </c>
      <c r="I151" s="6">
        <f>I150</f>
        <v>0</v>
      </c>
      <c r="J151" s="6"/>
    </row>
    <row r="152" spans="3:12" ht="15.6" hidden="1" customHeight="1" x14ac:dyDescent="0.3">
      <c r="C152" s="6">
        <f>C151+1</f>
        <v>3</v>
      </c>
      <c r="D152" s="6">
        <f>D150</f>
        <v>0</v>
      </c>
      <c r="E152" s="6" t="s">
        <v>52</v>
      </c>
      <c r="F152" s="6">
        <f>I144</f>
        <v>80</v>
      </c>
      <c r="G152" s="6">
        <f>J144</f>
        <v>30</v>
      </c>
      <c r="H152" s="6">
        <f>1*C142</f>
        <v>2</v>
      </c>
      <c r="I152" s="6">
        <f>I150</f>
        <v>0</v>
      </c>
      <c r="J152" s="6"/>
    </row>
    <row r="153" spans="3:12" ht="15.6" hidden="1" customHeight="1" x14ac:dyDescent="0.3">
      <c r="C153" s="6">
        <f>C152+1</f>
        <v>4</v>
      </c>
      <c r="D153" s="6">
        <f>D150</f>
        <v>0</v>
      </c>
      <c r="E153" s="6" t="s">
        <v>53</v>
      </c>
      <c r="F153" s="6">
        <f>I145</f>
        <v>80</v>
      </c>
      <c r="G153" s="6">
        <f>J145</f>
        <v>30</v>
      </c>
      <c r="H153" s="6">
        <f>1*C142</f>
        <v>2</v>
      </c>
      <c r="I153" s="6">
        <f>I150</f>
        <v>0</v>
      </c>
      <c r="J153" s="6"/>
    </row>
    <row r="154" spans="3:12" ht="15.6" hidden="1" customHeight="1" x14ac:dyDescent="0.3">
      <c r="C154" s="6">
        <f>C153+1</f>
        <v>5</v>
      </c>
      <c r="D154" s="6">
        <f>D150</f>
        <v>0</v>
      </c>
      <c r="E154" s="6" t="s">
        <v>23</v>
      </c>
      <c r="F154" s="6">
        <f>I144</f>
        <v>80</v>
      </c>
      <c r="G154" s="6">
        <v>10</v>
      </c>
      <c r="H154" s="6">
        <f>1*C142</f>
        <v>2</v>
      </c>
      <c r="I154" s="6">
        <f>I150</f>
        <v>0</v>
      </c>
      <c r="J154" s="6"/>
    </row>
    <row r="155" spans="3:12" ht="15.6" hidden="1" customHeight="1" x14ac:dyDescent="0.3">
      <c r="C155" s="6">
        <f t="shared" ref="C155" si="6">C154+1</f>
        <v>6</v>
      </c>
      <c r="D155" s="6">
        <f>D150</f>
        <v>0</v>
      </c>
      <c r="E155" s="6" t="s">
        <v>15</v>
      </c>
      <c r="F155" s="6">
        <f>H144-3.8</f>
        <v>56.2</v>
      </c>
      <c r="G155" s="6">
        <f>H145-3.8</f>
        <v>56.2</v>
      </c>
      <c r="H155" s="6">
        <f>D144*C142</f>
        <v>2</v>
      </c>
      <c r="I155" s="6">
        <f>I150</f>
        <v>0</v>
      </c>
      <c r="J155" s="6"/>
    </row>
    <row r="156" spans="3:12" ht="15.6" hidden="1" customHeight="1" x14ac:dyDescent="0.3">
      <c r="C156" s="6"/>
      <c r="D156" s="6"/>
      <c r="E156" s="6"/>
      <c r="F156" s="6"/>
      <c r="G156" s="6"/>
      <c r="H156" s="6"/>
      <c r="I156" s="6"/>
      <c r="J156" s="6"/>
    </row>
    <row r="157" spans="3:12" ht="15.6" hidden="1" customHeight="1" x14ac:dyDescent="0.3">
      <c r="C157" s="9">
        <f>C155+1</f>
        <v>7</v>
      </c>
      <c r="D157" s="9">
        <f>H12</f>
        <v>0</v>
      </c>
      <c r="E157" s="9" t="s">
        <v>24</v>
      </c>
      <c r="F157" s="9">
        <f>I144-0.5-F144</f>
        <v>76</v>
      </c>
      <c r="G157" s="15">
        <f>(SQRT((H144-J144)^2+(H145-J145)^2))-2</f>
        <v>40.426406871192853</v>
      </c>
      <c r="H157" s="9">
        <f>1*C142</f>
        <v>2</v>
      </c>
      <c r="I157" s="9">
        <f>F12</f>
        <v>0</v>
      </c>
      <c r="J157" s="9"/>
    </row>
    <row r="158" spans="3:12" ht="15.6" hidden="1" customHeight="1" x14ac:dyDescent="0.3">
      <c r="C158" s="9">
        <f t="shared" ref="C158" si="7">C157+1</f>
        <v>8</v>
      </c>
      <c r="D158" s="9">
        <f>D157</f>
        <v>0</v>
      </c>
      <c r="E158" s="9"/>
      <c r="F158" s="9"/>
      <c r="G158" s="9"/>
      <c r="H158" s="9"/>
      <c r="I158" s="9"/>
      <c r="J158" s="9"/>
    </row>
    <row r="159" spans="3:12" ht="15.6" hidden="1" customHeight="1" x14ac:dyDescent="0.3">
      <c r="C159" s="6"/>
      <c r="D159" s="6"/>
      <c r="E159" s="6"/>
      <c r="F159" s="6"/>
      <c r="G159" s="6"/>
      <c r="H159" s="6"/>
      <c r="I159" s="6"/>
      <c r="J159" s="6"/>
    </row>
    <row r="160" spans="3:12" ht="15.6" hidden="1" customHeight="1" x14ac:dyDescent="0.3">
      <c r="C160" s="17">
        <f>C158+1</f>
        <v>9</v>
      </c>
      <c r="D160" s="17" t="s">
        <v>50</v>
      </c>
      <c r="E160" s="17" t="s">
        <v>50</v>
      </c>
      <c r="F160" s="17">
        <f>I144-2</f>
        <v>78</v>
      </c>
      <c r="G160" s="17">
        <f>H144-2</f>
        <v>58</v>
      </c>
      <c r="H160" s="17">
        <f>1*C142</f>
        <v>2</v>
      </c>
      <c r="I160" s="17">
        <f>F13</f>
        <v>0</v>
      </c>
      <c r="J160" s="17"/>
      <c r="L160" s="3">
        <v>30</v>
      </c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21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s="5" customFormat="1" ht="1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ht="15.6" customHeight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ht="15.6" customHeight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ht="15.6" hidden="1" customHeight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ht="15.6" hidden="1" customHeight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15.6" hidden="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ht="15.6" hidden="1" customHeigh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ht="21" customHeigh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ht="15.6" hidden="1" customHeigh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ht="15.6" hidden="1" customHeigh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ht="15.6" hidden="1" customHeigh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ht="15.6" hidden="1" customHeigh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57" spans="1:5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</row>
    <row r="258" spans="1:5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</row>
    <row r="259" spans="1:5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</row>
    <row r="260" spans="1:5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</row>
    <row r="277" spans="3:14" ht="21" x14ac:dyDescent="0.3">
      <c r="C277" s="142" t="s">
        <v>38</v>
      </c>
      <c r="D277" s="142"/>
      <c r="E277" s="142"/>
      <c r="F277" s="142"/>
      <c r="G277" s="142"/>
      <c r="H277" s="142"/>
      <c r="I277" s="142"/>
      <c r="J277" s="142"/>
      <c r="K277" s="142"/>
      <c r="L277" s="142"/>
      <c r="M277" s="142"/>
      <c r="N277" s="142"/>
    </row>
  </sheetData>
  <mergeCells count="23">
    <mergeCell ref="C25:D25"/>
    <mergeCell ref="F145:G145"/>
    <mergeCell ref="C2:K2"/>
    <mergeCell ref="E142:H142"/>
    <mergeCell ref="E17:H17"/>
    <mergeCell ref="C4:O4"/>
    <mergeCell ref="C7:O7"/>
    <mergeCell ref="C277:N277"/>
    <mergeCell ref="J24:J25"/>
    <mergeCell ref="C57:D57"/>
    <mergeCell ref="J57:J58"/>
    <mergeCell ref="C58:D58"/>
    <mergeCell ref="F146:G146"/>
    <mergeCell ref="E102:H102"/>
    <mergeCell ref="F105:G105"/>
    <mergeCell ref="C106:D106"/>
    <mergeCell ref="F106:G106"/>
    <mergeCell ref="C107:D107"/>
    <mergeCell ref="E44:H44"/>
    <mergeCell ref="C24:D24"/>
    <mergeCell ref="E122:H122"/>
    <mergeCell ref="F125:G125"/>
    <mergeCell ref="F126:G126"/>
  </mergeCells>
  <conditionalFormatting sqref="C25">
    <cfRule type="cellIs" dxfId="19" priority="26" operator="equal">
      <formula>TRUE</formula>
    </cfRule>
    <cfRule type="cellIs" dxfId="18" priority="27" operator="equal">
      <formula>FALSE</formula>
    </cfRule>
  </conditionalFormatting>
  <conditionalFormatting sqref="C58">
    <cfRule type="cellIs" dxfId="17" priority="10" operator="equal">
      <formula>TRUE</formula>
    </cfRule>
    <cfRule type="cellIs" dxfId="16" priority="11" operator="equal">
      <formula>FALSE</formula>
    </cfRule>
  </conditionalFormatting>
  <conditionalFormatting sqref="E105:F105">
    <cfRule type="cellIs" dxfId="15" priority="18" operator="equal">
      <formula>TRUE</formula>
    </cfRule>
    <cfRule type="cellIs" dxfId="14" priority="19" operator="equal">
      <formula>FALSE</formula>
    </cfRule>
  </conditionalFormatting>
  <conditionalFormatting sqref="F125">
    <cfRule type="cellIs" dxfId="13" priority="16" operator="equal">
      <formula>TRUE</formula>
    </cfRule>
    <cfRule type="cellIs" dxfId="12" priority="17" operator="equal">
      <formula>FALSE</formula>
    </cfRule>
  </conditionalFormatting>
  <conditionalFormatting sqref="F145">
    <cfRule type="cellIs" dxfId="11" priority="14" operator="equal">
      <formula>TRUE</formula>
    </cfRule>
    <cfRule type="cellIs" dxfId="10" priority="15" operator="equal">
      <formula>FALSE</formula>
    </cfRule>
  </conditionalFormatting>
  <conditionalFormatting sqref="I25">
    <cfRule type="cellIs" dxfId="9" priority="12" operator="equal">
      <formula>TRUE</formula>
    </cfRule>
    <cfRule type="cellIs" dxfId="8" priority="13" operator="equal">
      <formula>FALSE</formula>
    </cfRule>
  </conditionalFormatting>
  <conditionalFormatting sqref="I58">
    <cfRule type="cellIs" dxfId="7" priority="8" operator="equal">
      <formula>TRUE</formula>
    </cfRule>
    <cfRule type="cellIs" dxfId="6" priority="9" operator="equal">
      <formula>FALSE</formula>
    </cfRule>
  </conditionalFormatting>
  <conditionalFormatting sqref="I105 C107">
    <cfRule type="cellIs" dxfId="5" priority="20" operator="equal">
      <formula>TRUE</formula>
    </cfRule>
    <cfRule type="cellIs" dxfId="4" priority="21" operator="equal">
      <formula>FALSE</formula>
    </cfRule>
  </conditionalFormatting>
  <conditionalFormatting sqref="B12">
    <cfRule type="cellIs" dxfId="3" priority="3" operator="equal">
      <formula>"مغلق"</formula>
    </cfRule>
    <cfRule type="cellIs" dxfId="2" priority="1" operator="equal">
      <formula>"مفعل"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716280</xdr:colOff>
                    <xdr:row>10</xdr:row>
                    <xdr:rowOff>53340</xdr:rowOff>
                  </from>
                  <to>
                    <xdr:col>10</xdr:col>
                    <xdr:colOff>457200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</xdr:colOff>
                    <xdr:row>10</xdr:row>
                    <xdr:rowOff>53340</xdr:rowOff>
                  </from>
                  <to>
                    <xdr:col>4</xdr:col>
                    <xdr:colOff>723900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883920</xdr:colOff>
                    <xdr:row>10</xdr:row>
                    <xdr:rowOff>45720</xdr:rowOff>
                  </from>
                  <to>
                    <xdr:col>7</xdr:col>
                    <xdr:colOff>594360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175260</xdr:colOff>
                    <xdr:row>10</xdr:row>
                    <xdr:rowOff>45720</xdr:rowOff>
                  </from>
                  <to>
                    <xdr:col>14</xdr:col>
                    <xdr:colOff>213360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426720</xdr:colOff>
                    <xdr:row>10</xdr:row>
                    <xdr:rowOff>38100</xdr:rowOff>
                  </from>
                  <to>
                    <xdr:col>17</xdr:col>
                    <xdr:colOff>1043940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1219200</xdr:colOff>
                    <xdr:row>10</xdr:row>
                    <xdr:rowOff>38100</xdr:rowOff>
                  </from>
                  <to>
                    <xdr:col>18</xdr:col>
                    <xdr:colOff>975360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53"/>
  <sheetViews>
    <sheetView topLeftCell="B1" zoomScale="70" zoomScaleNormal="70" workbookViewId="0">
      <pane ySplit="12" topLeftCell="A13" activePane="bottomLeft" state="frozen"/>
      <selection activeCell="B1" sqref="B1"/>
      <selection pane="bottomLeft" activeCell="L24" sqref="L24"/>
    </sheetView>
  </sheetViews>
  <sheetFormatPr defaultRowHeight="15.6" x14ac:dyDescent="0.3"/>
  <cols>
    <col min="1" max="1" width="9" style="33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85" customFormat="1" x14ac:dyDescent="0.3">
      <c r="A1" s="84">
        <v>13</v>
      </c>
      <c r="B1" s="85">
        <v>3</v>
      </c>
    </row>
    <row r="2" spans="1:23" s="85" customFormat="1" ht="31.2" customHeight="1" x14ac:dyDescent="0.3">
      <c r="A2" s="84">
        <v>20</v>
      </c>
      <c r="B2" s="85" t="s">
        <v>82</v>
      </c>
      <c r="C2" s="139" t="s">
        <v>69</v>
      </c>
      <c r="D2" s="139"/>
      <c r="E2" s="139"/>
      <c r="F2" s="139"/>
      <c r="G2" s="139"/>
      <c r="H2" s="139"/>
      <c r="I2" s="139"/>
      <c r="J2" s="139"/>
      <c r="K2" s="139"/>
    </row>
    <row r="3" spans="1:23" s="85" customFormat="1" x14ac:dyDescent="0.3">
      <c r="A3" s="84"/>
      <c r="B3" s="85" t="s">
        <v>107</v>
      </c>
      <c r="R3" s="86"/>
      <c r="S3" s="86"/>
      <c r="T3" s="86"/>
      <c r="U3" s="86"/>
      <c r="V3" s="86"/>
      <c r="W3" s="86"/>
    </row>
    <row r="4" spans="1:23" s="85" customFormat="1" ht="21" x14ac:dyDescent="0.4">
      <c r="A4" s="84"/>
      <c r="C4" s="128" t="s">
        <v>131</v>
      </c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30"/>
      <c r="R4" s="86"/>
      <c r="S4" s="86"/>
      <c r="T4" s="86"/>
      <c r="U4" s="86"/>
      <c r="V4" s="86"/>
      <c r="W4" s="86"/>
    </row>
    <row r="5" spans="1:23" s="85" customFormat="1" x14ac:dyDescent="0.3">
      <c r="A5" s="84"/>
      <c r="C5" s="83" cm="1">
        <f t="array" ref="C5:O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 دلف</v>
      </c>
      <c r="L5" s="83" t="str">
        <v>HPL</v>
      </c>
      <c r="M5" s="83" t="str">
        <v>CPL</v>
      </c>
      <c r="N5" s="83" t="str">
        <v>ظهر</v>
      </c>
      <c r="O5" s="91">
        <v>0</v>
      </c>
    </row>
    <row r="6" spans="1:23" s="85" customFormat="1" x14ac:dyDescent="0.3">
      <c r="A6" s="84"/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>
        <v>2</v>
      </c>
      <c r="O6" s="91" t="str">
        <v>الرقم</v>
      </c>
    </row>
    <row r="7" spans="1:23" s="85" customFormat="1" ht="21" x14ac:dyDescent="0.4">
      <c r="A7" s="84"/>
      <c r="C7" s="128" t="s">
        <v>117</v>
      </c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30"/>
    </row>
    <row r="8" spans="1:23" s="85" customFormat="1" x14ac:dyDescent="0.3">
      <c r="A8" s="84"/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O8" s="91"/>
    </row>
    <row r="9" spans="1:23" s="85" customFormat="1" x14ac:dyDescent="0.3">
      <c r="A9" s="84"/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O9" s="91"/>
    </row>
    <row r="10" spans="1:23" s="85" customFormat="1" ht="18" x14ac:dyDescent="0.3">
      <c r="A10" s="87"/>
      <c r="B10" s="87"/>
      <c r="C10" s="87"/>
      <c r="D10" s="87"/>
      <c r="E10" s="88"/>
      <c r="F10" s="88"/>
      <c r="G10" s="88"/>
      <c r="H10" s="88"/>
      <c r="I10" s="87"/>
      <c r="J10" s="87"/>
      <c r="K10" s="87"/>
      <c r="L10" s="87"/>
      <c r="M10" s="87"/>
    </row>
    <row r="11" spans="1:23" s="85" customFormat="1" ht="18" x14ac:dyDescent="0.3">
      <c r="A11" s="87"/>
      <c r="B11" s="104" t="s">
        <v>139</v>
      </c>
      <c r="C11" s="87"/>
      <c r="D11" s="87"/>
      <c r="E11" s="88"/>
      <c r="F11" s="88"/>
      <c r="G11" s="88"/>
      <c r="H11" s="88"/>
      <c r="I11" s="87"/>
      <c r="J11" s="87"/>
      <c r="K11" s="87"/>
      <c r="L11" s="87"/>
      <c r="M11" s="87"/>
    </row>
    <row r="12" spans="1:23" s="88" customFormat="1" ht="18" x14ac:dyDescent="0.3">
      <c r="A12" s="89"/>
      <c r="B12" s="103" t="s">
        <v>138</v>
      </c>
    </row>
    <row r="13" spans="1:23" customFormat="1" x14ac:dyDescent="0.3">
      <c r="A13" s="75"/>
    </row>
    <row r="14" spans="1:23" customFormat="1" x14ac:dyDescent="0.3">
      <c r="A14" s="34"/>
    </row>
    <row r="17" spans="1:62" ht="18" x14ac:dyDescent="0.3">
      <c r="A17" s="33" t="s">
        <v>88</v>
      </c>
      <c r="B17" s="13"/>
      <c r="C17" s="12">
        <v>1</v>
      </c>
      <c r="D17" s="20" t="s">
        <v>51</v>
      </c>
      <c r="E17" s="114" t="s">
        <v>100</v>
      </c>
      <c r="F17" s="115"/>
      <c r="G17" s="115"/>
      <c r="H17" s="116"/>
      <c r="I17" s="2" t="s">
        <v>26</v>
      </c>
      <c r="J17" s="2">
        <f>letterToNumber(A17)</f>
        <v>1</v>
      </c>
      <c r="K17" s="7">
        <f ca="1">_xlfn.SHEET("تجاليد")</f>
        <v>7</v>
      </c>
      <c r="BB17"/>
      <c r="BC17"/>
      <c r="BD17"/>
      <c r="BE17"/>
      <c r="BF17"/>
      <c r="BG17"/>
      <c r="BH17"/>
      <c r="BI17"/>
      <c r="BJ17"/>
    </row>
    <row r="18" spans="1:62" x14ac:dyDescent="0.3">
      <c r="A18" s="33">
        <v>1</v>
      </c>
      <c r="B18" s="13"/>
      <c r="C18" s="7"/>
      <c r="D18" s="16"/>
      <c r="E18" s="25" t="str" cm="1">
        <f t="array" aca="1" ref="E18" ca="1">defaultValue(F18,K17)</f>
        <v>يوفيلاك</v>
      </c>
      <c r="F18" s="7" t="s">
        <v>9</v>
      </c>
      <c r="G18" s="7">
        <v>62</v>
      </c>
      <c r="H18" s="7" t="s">
        <v>1</v>
      </c>
      <c r="I18" s="8"/>
      <c r="J18" s="7" t="s">
        <v>19</v>
      </c>
      <c r="K18" s="7"/>
      <c r="BB18"/>
      <c r="BC18"/>
      <c r="BD18"/>
      <c r="BE18"/>
      <c r="BF18"/>
      <c r="BG18"/>
      <c r="BH18"/>
      <c r="BI18"/>
      <c r="BJ18"/>
    </row>
    <row r="19" spans="1:62" ht="15.6" customHeight="1" x14ac:dyDescent="0.3">
      <c r="A19" s="33">
        <v>0</v>
      </c>
      <c r="B19"/>
      <c r="C19"/>
      <c r="D19"/>
      <c r="E19"/>
      <c r="F19"/>
      <c r="G19"/>
      <c r="H19"/>
      <c r="I19"/>
      <c r="J19"/>
      <c r="K19"/>
      <c r="BB19"/>
      <c r="BC19"/>
      <c r="BD19"/>
      <c r="BE19"/>
      <c r="BF19"/>
      <c r="BG19"/>
      <c r="BH19"/>
      <c r="BI19"/>
      <c r="BJ19"/>
    </row>
    <row r="20" spans="1:62" ht="15.6" customHeight="1" x14ac:dyDescent="0.3">
      <c r="A20" s="33">
        <v>2</v>
      </c>
      <c r="B20" s="13"/>
      <c r="C20" s="6" t="s">
        <v>4</v>
      </c>
      <c r="D20" s="6" t="s">
        <v>9</v>
      </c>
      <c r="E20" s="6" t="s">
        <v>5</v>
      </c>
      <c r="F20" s="6" t="s">
        <v>7</v>
      </c>
      <c r="G20" s="6" t="s">
        <v>1</v>
      </c>
      <c r="H20" s="6" t="s">
        <v>6</v>
      </c>
      <c r="I20" s="6" t="s">
        <v>29</v>
      </c>
      <c r="J20" s="6" t="s">
        <v>129</v>
      </c>
      <c r="K20" s="6" t="s">
        <v>113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3">
        <v>0</v>
      </c>
      <c r="B21"/>
      <c r="C21"/>
      <c r="D21"/>
      <c r="E21"/>
      <c r="F21"/>
      <c r="G21"/>
      <c r="H21"/>
      <c r="I21"/>
      <c r="J21"/>
      <c r="K21"/>
      <c r="BB21"/>
      <c r="BC21"/>
      <c r="BD21"/>
      <c r="BE21"/>
      <c r="BF21"/>
      <c r="BG21"/>
      <c r="BH21"/>
      <c r="BI21"/>
      <c r="BJ21"/>
    </row>
    <row r="22" spans="1:62" x14ac:dyDescent="0.3">
      <c r="A22" s="32">
        <v>4</v>
      </c>
      <c r="B22" s="13" t="str">
        <f>visible(E17, K22)</f>
        <v>تجليدة سفلية</v>
      </c>
      <c r="C22" s="9">
        <f>visible(1,K22)</f>
        <v>1</v>
      </c>
      <c r="D22" s="9" t="str">
        <f ca="1">visible(E18, K22)</f>
        <v>يوفيلاك</v>
      </c>
      <c r="E22" s="9" t="str">
        <f>visible("تجليدة", K22)</f>
        <v>تجليدة</v>
      </c>
      <c r="F22" s="9" t="str">
        <f>visible("", K22)</f>
        <v/>
      </c>
      <c r="G22" s="9">
        <f>visible(G18, K22)</f>
        <v>62</v>
      </c>
      <c r="H22" s="9" t="str">
        <f>visible("", K22)</f>
        <v/>
      </c>
      <c r="I22" s="9">
        <f ca="1">visible(materialNum(D22), K22)</f>
        <v>6</v>
      </c>
      <c r="J22" s="9">
        <f ca="1">visible(engraving(I22), K22)</f>
        <v>2</v>
      </c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x14ac:dyDescent="0.3">
      <c r="A23" s="32">
        <v>4</v>
      </c>
      <c r="B23" s="13" t="str">
        <f>visible(E17, K23)</f>
        <v>تجليدة سفلية</v>
      </c>
      <c r="C23" s="9">
        <f>visible(2,K23)</f>
        <v>2</v>
      </c>
      <c r="D23" s="9" t="str">
        <f ca="1">visible(E18, K23)</f>
        <v>يوفيلاك</v>
      </c>
      <c r="E23" s="9" t="str">
        <f>visible("تجليدة", K23)</f>
        <v>تجليدة</v>
      </c>
      <c r="F23" s="9" t="str">
        <f>visible("", K23)</f>
        <v/>
      </c>
      <c r="G23" s="9">
        <f>visible(G18, K23)</f>
        <v>62</v>
      </c>
      <c r="H23" s="9" t="str">
        <f>visible("", K23)</f>
        <v/>
      </c>
      <c r="I23" s="9">
        <f ca="1">visible(materialNum(D23), K23)</f>
        <v>6</v>
      </c>
      <c r="J23" s="9">
        <f ca="1">visible(engraving(I23), K23)</f>
        <v>2</v>
      </c>
      <c r="K23" s="9" t="b">
        <v>1</v>
      </c>
      <c r="BB23"/>
      <c r="BC23"/>
      <c r="BD23"/>
      <c r="BE23"/>
      <c r="BF23"/>
      <c r="BG23"/>
      <c r="BH23"/>
      <c r="BI23"/>
      <c r="BJ23"/>
    </row>
    <row r="24" spans="1:62" x14ac:dyDescent="0.3">
      <c r="A24" s="32">
        <v>4</v>
      </c>
      <c r="B24" s="13" t="str">
        <f>visible(E17, K24)</f>
        <v>تجليدة سفلية</v>
      </c>
      <c r="C24" s="9">
        <f>visible(3,K24)</f>
        <v>3</v>
      </c>
      <c r="D24" s="9" t="str">
        <f ca="1">visible(E18, K24)</f>
        <v>يوفيلاك</v>
      </c>
      <c r="E24" s="9" t="str">
        <f>visible("تجليدة", K24)</f>
        <v>تجليدة</v>
      </c>
      <c r="F24" s="9" t="str">
        <f>visible("", K24)</f>
        <v/>
      </c>
      <c r="G24" s="9">
        <f>visible(G18, K24)</f>
        <v>62</v>
      </c>
      <c r="H24" s="9" t="str">
        <f>visible("", K24)</f>
        <v/>
      </c>
      <c r="I24" s="9">
        <f ca="1">visible(materialNum(D24), K24)</f>
        <v>6</v>
      </c>
      <c r="J24" s="9">
        <f ca="1">visible(engraving(I24), K24)</f>
        <v>2</v>
      </c>
      <c r="K24" s="9" t="b">
        <v>1</v>
      </c>
      <c r="BB24"/>
      <c r="BC24"/>
      <c r="BD24"/>
      <c r="BE24"/>
      <c r="BF24"/>
      <c r="BG24"/>
      <c r="BH24"/>
      <c r="BI24"/>
      <c r="BJ24"/>
    </row>
    <row r="25" spans="1:62" x14ac:dyDescent="0.3">
      <c r="A25" s="32">
        <v>4</v>
      </c>
      <c r="B25" s="13" t="str">
        <f>visible(E17, K25)</f>
        <v>تجليدة سفلية</v>
      </c>
      <c r="C25" s="9">
        <f>visible(4,K25)</f>
        <v>4</v>
      </c>
      <c r="D25" s="9" t="str">
        <f ca="1">visible(E18, K25)</f>
        <v>يوفيلاك</v>
      </c>
      <c r="E25" s="9" t="str">
        <f>visible("تجليدة", K25)</f>
        <v>تجليدة</v>
      </c>
      <c r="F25" s="9" t="str">
        <f>visible("", K25)</f>
        <v/>
      </c>
      <c r="G25" s="9">
        <f>visible(G18, K25)</f>
        <v>62</v>
      </c>
      <c r="H25" s="9" t="str">
        <f>visible("", K25)</f>
        <v/>
      </c>
      <c r="I25" s="9">
        <f ca="1">visible(materialNum(D25), K25)</f>
        <v>6</v>
      </c>
      <c r="J25" s="9">
        <f ca="1">visible(engraving(I25), K25)</f>
        <v>2</v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2">
        <v>4</v>
      </c>
      <c r="B26" s="13" t="str">
        <f>visible(E17, K26)</f>
        <v>تجليدة سفلية</v>
      </c>
      <c r="C26" s="9">
        <f>visible(5,K26)</f>
        <v>5</v>
      </c>
      <c r="D26" s="9" t="str">
        <f ca="1">visible(E18, K26)</f>
        <v>يوفيلاك</v>
      </c>
      <c r="E26" s="9" t="str">
        <f>visible("تجليدة", K26)</f>
        <v>تجليدة</v>
      </c>
      <c r="F26" s="9" t="str">
        <f>visible("", K26)</f>
        <v/>
      </c>
      <c r="G26" s="9">
        <f>visible(G18, K26)</f>
        <v>62</v>
      </c>
      <c r="H26" s="9" t="str">
        <f>visible("", K26)</f>
        <v/>
      </c>
      <c r="I26" s="9">
        <f ca="1">visible(materialNum(D26), K26)</f>
        <v>6</v>
      </c>
      <c r="J26" s="9">
        <f ca="1">visible(engraving(I26), K26)</f>
        <v>2</v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4.4" x14ac:dyDescent="0.3">
      <c r="A27" s="32">
        <v>255</v>
      </c>
      <c r="B27"/>
      <c r="C27"/>
      <c r="D27"/>
      <c r="E27"/>
      <c r="F27"/>
      <c r="G27"/>
      <c r="H27"/>
      <c r="I27"/>
      <c r="J27"/>
      <c r="K27"/>
      <c r="L27"/>
      <c r="BB27"/>
      <c r="BC27"/>
      <c r="BD27"/>
      <c r="BE27"/>
      <c r="BF27"/>
      <c r="BG27"/>
      <c r="BH27"/>
      <c r="BI27"/>
      <c r="BJ27"/>
    </row>
    <row r="28" spans="1:62" customFormat="1" ht="14.4" x14ac:dyDescent="0.3">
      <c r="A28" s="37">
        <v>255</v>
      </c>
    </row>
    <row r="29" spans="1:62" ht="18" x14ac:dyDescent="0.3">
      <c r="A29" s="33" t="s">
        <v>93</v>
      </c>
      <c r="B29" s="13"/>
      <c r="C29" s="12">
        <v>1</v>
      </c>
      <c r="D29" s="20" t="s">
        <v>51</v>
      </c>
      <c r="E29" s="114" t="s">
        <v>101</v>
      </c>
      <c r="F29" s="115"/>
      <c r="G29" s="115"/>
      <c r="H29" s="116"/>
      <c r="I29" s="2" t="s">
        <v>26</v>
      </c>
      <c r="J29" s="2">
        <f>letterToNumber(A29)</f>
        <v>2</v>
      </c>
      <c r="K29" s="7">
        <f ca="1">_xlfn.SHEET("تجاليد")</f>
        <v>7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3">
        <v>1</v>
      </c>
      <c r="B30" s="13"/>
      <c r="C30" s="7"/>
      <c r="D30" s="16"/>
      <c r="E30" s="25" t="str" cm="1">
        <f t="array" aca="1" ref="E30" ca="1">defaultValue(F30,K29)</f>
        <v>يوفيلاك</v>
      </c>
      <c r="F30" s="7" t="s">
        <v>9</v>
      </c>
      <c r="G30" s="7">
        <v>32</v>
      </c>
      <c r="H30" s="7" t="s">
        <v>1</v>
      </c>
      <c r="I30" s="8"/>
      <c r="J30" s="7" t="s">
        <v>19</v>
      </c>
      <c r="K30" s="7"/>
      <c r="BB30"/>
      <c r="BC30"/>
      <c r="BD30"/>
      <c r="BE30"/>
      <c r="BF30"/>
      <c r="BG30"/>
      <c r="BH30"/>
      <c r="BI30"/>
      <c r="BJ30"/>
    </row>
    <row r="31" spans="1:62" ht="15.6" customHeight="1" x14ac:dyDescent="0.3">
      <c r="A31" s="33">
        <v>0</v>
      </c>
      <c r="B31"/>
      <c r="C31"/>
      <c r="D31"/>
      <c r="E31"/>
      <c r="F31"/>
      <c r="G31"/>
      <c r="H31"/>
      <c r="I31"/>
      <c r="J31"/>
      <c r="K31"/>
      <c r="BB31"/>
      <c r="BC31"/>
      <c r="BD31"/>
      <c r="BE31"/>
      <c r="BF31"/>
      <c r="BG31"/>
      <c r="BH31"/>
      <c r="BI31"/>
      <c r="BJ31"/>
    </row>
    <row r="32" spans="1:62" ht="15.6" customHeight="1" x14ac:dyDescent="0.3">
      <c r="A32" s="33">
        <v>2</v>
      </c>
      <c r="B32" s="13"/>
      <c r="C32" s="6" t="s">
        <v>4</v>
      </c>
      <c r="D32" s="6" t="s">
        <v>9</v>
      </c>
      <c r="E32" s="6" t="s">
        <v>5</v>
      </c>
      <c r="F32" s="6" t="s">
        <v>7</v>
      </c>
      <c r="G32" s="6" t="s">
        <v>1</v>
      </c>
      <c r="H32" s="6" t="s">
        <v>6</v>
      </c>
      <c r="I32" s="6" t="s">
        <v>29</v>
      </c>
      <c r="J32" s="6" t="s">
        <v>129</v>
      </c>
      <c r="K32" s="6" t="s">
        <v>113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3">
        <v>0</v>
      </c>
      <c r="B33"/>
      <c r="C33"/>
      <c r="D33"/>
      <c r="E33"/>
      <c r="F33"/>
      <c r="G33"/>
      <c r="H33"/>
      <c r="I33"/>
      <c r="J33"/>
      <c r="K33"/>
      <c r="BB33"/>
      <c r="BC33"/>
      <c r="BD33"/>
      <c r="BE33"/>
      <c r="BF33"/>
      <c r="BG33"/>
      <c r="BH33"/>
      <c r="BI33"/>
      <c r="BJ33"/>
    </row>
    <row r="34" spans="1:62" x14ac:dyDescent="0.3">
      <c r="A34" s="32">
        <v>4</v>
      </c>
      <c r="B34" s="13" t="str">
        <f>visible(E29, K34)</f>
        <v>تجليدة علوية</v>
      </c>
      <c r="C34" s="9">
        <f>visible(1,K34)</f>
        <v>1</v>
      </c>
      <c r="D34" s="9" t="str">
        <f ca="1">visible(E30, K34)</f>
        <v>يوفيلاك</v>
      </c>
      <c r="E34" s="9" t="str">
        <f>visible("تجليدة", K34)</f>
        <v>تجليدة</v>
      </c>
      <c r="F34" s="9" t="str">
        <f>visible("", K34)</f>
        <v/>
      </c>
      <c r="G34" s="9">
        <f>visible(G30, K34)</f>
        <v>32</v>
      </c>
      <c r="H34" s="9" t="str">
        <f>visible("", K34)</f>
        <v/>
      </c>
      <c r="I34" s="9">
        <f ca="1">visible(materialNum(D34), K34)</f>
        <v>6</v>
      </c>
      <c r="J34" s="9">
        <f ca="1">visible(engraving(I34), K34)</f>
        <v>2</v>
      </c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x14ac:dyDescent="0.3">
      <c r="A35" s="32">
        <v>4</v>
      </c>
      <c r="B35" s="13" t="str">
        <f>visible(E29, K35)</f>
        <v>تجليدة علوية</v>
      </c>
      <c r="C35" s="9">
        <f>visible(2,K35)</f>
        <v>2</v>
      </c>
      <c r="D35" s="9" t="str">
        <f ca="1">visible(E30, K35)</f>
        <v>يوفيلاك</v>
      </c>
      <c r="E35" s="9" t="str">
        <f>visible("تجليدة", K35)</f>
        <v>تجليدة</v>
      </c>
      <c r="F35" s="9" t="str">
        <f>visible("", K35)</f>
        <v/>
      </c>
      <c r="G35" s="9">
        <f>visible(G30, K35)</f>
        <v>32</v>
      </c>
      <c r="H35" s="9" t="str">
        <f>visible("", K35)</f>
        <v/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  <c r="BB35"/>
      <c r="BC35"/>
      <c r="BD35"/>
      <c r="BE35"/>
      <c r="BF35"/>
      <c r="BG35"/>
      <c r="BH35"/>
      <c r="BI35"/>
      <c r="BJ35"/>
    </row>
    <row r="36" spans="1:62" x14ac:dyDescent="0.3">
      <c r="A36" s="32">
        <v>4</v>
      </c>
      <c r="B36" s="13" t="str">
        <f>visible(E29, K36)</f>
        <v>تجليدة علوية</v>
      </c>
      <c r="C36" s="9">
        <f>visible(3,K36)</f>
        <v>3</v>
      </c>
      <c r="D36" s="9" t="str">
        <f ca="1">visible(E30, K36)</f>
        <v>يوفيلاك</v>
      </c>
      <c r="E36" s="9" t="str">
        <f>visible("تجليدة", K36)</f>
        <v>تجليدة</v>
      </c>
      <c r="F36" s="9" t="str">
        <f>visible("", K36)</f>
        <v/>
      </c>
      <c r="G36" s="9">
        <f>visible(G30, K36)</f>
        <v>32</v>
      </c>
      <c r="H36" s="9" t="str">
        <f>visible("", K36)</f>
        <v/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  <c r="BB36"/>
      <c r="BC36"/>
      <c r="BD36"/>
      <c r="BE36"/>
      <c r="BF36"/>
      <c r="BG36"/>
      <c r="BH36"/>
      <c r="BI36"/>
      <c r="BJ36"/>
    </row>
    <row r="37" spans="1:62" x14ac:dyDescent="0.3">
      <c r="A37" s="32">
        <v>4</v>
      </c>
      <c r="B37" s="13" t="str">
        <f>visible(E29, K37)</f>
        <v>تجليدة علوية</v>
      </c>
      <c r="C37" s="9">
        <f>visible(4,K37)</f>
        <v>4</v>
      </c>
      <c r="D37" s="9" t="str">
        <f ca="1">visible(E30, K37)</f>
        <v>يوفيلاك</v>
      </c>
      <c r="E37" s="9" t="str">
        <f>visible("تجليدة", K37)</f>
        <v>تجليدة</v>
      </c>
      <c r="F37" s="9" t="str">
        <f>visible("", K37)</f>
        <v/>
      </c>
      <c r="G37" s="9">
        <f>visible(G30, K37)</f>
        <v>32</v>
      </c>
      <c r="H37" s="9" t="str">
        <f>visible("", K37)</f>
        <v/>
      </c>
      <c r="I37" s="9">
        <f ca="1">visible(materialNum(D37), K37)</f>
        <v>6</v>
      </c>
      <c r="J37" s="9">
        <f ca="1">visible(engraving(I37), K37)</f>
        <v>2</v>
      </c>
      <c r="K37" s="9" t="b">
        <v>1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2">
        <v>4</v>
      </c>
      <c r="B38" s="13" t="str">
        <f>visible(E29, K38)</f>
        <v>تجليدة علوية</v>
      </c>
      <c r="C38" s="9">
        <f>visible(5,K38)</f>
        <v>5</v>
      </c>
      <c r="D38" s="9" t="str">
        <f ca="1">visible(E30, K38)</f>
        <v>يوفيلاك</v>
      </c>
      <c r="E38" s="9" t="str">
        <f>visible("تجليدة", K38)</f>
        <v>تجليدة</v>
      </c>
      <c r="F38" s="9" t="str">
        <f>visible("", K38)</f>
        <v/>
      </c>
      <c r="G38" s="9">
        <f>visible(G30, K38)</f>
        <v>32</v>
      </c>
      <c r="H38" s="9" t="str">
        <f>visible("", K38)</f>
        <v/>
      </c>
      <c r="I38" s="9">
        <f ca="1">visible(materialNum(D38), K38)</f>
        <v>6</v>
      </c>
      <c r="J38" s="9">
        <f ca="1">visible(engraving(I38), K38)</f>
        <v>2</v>
      </c>
      <c r="K38" s="9" t="b">
        <v>1</v>
      </c>
      <c r="BB38"/>
      <c r="BC38"/>
      <c r="BD38"/>
      <c r="BE38"/>
      <c r="BF38"/>
      <c r="BG38"/>
      <c r="BH38"/>
      <c r="BI38"/>
      <c r="BJ38"/>
    </row>
    <row r="39" spans="1:62" customFormat="1" ht="14.4" x14ac:dyDescent="0.3">
      <c r="A39" s="37">
        <v>255</v>
      </c>
    </row>
    <row r="40" spans="1:62" customFormat="1" ht="14.4" x14ac:dyDescent="0.3">
      <c r="A40" s="37">
        <v>255</v>
      </c>
    </row>
    <row r="41" spans="1:62" ht="18" x14ac:dyDescent="0.3">
      <c r="A41" s="33" t="s">
        <v>89</v>
      </c>
      <c r="B41" s="13"/>
      <c r="C41" s="12">
        <v>1</v>
      </c>
      <c r="D41" s="20" t="s">
        <v>51</v>
      </c>
      <c r="E41" s="114" t="s">
        <v>102</v>
      </c>
      <c r="F41" s="115"/>
      <c r="G41" s="115"/>
      <c r="H41" s="116"/>
      <c r="I41" s="2" t="s">
        <v>26</v>
      </c>
      <c r="J41" s="2">
        <f>letterToNumber(A41)</f>
        <v>3</v>
      </c>
      <c r="K41" s="7">
        <f ca="1">_xlfn.SHEET("تجاليد")</f>
        <v>7</v>
      </c>
      <c r="BB41"/>
      <c r="BC41"/>
      <c r="BD41"/>
      <c r="BE41"/>
      <c r="BF41"/>
      <c r="BG41"/>
      <c r="BH41"/>
      <c r="BI41"/>
      <c r="BJ41"/>
    </row>
    <row r="42" spans="1:62" x14ac:dyDescent="0.3">
      <c r="A42" s="33">
        <v>1</v>
      </c>
      <c r="B42" s="13"/>
      <c r="C42" s="7"/>
      <c r="D42" s="16"/>
      <c r="E42" s="25" t="str" cm="1">
        <f t="array" aca="1" ref="E42" ca="1">defaultValue(F42,K41)</f>
        <v>يوفيلاك</v>
      </c>
      <c r="F42" s="7" t="s">
        <v>9</v>
      </c>
      <c r="G42" s="7">
        <v>20</v>
      </c>
      <c r="H42" s="7" t="s">
        <v>1</v>
      </c>
      <c r="I42" s="8"/>
      <c r="J42" s="7" t="s">
        <v>19</v>
      </c>
      <c r="K42" s="7"/>
      <c r="BB42"/>
      <c r="BC42"/>
      <c r="BD42"/>
      <c r="BE42"/>
      <c r="BF42"/>
      <c r="BG42"/>
      <c r="BH42"/>
      <c r="BI42"/>
      <c r="BJ42"/>
    </row>
    <row r="43" spans="1:62" ht="15.6" customHeight="1" x14ac:dyDescent="0.3">
      <c r="A43" s="33">
        <v>0</v>
      </c>
      <c r="B43"/>
      <c r="C43"/>
      <c r="D43"/>
      <c r="E43"/>
      <c r="F43"/>
      <c r="G43"/>
      <c r="H43"/>
      <c r="I43"/>
      <c r="J43"/>
      <c r="K43"/>
      <c r="BB43"/>
      <c r="BC43"/>
      <c r="BD43"/>
      <c r="BE43"/>
      <c r="BF43"/>
      <c r="BG43"/>
      <c r="BH43"/>
      <c r="BI43"/>
      <c r="BJ43"/>
    </row>
    <row r="44" spans="1:62" ht="15.6" customHeight="1" x14ac:dyDescent="0.3">
      <c r="A44" s="33">
        <v>2</v>
      </c>
      <c r="B44" s="13"/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29</v>
      </c>
      <c r="J44" s="6" t="s">
        <v>129</v>
      </c>
      <c r="K44" s="6" t="s">
        <v>113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3">
        <v>0</v>
      </c>
      <c r="B45"/>
      <c r="C45"/>
      <c r="D45"/>
      <c r="E45"/>
      <c r="F45"/>
      <c r="G45"/>
      <c r="H45"/>
      <c r="I45"/>
      <c r="J45"/>
      <c r="K45"/>
      <c r="BB45"/>
      <c r="BC45"/>
      <c r="BD45"/>
      <c r="BE45"/>
      <c r="BF45"/>
      <c r="BG45"/>
      <c r="BH45"/>
      <c r="BI45"/>
      <c r="BJ45"/>
    </row>
    <row r="46" spans="1:62" x14ac:dyDescent="0.3">
      <c r="A46" s="32">
        <v>4</v>
      </c>
      <c r="B46" s="13" t="str">
        <f>visible(E41, K46)</f>
        <v>تجليدة مختلفة</v>
      </c>
      <c r="C46" s="9">
        <f>visible(1,K46)</f>
        <v>1</v>
      </c>
      <c r="D46" s="9" t="str">
        <f ca="1">visible(E42, K46)</f>
        <v>يوفيلاك</v>
      </c>
      <c r="E46" s="9" t="str">
        <f>visible("تجليدة", K46)</f>
        <v>تجليدة</v>
      </c>
      <c r="F46" s="9" t="str">
        <f>visible("", K46)</f>
        <v/>
      </c>
      <c r="G46" s="9">
        <f>visible(G42, K46)</f>
        <v>20</v>
      </c>
      <c r="H46" s="9" t="str">
        <f>visible("", K46)</f>
        <v/>
      </c>
      <c r="I46" s="9">
        <f ca="1">visible(materialNum(D46), K46)</f>
        <v>6</v>
      </c>
      <c r="J46" s="9">
        <f ca="1">visible(engraving(I46), K46)</f>
        <v>2</v>
      </c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x14ac:dyDescent="0.3">
      <c r="A47" s="32">
        <v>4</v>
      </c>
      <c r="B47" s="13" t="str">
        <f>visible(E41, K47)</f>
        <v>تجليدة مختلفة</v>
      </c>
      <c r="C47" s="9">
        <f>visible(2,K47)</f>
        <v>2</v>
      </c>
      <c r="D47" s="9" t="str">
        <f ca="1">visible(E42, K47)</f>
        <v>يوفيلاك</v>
      </c>
      <c r="E47" s="9" t="str">
        <f>visible("تجليدة", K47)</f>
        <v>تجليدة</v>
      </c>
      <c r="F47" s="9" t="str">
        <f>visible("", K47)</f>
        <v/>
      </c>
      <c r="G47" s="9">
        <f>visible(G42, K47)</f>
        <v>20</v>
      </c>
      <c r="H47" s="9" t="str">
        <f>visible("", K47)</f>
        <v/>
      </c>
      <c r="I47" s="9">
        <f ca="1">visible(materialNum(D47), K47)</f>
        <v>6</v>
      </c>
      <c r="J47" s="9">
        <f ca="1">visible(engraving(I47), K47)</f>
        <v>2</v>
      </c>
      <c r="K47" s="9" t="b">
        <v>1</v>
      </c>
      <c r="BB47"/>
      <c r="BC47"/>
      <c r="BD47"/>
      <c r="BE47"/>
      <c r="BF47"/>
      <c r="BG47"/>
      <c r="BH47"/>
      <c r="BI47"/>
      <c r="BJ47"/>
    </row>
    <row r="48" spans="1:62" x14ac:dyDescent="0.3">
      <c r="A48" s="32">
        <v>4</v>
      </c>
      <c r="B48" s="13" t="str">
        <f>visible(E41, K48)</f>
        <v>تجليدة مختلفة</v>
      </c>
      <c r="C48" s="9">
        <f>visible(3,K48)</f>
        <v>3</v>
      </c>
      <c r="D48" s="9" t="str">
        <f ca="1">visible(E42, K48)</f>
        <v>يوفيلاك</v>
      </c>
      <c r="E48" s="9" t="str">
        <f>visible("تجليدة", K48)</f>
        <v>تجليدة</v>
      </c>
      <c r="F48" s="9" t="str">
        <f>visible("", K48)</f>
        <v/>
      </c>
      <c r="G48" s="9">
        <f>visible(G42, K48)</f>
        <v>20</v>
      </c>
      <c r="H48" s="9" t="str">
        <f>visible("", K48)</f>
        <v/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x14ac:dyDescent="0.3">
      <c r="A49" s="32">
        <v>4</v>
      </c>
      <c r="B49" s="13" t="str">
        <f>visible(E41, K49)</f>
        <v>تجليدة مختلفة</v>
      </c>
      <c r="C49" s="9">
        <f>visible(4,K49)</f>
        <v>4</v>
      </c>
      <c r="D49" s="9" t="str">
        <f ca="1">visible(E42, K49)</f>
        <v>يوفيلاك</v>
      </c>
      <c r="E49" s="9" t="str">
        <f>visible("تجليدة", K49)</f>
        <v>تجليدة</v>
      </c>
      <c r="F49" s="9" t="str">
        <f>visible("", K49)</f>
        <v/>
      </c>
      <c r="G49" s="9">
        <f>visible(G42, K49)</f>
        <v>20</v>
      </c>
      <c r="H49" s="9" t="str">
        <f>visible("", K49)</f>
        <v/>
      </c>
      <c r="I49" s="9">
        <f ca="1">visible(materialNum(D49), K49)</f>
        <v>6</v>
      </c>
      <c r="J49" s="9">
        <f ca="1">visible(engraving(I49), K49)</f>
        <v>2</v>
      </c>
      <c r="K49" s="9" t="b">
        <v>1</v>
      </c>
      <c r="BB49"/>
      <c r="BC49"/>
      <c r="BD49"/>
      <c r="BE49"/>
      <c r="BF49"/>
      <c r="BG49"/>
      <c r="BH49"/>
      <c r="BI49"/>
      <c r="BJ49"/>
    </row>
    <row r="50" spans="1:62" x14ac:dyDescent="0.3">
      <c r="A50" s="32">
        <v>4</v>
      </c>
      <c r="B50" s="13" t="str">
        <f>visible(E41, K50)</f>
        <v>تجليدة مختلفة</v>
      </c>
      <c r="C50" s="9">
        <f>visible(5,K50)</f>
        <v>5</v>
      </c>
      <c r="D50" s="9" t="str">
        <f ca="1">visible(E42, K50)</f>
        <v>يوفيلاك</v>
      </c>
      <c r="E50" s="9" t="str">
        <f>visible("تجليدة", K50)</f>
        <v>تجليدة</v>
      </c>
      <c r="F50" s="9" t="str">
        <f>visible("", K50)</f>
        <v/>
      </c>
      <c r="G50" s="9">
        <f>visible(G42, K50)</f>
        <v>20</v>
      </c>
      <c r="H50" s="9" t="str">
        <f>visible("", K50)</f>
        <v/>
      </c>
      <c r="I50" s="9">
        <f ca="1">visible(materialNum(D50), K50)</f>
        <v>6</v>
      </c>
      <c r="J50" s="9">
        <f ca="1">visible(engraving(I50), K50)</f>
        <v>2</v>
      </c>
      <c r="K50" s="9" t="b">
        <v>1</v>
      </c>
      <c r="BB50"/>
      <c r="BC50"/>
      <c r="BD50"/>
      <c r="BE50"/>
      <c r="BF50"/>
      <c r="BG50"/>
      <c r="BH50"/>
      <c r="BI50"/>
      <c r="BJ50"/>
    </row>
    <row r="51" spans="1:62" customFormat="1" ht="14.4" x14ac:dyDescent="0.3">
      <c r="A51" s="37">
        <v>255</v>
      </c>
    </row>
    <row r="52" spans="1:62" customFormat="1" ht="14.4" x14ac:dyDescent="0.3">
      <c r="A52" s="37">
        <v>255</v>
      </c>
    </row>
    <row r="53" spans="1:62" x14ac:dyDescent="0.3">
      <c r="BB53"/>
      <c r="BC53"/>
      <c r="BD53"/>
      <c r="BE53"/>
      <c r="BF53"/>
      <c r="BG53"/>
      <c r="BH53"/>
      <c r="BI53"/>
      <c r="BJ53"/>
    </row>
  </sheetData>
  <mergeCells count="6">
    <mergeCell ref="E17:H17"/>
    <mergeCell ref="E29:H29"/>
    <mergeCell ref="E41:H41"/>
    <mergeCell ref="C2:K2"/>
    <mergeCell ref="C4:O4"/>
    <mergeCell ref="C7:O7"/>
  </mergeCells>
  <conditionalFormatting sqref="B12">
    <cfRule type="cellIs" dxfId="1" priority="2" operator="equal">
      <formula>"مغلق"</formula>
    </cfRule>
    <cfRule type="cellIs" dxfId="0" priority="1" operator="equal">
      <formula>"مفعل"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22860</xdr:colOff>
                    <xdr:row>10</xdr:row>
                    <xdr:rowOff>7620</xdr:rowOff>
                  </from>
                  <to>
                    <xdr:col>10</xdr:col>
                    <xdr:colOff>388620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30480</xdr:colOff>
                    <xdr:row>10</xdr:row>
                    <xdr:rowOff>7620</xdr:rowOff>
                  </from>
                  <to>
                    <xdr:col>4</xdr:col>
                    <xdr:colOff>175260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312420</xdr:colOff>
                    <xdr:row>10</xdr:row>
                    <xdr:rowOff>7620</xdr:rowOff>
                  </from>
                  <to>
                    <xdr:col>7</xdr:col>
                    <xdr:colOff>434340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548640</xdr:colOff>
                    <xdr:row>9</xdr:row>
                    <xdr:rowOff>220980</xdr:rowOff>
                  </from>
                  <to>
                    <xdr:col>14</xdr:col>
                    <xdr:colOff>106680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281940</xdr:colOff>
                    <xdr:row>10</xdr:row>
                    <xdr:rowOff>15240</xdr:rowOff>
                  </from>
                  <to>
                    <xdr:col>18</xdr:col>
                    <xdr:colOff>220980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calc">
                <anchor moveWithCells="1" sizeWithCells="1">
                  <from>
                    <xdr:col>18</xdr:col>
                    <xdr:colOff>396240</xdr:colOff>
                    <xdr:row>10</xdr:row>
                    <xdr:rowOff>15240</xdr:rowOff>
                  </from>
                  <to>
                    <xdr:col>20</xdr:col>
                    <xdr:colOff>289560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2024-10-09T15:32:14Z</dcterms:modified>
</cp:coreProperties>
</file>