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"/>
    </mc:Choice>
  </mc:AlternateContent>
  <xr:revisionPtr revIDLastSave="0" documentId="13_ncr:1_{EA1AA75A-E961-4C2B-B8A9-3504EE396C6B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8" l="1" a="1"/>
  <c r="V11" i="8" l="1"/>
  <c r="V16" i="8" a="1"/>
  <c r="V18" i="8" a="1"/>
  <c r="V19" i="8" a="1"/>
  <c r="V21" i="8" a="1"/>
  <c r="V17" i="8" a="1"/>
  <c r="V12" i="8" a="1"/>
  <c r="V20" i="8" a="1"/>
  <c r="V23" i="8" a="1"/>
  <c r="V14" i="8" a="1"/>
  <c r="V15" i="8" a="1"/>
  <c r="V22" i="8" a="1"/>
  <c r="V13" i="8" a="1"/>
  <c r="V16" i="8" l="1"/>
  <c r="V13" i="8"/>
  <c r="V14" i="8"/>
  <c r="V23" i="8"/>
  <c r="V22" i="8"/>
  <c r="V15" i="8"/>
  <c r="V20" i="8"/>
  <c r="V12" i="8"/>
  <c r="V17" i="8"/>
  <c r="V21" i="8"/>
  <c r="V19" i="8"/>
  <c r="V18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P12" i="8" a="1"/>
  <c r="S13" i="8" a="1"/>
  <c r="J16" i="8" a="1"/>
  <c r="J79" i="4"/>
  <c r="M21" i="8" a="1"/>
  <c r="J127" i="7"/>
  <c r="S18" i="8" a="1"/>
  <c r="P11" i="8" a="1"/>
  <c r="S19" i="8" a="1"/>
  <c r="J12" i="8" a="1"/>
  <c r="J25" i="6"/>
  <c r="P21" i="8" a="1"/>
  <c r="S20" i="8" a="1"/>
  <c r="M20" i="8" a="1"/>
  <c r="J22" i="8" a="1"/>
  <c r="J37" i="6"/>
  <c r="P13" i="8" a="1"/>
  <c r="S14" i="8" a="1"/>
  <c r="M14" i="8" a="1"/>
  <c r="J21" i="8" a="1"/>
  <c r="P16" i="8" a="1"/>
  <c r="P20" i="8" a="1"/>
  <c r="S22" i="8" a="1"/>
  <c r="M19" i="8" a="1"/>
  <c r="J20" i="8" a="1"/>
  <c r="S21" i="8" a="1"/>
  <c r="J19" i="8" a="1"/>
  <c r="S16" i="8" a="1"/>
  <c r="S12" i="8" a="1"/>
  <c r="P19" i="8" a="1"/>
  <c r="S15" i="8" a="1"/>
  <c r="J13" i="8" a="1"/>
  <c r="S11" i="8" a="1"/>
  <c r="J17" i="8" a="1"/>
  <c r="J11" i="8" a="1"/>
  <c r="M22" i="8" a="1"/>
  <c r="P17" i="8" a="1"/>
  <c r="J23" i="8" a="1"/>
  <c r="S17" i="8" a="1"/>
  <c r="P23" i="8" a="1"/>
  <c r="J18" i="8" a="1"/>
  <c r="M15" i="8" a="1"/>
  <c r="M23" i="8" a="1"/>
  <c r="J31" i="7"/>
  <c r="S23" i="8" a="1"/>
  <c r="P22" i="8" a="1"/>
  <c r="J150" i="3"/>
  <c r="I36" i="4" a="1"/>
  <c r="J152" i="4" a="1"/>
  <c r="I15" i="4" a="1"/>
  <c r="J81" i="4" a="1"/>
  <c r="I131" i="4" a="1"/>
  <c r="I57" i="4" a="1"/>
  <c r="I152" i="4" a="1"/>
  <c r="I81" i="4" a="1"/>
  <c r="J15" i="4" a="1"/>
  <c r="J106" i="4" a="1"/>
  <c r="G131" i="4" a="1"/>
  <c r="G152" i="4" a="1"/>
  <c r="G57" i="4" a="1"/>
  <c r="G81" i="4" a="1"/>
  <c r="J132" i="4" a="1"/>
  <c r="I106" i="4" a="1"/>
  <c r="J105" i="4" a="1"/>
  <c r="J36" i="4" a="1"/>
  <c r="G105" i="4" a="1"/>
  <c r="G15" i="4" a="1"/>
  <c r="G36" i="4" a="1"/>
  <c r="I105" i="4" a="1"/>
  <c r="J57" i="4" a="1"/>
  <c r="I132" i="4" a="1"/>
  <c r="J131" i="4" a="1"/>
  <c r="I106" i="4" l="1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P17" i="8"/>
  <c r="P19" i="8"/>
  <c r="P20" i="8"/>
  <c r="P13" i="8"/>
  <c r="P21" i="8"/>
  <c r="P11" i="8"/>
  <c r="P12" i="8"/>
  <c r="P16" i="8"/>
  <c r="P22" i="8"/>
  <c r="S16" i="8"/>
  <c r="S21" i="8"/>
  <c r="S15" i="8"/>
  <c r="S22" i="8"/>
  <c r="S14" i="8"/>
  <c r="S20" i="8"/>
  <c r="S19" i="8"/>
  <c r="S13" i="8"/>
  <c r="S18" i="8"/>
  <c r="S12" i="8"/>
  <c r="S23" i="8"/>
  <c r="S17" i="8"/>
  <c r="S11" i="8"/>
  <c r="P23" i="8"/>
  <c r="M19" i="8"/>
  <c r="M14" i="8"/>
  <c r="M20" i="8"/>
  <c r="M21" i="8"/>
  <c r="M22" i="8"/>
  <c r="M15" i="8"/>
  <c r="M23" i="8"/>
  <c r="J17" i="8"/>
  <c r="J19" i="8"/>
  <c r="J13" i="8"/>
  <c r="J20" i="8"/>
  <c r="J21" i="8"/>
  <c r="J22" i="8"/>
  <c r="J12" i="8"/>
  <c r="J16" i="8"/>
  <c r="J23" i="8"/>
  <c r="J11" i="8"/>
  <c r="J1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M12" i="8" a="1"/>
  <c r="J40" i="5"/>
  <c r="J86" i="7"/>
  <c r="J107" i="3"/>
  <c r="J150" i="4"/>
  <c r="M16" i="8" a="1"/>
  <c r="J34" i="4"/>
  <c r="J66" i="3"/>
  <c r="J13" i="5"/>
  <c r="J31" i="3"/>
  <c r="M11" i="8" a="1"/>
  <c r="J103" i="4"/>
  <c r="J66" i="7"/>
  <c r="J13" i="7"/>
  <c r="M18" i="8" a="1"/>
  <c r="J127" i="3"/>
  <c r="J86" i="3"/>
  <c r="J13" i="3"/>
  <c r="J55" i="4"/>
  <c r="J107" i="7"/>
  <c r="M13" i="8" a="1"/>
  <c r="J129" i="4"/>
  <c r="M17" i="8" a="1"/>
  <c r="J13" i="4"/>
  <c r="J13" i="6"/>
  <c r="F108" i="4" a="1"/>
  <c r="J129" i="7" a="1"/>
  <c r="I68" i="3" a="1"/>
  <c r="F85" i="4" a="1"/>
  <c r="H61" i="4" a="1"/>
  <c r="J34" i="7" a="1"/>
  <c r="F15" i="4" a="1"/>
  <c r="E14" i="6" a="1"/>
  <c r="E68" i="3" a="1"/>
  <c r="I110" i="3" a="1"/>
  <c r="H85" i="4" a="1"/>
  <c r="I109" i="7" a="1"/>
  <c r="J89" i="3" a="1"/>
  <c r="I34" i="3" a="1"/>
  <c r="D54" i="5" a="1"/>
  <c r="F19" i="4" a="1"/>
  <c r="H108" i="4" a="1"/>
  <c r="H54" i="5" a="1"/>
  <c r="J88" i="7" a="1"/>
  <c r="F131" i="4" a="1"/>
  <c r="J152" i="3" a="1"/>
  <c r="I88" i="3" a="1"/>
  <c r="E152" i="3" a="1"/>
  <c r="F156" i="4" a="1"/>
  <c r="H21" i="5" a="1"/>
  <c r="F81" i="4" a="1"/>
  <c r="I109" i="3" a="1"/>
  <c r="J88" i="3" a="1"/>
  <c r="G152" i="3" a="1"/>
  <c r="F61" i="4" a="1"/>
  <c r="H40" i="4" a="1"/>
  <c r="I68" i="7" a="1"/>
  <c r="F152" i="4" a="1"/>
  <c r="E88" i="3" a="1"/>
  <c r="I129" i="3" a="1"/>
  <c r="J109" i="3" a="1"/>
  <c r="H19" i="4" a="1"/>
  <c r="D61" i="4" a="1"/>
  <c r="F57" i="4" a="1"/>
  <c r="E38" i="6" a="1"/>
  <c r="J15" i="3" a="1"/>
  <c r="I32" i="3" a="1"/>
  <c r="D21" i="5" a="1"/>
  <c r="F40" i="4" a="1"/>
  <c r="I110" i="7" a="1"/>
  <c r="F134" i="4" a="1"/>
  <c r="H156" i="4" a="1"/>
  <c r="I129" i="7" a="1"/>
  <c r="D134" i="4" a="1"/>
  <c r="F36" i="4" a="1"/>
  <c r="I15" i="3" a="1"/>
  <c r="J34" i="3" a="1"/>
  <c r="J129" i="3" a="1"/>
  <c r="I152" i="3" a="1"/>
  <c r="E26" i="6" a="1"/>
  <c r="J68" i="7" a="1"/>
  <c r="D156" i="4" a="1"/>
  <c r="I89" i="3" a="1"/>
  <c r="F54" i="5" a="1"/>
  <c r="H134" i="4" a="1"/>
  <c r="I88" i="7" a="1"/>
  <c r="D85" i="4" a="1"/>
  <c r="F105" i="4" a="1"/>
  <c r="E15" i="3" a="1"/>
  <c r="I89" i="7" a="1"/>
  <c r="D108" i="4" a="1"/>
  <c r="G34" i="3" a="1"/>
  <c r="J68" i="3" a="1"/>
  <c r="I34" i="7" a="1"/>
  <c r="G129" i="3" a="1"/>
  <c r="E129" i="3" a="1"/>
  <c r="E109" i="3" a="1"/>
  <c r="J110" i="3" a="1"/>
  <c r="F21" i="5" a="1"/>
  <c r="J89" i="7" a="1"/>
  <c r="J109" i="7" a="1"/>
  <c r="D19" i="4" a="1"/>
  <c r="J110" i="7" a="1"/>
  <c r="D40" i="4" a="1"/>
  <c r="D54" i="5" l="1"/>
  <c r="D21" i="5"/>
  <c r="M17" i="8"/>
  <c r="F105" i="4"/>
  <c r="F36" i="4"/>
  <c r="F57" i="4"/>
  <c r="F152" i="4"/>
  <c r="F81" i="4"/>
  <c r="F95" i="4" s="1"/>
  <c r="F131" i="4"/>
  <c r="F15" i="4"/>
  <c r="D40" i="4"/>
  <c r="D19" i="4"/>
  <c r="D156" i="4"/>
  <c r="D108" i="4"/>
  <c r="D85" i="4"/>
  <c r="D134" i="4"/>
  <c r="D61" i="4"/>
  <c r="M13" i="8"/>
  <c r="M1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M11" i="8"/>
  <c r="H21" i="5"/>
  <c r="H54" i="5"/>
  <c r="M16" i="8"/>
  <c r="H134" i="4"/>
  <c r="H156" i="4"/>
  <c r="H19" i="4"/>
  <c r="H40" i="4"/>
  <c r="H85" i="4"/>
  <c r="H108" i="4"/>
  <c r="H61" i="4"/>
  <c r="M12" i="8"/>
  <c r="F21" i="5"/>
  <c r="F54" i="5"/>
  <c r="F134" i="4"/>
  <c r="F40" i="4"/>
  <c r="F61" i="4"/>
  <c r="F156" i="4"/>
  <c r="F19" i="4"/>
  <c r="F85" i="4"/>
  <c r="F108" i="4"/>
  <c r="E38" i="6"/>
  <c r="E14" i="6"/>
  <c r="E26" i="6"/>
  <c r="F98" i="4"/>
  <c r="E82" i="4"/>
  <c r="H82" i="4"/>
  <c r="H83" i="4" s="1"/>
  <c r="F93" i="4"/>
  <c r="G90" i="4"/>
  <c r="G92" i="4"/>
  <c r="G89" i="4"/>
  <c r="F96" i="4"/>
  <c r="F100" i="4"/>
  <c r="G40" i="7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G12" i="8"/>
  <c r="F20" i="3"/>
  <c r="E3" i="10" a="1"/>
  <c r="E3" i="10" s="1"/>
  <c r="G23" i="3"/>
  <c r="G22" i="3"/>
  <c r="G129" i="7" a="1"/>
  <c r="F111" i="7" a="1"/>
  <c r="F15" i="7" a="1"/>
  <c r="E88" i="7" a="1"/>
  <c r="F35" i="7" a="1"/>
  <c r="F88" i="7" a="1"/>
  <c r="E129" i="7" a="1"/>
  <c r="E15" i="7" a="1"/>
  <c r="F130" i="7" a="1"/>
  <c r="F68" i="7" a="1"/>
  <c r="E109" i="7" a="1"/>
  <c r="D16" i="7" a="1"/>
  <c r="D69" i="7" a="1"/>
  <c r="F129" i="7" a="1"/>
  <c r="H35" i="7" a="1"/>
  <c r="I32" i="7" a="1"/>
  <c r="E68" i="7" a="1"/>
  <c r="F69" i="7" a="1"/>
  <c r="B34" i="7" a="1"/>
  <c r="F16" i="7" a="1"/>
  <c r="F109" i="7" a="1"/>
  <c r="F90" i="7" a="1"/>
  <c r="D90" i="7" a="1"/>
  <c r="H111" i="7" a="1"/>
  <c r="H90" i="7" a="1"/>
  <c r="G34" i="7" a="1"/>
  <c r="H69" i="7" a="1"/>
  <c r="I15" i="7" a="1"/>
  <c r="H130" i="7" a="1"/>
  <c r="D111" i="7" a="1"/>
  <c r="J15" i="7" a="1"/>
  <c r="H16" i="7" a="1"/>
  <c r="D130" i="7" a="1"/>
  <c r="G138" i="7" l="1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H90" i="7"/>
  <c r="D96" i="7" s="1"/>
  <c r="I96" i="7" s="1"/>
  <c r="H111" i="7"/>
  <c r="H16" i="7"/>
  <c r="H35" i="7"/>
  <c r="H130" i="7"/>
  <c r="H69" i="7"/>
  <c r="F90" i="7"/>
  <c r="F16" i="7"/>
  <c r="F69" i="7"/>
  <c r="F35" i="7"/>
  <c r="F130" i="7"/>
  <c r="F111" i="7"/>
  <c r="D69" i="7"/>
  <c r="D16" i="7"/>
  <c r="D90" i="7"/>
  <c r="D130" i="7"/>
  <c r="D111" i="7"/>
  <c r="G34" i="7"/>
  <c r="F58" i="7" s="1"/>
  <c r="E129" i="7"/>
  <c r="E109" i="7"/>
  <c r="E68" i="7"/>
  <c r="E88" i="7"/>
  <c r="E15" i="7"/>
  <c r="G129" i="7"/>
  <c r="I32" i="7"/>
  <c r="G144" i="7"/>
  <c r="F143" i="7" s="1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D49" i="4"/>
  <c r="I49" i="4" s="1"/>
  <c r="D166" i="4"/>
  <c r="I166" i="4" s="1"/>
  <c r="D72" i="4"/>
  <c r="I72" i="4" s="1"/>
  <c r="D120" i="4"/>
  <c r="I120" i="4" s="1"/>
  <c r="D28" i="4"/>
  <c r="I28" i="4" s="1"/>
  <c r="D145" i="4"/>
  <c r="I145" i="4" s="1"/>
  <c r="E124" i="7"/>
  <c r="F26" i="3"/>
  <c r="F23" i="3"/>
  <c r="F28" i="3"/>
  <c r="F22" i="3"/>
  <c r="G28" i="3"/>
  <c r="G26" i="3"/>
  <c r="F21" i="3"/>
  <c r="F24" i="3"/>
  <c r="G20" i="3"/>
  <c r="G21" i="3"/>
  <c r="G13" i="8"/>
  <c r="G1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3" i="3"/>
  <c r="B98" i="3" s="1"/>
  <c r="B73" i="3"/>
  <c r="B75" i="3" s="1"/>
  <c r="B39" i="3"/>
  <c r="B20" i="3"/>
  <c r="B28" i="3" s="1"/>
  <c r="F111" i="3" a="1"/>
  <c r="F153" i="3" a="1"/>
  <c r="F90" i="3" a="1"/>
  <c r="F130" i="3" a="1"/>
  <c r="F16" i="3" a="1"/>
  <c r="F35" i="3" a="1"/>
  <c r="F69" i="3" a="1"/>
  <c r="B124" i="7" l="1"/>
  <c r="H124" i="7"/>
  <c r="F124" i="7"/>
  <c r="C124" i="7"/>
  <c r="D104" i="7"/>
  <c r="I104" i="7" s="1"/>
  <c r="E104" i="7"/>
  <c r="F83" i="7"/>
  <c r="H83" i="7"/>
  <c r="B104" i="7"/>
  <c r="C104" i="7"/>
  <c r="D28" i="7"/>
  <c r="I28" i="7" s="1"/>
  <c r="E28" i="7"/>
  <c r="H104" i="7"/>
  <c r="F104" i="7"/>
  <c r="D83" i="7"/>
  <c r="I83" i="7" s="1"/>
  <c r="G28" i="7"/>
  <c r="H28" i="7"/>
  <c r="C28" i="7"/>
  <c r="E83" i="7"/>
  <c r="C83" i="7"/>
  <c r="B83" i="7"/>
  <c r="D124" i="7"/>
  <c r="I124" i="7" s="1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D55" i="7"/>
  <c r="I55" i="7" s="1"/>
  <c r="D94" i="7"/>
  <c r="I94" i="7" s="1"/>
  <c r="D98" i="7"/>
  <c r="I98" i="7" s="1"/>
  <c r="D97" i="7"/>
  <c r="I97" i="7" s="1"/>
  <c r="D95" i="7"/>
  <c r="I95" i="7" s="1"/>
  <c r="D99" i="7"/>
  <c r="I99" i="7" s="1"/>
  <c r="D44" i="7"/>
  <c r="I44" i="7" s="1"/>
  <c r="D52" i="7"/>
  <c r="I52" i="7" s="1"/>
  <c r="D50" i="7"/>
  <c r="I50" i="7" s="1"/>
  <c r="D49" i="7"/>
  <c r="I49" i="7" s="1"/>
  <c r="D51" i="7"/>
  <c r="I51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43" i="7"/>
  <c r="I43" i="7" s="1"/>
  <c r="D47" i="7"/>
  <c r="I47" i="7" s="1"/>
  <c r="D53" i="7"/>
  <c r="I53" i="7" s="1"/>
  <c r="D100" i="4"/>
  <c r="I100" i="4" s="1"/>
  <c r="D96" i="4"/>
  <c r="I96" i="4" s="1"/>
  <c r="D95" i="4"/>
  <c r="I95" i="4" s="1"/>
  <c r="D143" i="7"/>
  <c r="I143" i="7" s="1"/>
  <c r="D144" i="7"/>
  <c r="I144" i="7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D31" i="5"/>
  <c r="I31" i="5" s="1"/>
  <c r="D32" i="5"/>
  <c r="I32" i="5" s="1"/>
  <c r="D81" i="5"/>
  <c r="I81" i="5" s="1"/>
  <c r="D79" i="5"/>
  <c r="I79" i="5" s="1"/>
  <c r="D78" i="5"/>
  <c r="I78" i="5" s="1"/>
  <c r="D77" i="5"/>
  <c r="I77" i="5" s="1"/>
  <c r="D76" i="5"/>
  <c r="I76" i="5" s="1"/>
  <c r="D75" i="5"/>
  <c r="I75" i="5" s="1"/>
  <c r="D74" i="5"/>
  <c r="I74" i="5" s="1"/>
  <c r="D80" i="5"/>
  <c r="I80" i="5" s="1"/>
  <c r="D82" i="5"/>
  <c r="I82" i="5" s="1"/>
  <c r="D71" i="4"/>
  <c r="I71" i="4" s="1"/>
  <c r="D119" i="4"/>
  <c r="I119" i="4" s="1"/>
  <c r="D147" i="4"/>
  <c r="I147" i="4" s="1"/>
  <c r="D31" i="4"/>
  <c r="I31" i="4" s="1"/>
  <c r="D76" i="4"/>
  <c r="I76" i="4" s="1"/>
  <c r="D37" i="5"/>
  <c r="I37" i="5" s="1"/>
  <c r="D89" i="5"/>
  <c r="I89" i="5" s="1"/>
  <c r="D169" i="4"/>
  <c r="D52" i="4"/>
  <c r="I52" i="4" s="1"/>
  <c r="D78" i="7"/>
  <c r="I78" i="7" s="1"/>
  <c r="D73" i="7"/>
  <c r="I73" i="7" s="1"/>
  <c r="D77" i="7"/>
  <c r="I77" i="7" s="1"/>
  <c r="D76" i="7"/>
  <c r="I76" i="7" s="1"/>
  <c r="D75" i="7"/>
  <c r="I75" i="7" s="1"/>
  <c r="D74" i="7"/>
  <c r="I74" i="7" s="1"/>
  <c r="D115" i="7"/>
  <c r="I115" i="7" s="1"/>
  <c r="D120" i="7"/>
  <c r="I120" i="7" s="1"/>
  <c r="D119" i="7"/>
  <c r="I119" i="7" s="1"/>
  <c r="D118" i="7"/>
  <c r="I118" i="7" s="1"/>
  <c r="D117" i="7"/>
  <c r="I117" i="7" s="1"/>
  <c r="D116" i="7"/>
  <c r="I116" i="7" s="1"/>
  <c r="D122" i="7"/>
  <c r="I122" i="7" s="1"/>
  <c r="G32" i="3"/>
  <c r="D26" i="7"/>
  <c r="I26" i="7" s="1"/>
  <c r="D24" i="7"/>
  <c r="I24" i="7" s="1"/>
  <c r="D23" i="7"/>
  <c r="I23" i="7" s="1"/>
  <c r="D22" i="7"/>
  <c r="I22" i="7" s="1"/>
  <c r="D21" i="7"/>
  <c r="I21" i="7" s="1"/>
  <c r="D20" i="7"/>
  <c r="I20" i="7" s="1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48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H35" i="3" a="1"/>
  <c r="D90" i="3" a="1"/>
  <c r="H90" i="3" a="1"/>
  <c r="H16" i="3" a="1"/>
  <c r="D153" i="3" a="1"/>
  <c r="D130" i="3" a="1"/>
  <c r="H111" i="3" a="1"/>
  <c r="H130" i="3" a="1"/>
  <c r="H153" i="3" a="1"/>
  <c r="H69" i="3" a="1"/>
  <c r="D111" i="3" a="1"/>
  <c r="D69" i="3" a="1"/>
  <c r="D16" i="3" a="1"/>
  <c r="D166" i="3" l="1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56" i="7"/>
  <c r="I56" i="7" s="1"/>
  <c r="D58" i="7"/>
  <c r="I58" i="7" s="1"/>
  <c r="D57" i="7"/>
  <c r="I57" i="7" s="1"/>
  <c r="G32" i="7"/>
  <c r="D63" i="7" s="1"/>
  <c r="I63" i="7" s="1"/>
  <c r="D147" i="7"/>
  <c r="I147" i="7" s="1"/>
  <c r="D146" i="7"/>
  <c r="I146" i="7" s="1"/>
  <c r="D90" i="4"/>
  <c r="I90" i="4" s="1"/>
  <c r="D93" i="4"/>
  <c r="I93" i="4" s="1"/>
  <c r="D92" i="4"/>
  <c r="I92" i="4" s="1"/>
  <c r="D89" i="4"/>
  <c r="I89" i="4" s="1"/>
  <c r="D91" i="4"/>
  <c r="I91" i="4" s="1"/>
  <c r="D141" i="7"/>
  <c r="I141" i="7" s="1"/>
  <c r="D140" i="7"/>
  <c r="I140" i="7" s="1"/>
  <c r="D135" i="7"/>
  <c r="I135" i="7" s="1"/>
  <c r="D139" i="7"/>
  <c r="I139" i="7" s="1"/>
  <c r="D138" i="7"/>
  <c r="I138" i="7" s="1"/>
  <c r="D134" i="7"/>
  <c r="I134" i="7" s="1"/>
  <c r="D136" i="7"/>
  <c r="I136" i="7" s="1"/>
  <c r="D137" i="7"/>
  <c r="I137" i="7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138" i="3"/>
  <c r="I138" i="3" s="1"/>
  <c r="D139" i="3"/>
  <c r="I139" i="3" s="1"/>
  <c r="D140" i="3"/>
  <c r="I140" i="3" s="1"/>
  <c r="D60" i="3"/>
  <c r="I60" i="3" s="1"/>
  <c r="D63" i="3"/>
  <c r="I63" i="3" s="1"/>
  <c r="D61" i="3"/>
  <c r="I61" i="3" s="1"/>
  <c r="D62" i="3"/>
  <c r="I62" i="3" s="1"/>
  <c r="D29" i="5"/>
  <c r="I29" i="5" s="1"/>
  <c r="D28" i="5"/>
  <c r="I28" i="5" s="1"/>
  <c r="D27" i="5"/>
  <c r="I27" i="5" s="1"/>
  <c r="D26" i="5"/>
  <c r="I26" i="5" s="1"/>
  <c r="D25" i="5"/>
  <c r="I25" i="5" s="1"/>
  <c r="D68" i="5"/>
  <c r="I68" i="5" s="1"/>
  <c r="D67" i="5"/>
  <c r="I67" i="5" s="1"/>
  <c r="D66" i="5"/>
  <c r="I66" i="5" s="1"/>
  <c r="D65" i="5"/>
  <c r="I65" i="5" s="1"/>
  <c r="D64" i="5"/>
  <c r="I64" i="5" s="1"/>
  <c r="D62" i="5"/>
  <c r="I62" i="5" s="1"/>
  <c r="D61" i="5"/>
  <c r="I61" i="5" s="1"/>
  <c r="D60" i="5"/>
  <c r="I60" i="5" s="1"/>
  <c r="D72" i="5"/>
  <c r="I72" i="5" s="1"/>
  <c r="D59" i="5"/>
  <c r="I59" i="5" s="1"/>
  <c r="D71" i="5"/>
  <c r="I71" i="5" s="1"/>
  <c r="D58" i="5"/>
  <c r="I58" i="5" s="1"/>
  <c r="D69" i="5"/>
  <c r="I69" i="5" s="1"/>
  <c r="D70" i="5"/>
  <c r="I70" i="5" s="1"/>
  <c r="D26" i="4"/>
  <c r="I26" i="4" s="1"/>
  <c r="D25" i="4"/>
  <c r="I25" i="4" s="1"/>
  <c r="D23" i="4"/>
  <c r="I23" i="4" s="1"/>
  <c r="D24" i="4"/>
  <c r="I24" i="4" s="1"/>
  <c r="D142" i="4"/>
  <c r="I142" i="4" s="1"/>
  <c r="D143" i="4"/>
  <c r="I143" i="4" s="1"/>
  <c r="D141" i="4"/>
  <c r="I141" i="4" s="1"/>
  <c r="D140" i="4"/>
  <c r="I140" i="4" s="1"/>
  <c r="D138" i="4"/>
  <c r="I138" i="4" s="1"/>
  <c r="D139" i="4"/>
  <c r="I139" i="4" s="1"/>
  <c r="I169" i="4"/>
  <c r="D45" i="4"/>
  <c r="I45" i="4" s="1"/>
  <c r="D46" i="4"/>
  <c r="I46" i="4" s="1"/>
  <c r="D47" i="4"/>
  <c r="I47" i="4" s="1"/>
  <c r="D44" i="4"/>
  <c r="I44" i="4" s="1"/>
  <c r="D69" i="4"/>
  <c r="I69" i="4" s="1"/>
  <c r="D65" i="4"/>
  <c r="I65" i="4" s="1"/>
  <c r="D68" i="4"/>
  <c r="I68" i="4" s="1"/>
  <c r="D66" i="4"/>
  <c r="I66" i="4" s="1"/>
  <c r="D67" i="4"/>
  <c r="I67" i="4" s="1"/>
  <c r="D126" i="4"/>
  <c r="I126" i="4" s="1"/>
  <c r="D125" i="4"/>
  <c r="I125" i="4" s="1"/>
  <c r="D81" i="7"/>
  <c r="I81" i="7" s="1"/>
  <c r="D80" i="7"/>
  <c r="I80" i="7" s="1"/>
  <c r="D164" i="4"/>
  <c r="I164" i="4" s="1"/>
  <c r="D160" i="4"/>
  <c r="D161" i="4"/>
  <c r="I161" i="4" s="1"/>
  <c r="D162" i="4"/>
  <c r="D163" i="4"/>
  <c r="D102" i="7"/>
  <c r="I102" i="7" s="1"/>
  <c r="D101" i="7"/>
  <c r="I101" i="7" s="1"/>
  <c r="D114" i="4"/>
  <c r="I114" i="4" s="1"/>
  <c r="D116" i="4"/>
  <c r="I116" i="4" s="1"/>
  <c r="D115" i="4"/>
  <c r="I115" i="4" s="1"/>
  <c r="D117" i="4"/>
  <c r="I117" i="4" s="1"/>
  <c r="D112" i="4"/>
  <c r="I112" i="4" s="1"/>
  <c r="D113" i="4"/>
  <c r="I113" i="4" s="1"/>
  <c r="D136" i="3"/>
  <c r="I136" i="3" s="1"/>
  <c r="D144" i="3"/>
  <c r="D80" i="3"/>
  <c r="I80" i="3" s="1"/>
  <c r="D81" i="3"/>
  <c r="I81" i="3" s="1"/>
  <c r="D117" i="3"/>
  <c r="I117" i="3" s="1"/>
  <c r="D101" i="3"/>
  <c r="I101" i="3" s="1"/>
  <c r="D102" i="3"/>
  <c r="I102" i="3" s="1"/>
  <c r="D94" i="3"/>
  <c r="I94" i="3" s="1"/>
  <c r="D98" i="3"/>
  <c r="I98" i="3" s="1"/>
  <c r="D97" i="3"/>
  <c r="I97" i="3" s="1"/>
  <c r="D96" i="3"/>
  <c r="I96" i="3" s="1"/>
  <c r="D73" i="3"/>
  <c r="I73" i="3" s="1"/>
  <c r="D120" i="3"/>
  <c r="I120" i="3" s="1"/>
  <c r="D42" i="3" l="1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63" i="4"/>
  <c r="I162" i="4"/>
  <c r="I160" i="4"/>
  <c r="I144" i="3"/>
  <c r="H126" i="4"/>
  <c r="H125" i="4"/>
  <c r="F126" i="4"/>
  <c r="G26" i="4"/>
  <c r="G24" i="4"/>
  <c r="G23" i="4"/>
  <c r="H122" i="7" l="1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<sst xmlns="http://schemas.openxmlformats.org/spreadsheetml/2006/main" count="1006" uniqueCount="181">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</sst>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G4:R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G11:H2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M11:N2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/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J11:K2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defaultValue(K11,1)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S11:T2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defaultValue(T11,1)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P11:Q2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INDEX(global[[#All],[Column1]],MATCH(Q11,global[[#All],[Column2]],0))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V11:W2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W31"/>
  <sheetViews>
    <sheetView zoomScale="55" zoomScaleNormal="55" workbookViewId="0">
      <selection activeCell="W12" sqref="W12"/>
    </sheetView>
  </sheetViews>
  <sheetFormatPr defaultRowHeight="21" customHeight="1" x14ac:dyDescent="0.3"/>
  <cols>
    <col min="1" max="4" width="8.88671875" style="63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3" spans="2:23" s="84" customFormat="1" ht="31.2" x14ac:dyDescent="0.3">
      <c r="B3" s="63" t="s">
        <v>180</v>
      </c>
      <c r="G3" s="90" t="s">
        <v>112</v>
      </c>
      <c r="H3" s="91"/>
      <c r="I3" s="91"/>
      <c r="J3" s="91"/>
      <c r="K3" s="91"/>
      <c r="L3" s="91"/>
      <c r="M3" s="91"/>
      <c r="N3" s="91"/>
      <c r="O3" s="91"/>
      <c r="P3" s="91"/>
      <c r="Q3" s="91"/>
      <c r="R3" s="92"/>
      <c r="T3" s="83"/>
      <c r="W3" s="83"/>
    </row>
    <row r="4" spans="2:23" ht="21" customHeight="1" x14ac:dyDescent="0.3">
      <c r="G4" s="64"/>
      <c r="H4" s="65" t="s">
        <v>41</v>
      </c>
      <c r="I4" s="65" t="s">
        <v>39</v>
      </c>
      <c r="J4" s="65" t="s">
        <v>38</v>
      </c>
      <c r="K4" s="65" t="s">
        <v>37</v>
      </c>
      <c r="L4" s="65" t="s">
        <v>35</v>
      </c>
      <c r="M4" s="65" t="s">
        <v>105</v>
      </c>
      <c r="N4" s="65" t="s">
        <v>36</v>
      </c>
      <c r="O4" s="65" t="s">
        <v>21</v>
      </c>
      <c r="P4" s="65" t="s">
        <v>40</v>
      </c>
      <c r="Q4" s="65" t="s">
        <v>59</v>
      </c>
      <c r="R4" s="66"/>
    </row>
    <row r="5" spans="2:23" ht="21" customHeight="1" x14ac:dyDescent="0.3">
      <c r="G5" s="64"/>
      <c r="H5" s="65">
        <v>4</v>
      </c>
      <c r="I5" s="65">
        <v>4</v>
      </c>
      <c r="J5" s="65">
        <v>4</v>
      </c>
      <c r="K5" s="65">
        <v>4</v>
      </c>
      <c r="L5" s="65">
        <v>6</v>
      </c>
      <c r="M5" s="65">
        <v>2</v>
      </c>
      <c r="N5" s="65">
        <v>2</v>
      </c>
      <c r="O5" s="65">
        <v>2</v>
      </c>
      <c r="P5" s="65">
        <v>2</v>
      </c>
      <c r="Q5" s="65">
        <v>2</v>
      </c>
      <c r="R5" s="66" t="s">
        <v>61</v>
      </c>
    </row>
    <row r="6" spans="2:23" ht="21" customHeight="1" x14ac:dyDescent="0.3">
      <c r="G6" s="67"/>
      <c r="H6" s="68">
        <v>3</v>
      </c>
      <c r="I6" s="68">
        <v>3</v>
      </c>
      <c r="J6" s="68">
        <v>3</v>
      </c>
      <c r="K6" s="68">
        <v>3</v>
      </c>
      <c r="L6" s="68">
        <v>5</v>
      </c>
      <c r="M6" s="68">
        <v>1</v>
      </c>
      <c r="N6" s="68">
        <v>1</v>
      </c>
      <c r="O6" s="68">
        <v>1</v>
      </c>
      <c r="P6" s="68">
        <v>1</v>
      </c>
      <c r="Q6" s="68">
        <v>1</v>
      </c>
      <c r="R6" s="69" t="s">
        <v>62</v>
      </c>
    </row>
    <row r="9" spans="2:23" s="84" customFormat="1" ht="31.2" x14ac:dyDescent="0.3">
      <c r="G9" s="93" t="s">
        <v>174</v>
      </c>
      <c r="H9" s="93"/>
      <c r="J9" s="93" t="s">
        <v>0</v>
      </c>
      <c r="K9" s="93"/>
      <c r="M9" s="93" t="s">
        <v>105</v>
      </c>
      <c r="N9" s="93"/>
      <c r="P9" s="93" t="s">
        <v>44</v>
      </c>
      <c r="Q9" s="93"/>
      <c r="S9" s="93" t="s">
        <v>65</v>
      </c>
      <c r="T9" s="93"/>
      <c r="V9" s="93" t="s">
        <v>104</v>
      </c>
      <c r="W9" s="93"/>
    </row>
    <row r="10" spans="2:23" ht="21" customHeight="1" x14ac:dyDescent="0.3">
      <c r="G10" s="89">
        <v>1</v>
      </c>
      <c r="H10" s="89"/>
      <c r="J10" s="89">
        <v>3</v>
      </c>
      <c r="K10" s="89"/>
      <c r="M10" s="89">
        <v>4</v>
      </c>
      <c r="N10" s="89"/>
      <c r="P10" s="89">
        <v>5</v>
      </c>
      <c r="Q10" s="89"/>
      <c r="S10" s="89">
        <v>6</v>
      </c>
      <c r="T10" s="89"/>
      <c r="V10" s="89">
        <v>7</v>
      </c>
      <c r="W10" s="89"/>
    </row>
    <row r="11" spans="2:23" ht="21" customHeight="1" x14ac:dyDescent="0.3">
      <c r="B11" s="70"/>
      <c r="C11" s="70"/>
      <c r="D11" s="70"/>
      <c r="G11" s="71" t="str">
        <f>O4</f>
        <v>HPL</v>
      </c>
      <c r="H11" s="72" t="s">
        <v>32</v>
      </c>
      <c r="J11" s="71" t="str" cm="1">
        <f t="array" ref="J11">defaultValue(K11,1)</f>
        <v>HPL</v>
      </c>
      <c r="K11" s="72" t="s">
        <v>32</v>
      </c>
      <c r="M11" s="71" t="str" cm="1">
        <f t="array" ref="M11">defaultValue(N11,3)</f>
        <v>HPL</v>
      </c>
      <c r="N11" s="72" t="s">
        <v>32</v>
      </c>
      <c r="P11" s="71" t="str" cm="1">
        <f t="array" ref="P11">defaultValue(Q11,1)</f>
        <v>HPL</v>
      </c>
      <c r="Q11" s="72" t="s">
        <v>32</v>
      </c>
      <c r="S11" s="71" t="str" cm="1">
        <f t="array" ref="S11">defaultValue(T11,1)</f>
        <v>HPL</v>
      </c>
      <c r="T11" s="72" t="s">
        <v>32</v>
      </c>
      <c r="V11" s="75" t="str" cm="1">
        <f t="array" ref="V11">defaultValue("دلف المطبخ",1)</f>
        <v>يوفيلاك</v>
      </c>
      <c r="W11" s="75" t="s">
        <v>9</v>
      </c>
    </row>
    <row r="12" spans="2:23" ht="21" customHeight="1" x14ac:dyDescent="0.3">
      <c r="B12" s="70"/>
      <c r="C12" s="70"/>
      <c r="D12" s="70"/>
      <c r="G12" s="73" t="str">
        <f>L4</f>
        <v>يوفيلاك</v>
      </c>
      <c r="H12" s="74" t="s">
        <v>33</v>
      </c>
      <c r="J12" s="73" t="str" cm="1">
        <f t="array" ref="J12">defaultValue(K12,1)</f>
        <v>يوفيلاك</v>
      </c>
      <c r="K12" s="74" t="s">
        <v>33</v>
      </c>
      <c r="M12" s="73" t="str" cm="1">
        <f t="array" ref="M12">defaultValue(N12,3)</f>
        <v>يوفيلاك</v>
      </c>
      <c r="N12" s="74" t="s">
        <v>33</v>
      </c>
      <c r="P12" s="73" t="str" cm="1">
        <f t="array" ref="P12">defaultValue(Q12,1)</f>
        <v>يوفيلاك</v>
      </c>
      <c r="Q12" s="74" t="s">
        <v>33</v>
      </c>
      <c r="S12" s="73" t="str" cm="1">
        <f t="array" ref="S12">defaultValue(T12,1)</f>
        <v>يوفيلاك</v>
      </c>
      <c r="T12" s="74" t="s">
        <v>33</v>
      </c>
      <c r="V12" s="79" t="e" cm="1">
        <f t="array" ref="V12">defaultValue(W12,1)</f>
        <v>#N/A</v>
      </c>
      <c r="W12" s="81"/>
    </row>
    <row r="13" spans="2:23" ht="21" customHeight="1" x14ac:dyDescent="0.3">
      <c r="B13" s="70"/>
      <c r="C13" s="70"/>
      <c r="D13" s="70"/>
      <c r="G13" s="76" t="str">
        <f>Q4</f>
        <v>ظهر</v>
      </c>
      <c r="H13" s="77" t="s">
        <v>59</v>
      </c>
      <c r="J13" s="76" t="str" cm="1">
        <f t="array" ref="J13">defaultValue(K13,1)</f>
        <v>ظهر</v>
      </c>
      <c r="K13" s="77" t="s">
        <v>59</v>
      </c>
      <c r="M13" s="76" t="str" cm="1">
        <f t="array" ref="M13">defaultValue(N13,3)</f>
        <v>ظهر</v>
      </c>
      <c r="N13" s="77" t="s">
        <v>59</v>
      </c>
      <c r="P13" s="87" t="str" cm="1">
        <f t="array" ref="P13">defaultValue(Q13,1)</f>
        <v>ظهر</v>
      </c>
      <c r="Q13" s="88" t="s">
        <v>59</v>
      </c>
      <c r="S13" s="87" t="str" cm="1">
        <f t="array" ref="S13">defaultValue(T13,1)</f>
        <v>ظهر</v>
      </c>
      <c r="T13" s="88" t="s">
        <v>59</v>
      </c>
      <c r="V13" s="79" t="e" cm="1">
        <f t="array" ref="V13">defaultValue(W13,1)</f>
        <v>#N/A</v>
      </c>
      <c r="W13" s="81"/>
    </row>
    <row r="14" spans="2:23" ht="21" customHeight="1" x14ac:dyDescent="0.3">
      <c r="B14" s="78"/>
      <c r="C14" s="78"/>
      <c r="D14" s="78"/>
      <c r="G14" s="79">
        <v>45</v>
      </c>
      <c r="H14" s="81" t="s">
        <v>20</v>
      </c>
      <c r="J14" s="79">
        <v>56</v>
      </c>
      <c r="K14" s="81" t="s">
        <v>114</v>
      </c>
      <c r="L14" s="78"/>
      <c r="M14" s="79" cm="1">
        <f t="array" ref="M14">defaultValue(N14,3)</f>
        <v>56</v>
      </c>
      <c r="N14" s="81" t="s">
        <v>114</v>
      </c>
      <c r="P14" s="79">
        <v>30</v>
      </c>
      <c r="Q14" s="81" t="s">
        <v>114</v>
      </c>
      <c r="S14" s="79" t="e" cm="1">
        <f t="array" ref="S14">defaultValue(T14,1)</f>
        <v>#N/A</v>
      </c>
      <c r="T14" s="81"/>
      <c r="V14" s="79" t="e" cm="1">
        <f t="array" ref="V14">defaultValue(W14,1)</f>
        <v>#N/A</v>
      </c>
      <c r="W14" s="81"/>
    </row>
    <row r="15" spans="2:23" ht="21" customHeight="1" x14ac:dyDescent="0.3">
      <c r="B15" s="70"/>
      <c r="C15" s="70"/>
      <c r="D15" s="70"/>
      <c r="G15" s="80">
        <v>3.5</v>
      </c>
      <c r="H15" s="82" t="s">
        <v>17</v>
      </c>
      <c r="J15" s="79">
        <v>78</v>
      </c>
      <c r="K15" s="81" t="s">
        <v>3</v>
      </c>
      <c r="M15" s="79" cm="1">
        <f t="array" ref="M15">defaultValue(N15,3)</f>
        <v>78</v>
      </c>
      <c r="N15" s="81" t="s">
        <v>3</v>
      </c>
      <c r="P15" s="79">
        <v>70</v>
      </c>
      <c r="Q15" s="81" t="s">
        <v>3</v>
      </c>
      <c r="S15" s="79" t="e" cm="1">
        <f t="array" ref="S15">defaultValue(T15,1)</f>
        <v>#N/A</v>
      </c>
      <c r="T15" s="81"/>
      <c r="V15" s="79" t="e" cm="1">
        <f t="array" ref="V15">defaultValue(W15,1)</f>
        <v>#N/A</v>
      </c>
      <c r="W15" s="81"/>
    </row>
    <row r="16" spans="2:23" ht="21" customHeight="1" x14ac:dyDescent="0.3">
      <c r="G16" s="85">
        <v>1</v>
      </c>
      <c r="H16" s="81" t="s">
        <v>115</v>
      </c>
      <c r="J16" s="79" cm="1">
        <f t="array" ref="J16">defaultValue(K16,1)</f>
        <v>45</v>
      </c>
      <c r="K16" s="81" t="s">
        <v>20</v>
      </c>
      <c r="M16" s="79" cm="1">
        <f t="array" ref="M16">defaultValue(N16,3)</f>
        <v>45</v>
      </c>
      <c r="N16" s="81" t="s">
        <v>20</v>
      </c>
      <c r="P16" s="79" cm="1">
        <f t="array" ref="P16">defaultValue(Q16,1)</f>
        <v>45</v>
      </c>
      <c r="Q16" s="81" t="s">
        <v>20</v>
      </c>
      <c r="S16" s="79" t="e" cm="1">
        <f t="array" ref="S16">defaultValue(T16,1)</f>
        <v>#N/A</v>
      </c>
      <c r="T16" s="81"/>
      <c r="V16" s="79" t="e" cm="1">
        <f t="array" ref="V16">defaultValue(W16,1)</f>
        <v>#N/A</v>
      </c>
      <c r="W16" s="81"/>
    </row>
    <row r="17" spans="7:23" ht="21" customHeight="1" x14ac:dyDescent="0.3">
      <c r="G17" s="85"/>
      <c r="H17" s="81"/>
      <c r="J17" s="79" cm="1">
        <f t="array" ref="J17">defaultValue(K17,1)</f>
        <v>3.5</v>
      </c>
      <c r="K17" s="81" t="s">
        <v>17</v>
      </c>
      <c r="M17" s="79" cm="1">
        <f t="array" ref="M17">defaultValue(N17,3)</f>
        <v>3.5</v>
      </c>
      <c r="N17" s="81" t="s">
        <v>17</v>
      </c>
      <c r="P17" s="79" cm="1">
        <f t="array" ref="P17">defaultValue(Q17,1)</f>
        <v>3.5</v>
      </c>
      <c r="Q17" s="81" t="s">
        <v>17</v>
      </c>
      <c r="S17" s="79" t="e" cm="1">
        <f t="array" ref="S17">defaultValue(T17,1)</f>
        <v>#N/A</v>
      </c>
      <c r="T17" s="81"/>
      <c r="V17" s="79" t="e" cm="1">
        <f t="array" ref="V17">defaultValue(W17,1)</f>
        <v>#N/A</v>
      </c>
      <c r="W17" s="81"/>
    </row>
    <row r="18" spans="7:23" ht="21" customHeight="1" x14ac:dyDescent="0.3">
      <c r="G18" s="85"/>
      <c r="H18" s="81"/>
      <c r="J18" s="79" cm="1">
        <f t="array" ref="J18">defaultValue(K18,1)</f>
        <v>1</v>
      </c>
      <c r="K18" s="81" t="s">
        <v>115</v>
      </c>
      <c r="M18" s="79" cm="1">
        <f t="array" ref="M18">defaultValue(N18,3)</f>
        <v>1</v>
      </c>
      <c r="N18" s="81" t="s">
        <v>115</v>
      </c>
      <c r="P18" s="79">
        <v>0</v>
      </c>
      <c r="Q18" s="81" t="s">
        <v>116</v>
      </c>
      <c r="S18" s="79" t="e" cm="1">
        <f t="array" ref="S18">defaultValue(T18,1)</f>
        <v>#N/A</v>
      </c>
      <c r="T18" s="81"/>
      <c r="V18" s="79" t="e" cm="1">
        <f t="array" ref="V18">defaultValue(W18,1)</f>
        <v>#N/A</v>
      </c>
      <c r="W18" s="82"/>
    </row>
    <row r="19" spans="7:23" ht="21" customHeight="1" x14ac:dyDescent="0.3">
      <c r="G19" s="86"/>
      <c r="H19" s="82"/>
      <c r="J19" s="80" t="e" cm="1">
        <f t="array" ref="J19">defaultValue(K19,1)</f>
        <v>#N/A</v>
      </c>
      <c r="K19" s="82"/>
      <c r="M19" s="80" t="e" cm="1">
        <f t="array" ref="M19">defaultValue(N19,3)</f>
        <v>#N/A</v>
      </c>
      <c r="N19" s="82"/>
      <c r="P19" s="80" t="e" cm="1">
        <f t="array" ref="P19">defaultValue(Q19,1)</f>
        <v>#N/A</v>
      </c>
      <c r="Q19" s="82"/>
      <c r="S19" s="80" t="e" cm="1">
        <f t="array" ref="S19">defaultValue(T19,1)</f>
        <v>#N/A</v>
      </c>
      <c r="T19" s="82"/>
      <c r="V19" s="79" t="e" cm="1">
        <f t="array" ref="V19">defaultValue(W19,1)</f>
        <v>#N/A</v>
      </c>
      <c r="W19" s="81"/>
    </row>
    <row r="20" spans="7:23" ht="21" customHeight="1" x14ac:dyDescent="0.3">
      <c r="G20" s="85"/>
      <c r="H20" s="81"/>
      <c r="J20" s="79" t="e" cm="1">
        <f t="array" ref="J20">defaultValue(K20,1)</f>
        <v>#N/A</v>
      </c>
      <c r="K20" s="81"/>
      <c r="M20" s="79" t="e" cm="1">
        <f t="array" ref="M20">defaultValue(N20,3)</f>
        <v>#N/A</v>
      </c>
      <c r="N20" s="81"/>
      <c r="P20" s="79" t="e" cm="1">
        <f t="array" ref="P20">defaultValue(Q20,1)</f>
        <v>#N/A</v>
      </c>
      <c r="Q20" s="81"/>
      <c r="S20" s="79" t="e" cm="1">
        <f t="array" ref="S20">defaultValue(T20,1)</f>
        <v>#N/A</v>
      </c>
      <c r="T20" s="81"/>
      <c r="V20" s="79" t="e" cm="1">
        <f t="array" ref="V20">defaultValue(W20,1)</f>
        <v>#N/A</v>
      </c>
      <c r="W20" s="81"/>
    </row>
    <row r="21" spans="7:23" ht="21" customHeight="1" x14ac:dyDescent="0.3">
      <c r="G21" s="85"/>
      <c r="H21" s="81"/>
      <c r="J21" s="79" t="e" cm="1">
        <f t="array" ref="J21">defaultValue(K21,1)</f>
        <v>#N/A</v>
      </c>
      <c r="K21" s="81"/>
      <c r="M21" s="79" t="e" cm="1">
        <f t="array" ref="M21">defaultValue(N21,3)</f>
        <v>#N/A</v>
      </c>
      <c r="N21" s="81"/>
      <c r="P21" s="79" t="e" cm="1">
        <f t="array" ref="P21">defaultValue(Q21,1)</f>
        <v>#N/A</v>
      </c>
      <c r="Q21" s="81"/>
      <c r="S21" s="79" t="e" cm="1">
        <f t="array" ref="S21">defaultValue(T21,1)</f>
        <v>#N/A</v>
      </c>
      <c r="T21" s="81"/>
      <c r="V21" s="79" t="e" cm="1">
        <f t="array" ref="V21">defaultValue(W21,1)</f>
        <v>#N/A</v>
      </c>
      <c r="W21" s="81"/>
    </row>
    <row r="22" spans="7:23" ht="21" customHeight="1" x14ac:dyDescent="0.3">
      <c r="G22" s="85"/>
      <c r="H22" s="81"/>
      <c r="J22" s="79" t="e" cm="1">
        <f t="array" ref="J22">defaultValue(K22,1)</f>
        <v>#N/A</v>
      </c>
      <c r="K22" s="81"/>
      <c r="M22" s="79" t="e" cm="1">
        <f t="array" ref="M22">defaultValue(N22,3)</f>
        <v>#N/A</v>
      </c>
      <c r="N22" s="81"/>
      <c r="P22" s="79" t="e" cm="1">
        <f t="array" ref="P22">defaultValue(Q22,1)</f>
        <v>#N/A</v>
      </c>
      <c r="Q22" s="81"/>
      <c r="S22" s="79" t="e" cm="1">
        <f t="array" ref="S22">defaultValue(T22,1)</f>
        <v>#N/A</v>
      </c>
      <c r="T22" s="81"/>
      <c r="V22" s="79" t="e" cm="1">
        <f t="array" ref="V22">defaultValue(W22,1)</f>
        <v>#N/A</v>
      </c>
      <c r="W22" s="82"/>
    </row>
    <row r="23" spans="7:23" ht="21" customHeight="1" x14ac:dyDescent="0.3">
      <c r="G23" s="86"/>
      <c r="H23" s="82"/>
      <c r="J23" s="80" t="e" cm="1">
        <f t="array" ref="J23">defaultValue(K23,1)</f>
        <v>#N/A</v>
      </c>
      <c r="K23" s="82"/>
      <c r="M23" s="79" t="e" cm="1">
        <f t="array" ref="M23">defaultValue(N23,3)</f>
        <v>#N/A</v>
      </c>
      <c r="N23" s="82"/>
      <c r="P23" s="79" t="e" cm="1">
        <f t="array" ref="P23">defaultValue(Q23,1)</f>
        <v>#N/A</v>
      </c>
      <c r="Q23" s="82"/>
      <c r="S23" s="79" t="e" cm="1">
        <f t="array" ref="S23">defaultValue(T23,1)</f>
        <v>#N/A</v>
      </c>
      <c r="T23" s="82"/>
      <c r="V23" s="79" t="e" cm="1">
        <f t="array" ref="V23">defaultValue(W23,1)</f>
        <v>#N/A</v>
      </c>
      <c r="W23" s="82"/>
    </row>
    <row r="24" spans="7:23" ht="21" customHeight="1" x14ac:dyDescent="0.3">
      <c r="J24" s="78"/>
      <c r="K24" s="78"/>
    </row>
    <row r="25" spans="7:23" ht="21" customHeight="1" x14ac:dyDescent="0.3">
      <c r="J25" s="78"/>
      <c r="K25" s="78"/>
    </row>
    <row r="27" spans="7:23" ht="21" customHeight="1" x14ac:dyDescent="0.3">
      <c r="G27" s="83"/>
    </row>
    <row r="28" spans="7:23" ht="21" customHeight="1" x14ac:dyDescent="0.3">
      <c r="G28" s="83"/>
    </row>
    <row r="29" spans="7:23" ht="21" customHeight="1" x14ac:dyDescent="0.3">
      <c r="G29" s="83"/>
    </row>
    <row r="30" spans="7:23" ht="21" customHeight="1" x14ac:dyDescent="0.3">
      <c r="G30" s="83"/>
    </row>
    <row r="31" spans="7:23" ht="21" customHeight="1" x14ac:dyDescent="0.3">
      <c r="G31" s="83"/>
    </row>
  </sheetData>
  <mergeCells count="13">
    <mergeCell ref="S10:T10"/>
    <mergeCell ref="V10:W10"/>
    <mergeCell ref="G3:R3"/>
    <mergeCell ref="G9:H9"/>
    <mergeCell ref="G10:H10"/>
    <mergeCell ref="J10:K10"/>
    <mergeCell ref="M10:N10"/>
    <mergeCell ref="P10:Q10"/>
    <mergeCell ref="J9:K9"/>
    <mergeCell ref="M9:N9"/>
    <mergeCell ref="P9:Q9"/>
    <mergeCell ref="S9:T9"/>
    <mergeCell ref="V9:W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topLeftCell="B1" zoomScale="70" zoomScaleNormal="70" workbookViewId="0">
      <pane ySplit="8" topLeftCell="A9" activePane="bottomLeft" state="frozen"/>
      <selection pane="bottomLeft" activeCell="F14" sqref="F14"/>
    </sheetView>
  </sheetViews>
  <sheetFormatPr defaultRowHeight="14.4" x14ac:dyDescent="0.3"/>
  <cols>
    <col min="1" max="1" width="10.77734375" style="41" hidden="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94" t="s">
        <v>113</v>
      </c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B1" zoomScale="85" zoomScaleNormal="85" workbookViewId="0"/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122</v>
      </c>
      <c r="C2" s="95" t="s">
        <v>0</v>
      </c>
      <c r="D2" s="95"/>
      <c r="E2" s="95"/>
      <c r="F2" s="95"/>
      <c r="G2" s="95"/>
      <c r="H2" s="95"/>
      <c r="I2" s="95"/>
      <c r="J2" s="9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7" t="s">
        <v>16</v>
      </c>
      <c r="F13" s="98"/>
      <c r="G13" s="98"/>
      <c r="H13" s="99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96"/>
      <c r="G14" s="96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96"/>
      <c r="G15" s="9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51"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0</v>
      </c>
      <c r="C19" s="6"/>
      <c r="D19" s="6"/>
      <c r="E19" s="6"/>
      <c r="F19" s="6"/>
      <c r="G19" s="6"/>
      <c r="H19" s="6"/>
      <c r="I19" s="6"/>
      <c r="J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0</v>
      </c>
      <c r="C25" s="6"/>
      <c r="D25" s="6"/>
      <c r="E25" s="6"/>
      <c r="F25" s="6"/>
      <c r="G25" s="6"/>
      <c r="H25" s="6"/>
      <c r="I25" s="6"/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7" t="s">
        <v>143</v>
      </c>
      <c r="F31" s="98"/>
      <c r="G31" s="98"/>
      <c r="H31" s="99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7" t="s">
        <v>24</v>
      </c>
      <c r="F66" s="98"/>
      <c r="G66" s="98"/>
      <c r="H66" s="99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96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9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0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51">
        <v>0</v>
      </c>
      <c r="C72" s="6"/>
      <c r="D72" s="6"/>
      <c r="E72" s="6"/>
      <c r="F72" s="6"/>
      <c r="G72" s="6"/>
      <c r="H72" s="6"/>
      <c r="I72" s="6"/>
      <c r="J72" s="6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0</v>
      </c>
      <c r="C79" s="6"/>
      <c r="D79" s="6"/>
      <c r="E79" s="6"/>
      <c r="F79" s="6"/>
      <c r="G79" s="6"/>
      <c r="H79" s="6"/>
      <c r="I79" s="6"/>
      <c r="J79" s="6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51">
        <v>0</v>
      </c>
      <c r="C82" s="6"/>
      <c r="D82" s="6"/>
      <c r="E82" s="6"/>
      <c r="F82" s="6"/>
      <c r="G82" s="6"/>
      <c r="H82" s="6"/>
      <c r="I82" s="6"/>
      <c r="J82" s="6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7" t="s">
        <v>27</v>
      </c>
      <c r="F86" s="98"/>
      <c r="G86" s="98"/>
      <c r="H86" s="99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96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9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0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51">
        <v>0</v>
      </c>
      <c r="B93" s="15" t="str">
        <f>E86</f>
        <v>وحدة سفلية  زاوية 90</v>
      </c>
      <c r="C93" s="6"/>
      <c r="D93" s="6"/>
      <c r="E93" s="6"/>
      <c r="F93" s="6"/>
      <c r="G93" s="6"/>
      <c r="H93" s="6"/>
      <c r="I93" s="6"/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 t="str">
        <f>B93</f>
        <v>وحدة سفلية  زاوية 90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 t="str">
        <f>B93</f>
        <v>وحدة سفلية  زاوية 90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 t="str">
        <f>B93</f>
        <v>وحدة سفلية  زاوية 90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 t="str">
        <f>B93</f>
        <v>وحدة سفلية  زاوية 90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 t="str">
        <f>B93</f>
        <v>وحدة سفلية  زاوية 90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 t="str">
        <f>B93</f>
        <v>وحدة سفلية  زاوية 90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51">
        <v>0</v>
      </c>
      <c r="C100" s="6"/>
      <c r="D100" s="6"/>
      <c r="E100" s="6"/>
      <c r="F100" s="6"/>
      <c r="G100" s="6"/>
      <c r="H100" s="6"/>
      <c r="I100" s="6"/>
      <c r="J100" s="6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 t="str">
        <f>B93</f>
        <v>وحدة سفلية  زاوية 90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 t="str">
        <f>B93</f>
        <v>وحدة سفلية  زاوية 90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51">
        <v>0</v>
      </c>
      <c r="C103" s="6"/>
      <c r="D103" s="6"/>
      <c r="E103" s="6"/>
      <c r="F103" s="6"/>
      <c r="G103" s="6"/>
      <c r="H103" s="6"/>
      <c r="I103" s="6"/>
      <c r="J103" s="6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 t="str">
        <f>B93</f>
        <v>وحدة سفلية  زاوية 90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7" t="s">
        <v>30</v>
      </c>
      <c r="F107" s="98"/>
      <c r="G107" s="98"/>
      <c r="H107" s="99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96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9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51">
        <v>0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51">
        <v>0</v>
      </c>
      <c r="C114" s="6"/>
      <c r="D114" s="6"/>
      <c r="E114" s="6"/>
      <c r="F114" s="6"/>
      <c r="G114" s="6"/>
      <c r="H114" s="6"/>
      <c r="I114" s="6"/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7" t="s">
        <v>106</v>
      </c>
      <c r="F127" s="98"/>
      <c r="G127" s="98"/>
      <c r="H127" s="99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96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9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 s="2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 s="21"/>
      <c r="C133" s="6"/>
      <c r="D133" s="6"/>
      <c r="E133" s="6"/>
      <c r="F133" s="6"/>
      <c r="G133" s="6"/>
      <c r="H133" s="6"/>
      <c r="I133" s="6"/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51">
        <v>0</v>
      </c>
      <c r="C142" s="6"/>
      <c r="D142" s="6"/>
      <c r="E142" s="6"/>
      <c r="F142" s="6"/>
      <c r="G142" s="6"/>
      <c r="H142" s="6"/>
      <c r="I142" s="6"/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51">
        <v>0</v>
      </c>
      <c r="C145" s="6"/>
      <c r="D145" s="6"/>
      <c r="E145" s="6"/>
      <c r="F145" s="6"/>
      <c r="G145" s="6"/>
      <c r="H145" s="6"/>
      <c r="I145" s="6"/>
      <c r="J145" s="6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7" t="s">
        <v>163</v>
      </c>
      <c r="F150" s="98"/>
      <c r="G150" s="98"/>
      <c r="H150" s="99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x14ac:dyDescent="0.3">
      <c r="A154" s="51">
        <v>0</v>
      </c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x14ac:dyDescent="0.3">
      <c r="A156" s="51">
        <v>0</v>
      </c>
      <c r="C156" s="6"/>
      <c r="D156" s="6"/>
      <c r="E156" s="6"/>
      <c r="F156" s="6"/>
      <c r="G156" s="6"/>
      <c r="H156" s="6"/>
      <c r="I156" s="6"/>
      <c r="J156" s="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</row>
    <row r="161" spans="1:10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</row>
    <row r="162" spans="1:10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</row>
    <row r="163" spans="1:10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</row>
    <row r="164" spans="1:10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</row>
    <row r="165" spans="1:10" x14ac:dyDescent="0.3">
      <c r="A165" s="51">
        <v>0</v>
      </c>
      <c r="C165" s="6"/>
      <c r="D165" s="6"/>
      <c r="E165" s="6"/>
      <c r="F165" s="6"/>
      <c r="G165" s="6"/>
      <c r="H165" s="6"/>
      <c r="I165" s="6"/>
      <c r="J165" s="6"/>
    </row>
    <row r="166" spans="1:10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</row>
    <row r="167" spans="1:10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</row>
    <row r="168" spans="1:10" x14ac:dyDescent="0.3">
      <c r="A168" s="51">
        <v>0</v>
      </c>
      <c r="C168" s="6"/>
      <c r="D168" s="6"/>
      <c r="E168" s="6"/>
      <c r="F168" s="6"/>
      <c r="G168" s="6"/>
      <c r="H168" s="6"/>
      <c r="I168" s="6"/>
      <c r="J168" s="6"/>
    </row>
    <row r="169" spans="1:10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</row>
    <row r="170" spans="1:10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</row>
    <row r="171" spans="1:10" x14ac:dyDescent="0.3">
      <c r="A171" s="51">
        <v>255</v>
      </c>
    </row>
    <row r="172" spans="1:10" x14ac:dyDescent="0.3">
      <c r="A172" s="51">
        <v>255</v>
      </c>
    </row>
  </sheetData>
  <mergeCells count="14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14:F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C111" sqref="C111:J111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7</v>
      </c>
    </row>
    <row r="2" spans="1:25" s="35" customFormat="1" ht="31.2" x14ac:dyDescent="0.3">
      <c r="A2" s="36">
        <v>96</v>
      </c>
      <c r="B2" s="48" t="s">
        <v>123</v>
      </c>
      <c r="C2" s="95" t="s">
        <v>105</v>
      </c>
      <c r="D2" s="95"/>
      <c r="E2" s="95"/>
      <c r="F2" s="95"/>
      <c r="G2" s="95"/>
      <c r="H2" s="95"/>
      <c r="I2" s="95"/>
      <c r="J2" s="95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7" t="s">
        <v>117</v>
      </c>
      <c r="F13" s="98"/>
      <c r="G13" s="98"/>
      <c r="H13" s="99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96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9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x14ac:dyDescent="0.3">
      <c r="A17" s="35">
        <v>0</v>
      </c>
      <c r="B17" s="15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x14ac:dyDescent="0.3">
      <c r="A19" s="51">
        <v>0</v>
      </c>
      <c r="B19" s="15"/>
      <c r="C19" s="6"/>
      <c r="D19" s="6"/>
      <c r="E19" s="6"/>
      <c r="F19" s="6"/>
      <c r="G19" s="6"/>
      <c r="H19" s="6"/>
      <c r="I19" s="6"/>
      <c r="J19" s="6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</row>
    <row r="25" spans="1:75" x14ac:dyDescent="0.3">
      <c r="A25" s="51">
        <v>0</v>
      </c>
      <c r="B25" s="15"/>
      <c r="C25" s="6"/>
      <c r="D25" s="6"/>
      <c r="E25" s="6"/>
      <c r="F25" s="6"/>
      <c r="G25" s="6"/>
      <c r="H25" s="6"/>
      <c r="I25" s="6"/>
      <c r="J25" s="6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</row>
    <row r="27" spans="1:75" x14ac:dyDescent="0.3">
      <c r="A27" s="51">
        <v>0</v>
      </c>
      <c r="B27" s="15"/>
      <c r="C27" s="6"/>
      <c r="D27" s="6"/>
      <c r="E27" s="6"/>
      <c r="F27" s="6"/>
      <c r="G27" s="6"/>
      <c r="H27" s="6"/>
      <c r="I27" s="6"/>
      <c r="J27" s="6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7" t="s">
        <v>143</v>
      </c>
      <c r="F31" s="98"/>
      <c r="G31" s="98"/>
      <c r="H31" s="99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B36" s="1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B38" s="15"/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B54" s="15"/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B59" s="15"/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7" t="s">
        <v>120</v>
      </c>
      <c r="F66" s="98"/>
      <c r="G66" s="98"/>
      <c r="H66" s="99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96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96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x14ac:dyDescent="0.3">
      <c r="A70" s="35">
        <v>0</v>
      </c>
      <c r="B70" s="15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 s="15"/>
      <c r="C72" s="6"/>
      <c r="D72" s="6"/>
      <c r="E72" s="6"/>
      <c r="F72" s="6"/>
      <c r="G72" s="6"/>
      <c r="H72" s="6"/>
      <c r="I72" s="6"/>
      <c r="J72" s="6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</row>
    <row r="79" spans="1:75" ht="15.6" customHeight="1" x14ac:dyDescent="0.3">
      <c r="A79" s="51">
        <v>0</v>
      </c>
      <c r="B79" s="15"/>
      <c r="C79" s="6"/>
      <c r="D79" s="6"/>
      <c r="E79" s="6"/>
      <c r="F79" s="6"/>
      <c r="G79" s="6"/>
      <c r="H79" s="6"/>
      <c r="I79" s="6"/>
      <c r="J79" s="6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</row>
    <row r="82" spans="1:11" ht="15.6" customHeight="1" x14ac:dyDescent="0.3">
      <c r="A82" s="51">
        <v>0</v>
      </c>
      <c r="B82" s="15"/>
      <c r="C82" s="6"/>
      <c r="D82" s="6"/>
      <c r="E82" s="6"/>
      <c r="F82" s="6"/>
      <c r="G82" s="6"/>
      <c r="H82" s="6"/>
      <c r="I82" s="6"/>
      <c r="J82" s="6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7" t="s">
        <v>118</v>
      </c>
      <c r="F86" s="98"/>
      <c r="G86" s="98"/>
      <c r="H86" s="99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x14ac:dyDescent="0.3">
      <c r="A91" s="35">
        <v>0</v>
      </c>
      <c r="B91" s="15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x14ac:dyDescent="0.3">
      <c r="A93" s="51">
        <v>0</v>
      </c>
      <c r="B93" s="15"/>
      <c r="C93" s="6"/>
      <c r="D93" s="6"/>
      <c r="E93" s="6"/>
      <c r="F93" s="6"/>
      <c r="G93" s="6"/>
      <c r="H93" s="6"/>
      <c r="I93" s="6"/>
      <c r="J93" s="6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</row>
    <row r="100" spans="1:11" x14ac:dyDescent="0.3">
      <c r="A100" s="51">
        <v>0</v>
      </c>
      <c r="B100" s="15"/>
      <c r="C100" s="6"/>
      <c r="D100" s="6"/>
      <c r="E100" s="6"/>
      <c r="F100" s="6"/>
      <c r="G100" s="6"/>
      <c r="H100" s="6"/>
      <c r="I100" s="6"/>
      <c r="J100" s="6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</row>
    <row r="103" spans="1:11" x14ac:dyDescent="0.3">
      <c r="A103" s="51">
        <v>0</v>
      </c>
      <c r="B103" s="15"/>
      <c r="C103" s="6"/>
      <c r="D103" s="6"/>
      <c r="E103" s="6"/>
      <c r="F103" s="6"/>
      <c r="G103" s="6"/>
      <c r="H103" s="6"/>
      <c r="I103" s="6"/>
      <c r="J103" s="6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7" t="s">
        <v>119</v>
      </c>
      <c r="F107" s="98"/>
      <c r="G107" s="98"/>
      <c r="H107" s="99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x14ac:dyDescent="0.3">
      <c r="A112" s="35">
        <v>0</v>
      </c>
      <c r="B112" s="15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x14ac:dyDescent="0.3">
      <c r="A114" s="51">
        <v>0</v>
      </c>
      <c r="B114" s="15"/>
      <c r="C114" s="6"/>
      <c r="D114" s="6"/>
      <c r="E114" s="6"/>
      <c r="F114" s="6"/>
      <c r="G114" s="6"/>
      <c r="H114" s="6"/>
      <c r="I114" s="6"/>
      <c r="J114" s="6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</row>
    <row r="121" spans="1:11" x14ac:dyDescent="0.3">
      <c r="A121" s="51">
        <v>0</v>
      </c>
      <c r="B121" s="15"/>
      <c r="C121" s="6"/>
      <c r="D121" s="6"/>
      <c r="E121" s="6"/>
      <c r="F121" s="6"/>
      <c r="G121" s="6"/>
      <c r="H121" s="6"/>
      <c r="I121" s="6"/>
      <c r="J121" s="6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</row>
    <row r="123" spans="1:11" ht="14.4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7" t="s">
        <v>163</v>
      </c>
      <c r="F127" s="98"/>
      <c r="G127" s="98"/>
      <c r="H127" s="99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0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0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0" x14ac:dyDescent="0.3">
      <c r="A131" s="51">
        <v>0</v>
      </c>
      <c r="B131" s="15"/>
    </row>
    <row r="132" spans="1:10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0" x14ac:dyDescent="0.3">
      <c r="A133" s="51">
        <v>0</v>
      </c>
      <c r="B133" s="15"/>
      <c r="C133" s="6"/>
      <c r="D133" s="6"/>
      <c r="E133" s="6"/>
      <c r="F133" s="6"/>
      <c r="G133" s="6"/>
      <c r="H133" s="6"/>
      <c r="I133" s="6"/>
      <c r="J133" s="6"/>
    </row>
    <row r="134" spans="1:10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</row>
    <row r="135" spans="1:10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</row>
    <row r="136" spans="1:10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</row>
    <row r="137" spans="1:10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</row>
    <row r="138" spans="1:10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</row>
    <row r="139" spans="1:10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</row>
    <row r="140" spans="1:10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</row>
    <row r="141" spans="1:10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</row>
    <row r="142" spans="1:10" x14ac:dyDescent="0.3">
      <c r="A142" s="51">
        <v>0</v>
      </c>
      <c r="B142" s="15"/>
      <c r="C142" s="6"/>
      <c r="D142" s="6"/>
      <c r="E142" s="6"/>
      <c r="F142" s="6"/>
      <c r="G142" s="6"/>
      <c r="H142" s="6"/>
      <c r="I142" s="6"/>
      <c r="J142" s="6"/>
    </row>
    <row r="143" spans="1:10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</row>
    <row r="144" spans="1:10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</row>
    <row r="145" spans="1:10" x14ac:dyDescent="0.3">
      <c r="A145" s="51">
        <v>0</v>
      </c>
      <c r="B145" s="15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</row>
    <row r="147" spans="1:10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</row>
    <row r="148" spans="1:10" x14ac:dyDescent="0.3">
      <c r="A148" s="51">
        <v>255</v>
      </c>
      <c r="B148" s="15"/>
    </row>
    <row r="149" spans="1:10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9" zoomScale="86" zoomScaleNormal="70" workbookViewId="0">
      <selection activeCell="E15" sqref="E15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6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95" t="s">
        <v>44</v>
      </c>
      <c r="D2" s="95"/>
      <c r="E2" s="95"/>
      <c r="F2" s="95"/>
      <c r="G2" s="95"/>
      <c r="H2" s="95"/>
      <c r="I2" s="95"/>
      <c r="J2" s="95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7" t="s">
        <v>45</v>
      </c>
      <c r="F13" s="98"/>
      <c r="G13" s="98"/>
      <c r="H13" s="99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01" t="b">
        <f ca="1">NOT(AND(F15&gt;0,G15&gt;0))</f>
        <v>1</v>
      </c>
      <c r="G16" s="101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0">
        <f>C15+D15</f>
        <v>1</v>
      </c>
      <c r="D17" s="100"/>
      <c r="E17" s="26">
        <v>10</v>
      </c>
      <c r="F17" s="108" t="str">
        <f ca="1">IF(F16,"المقابض مظبوطة","مينفعش مقبض مخفي مع بيلت ان")</f>
        <v>المقابض مظبوطة</v>
      </c>
      <c r="G17" s="108"/>
      <c r="H17" s="101" t="str">
        <f>IF(H16,"عدد الدلف صحيح","عدد الدلف غير صحيح")</f>
        <v>عدد الدلف صحيح</v>
      </c>
      <c r="I17" s="101"/>
      <c r="J17" s="10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01" t="b">
        <f>C17&lt;=2</f>
        <v>1</v>
      </c>
      <c r="D18" s="101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C22" s="6"/>
      <c r="D22" s="6"/>
      <c r="E22" s="6"/>
      <c r="F22" s="6"/>
      <c r="G22" s="6"/>
      <c r="H22" s="6"/>
      <c r="I22" s="6"/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7" t="s">
        <v>51</v>
      </c>
      <c r="F34" s="98"/>
      <c r="G34" s="98"/>
      <c r="H34" s="99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09" t="b">
        <f ca="1">NOT(AND(F36&gt;0,G36&gt;0))</f>
        <v>1</v>
      </c>
      <c r="G37" s="109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0">
        <f>C36+D36</f>
        <v>2</v>
      </c>
      <c r="D38" s="100"/>
      <c r="E38" s="7">
        <v>0</v>
      </c>
      <c r="F38" s="102" t="str">
        <f ca="1">IF(F37,"المقابض مظبوطة","مينفعش مقبض مخفي مع بيلت ان")</f>
        <v>المقابض مظبوطة</v>
      </c>
      <c r="G38" s="102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01" t="b">
        <f>C38&lt;=2</f>
        <v>1</v>
      </c>
      <c r="D39" s="101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C43" s="6"/>
      <c r="D43" s="6"/>
      <c r="E43" s="6"/>
      <c r="F43" s="6"/>
      <c r="G43" s="6"/>
      <c r="H43" s="6"/>
      <c r="I43" s="6"/>
      <c r="J43" s="6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 s="3" t="str">
        <f>B44</f>
        <v>وحدة علوية  قلاب / 2 قلاب</v>
      </c>
      <c r="C48" s="6"/>
      <c r="D48" s="6"/>
      <c r="E48" s="6"/>
      <c r="F48" s="6"/>
      <c r="G48" s="6"/>
      <c r="H48" s="6"/>
      <c r="I48" s="6"/>
      <c r="J48" s="6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C51" s="6"/>
      <c r="D51" s="6"/>
      <c r="E51" s="6"/>
      <c r="F51" s="6"/>
      <c r="G51" s="6"/>
      <c r="H51" s="6"/>
      <c r="I51" s="6"/>
      <c r="J51" s="6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7" t="s">
        <v>46</v>
      </c>
      <c r="F55" s="98"/>
      <c r="G55" s="98"/>
      <c r="H55" s="99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1" t="b">
        <f ca="1">NOT(AND(F57&gt;0,G57&gt;0))</f>
        <v>1</v>
      </c>
      <c r="G58" s="103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0">
        <f>C57+D57</f>
        <v>2</v>
      </c>
      <c r="D59" s="100"/>
      <c r="E59" s="7" t="s">
        <v>107</v>
      </c>
      <c r="F59" s="104" t="str">
        <f ca="1">IF(F58,"المقابض مظبوطة","مينفعش مقبض مخفي مع بيلت ان")</f>
        <v>المقابض مظبوطة</v>
      </c>
      <c r="G59" s="10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01" t="b">
        <f>C59&lt;=2</f>
        <v>1</v>
      </c>
      <c r="D60" s="101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C64" s="6"/>
      <c r="D64" s="6"/>
      <c r="E64" s="6"/>
      <c r="F64" s="6"/>
      <c r="G64" s="6"/>
      <c r="H64" s="6"/>
      <c r="I64" s="6"/>
      <c r="J64" s="6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C75" s="6"/>
      <c r="D75" s="6"/>
      <c r="E75" s="6"/>
      <c r="F75" s="6"/>
      <c r="G75" s="6"/>
      <c r="H75" s="6"/>
      <c r="I75" s="6"/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7" t="s">
        <v>169</v>
      </c>
      <c r="F79" s="98"/>
      <c r="G79" s="98"/>
      <c r="H79" s="99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1" t="b">
        <f ca="1">NOT(AND(F81&gt;0,G81&gt;0))</f>
        <v>1</v>
      </c>
      <c r="G82" s="103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0">
        <f>C81+D81</f>
        <v>1</v>
      </c>
      <c r="D83" s="100"/>
      <c r="E83" s="7" t="s">
        <v>107</v>
      </c>
      <c r="F83" s="104" t="str">
        <f ca="1">IF(F82,"المقابض مظبوطة","مينفعش مقبض مخفي مع بيلت ان")</f>
        <v>المقابض مظبوطة</v>
      </c>
      <c r="G83" s="10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01" t="b">
        <f>C83&lt;=2</f>
        <v>1</v>
      </c>
      <c r="D84" s="101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 s="1"/>
      <c r="C86" s="1"/>
      <c r="D86" s="1"/>
      <c r="E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C94" s="6"/>
      <c r="D94" s="6"/>
      <c r="E94" s="6"/>
      <c r="F94" s="6"/>
      <c r="G94" s="6"/>
      <c r="H94" s="6"/>
      <c r="I94" s="6"/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C97" s="6"/>
      <c r="D97" s="6"/>
      <c r="E97" s="6"/>
      <c r="F97" s="6"/>
      <c r="G97" s="6"/>
      <c r="H97" s="6"/>
      <c r="I97" s="6"/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C99" s="6"/>
      <c r="D99" s="6"/>
      <c r="E99" s="6"/>
      <c r="F99" s="6"/>
      <c r="G99" s="6"/>
      <c r="H99" s="6"/>
      <c r="I99" s="6"/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7" t="s">
        <v>47</v>
      </c>
      <c r="F103" s="98"/>
      <c r="G103" s="98"/>
      <c r="H103" s="99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01" t="b">
        <f ca="1">NOT(AND(F105&gt;0,G105&gt;0))</f>
        <v>1</v>
      </c>
      <c r="G106" s="10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02" t="str">
        <f ca="1">IF(F106,"المقابض مظبوطة","مينفعش مقبض مخفي مع بيلت ان")</f>
        <v>المقابض مظبوطة</v>
      </c>
      <c r="G107" s="102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C111" s="6"/>
      <c r="D111" s="6"/>
      <c r="E111" s="6"/>
      <c r="F111" s="6"/>
      <c r="G111" s="6"/>
      <c r="H111" s="6"/>
      <c r="I111" s="6"/>
      <c r="J111" s="6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C118" s="6"/>
      <c r="D118" s="6"/>
      <c r="E118" s="6"/>
      <c r="F118" s="6"/>
      <c r="G118" s="6"/>
      <c r="H118" s="6"/>
      <c r="I118" s="6"/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C124" s="6"/>
      <c r="D124" s="6"/>
      <c r="E124" s="6"/>
      <c r="F124" s="6"/>
      <c r="G124" s="6"/>
      <c r="H124" s="6"/>
      <c r="I124" s="6"/>
      <c r="J124" s="6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7" t="s">
        <v>48</v>
      </c>
      <c r="F129" s="98"/>
      <c r="G129" s="98"/>
      <c r="H129" s="99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01" t="b">
        <f ca="1">NOT(AND(F131&gt;0,G131&gt;0))</f>
        <v>1</v>
      </c>
      <c r="G132" s="10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02" t="str">
        <f ca="1">IF(F132,"المقابض مظبوطة","مينفعش مقبض مخفي مع بيلت ان")</f>
        <v>المقابض مظبوطة</v>
      </c>
      <c r="G133" s="102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C137" s="6"/>
      <c r="D137" s="6"/>
      <c r="E137" s="6"/>
      <c r="F137" s="6"/>
      <c r="G137" s="6"/>
      <c r="H137" s="6"/>
      <c r="I137" s="6"/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C144" s="6"/>
      <c r="D144" s="6"/>
      <c r="E144" s="6"/>
      <c r="F144" s="6"/>
      <c r="G144" s="6"/>
      <c r="H144" s="6"/>
      <c r="I144" s="6"/>
      <c r="J144" s="6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C146" s="6"/>
      <c r="D146" s="6"/>
      <c r="E146" s="6"/>
      <c r="F146" s="6"/>
      <c r="G146" s="6"/>
      <c r="H146" s="6"/>
      <c r="I146" s="6"/>
      <c r="J146" s="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7" t="s">
        <v>110</v>
      </c>
      <c r="F150" s="98"/>
      <c r="G150" s="98"/>
      <c r="H150" s="99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5">
        <f>C152+D152</f>
        <v>1</v>
      </c>
      <c r="D154" s="10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03" t="b">
        <f>C154&lt;=2</f>
        <v>1</v>
      </c>
      <c r="D155" s="107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C157" s="1"/>
      <c r="D157" s="1"/>
      <c r="E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C159" s="6"/>
      <c r="D159" s="6"/>
      <c r="E159" s="6"/>
      <c r="F159" s="6"/>
      <c r="G159" s="6"/>
      <c r="H159" s="6"/>
      <c r="I159" s="6"/>
      <c r="J159" s="6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C165" s="6"/>
      <c r="D165" s="6"/>
      <c r="E165" s="6"/>
      <c r="F165" s="6"/>
      <c r="G165" s="6"/>
      <c r="H165" s="6"/>
      <c r="I165" s="6"/>
      <c r="J165" s="6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C168" s="6"/>
      <c r="D168" s="6"/>
      <c r="E168" s="6"/>
      <c r="F168" s="6"/>
      <c r="G168" s="6"/>
      <c r="H168" s="6"/>
      <c r="I168" s="6"/>
      <c r="J168" s="6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H55" sqref="H55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95" t="s">
        <v>65</v>
      </c>
      <c r="D2" s="95"/>
      <c r="E2" s="95"/>
      <c r="F2" s="95"/>
      <c r="G2" s="95"/>
      <c r="H2" s="95"/>
      <c r="I2" s="95"/>
      <c r="J2" s="95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11" t="s">
        <v>66</v>
      </c>
      <c r="F13" s="111"/>
      <c r="G13" s="111"/>
      <c r="H13" s="111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00">
        <f>G17+H17</f>
        <v>2</v>
      </c>
      <c r="D19" s="100"/>
      <c r="E19" s="8"/>
      <c r="F19" s="46"/>
      <c r="G19" s="46"/>
      <c r="H19" s="46"/>
      <c r="I19" s="8">
        <f>SUM(I17:I18)</f>
        <v>210</v>
      </c>
      <c r="J19" s="102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01" t="b">
        <f>C19&lt;=2</f>
        <v>1</v>
      </c>
      <c r="D20" s="101"/>
      <c r="E20" s="8"/>
      <c r="F20" s="8"/>
      <c r="G20" s="8"/>
      <c r="H20" s="8"/>
      <c r="I20" s="6" t="b">
        <f>I19=I15</f>
        <v>1</v>
      </c>
      <c r="J20" s="102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C24" s="6"/>
      <c r="D24" s="6"/>
      <c r="E24" s="6"/>
      <c r="F24" s="6"/>
      <c r="G24" s="6"/>
      <c r="H24" s="6"/>
      <c r="I24" s="6"/>
      <c r="J24" s="6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</row>
    <row r="30" spans="1:13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</row>
    <row r="33" spans="1:13" x14ac:dyDescent="0.3">
      <c r="A33" s="35">
        <v>0</v>
      </c>
      <c r="C33" s="6"/>
      <c r="D33" s="6"/>
      <c r="E33" s="6"/>
      <c r="F33" s="6"/>
      <c r="G33" s="6"/>
      <c r="H33" s="6"/>
      <c r="I33" s="6"/>
      <c r="J33" s="6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</row>
    <row r="36" spans="1:13" x14ac:dyDescent="0.3">
      <c r="A36" s="35">
        <v>0</v>
      </c>
      <c r="C36" s="6"/>
      <c r="D36" s="6"/>
      <c r="E36" s="6"/>
      <c r="F36" s="6"/>
      <c r="G36" s="6"/>
      <c r="H36" s="6"/>
      <c r="I36" s="6"/>
      <c r="J36" s="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11" t="s">
        <v>77</v>
      </c>
      <c r="F40" s="111"/>
      <c r="G40" s="111"/>
      <c r="H40" s="111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00">
        <f>G47+H47</f>
        <v>0</v>
      </c>
      <c r="D52" s="100"/>
      <c r="E52" s="8"/>
      <c r="F52" s="46"/>
      <c r="G52" s="46"/>
      <c r="H52" s="46"/>
      <c r="I52" s="8">
        <f>SUM(I44:I51)</f>
        <v>220</v>
      </c>
      <c r="J52" s="102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01" t="b">
        <f>C52&lt;=2</f>
        <v>1</v>
      </c>
      <c r="D53" s="101"/>
      <c r="E53" s="8"/>
      <c r="F53" s="8"/>
      <c r="G53" s="8"/>
      <c r="H53" s="8"/>
      <c r="I53" s="6" t="b">
        <f>I52=I42</f>
        <v>1</v>
      </c>
      <c r="J53" s="102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C57" s="6"/>
      <c r="D57" s="6"/>
      <c r="E57" s="6"/>
      <c r="F57" s="6"/>
      <c r="G57" s="6"/>
      <c r="H57" s="6"/>
      <c r="I57" s="6"/>
      <c r="J57" s="6"/>
      <c r="K57" s="1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/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/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/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/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/>
      <c r="L62" s="1"/>
      <c r="M62" s="1"/>
    </row>
    <row r="63" spans="1:13" x14ac:dyDescent="0.3">
      <c r="A63" s="35">
        <v>0</v>
      </c>
      <c r="C63" s="6"/>
      <c r="D63" s="6"/>
      <c r="E63" s="6"/>
      <c r="F63" s="6"/>
      <c r="G63" s="6"/>
      <c r="H63" s="6"/>
      <c r="I63" s="6"/>
      <c r="J63" s="6"/>
      <c r="K63" s="1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</row>
    <row r="73" spans="1:12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</row>
    <row r="81" spans="1:10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</row>
    <row r="82" spans="1:10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</row>
    <row r="83" spans="1:10" x14ac:dyDescent="0.3">
      <c r="A83" s="35">
        <v>0</v>
      </c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35">
        <v>0</v>
      </c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</row>
    <row r="86" spans="1:10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</row>
    <row r="87" spans="1:10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</row>
    <row r="88" spans="1:10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</row>
    <row r="90" spans="1:10" x14ac:dyDescent="0.3">
      <c r="A90" s="35">
        <v>255</v>
      </c>
    </row>
    <row r="91" spans="1:10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7" t="s">
        <v>67</v>
      </c>
      <c r="F98" s="98"/>
      <c r="G98" s="98"/>
      <c r="H98" s="99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1" t="b">
        <f>NOT(AND(F100&gt;0,G100&gt;0))</f>
        <v>1</v>
      </c>
      <c r="G101" s="101"/>
      <c r="I101" s="3" t="b">
        <f>_xlfn.XOR(I100&lt;=50,C102=2)</f>
        <v>0</v>
      </c>
    </row>
    <row r="102" spans="2:10" ht="24" hidden="1" customHeight="1" x14ac:dyDescent="0.3">
      <c r="C102" s="101">
        <f>C100+E100</f>
        <v>3</v>
      </c>
      <c r="D102" s="101"/>
      <c r="E102" s="33"/>
      <c r="F102" s="104" t="str">
        <f>IF(F101,"المقابض مظبوطة","مينفعش مقبض مخفي مع بيلت ان")</f>
        <v>المقابض مظبوطة</v>
      </c>
      <c r="G102" s="10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01" t="b">
        <f>C102&lt;=2</f>
        <v>0</v>
      </c>
      <c r="D103" s="10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7" t="s">
        <v>68</v>
      </c>
      <c r="F118" s="98"/>
      <c r="G118" s="98"/>
      <c r="H118" s="99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01" t="b">
        <f>NOT(AND(F120&gt;0,G120&gt;0))</f>
        <v>1</v>
      </c>
      <c r="G121" s="10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04" t="str">
        <f>IF(F121,"المقابض مظبوطة","مينفعش مقبض مخفي مع بيلت ان")</f>
        <v>المقابض مظبوطة</v>
      </c>
      <c r="G122" s="10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7" t="s">
        <v>69</v>
      </c>
      <c r="F138" s="98"/>
      <c r="G138" s="98"/>
      <c r="H138" s="99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01" t="b">
        <f>NOT(AND(F140&gt;0,G140&gt;0))</f>
        <v>1</v>
      </c>
      <c r="G141" s="10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04" t="str">
        <f>IF(F141,"المقابض مظبوطة","مينفعش مقبض مخفي مع بيلت ان")</f>
        <v>المقابض مظبوطة</v>
      </c>
      <c r="G142" s="10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0" t="s">
        <v>43</v>
      </c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>
      <selection activeCell="L19" sqref="L19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1</v>
      </c>
    </row>
    <row r="2" spans="1:23" s="35" customFormat="1" ht="31.2" x14ac:dyDescent="0.3">
      <c r="A2" s="36">
        <v>20</v>
      </c>
      <c r="B2" s="50" t="s">
        <v>126</v>
      </c>
      <c r="C2" s="112" t="s">
        <v>104</v>
      </c>
      <c r="D2" s="113"/>
      <c r="E2" s="113"/>
      <c r="F2" s="113"/>
      <c r="G2" s="113"/>
      <c r="H2" s="113"/>
      <c r="I2" s="113"/>
      <c r="J2" s="11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97" t="s">
        <v>171</v>
      </c>
      <c r="F13" s="98"/>
      <c r="G13" s="98"/>
      <c r="H13" s="99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 s="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 s="15"/>
      <c r="C17" s="6"/>
      <c r="D17" s="6"/>
      <c r="E17" s="6"/>
      <c r="F17" s="6"/>
      <c r="G17" s="6"/>
      <c r="H17" s="6"/>
      <c r="I17" s="6"/>
      <c r="J17" s="6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97" t="s">
        <v>172</v>
      </c>
      <c r="F25" s="98"/>
      <c r="G25" s="98"/>
      <c r="H25" s="99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 s="15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 s="15"/>
      <c r="C29" s="6"/>
      <c r="D29" s="6"/>
      <c r="E29" s="6"/>
      <c r="F29" s="6"/>
      <c r="G29" s="6"/>
      <c r="H29" s="6"/>
      <c r="I29" s="6"/>
      <c r="J29" s="6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97" t="s">
        <v>173</v>
      </c>
      <c r="F37" s="98"/>
      <c r="G37" s="98"/>
      <c r="H37" s="99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 s="15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 s="15"/>
      <c r="C41" s="6"/>
      <c r="D41" s="6"/>
      <c r="E41" s="6"/>
      <c r="F41" s="6"/>
      <c r="G41" s="6"/>
      <c r="H41" s="6"/>
      <c r="I41" s="6"/>
      <c r="J41" s="6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2024-09-19T09:20:56Z</dcterms:modified>
</cp:coreProperties>
</file>