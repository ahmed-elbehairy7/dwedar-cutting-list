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"/>
    </mc:Choice>
  </mc:AlternateContent>
  <xr:revisionPtr revIDLastSave="0" documentId="13_ncr:1_{69976CBC-F200-494F-8638-093CB300AA4D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1" i="3" l="1"/>
  <c r="G141" i="3"/>
  <c r="F141" i="3"/>
  <c r="H140" i="3"/>
  <c r="H139" i="3"/>
  <c r="F139" i="3"/>
  <c r="H147" i="3"/>
  <c r="G129" i="3"/>
  <c r="G147" i="3" s="1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34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18" i="4"/>
  <c r="G97" i="4"/>
  <c r="G96" i="4"/>
  <c r="G124" i="3"/>
  <c r="G104" i="3"/>
  <c r="J13" i="5"/>
  <c r="J31" i="7"/>
  <c r="J121" i="4"/>
  <c r="J13" i="7"/>
  <c r="J100" i="4"/>
  <c r="J127" i="3"/>
  <c r="J77" i="4"/>
  <c r="J107" i="3"/>
  <c r="J55" i="4"/>
  <c r="J86" i="3"/>
  <c r="J34" i="4"/>
  <c r="J66" i="3"/>
  <c r="J13" i="4"/>
  <c r="J31" i="3"/>
  <c r="J138" i="7"/>
  <c r="J13" i="3"/>
  <c r="J117" i="7"/>
  <c r="J51" i="7"/>
  <c r="J97" i="7"/>
  <c r="J74" i="7"/>
  <c r="J40" i="5"/>
  <c r="J13" i="6"/>
  <c r="F140" i="3" l="1"/>
  <c r="H55" i="3"/>
  <c r="F18" i="6"/>
  <c r="G18" i="6"/>
  <c r="H18" i="6"/>
  <c r="B18" i="6"/>
  <c r="J123" i="4"/>
  <c r="G123" i="4"/>
  <c r="F123" i="4"/>
  <c r="F102" i="4"/>
  <c r="G102" i="4"/>
  <c r="J103" i="4"/>
  <c r="I103" i="4"/>
  <c r="J102" i="4"/>
  <c r="I102" i="4"/>
  <c r="J80" i="4"/>
  <c r="I80" i="4"/>
  <c r="F79" i="4"/>
  <c r="G79" i="4"/>
  <c r="I79" i="4"/>
  <c r="J79" i="4"/>
  <c r="G57" i="4"/>
  <c r="F57" i="4"/>
  <c r="I57" i="4"/>
  <c r="J57" i="4"/>
  <c r="F36" i="4"/>
  <c r="G36" i="4"/>
  <c r="I36" i="4"/>
  <c r="J36" i="4"/>
  <c r="F15" i="4"/>
  <c r="G15" i="4"/>
  <c r="I15" i="4"/>
  <c r="J15" i="4"/>
  <c r="F76" i="7"/>
  <c r="F15" i="7"/>
  <c r="F140" i="7"/>
  <c r="G155" i="7" s="1"/>
  <c r="F119" i="7"/>
  <c r="F99" i="7"/>
  <c r="F53" i="7"/>
  <c r="F33" i="7"/>
  <c r="G48" i="7" s="1"/>
  <c r="G25" i="8"/>
  <c r="G76" i="7" s="1"/>
  <c r="F89" i="7" s="1"/>
  <c r="G24" i="8"/>
  <c r="E53" i="7" s="1"/>
  <c r="G23" i="8"/>
  <c r="I140" i="7" s="1"/>
  <c r="G22" i="8"/>
  <c r="J140" i="7" s="1"/>
  <c r="G7" i="8"/>
  <c r="F90" i="3" s="1"/>
  <c r="G11" i="8"/>
  <c r="H121" i="7" s="1"/>
  <c r="D127" i="7" s="1"/>
  <c r="I127" i="7" s="1"/>
  <c r="I32" i="3"/>
  <c r="J110" i="3"/>
  <c r="I110" i="3"/>
  <c r="E129" i="3"/>
  <c r="I129" i="3"/>
  <c r="J129" i="3"/>
  <c r="J109" i="3"/>
  <c r="I109" i="3"/>
  <c r="E109" i="3"/>
  <c r="E88" i="3"/>
  <c r="I89" i="3"/>
  <c r="J89" i="3"/>
  <c r="I88" i="3"/>
  <c r="J88" i="3"/>
  <c r="E68" i="3"/>
  <c r="J68" i="3"/>
  <c r="I68" i="3"/>
  <c r="J34" i="3"/>
  <c r="I34" i="3"/>
  <c r="F58" i="3" s="1"/>
  <c r="E15" i="3"/>
  <c r="I15" i="3"/>
  <c r="F20" i="3"/>
  <c r="J15" i="3"/>
  <c r="G24" i="3" s="1"/>
  <c r="E3" i="10" a="1"/>
  <c r="E3" i="10" s="1"/>
  <c r="G23" i="3"/>
  <c r="G22" i="3"/>
  <c r="G62" i="3" l="1"/>
  <c r="G61" i="3"/>
  <c r="G63" i="3"/>
  <c r="F57" i="3"/>
  <c r="F55" i="3"/>
  <c r="F56" i="3"/>
  <c r="E135" i="7"/>
  <c r="G135" i="7"/>
  <c r="G144" i="3"/>
  <c r="F50" i="3"/>
  <c r="F53" i="3"/>
  <c r="G35" i="8"/>
  <c r="E14" i="6" s="1"/>
  <c r="D18" i="6" s="1"/>
  <c r="I18" i="6" s="1"/>
  <c r="D130" i="7"/>
  <c r="I130" i="7" s="1"/>
  <c r="D128" i="7"/>
  <c r="I128" i="7" s="1"/>
  <c r="D129" i="7"/>
  <c r="I129" i="7" s="1"/>
  <c r="F40" i="4"/>
  <c r="D49" i="4" s="1"/>
  <c r="I49" i="4" s="1"/>
  <c r="F127" i="4"/>
  <c r="D137" i="4" s="1"/>
  <c r="I137" i="4" s="1"/>
  <c r="F54" i="5"/>
  <c r="F61" i="4"/>
  <c r="D72" i="4" s="1"/>
  <c r="I72" i="4" s="1"/>
  <c r="F21" i="5"/>
  <c r="F86" i="7"/>
  <c r="F82" i="4"/>
  <c r="D94" i="4" s="1"/>
  <c r="I94" i="4" s="1"/>
  <c r="D125" i="7"/>
  <c r="I125" i="7" s="1"/>
  <c r="D126" i="7"/>
  <c r="I126" i="7" s="1"/>
  <c r="F19" i="4"/>
  <c r="D28" i="4" s="1"/>
  <c r="I28" i="4" s="1"/>
  <c r="F105" i="4"/>
  <c r="D116" i="4" s="1"/>
  <c r="I116" i="4" s="1"/>
  <c r="G71" i="7"/>
  <c r="E155" i="7"/>
  <c r="H48" i="7"/>
  <c r="B114" i="7"/>
  <c r="C114" i="7"/>
  <c r="B71" i="7"/>
  <c r="D114" i="7"/>
  <c r="I114" i="7" s="1"/>
  <c r="H135" i="7"/>
  <c r="C71" i="7"/>
  <c r="E114" i="7"/>
  <c r="H28" i="7"/>
  <c r="D71" i="7"/>
  <c r="I71" i="7" s="1"/>
  <c r="B155" i="7"/>
  <c r="E28" i="7"/>
  <c r="E71" i="7"/>
  <c r="G114" i="7"/>
  <c r="C155" i="7"/>
  <c r="D48" i="7"/>
  <c r="I48" i="7" s="1"/>
  <c r="H71" i="7"/>
  <c r="B135" i="7"/>
  <c r="F155" i="7"/>
  <c r="E48" i="7"/>
  <c r="C135" i="7"/>
  <c r="D135" i="7"/>
  <c r="I135" i="7" s="1"/>
  <c r="H155" i="7"/>
  <c r="B48" i="7"/>
  <c r="H114" i="7"/>
  <c r="D155" i="7"/>
  <c r="I155" i="7" s="1"/>
  <c r="C48" i="7"/>
  <c r="B94" i="7"/>
  <c r="C94" i="7"/>
  <c r="D94" i="7"/>
  <c r="I94" i="7" s="1"/>
  <c r="E94" i="7"/>
  <c r="G94" i="7"/>
  <c r="H94" i="7"/>
  <c r="B28" i="7"/>
  <c r="C28" i="7"/>
  <c r="G28" i="7"/>
  <c r="D28" i="7"/>
  <c r="I28" i="7" s="1"/>
  <c r="I76" i="7"/>
  <c r="F94" i="7" s="1"/>
  <c r="H54" i="7"/>
  <c r="H142" i="7"/>
  <c r="J76" i="7"/>
  <c r="E76" i="7"/>
  <c r="E140" i="7"/>
  <c r="H77" i="7"/>
  <c r="G53" i="7"/>
  <c r="I141" i="7"/>
  <c r="H100" i="7"/>
  <c r="H34" i="7"/>
  <c r="F111" i="3"/>
  <c r="J141" i="7"/>
  <c r="E15" i="7"/>
  <c r="I120" i="7"/>
  <c r="F135" i="7" s="1"/>
  <c r="F35" i="3"/>
  <c r="I33" i="7"/>
  <c r="F48" i="7" s="1"/>
  <c r="I99" i="7"/>
  <c r="F114" i="7" s="1"/>
  <c r="J120" i="7"/>
  <c r="I15" i="7"/>
  <c r="F28" i="7" s="1"/>
  <c r="F130" i="3"/>
  <c r="H16" i="7"/>
  <c r="J33" i="7"/>
  <c r="J99" i="7"/>
  <c r="E33" i="7"/>
  <c r="E99" i="7"/>
  <c r="G33" i="7"/>
  <c r="E119" i="7"/>
  <c r="J15" i="7"/>
  <c r="F16" i="3"/>
  <c r="F69" i="3"/>
  <c r="G12" i="8"/>
  <c r="I53" i="7"/>
  <c r="F71" i="7" s="1"/>
  <c r="I119" i="7"/>
  <c r="J53" i="7"/>
  <c r="J119" i="7"/>
  <c r="F26" i="3"/>
  <c r="F23" i="3"/>
  <c r="F28" i="3"/>
  <c r="F22" i="3"/>
  <c r="G28" i="3"/>
  <c r="G26" i="3"/>
  <c r="F21" i="3"/>
  <c r="F24" i="3"/>
  <c r="G20" i="3"/>
  <c r="G21" i="3"/>
  <c r="G8" i="8"/>
  <c r="G6" i="8"/>
  <c r="H140" i="4"/>
  <c r="G140" i="4"/>
  <c r="F140" i="4"/>
  <c r="H138" i="4"/>
  <c r="F138" i="4"/>
  <c r="H137" i="4"/>
  <c r="H135" i="4"/>
  <c r="G135" i="4"/>
  <c r="F135" i="4"/>
  <c r="H134" i="4"/>
  <c r="G134" i="4"/>
  <c r="F134" i="4"/>
  <c r="H133" i="4"/>
  <c r="G133" i="4"/>
  <c r="F133" i="4"/>
  <c r="H132" i="4"/>
  <c r="G132" i="4"/>
  <c r="F132" i="4"/>
  <c r="C132" i="4"/>
  <c r="C133" i="4" s="1"/>
  <c r="C134" i="4" s="1"/>
  <c r="C135" i="4" s="1"/>
  <c r="C137" i="4" s="1"/>
  <c r="C138" i="4" s="1"/>
  <c r="C140" i="4" s="1"/>
  <c r="H131" i="4"/>
  <c r="G131" i="4"/>
  <c r="F131" i="4"/>
  <c r="C125" i="4"/>
  <c r="F124" i="4"/>
  <c r="F125" i="4" s="1"/>
  <c r="D124" i="4"/>
  <c r="C124" i="4"/>
  <c r="F137" i="4" s="1"/>
  <c r="B131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09" i="4"/>
  <c r="B86" i="4"/>
  <c r="B94" i="4" s="1"/>
  <c r="B65" i="4"/>
  <c r="B44" i="4"/>
  <c r="B49" i="4" s="1"/>
  <c r="B146" i="7"/>
  <c r="B125" i="7"/>
  <c r="B104" i="7"/>
  <c r="B81" i="7"/>
  <c r="B58" i="7"/>
  <c r="B66" i="7" s="1"/>
  <c r="B38" i="7"/>
  <c r="B43" i="7" s="1"/>
  <c r="B20" i="7"/>
  <c r="B115" i="3"/>
  <c r="B122" i="3" s="1"/>
  <c r="B93" i="3"/>
  <c r="B98" i="3" s="1"/>
  <c r="B73" i="3"/>
  <c r="B75" i="3" s="1"/>
  <c r="B39" i="3"/>
  <c r="B20" i="3"/>
  <c r="B28" i="3" s="1"/>
  <c r="C126" i="4" l="1"/>
  <c r="G138" i="4"/>
  <c r="B63" i="3"/>
  <c r="B62" i="3"/>
  <c r="B61" i="3"/>
  <c r="B146" i="3"/>
  <c r="B147" i="3"/>
  <c r="B56" i="3"/>
  <c r="B58" i="3"/>
  <c r="B57" i="3"/>
  <c r="D56" i="3"/>
  <c r="I56" i="3" s="1"/>
  <c r="D57" i="3"/>
  <c r="I57" i="3" s="1"/>
  <c r="D58" i="3"/>
  <c r="I58" i="3" s="1"/>
  <c r="B52" i="3"/>
  <c r="B53" i="3"/>
  <c r="B41" i="3"/>
  <c r="B51" i="3"/>
  <c r="B49" i="3"/>
  <c r="B50" i="3"/>
  <c r="D31" i="5"/>
  <c r="I31" i="5" s="1"/>
  <c r="D32" i="5"/>
  <c r="I32" i="5" s="1"/>
  <c r="D81" i="5"/>
  <c r="I81" i="5" s="1"/>
  <c r="D79" i="5"/>
  <c r="I79" i="5" s="1"/>
  <c r="D78" i="5"/>
  <c r="I78" i="5" s="1"/>
  <c r="D77" i="5"/>
  <c r="I77" i="5" s="1"/>
  <c r="D76" i="5"/>
  <c r="I76" i="5" s="1"/>
  <c r="D75" i="5"/>
  <c r="I75" i="5" s="1"/>
  <c r="D74" i="5"/>
  <c r="I74" i="5" s="1"/>
  <c r="D80" i="5"/>
  <c r="I80" i="5" s="1"/>
  <c r="D82" i="5"/>
  <c r="I82" i="5" s="1"/>
  <c r="D71" i="4"/>
  <c r="I71" i="4" s="1"/>
  <c r="D93" i="4"/>
  <c r="I93" i="4" s="1"/>
  <c r="G13" i="8"/>
  <c r="D54" i="7" s="1"/>
  <c r="D105" i="4"/>
  <c r="D118" i="4" s="1"/>
  <c r="I118" i="4" s="1"/>
  <c r="D19" i="4"/>
  <c r="D31" i="4" s="1"/>
  <c r="I31" i="4" s="1"/>
  <c r="D61" i="4"/>
  <c r="D74" i="4" s="1"/>
  <c r="I74" i="4" s="1"/>
  <c r="D82" i="4"/>
  <c r="D21" i="5"/>
  <c r="D37" i="5" s="1"/>
  <c r="I37" i="5" s="1"/>
  <c r="D54" i="5"/>
  <c r="D89" i="5" s="1"/>
  <c r="I89" i="5" s="1"/>
  <c r="D127" i="4"/>
  <c r="D140" i="4" s="1"/>
  <c r="D40" i="4"/>
  <c r="D52" i="4" s="1"/>
  <c r="I52" i="4" s="1"/>
  <c r="D44" i="7"/>
  <c r="I44" i="7" s="1"/>
  <c r="D43" i="7"/>
  <c r="I43" i="7" s="1"/>
  <c r="D42" i="7"/>
  <c r="I42" i="7" s="1"/>
  <c r="D39" i="7"/>
  <c r="I39" i="7" s="1"/>
  <c r="D41" i="7"/>
  <c r="I41" i="7" s="1"/>
  <c r="D40" i="7"/>
  <c r="I40" i="7" s="1"/>
  <c r="D38" i="7"/>
  <c r="I38" i="7" s="1"/>
  <c r="D62" i="7"/>
  <c r="I62" i="7" s="1"/>
  <c r="D61" i="7"/>
  <c r="I61" i="7" s="1"/>
  <c r="D66" i="7"/>
  <c r="I66" i="7" s="1"/>
  <c r="D60" i="7"/>
  <c r="I60" i="7" s="1"/>
  <c r="D59" i="7"/>
  <c r="I59" i="7" s="1"/>
  <c r="D65" i="7"/>
  <c r="I65" i="7" s="1"/>
  <c r="D58" i="7"/>
  <c r="I58" i="7" s="1"/>
  <c r="D67" i="7"/>
  <c r="I67" i="7" s="1"/>
  <c r="D64" i="7"/>
  <c r="I64" i="7" s="1"/>
  <c r="D63" i="7"/>
  <c r="I63" i="7" s="1"/>
  <c r="D109" i="7"/>
  <c r="I109" i="7" s="1"/>
  <c r="D104" i="7"/>
  <c r="I104" i="7" s="1"/>
  <c r="D108" i="7"/>
  <c r="I108" i="7" s="1"/>
  <c r="D107" i="7"/>
  <c r="I107" i="7" s="1"/>
  <c r="D106" i="7"/>
  <c r="I106" i="7" s="1"/>
  <c r="D105" i="7"/>
  <c r="I105" i="7" s="1"/>
  <c r="F63" i="7"/>
  <c r="F66" i="7"/>
  <c r="H105" i="4"/>
  <c r="H19" i="4"/>
  <c r="H82" i="4"/>
  <c r="H127" i="4"/>
  <c r="H54" i="5"/>
  <c r="H21" i="5"/>
  <c r="H61" i="4"/>
  <c r="H40" i="4"/>
  <c r="D87" i="7"/>
  <c r="I87" i="7" s="1"/>
  <c r="D86" i="7"/>
  <c r="I86" i="7" s="1"/>
  <c r="D85" i="7"/>
  <c r="I85" i="7" s="1"/>
  <c r="D84" i="7"/>
  <c r="I84" i="7" s="1"/>
  <c r="D83" i="7"/>
  <c r="I83" i="7" s="1"/>
  <c r="D82" i="7"/>
  <c r="I82" i="7" s="1"/>
  <c r="D90" i="7"/>
  <c r="I90" i="7" s="1"/>
  <c r="D81" i="7"/>
  <c r="I81" i="7" s="1"/>
  <c r="D89" i="7"/>
  <c r="I89" i="7" s="1"/>
  <c r="D88" i="7"/>
  <c r="I88" i="7" s="1"/>
  <c r="D146" i="7"/>
  <c r="I146" i="7" s="1"/>
  <c r="D151" i="7"/>
  <c r="I151" i="7" s="1"/>
  <c r="D150" i="7"/>
  <c r="I150" i="7" s="1"/>
  <c r="D149" i="7"/>
  <c r="I149" i="7" s="1"/>
  <c r="D148" i="7"/>
  <c r="I148" i="7" s="1"/>
  <c r="D147" i="7"/>
  <c r="I147" i="7" s="1"/>
  <c r="F121" i="7"/>
  <c r="F34" i="7"/>
  <c r="D46" i="7" s="1"/>
  <c r="I46" i="7" s="1"/>
  <c r="F100" i="7"/>
  <c r="F77" i="7"/>
  <c r="D92" i="7" s="1"/>
  <c r="I92" i="7" s="1"/>
  <c r="F54" i="7"/>
  <c r="D69" i="7" s="1"/>
  <c r="I69" i="7" s="1"/>
  <c r="F142" i="7"/>
  <c r="D153" i="7" s="1"/>
  <c r="I153" i="7" s="1"/>
  <c r="D34" i="7"/>
  <c r="D100" i="7"/>
  <c r="D16" i="3"/>
  <c r="D28" i="3" s="1"/>
  <c r="I28" i="3" s="1"/>
  <c r="D90" i="3"/>
  <c r="D104" i="3" s="1"/>
  <c r="I104" i="3" s="1"/>
  <c r="D111" i="3"/>
  <c r="D124" i="3" s="1"/>
  <c r="I124" i="3" s="1"/>
  <c r="D69" i="3"/>
  <c r="D83" i="3" s="1"/>
  <c r="I83" i="3" s="1"/>
  <c r="D130" i="3"/>
  <c r="G32" i="3"/>
  <c r="F16" i="7"/>
  <c r="D26" i="7" s="1"/>
  <c r="I26" i="7" s="1"/>
  <c r="H69" i="3"/>
  <c r="D76" i="3" s="1"/>
  <c r="I76" i="3" s="1"/>
  <c r="H90" i="3"/>
  <c r="H130" i="3"/>
  <c r="H16" i="3"/>
  <c r="D24" i="3" s="1"/>
  <c r="I24" i="3" s="1"/>
  <c r="H111" i="3"/>
  <c r="D118" i="3" s="1"/>
  <c r="I118" i="3" s="1"/>
  <c r="H35" i="3"/>
  <c r="D24" i="7"/>
  <c r="I24" i="7" s="1"/>
  <c r="D23" i="7"/>
  <c r="I23" i="7" s="1"/>
  <c r="D22" i="7"/>
  <c r="I22" i="7" s="1"/>
  <c r="D21" i="7"/>
  <c r="I21" i="7" s="1"/>
  <c r="D20" i="7"/>
  <c r="I20" i="7" s="1"/>
  <c r="B60" i="7"/>
  <c r="B65" i="7"/>
  <c r="B67" i="7"/>
  <c r="B69" i="7"/>
  <c r="B105" i="7"/>
  <c r="D122" i="3"/>
  <c r="I122" i="3" s="1"/>
  <c r="D55" i="3"/>
  <c r="I55" i="3" s="1"/>
  <c r="D26" i="3"/>
  <c r="I26" i="3" s="1"/>
  <c r="D143" i="3"/>
  <c r="I143" i="3" s="1"/>
  <c r="B23" i="7"/>
  <c r="B21" i="7"/>
  <c r="B61" i="7"/>
  <c r="H124" i="4"/>
  <c r="H125" i="4" s="1"/>
  <c r="B62" i="7"/>
  <c r="B22" i="7"/>
  <c r="B63" i="7"/>
  <c r="B64" i="7"/>
  <c r="B59" i="7"/>
  <c r="B44" i="7"/>
  <c r="B46" i="7"/>
  <c r="B137" i="4"/>
  <c r="B132" i="4"/>
  <c r="B140" i="4"/>
  <c r="B50" i="4"/>
  <c r="B52" i="4"/>
  <c r="B133" i="4"/>
  <c r="B134" i="4"/>
  <c r="B135" i="4"/>
  <c r="B138" i="4"/>
  <c r="G137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16" i="4"/>
  <c r="B118" i="4"/>
  <c r="B114" i="4"/>
  <c r="B110" i="4"/>
  <c r="B111" i="4"/>
  <c r="B112" i="4"/>
  <c r="B113" i="4"/>
  <c r="B97" i="4"/>
  <c r="B91" i="4"/>
  <c r="B96" i="4"/>
  <c r="B87" i="4"/>
  <c r="B88" i="4"/>
  <c r="B89" i="4"/>
  <c r="B90" i="4"/>
  <c r="B93" i="4"/>
  <c r="B74" i="4"/>
  <c r="B66" i="4"/>
  <c r="B67" i="4"/>
  <c r="B68" i="4"/>
  <c r="B69" i="4"/>
  <c r="B45" i="4"/>
  <c r="B46" i="4"/>
  <c r="B47" i="4"/>
  <c r="B48" i="4"/>
  <c r="B147" i="7"/>
  <c r="B149" i="7"/>
  <c r="B153" i="7"/>
  <c r="B148" i="7"/>
  <c r="B132" i="7"/>
  <c r="B133" i="7"/>
  <c r="B130" i="7"/>
  <c r="B112" i="7"/>
  <c r="B107" i="7"/>
  <c r="B106" i="7"/>
  <c r="B108" i="7"/>
  <c r="B109" i="7"/>
  <c r="B111" i="7"/>
  <c r="B83" i="7"/>
  <c r="B84" i="7"/>
  <c r="B85" i="7"/>
  <c r="B86" i="7"/>
  <c r="B87" i="7"/>
  <c r="B82" i="7"/>
  <c r="B89" i="7"/>
  <c r="B88" i="7"/>
  <c r="B90" i="7"/>
  <c r="B92" i="7"/>
  <c r="B40" i="7"/>
  <c r="B41" i="7"/>
  <c r="B42" i="7"/>
  <c r="B126" i="7"/>
  <c r="B24" i="7"/>
  <c r="B150" i="7"/>
  <c r="B26" i="7"/>
  <c r="B151" i="7"/>
  <c r="B127" i="7"/>
  <c r="B128" i="7"/>
  <c r="B129" i="7"/>
  <c r="B39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D146" i="3" l="1"/>
  <c r="I146" i="3" s="1"/>
  <c r="D147" i="3"/>
  <c r="I147" i="3" s="1"/>
  <c r="D138" i="3"/>
  <c r="I138" i="3" s="1"/>
  <c r="D139" i="3"/>
  <c r="I139" i="3" s="1"/>
  <c r="D141" i="3"/>
  <c r="I141" i="3" s="1"/>
  <c r="D140" i="3"/>
  <c r="I140" i="3" s="1"/>
  <c r="D60" i="3"/>
  <c r="I60" i="3" s="1"/>
  <c r="D63" i="3"/>
  <c r="I63" i="3" s="1"/>
  <c r="D61" i="3"/>
  <c r="I61" i="3" s="1"/>
  <c r="D62" i="3"/>
  <c r="I62" i="3" s="1"/>
  <c r="D52" i="3"/>
  <c r="D53" i="3"/>
  <c r="D51" i="3"/>
  <c r="I51" i="3" s="1"/>
  <c r="D50" i="3"/>
  <c r="I50" i="3" s="1"/>
  <c r="D49" i="3"/>
  <c r="I49" i="3" s="1"/>
  <c r="D29" i="5"/>
  <c r="I29" i="5" s="1"/>
  <c r="D28" i="5"/>
  <c r="I28" i="5" s="1"/>
  <c r="D27" i="5"/>
  <c r="I27" i="5" s="1"/>
  <c r="D26" i="5"/>
  <c r="I26" i="5" s="1"/>
  <c r="D25" i="5"/>
  <c r="I25" i="5" s="1"/>
  <c r="D68" i="5"/>
  <c r="I68" i="5" s="1"/>
  <c r="D67" i="5"/>
  <c r="I67" i="5" s="1"/>
  <c r="D66" i="5"/>
  <c r="I66" i="5" s="1"/>
  <c r="D65" i="5"/>
  <c r="I65" i="5" s="1"/>
  <c r="D64" i="5"/>
  <c r="I64" i="5" s="1"/>
  <c r="D62" i="5"/>
  <c r="I62" i="5" s="1"/>
  <c r="D61" i="5"/>
  <c r="I61" i="5" s="1"/>
  <c r="D60" i="5"/>
  <c r="I60" i="5" s="1"/>
  <c r="D72" i="5"/>
  <c r="I72" i="5" s="1"/>
  <c r="D59" i="5"/>
  <c r="I59" i="5" s="1"/>
  <c r="D71" i="5"/>
  <c r="I71" i="5" s="1"/>
  <c r="D58" i="5"/>
  <c r="I58" i="5" s="1"/>
  <c r="D69" i="5"/>
  <c r="I69" i="5" s="1"/>
  <c r="D70" i="5"/>
  <c r="I70" i="5" s="1"/>
  <c r="D77" i="7"/>
  <c r="D121" i="7"/>
  <c r="D16" i="7"/>
  <c r="D142" i="7"/>
  <c r="D26" i="4"/>
  <c r="I26" i="4" s="1"/>
  <c r="D25" i="4"/>
  <c r="I25" i="4" s="1"/>
  <c r="D23" i="4"/>
  <c r="I23" i="4" s="1"/>
  <c r="D24" i="4"/>
  <c r="I24" i="4" s="1"/>
  <c r="D113" i="4"/>
  <c r="I113" i="4" s="1"/>
  <c r="D114" i="4"/>
  <c r="I114" i="4" s="1"/>
  <c r="D112" i="4"/>
  <c r="I112" i="4" s="1"/>
  <c r="D111" i="4"/>
  <c r="I111" i="4" s="1"/>
  <c r="D109" i="4"/>
  <c r="I109" i="4" s="1"/>
  <c r="D110" i="4"/>
  <c r="I110" i="4" s="1"/>
  <c r="I140" i="4"/>
  <c r="D45" i="4"/>
  <c r="I45" i="4" s="1"/>
  <c r="D46" i="4"/>
  <c r="I46" i="4" s="1"/>
  <c r="D47" i="4"/>
  <c r="I47" i="4" s="1"/>
  <c r="D44" i="4"/>
  <c r="I44" i="4" s="1"/>
  <c r="D69" i="4"/>
  <c r="I69" i="4" s="1"/>
  <c r="D65" i="4"/>
  <c r="I65" i="4" s="1"/>
  <c r="D68" i="4"/>
  <c r="I68" i="4" s="1"/>
  <c r="D66" i="4"/>
  <c r="I66" i="4" s="1"/>
  <c r="D67" i="4"/>
  <c r="I67" i="4" s="1"/>
  <c r="D97" i="4"/>
  <c r="I97" i="4" s="1"/>
  <c r="D96" i="4"/>
  <c r="I96" i="4" s="1"/>
  <c r="D112" i="7"/>
  <c r="I112" i="7" s="1"/>
  <c r="D111" i="7"/>
  <c r="I111" i="7" s="1"/>
  <c r="D135" i="4"/>
  <c r="I135" i="4" s="1"/>
  <c r="D131" i="4"/>
  <c r="D132" i="4"/>
  <c r="I132" i="4" s="1"/>
  <c r="D133" i="4"/>
  <c r="D134" i="4"/>
  <c r="D133" i="7"/>
  <c r="I133" i="7" s="1"/>
  <c r="D132" i="7"/>
  <c r="I132" i="7" s="1"/>
  <c r="D88" i="4"/>
  <c r="I88" i="4" s="1"/>
  <c r="D90" i="4"/>
  <c r="I90" i="4" s="1"/>
  <c r="D89" i="4"/>
  <c r="I89" i="4" s="1"/>
  <c r="D91" i="4"/>
  <c r="I91" i="4" s="1"/>
  <c r="D86" i="4"/>
  <c r="I86" i="4" s="1"/>
  <c r="D87" i="4"/>
  <c r="I87" i="4" s="1"/>
  <c r="D20" i="3"/>
  <c r="I20" i="3" s="1"/>
  <c r="D23" i="3"/>
  <c r="I23" i="3" s="1"/>
  <c r="D22" i="3"/>
  <c r="I22" i="3" s="1"/>
  <c r="D21" i="3"/>
  <c r="I21" i="3" s="1"/>
  <c r="D136" i="3"/>
  <c r="I136" i="3" s="1"/>
  <c r="D135" i="3"/>
  <c r="I135" i="3" s="1"/>
  <c r="D144" i="3"/>
  <c r="D134" i="3"/>
  <c r="I134" i="3" s="1"/>
  <c r="D137" i="3"/>
  <c r="I137" i="3" s="1"/>
  <c r="D77" i="3"/>
  <c r="I77" i="3" s="1"/>
  <c r="D80" i="3"/>
  <c r="I80" i="3" s="1"/>
  <c r="D81" i="3"/>
  <c r="I81" i="3" s="1"/>
  <c r="D117" i="3"/>
  <c r="I117" i="3" s="1"/>
  <c r="D101" i="3"/>
  <c r="I101" i="3" s="1"/>
  <c r="D102" i="3"/>
  <c r="I102" i="3" s="1"/>
  <c r="D119" i="3"/>
  <c r="I119" i="3" s="1"/>
  <c r="D94" i="3"/>
  <c r="I94" i="3" s="1"/>
  <c r="D98" i="3"/>
  <c r="I98" i="3" s="1"/>
  <c r="D97" i="3"/>
  <c r="I97" i="3" s="1"/>
  <c r="D96" i="3"/>
  <c r="I96" i="3" s="1"/>
  <c r="D95" i="3"/>
  <c r="I95" i="3" s="1"/>
  <c r="D99" i="3"/>
  <c r="I99" i="3" s="1"/>
  <c r="D78" i="3"/>
  <c r="I78" i="3" s="1"/>
  <c r="D75" i="3"/>
  <c r="I75" i="3" s="1"/>
  <c r="D74" i="3"/>
  <c r="I74" i="3" s="1"/>
  <c r="D73" i="3"/>
  <c r="I73" i="3" s="1"/>
  <c r="D46" i="3"/>
  <c r="I46" i="3" s="1"/>
  <c r="D47" i="3"/>
  <c r="I47" i="3" s="1"/>
  <c r="D48" i="3"/>
  <c r="I48" i="3" s="1"/>
  <c r="D39" i="3"/>
  <c r="I39" i="3" s="1"/>
  <c r="D40" i="3"/>
  <c r="I40" i="3" s="1"/>
  <c r="D45" i="3"/>
  <c r="I45" i="3" s="1"/>
  <c r="D41" i="3"/>
  <c r="I41" i="3" s="1"/>
  <c r="D42" i="3"/>
  <c r="I42" i="3" s="1"/>
  <c r="D43" i="3"/>
  <c r="I43" i="3" s="1"/>
  <c r="D44" i="3"/>
  <c r="I44" i="3" s="1"/>
  <c r="D120" i="3"/>
  <c r="I120" i="3" s="1"/>
  <c r="D116" i="3"/>
  <c r="I116" i="3" s="1"/>
  <c r="D115" i="3"/>
  <c r="I115" i="3" s="1"/>
  <c r="I134" i="4" l="1"/>
  <c r="I133" i="4"/>
  <c r="I131" i="4"/>
  <c r="I144" i="3"/>
  <c r="H97" i="4"/>
  <c r="H96" i="4"/>
  <c r="F97" i="4"/>
  <c r="G71" i="4"/>
  <c r="G69" i="4"/>
  <c r="G26" i="4"/>
  <c r="G24" i="4"/>
  <c r="G23" i="4"/>
  <c r="H153" i="7" l="1"/>
  <c r="G153" i="7"/>
  <c r="F153" i="7"/>
  <c r="H151" i="7"/>
  <c r="G151" i="7"/>
  <c r="F151" i="7"/>
  <c r="H150" i="7"/>
  <c r="H149" i="7"/>
  <c r="F149" i="7"/>
  <c r="H148" i="7"/>
  <c r="F148" i="7"/>
  <c r="H147" i="7"/>
  <c r="G147" i="7"/>
  <c r="F147" i="7"/>
  <c r="C147" i="7"/>
  <c r="H146" i="7"/>
  <c r="G146" i="7"/>
  <c r="F146" i="7"/>
  <c r="H133" i="7"/>
  <c r="G133" i="7"/>
  <c r="F133" i="7"/>
  <c r="H132" i="7"/>
  <c r="G132" i="7"/>
  <c r="F132" i="7"/>
  <c r="H130" i="7"/>
  <c r="G130" i="7"/>
  <c r="F130" i="7"/>
  <c r="H129" i="7"/>
  <c r="F129" i="7"/>
  <c r="H128" i="7"/>
  <c r="F128" i="7"/>
  <c r="H127" i="7"/>
  <c r="F127" i="7"/>
  <c r="H126" i="7"/>
  <c r="G126" i="7"/>
  <c r="F126" i="7"/>
  <c r="C126" i="7"/>
  <c r="H125" i="7"/>
  <c r="G125" i="7"/>
  <c r="F125" i="7"/>
  <c r="H112" i="7"/>
  <c r="F112" i="7"/>
  <c r="H111" i="7"/>
  <c r="G111" i="7"/>
  <c r="F111" i="7"/>
  <c r="H109" i="7"/>
  <c r="G109" i="7"/>
  <c r="F109" i="7"/>
  <c r="H108" i="7"/>
  <c r="G108" i="7"/>
  <c r="F108" i="7"/>
  <c r="H107" i="7"/>
  <c r="F107" i="7"/>
  <c r="H106" i="7"/>
  <c r="F106" i="7"/>
  <c r="G105" i="7"/>
  <c r="F105" i="7"/>
  <c r="C105" i="7"/>
  <c r="H104" i="7"/>
  <c r="G104" i="7"/>
  <c r="F104" i="7"/>
  <c r="H92" i="7"/>
  <c r="G92" i="7"/>
  <c r="F92" i="7"/>
  <c r="H90" i="7"/>
  <c r="G90" i="7"/>
  <c r="F90" i="7"/>
  <c r="H89" i="7"/>
  <c r="G89" i="7"/>
  <c r="H88" i="7"/>
  <c r="G88" i="7"/>
  <c r="F88" i="7"/>
  <c r="H87" i="7"/>
  <c r="G87" i="7"/>
  <c r="F87" i="7"/>
  <c r="H86" i="7"/>
  <c r="H85" i="7"/>
  <c r="F85" i="7"/>
  <c r="H84" i="7"/>
  <c r="F84" i="7"/>
  <c r="H83" i="7"/>
  <c r="F83" i="7"/>
  <c r="H82" i="7"/>
  <c r="G82" i="7"/>
  <c r="F82" i="7"/>
  <c r="C82" i="7"/>
  <c r="H81" i="7"/>
  <c r="G81" i="7"/>
  <c r="F81" i="7"/>
  <c r="H69" i="7"/>
  <c r="G69" i="7"/>
  <c r="F69" i="7"/>
  <c r="H67" i="7"/>
  <c r="G67" i="7"/>
  <c r="F67" i="7"/>
  <c r="H66" i="7"/>
  <c r="G66" i="7"/>
  <c r="H65" i="7"/>
  <c r="G65" i="7"/>
  <c r="F65" i="7"/>
  <c r="H64" i="7"/>
  <c r="G64" i="7"/>
  <c r="F64" i="7"/>
  <c r="H63" i="7"/>
  <c r="H62" i="7"/>
  <c r="F62" i="7"/>
  <c r="H61" i="7"/>
  <c r="F61" i="7"/>
  <c r="H60" i="7"/>
  <c r="F60" i="7"/>
  <c r="H59" i="7"/>
  <c r="G59" i="7"/>
  <c r="F59" i="7"/>
  <c r="C59" i="7"/>
  <c r="H58" i="7"/>
  <c r="G58" i="7"/>
  <c r="F58" i="7"/>
  <c r="H46" i="7"/>
  <c r="G46" i="7"/>
  <c r="F46" i="7"/>
  <c r="H44" i="7"/>
  <c r="G44" i="7"/>
  <c r="F44" i="7"/>
  <c r="H43" i="7"/>
  <c r="G43" i="7"/>
  <c r="F43" i="7"/>
  <c r="H42" i="7"/>
  <c r="G42" i="7"/>
  <c r="F42" i="7"/>
  <c r="H41" i="7"/>
  <c r="F41" i="7"/>
  <c r="H40" i="7"/>
  <c r="F40" i="7"/>
  <c r="H39" i="7"/>
  <c r="G39" i="7"/>
  <c r="F39" i="7"/>
  <c r="C39" i="7"/>
  <c r="H38" i="7"/>
  <c r="G38" i="7"/>
  <c r="F38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G81" i="5" s="1"/>
  <c r="H78" i="5"/>
  <c r="L77" i="5" s="1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16" i="4"/>
  <c r="F103" i="4"/>
  <c r="F104" i="4" s="1"/>
  <c r="F94" i="4"/>
  <c r="F93" i="4"/>
  <c r="F80" i="4"/>
  <c r="F81" i="4" s="1"/>
  <c r="H116" i="4"/>
  <c r="H114" i="4"/>
  <c r="G114" i="4"/>
  <c r="F114" i="4"/>
  <c r="H113" i="4"/>
  <c r="F113" i="4"/>
  <c r="H112" i="4"/>
  <c r="G112" i="4"/>
  <c r="F112" i="4"/>
  <c r="H111" i="4"/>
  <c r="G111" i="4"/>
  <c r="F111" i="4"/>
  <c r="H110" i="4"/>
  <c r="G110" i="4"/>
  <c r="F110" i="4"/>
  <c r="C110" i="4"/>
  <c r="C111" i="4" s="1"/>
  <c r="C112" i="4" s="1"/>
  <c r="C113" i="4" s="1"/>
  <c r="C114" i="4" s="1"/>
  <c r="H109" i="4"/>
  <c r="G109" i="4"/>
  <c r="F109" i="4"/>
  <c r="H118" i="4"/>
  <c r="F118" i="4"/>
  <c r="F96" i="4"/>
  <c r="H74" i="4"/>
  <c r="G74" i="4"/>
  <c r="F74" i="4"/>
  <c r="H52" i="4"/>
  <c r="G52" i="4"/>
  <c r="F52" i="4"/>
  <c r="H31" i="4"/>
  <c r="G31" i="4"/>
  <c r="F31" i="4"/>
  <c r="H94" i="4"/>
  <c r="H93" i="4"/>
  <c r="H91" i="4"/>
  <c r="H90" i="4"/>
  <c r="H89" i="4"/>
  <c r="H88" i="4"/>
  <c r="H87" i="4"/>
  <c r="H86" i="4"/>
  <c r="G94" i="4"/>
  <c r="G93" i="4"/>
  <c r="C148" i="7" l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C60" i="7"/>
  <c r="B35" i="5"/>
  <c r="B29" i="5"/>
  <c r="B28" i="5"/>
  <c r="B26" i="5"/>
  <c r="B34" i="5"/>
  <c r="B31" i="5"/>
  <c r="B27" i="5"/>
  <c r="B32" i="5"/>
  <c r="B37" i="5"/>
  <c r="C149" i="7"/>
  <c r="C106" i="7"/>
  <c r="C22" i="7"/>
  <c r="C40" i="7"/>
  <c r="C83" i="7"/>
  <c r="C127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78" i="5"/>
  <c r="F81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87" i="4"/>
  <c r="G87" i="4"/>
  <c r="F89" i="4"/>
  <c r="G89" i="4"/>
  <c r="F69" i="4"/>
  <c r="H72" i="4"/>
  <c r="H71" i="4"/>
  <c r="H69" i="4"/>
  <c r="H68" i="4"/>
  <c r="H67" i="4"/>
  <c r="H65" i="4"/>
  <c r="H66" i="4"/>
  <c r="G66" i="4"/>
  <c r="F66" i="4"/>
  <c r="C66" i="4"/>
  <c r="E58" i="4"/>
  <c r="C59" i="4"/>
  <c r="C60" i="4" s="1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50" i="7" l="1"/>
  <c r="C151" i="7" s="1"/>
  <c r="C61" i="7"/>
  <c r="C62" i="7" s="1"/>
  <c r="C107" i="7"/>
  <c r="C84" i="7"/>
  <c r="C23" i="7"/>
  <c r="C128" i="7"/>
  <c r="C41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I58" i="4"/>
  <c r="I59" i="4" s="1"/>
  <c r="C108" i="7" l="1"/>
  <c r="C109" i="7" s="1"/>
  <c r="C63" i="7"/>
  <c r="C24" i="7"/>
  <c r="C42" i="7"/>
  <c r="C85" i="7"/>
  <c r="C129" i="7"/>
  <c r="C153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86" i="7"/>
  <c r="C64" i="7"/>
  <c r="C26" i="7"/>
  <c r="C111" i="7"/>
  <c r="C43" i="7"/>
  <c r="C130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32" i="7" l="1"/>
  <c r="C112" i="7"/>
  <c r="C44" i="7"/>
  <c r="C87" i="7"/>
  <c r="C65" i="7"/>
  <c r="C68" i="5"/>
  <c r="C113" i="5"/>
  <c r="C136" i="5"/>
  <c r="C46" i="7" l="1"/>
  <c r="C88" i="7"/>
  <c r="C66" i="7"/>
  <c r="C133" i="7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G47" i="4"/>
  <c r="F47" i="4"/>
  <c r="G45" i="4"/>
  <c r="F45" i="4"/>
  <c r="C45" i="4"/>
  <c r="G25" i="4"/>
  <c r="F25" i="4"/>
  <c r="F24" i="4"/>
  <c r="G116" i="4"/>
  <c r="G91" i="4"/>
  <c r="F91" i="4"/>
  <c r="F90" i="4"/>
  <c r="G88" i="4"/>
  <c r="F88" i="4"/>
  <c r="C87" i="4"/>
  <c r="G86" i="4"/>
  <c r="F86" i="4"/>
  <c r="F72" i="4"/>
  <c r="F71" i="4"/>
  <c r="G68" i="4"/>
  <c r="F68" i="4"/>
  <c r="G67" i="4"/>
  <c r="F67" i="4"/>
  <c r="G65" i="4"/>
  <c r="F65" i="4"/>
  <c r="G49" i="4"/>
  <c r="G46" i="4"/>
  <c r="F46" i="4"/>
  <c r="G44" i="4"/>
  <c r="F44" i="4"/>
  <c r="F26" i="4"/>
  <c r="C24" i="4"/>
  <c r="F23" i="4"/>
  <c r="B23" i="4"/>
  <c r="B31" i="4" l="1"/>
  <c r="B28" i="4"/>
  <c r="B26" i="4"/>
  <c r="B29" i="4"/>
  <c r="B25" i="4"/>
  <c r="B24" i="4"/>
  <c r="C67" i="7"/>
  <c r="C89" i="7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88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90" i="7" l="1"/>
  <c r="C69" i="7"/>
  <c r="C71" i="5"/>
  <c r="C47" i="4"/>
  <c r="C45" i="3"/>
  <c r="C46" i="3" s="1"/>
  <c r="C47" i="3" s="1"/>
  <c r="C48" i="3" s="1"/>
  <c r="C89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92" i="7"/>
  <c r="C72" i="5"/>
  <c r="C90" i="4"/>
  <c r="C49" i="4"/>
  <c r="C69" i="4"/>
  <c r="C118" i="3"/>
  <c r="C97" i="3"/>
  <c r="C76" i="3"/>
  <c r="C24" i="3"/>
  <c r="C57" i="3" l="1"/>
  <c r="C61" i="3"/>
  <c r="C60" i="3"/>
  <c r="C74" i="5"/>
  <c r="C71" i="4"/>
  <c r="C91" i="4"/>
  <c r="C116" i="4"/>
  <c r="C118" i="4" s="1"/>
  <c r="C98" i="3"/>
  <c r="C119" i="3"/>
  <c r="C77" i="3"/>
  <c r="C26" i="3"/>
  <c r="C58" i="3" l="1"/>
  <c r="C63" i="3" s="1"/>
  <c r="C62" i="3"/>
  <c r="C75" i="5"/>
  <c r="C93" i="4"/>
  <c r="C72" i="4"/>
  <c r="C74" i="4" s="1"/>
  <c r="C28" i="3"/>
  <c r="C120" i="3"/>
  <c r="C99" i="3"/>
  <c r="C78" i="3"/>
  <c r="C76" i="5" l="1"/>
  <c r="C94" i="4"/>
  <c r="C96" i="4" s="1"/>
  <c r="C122" i="3"/>
  <c r="C124" i="3" s="1"/>
  <c r="C101" i="3"/>
  <c r="C80" i="3"/>
  <c r="C97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<sst xmlns="http://schemas.openxmlformats.org/spreadsheetml/2006/main" count="873" uniqueCount="181">
  <si>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</si>
  <si>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</si>
  <si>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</si>
  <si>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</si>
  <si>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</si>
  <si>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</si>
  <si>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</si>
  <si>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</si>
  <si>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</si>
  <si>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</si>
  <si>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</si>
  <si>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</si>
  <si>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</si>
  <si>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</si>
  <si>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</si>
  <si>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</si>
  <si>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</si>
  <si>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</si>
  <si>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</si>
  <si>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</si>
  <si>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عدد الأدراج</t>
  </si>
  <si>
    <t>مجرى درج</t>
  </si>
  <si>
    <t>HPL</t>
  </si>
  <si>
    <t>وش درج داخلى</t>
  </si>
  <si>
    <t>جنب درج داخلى</t>
  </si>
  <si>
    <t>ظهر درج داخلى</t>
  </si>
  <si>
    <t>وش درج خارجى</t>
  </si>
  <si>
    <t>درج داخلى</t>
  </si>
  <si>
    <t>وش درج داخلى صغير</t>
  </si>
  <si>
    <t>جنب درج داخلى صغير</t>
  </si>
  <si>
    <t>ظهر درج داخلى صغير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</si>
  <si>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</si>
  <si>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</si>
  <si>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</si>
  <si>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</si>
  <si>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</si>
  <si>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</si>
  <si>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</si>
  <si>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</si>
  <si>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</si>
  <si>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</si>
  <si>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</si>
  <si>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</si>
  <si>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</si>
  <si>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</si>
  <si>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</si>
  <si>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</si>
  <si>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</si>
  <si>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</si>
  <si>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</si>
  <si>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</si>
  <si>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</si>
  <si>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</si>
  <si>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</si>
  <si>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</si>
  <si>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</si>
  <si>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</si>
  <si>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</si>
  <si>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</si>
  <si>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</si>
  <si>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</si>
  <si>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</si>
  <si>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</si>
  <si>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</si>
  <si>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</si>
  <si>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</si>
  <si>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</si>
  <si>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</si>
  <si>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</si>
  <si>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</si>
  <si>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</si>
  <si>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</si>
  <si>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</si>
  <si>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</si>
  <si>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</si>
  <si>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</si>
  <si>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</si>
  <si>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</si>
  <si>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</si>
  <si>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</si>
  <si>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</si>
  <si>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</si>
  <si>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</si>
  <si>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</si>
  <si>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</si>
  <si>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</si>
  <si>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</si>
  <si>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</si>
  <si>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</si>
  <si>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</si>
  <si>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</si>
  <si>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</si>
  <si>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</si>
  <si>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</si>
  <si>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</si>
  <si>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</si>
  <si>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</si>
  <si>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</si>
  <si>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</si>
  <si>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</si>
  <si>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</si>
  <si>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</si>
  <si>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</si>
  <si>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</si>
  <si>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</si>
  <si>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</si>
  <si>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</si>
  <si>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</si>
  <si>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</si>
  <si>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</si>
  <si>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</si>
  <si>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</si>
  <si>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</si>
  <si>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</si>
  <si>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</si>
  <si>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</si>
  <si>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</si>
  <si>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</si>
  <si>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</si>
  <si>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</si>
  <si>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اختر الخامات</t>
  </si>
  <si>
    <t>الخامات</t>
  </si>
  <si>
    <t>خامات</t>
  </si>
  <si>
    <t>عمق</t>
  </si>
  <si>
    <t>متكرر الوحدات السفلية</t>
  </si>
  <si>
    <t>خامات البورديوم</t>
  </si>
  <si>
    <t>متكرر البورديوم</t>
  </si>
  <si>
    <t>يوجد ظهر؟</t>
  </si>
  <si>
    <t>مقبض مخفي</t>
  </si>
  <si>
    <t>متكرر الوحدات العلوية</t>
  </si>
  <si>
    <t>وحدة سفلية دلفة /دلفتين (بورديوم)</t>
  </si>
  <si>
    <t>وحدة سفلية   درجين / 3 أدراج (بورديوم)</t>
  </si>
  <si>
    <t>وحدة سفلية   3 أدراج - 3/2 (بورديوم)</t>
  </si>
  <si>
    <t>وحدة سفلية   درجين - 2/4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</si>
  <si>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</si>
  <si>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</si>
  <si>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</si>
  <si>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</si>
  <si>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متكرر تجاليد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</si>
  <si>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</si>
  <si>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</si>
  <si>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</si>
  <si>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</si>
  <si>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</si>
  <si>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</si>
  <si>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</si>
  <si>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</si>
  <si>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</si>
  <si>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</si>
  <si>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</si>
  <si>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</si>
  <si>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</si>
  <si>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</si>
  <si>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</si>
  <si>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</si>
  <si>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</si>
  <si>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</si>
  <si>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</si>
  <si>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</si>
  <si>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</si>
  <si>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</si>
  <si>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</si>
  <si>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</si>
  <si>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</si>
  <si>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</si>
  <si>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</si>
  <si>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</si>
  <si>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</si>
  <si>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</si>
  <si>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</si>
  <si>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</si>
  <si>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</si>
  <si>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</si>
  <si>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</si>
  <si>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</si>
  <si>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</si>
  <si>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</si>
  <si>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</si>
  <si>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H</t>
  </si>
  <si>
    <t>B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</si>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</sst>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/>
    </xf>
    <xf numFmtId="0" fontId="14" fillId="11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845820</xdr:colOff>
          <xdr:row>25</xdr:row>
          <xdr:rowOff>0</xdr:rowOff>
        </xdr:from>
        <xdr:to>
          <xdr:col>5</xdr:col>
          <xdr:colOff>845820</xdr:colOff>
          <xdr:row>26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اعكس القيمة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N6:Y8" headerRowCount="0" totalsRowShown="0" headerRowDxfId="121" dataDxfId="119" headerRowBorderDxfId="120" tableBorderDxfId="118" totalsRowBorderDxfId="117">
  <tableColumns count="12">
    <tableColumn id="1" xr3:uid="{00000000-0010-0000-0000-000001000000}" name="Column1" headerRowDxfId="116" dataDxfId="115"/>
    <tableColumn id="2" xr3:uid="{00000000-0010-0000-0000-000002000000}" name="Column2" headerRowDxfId="114" dataDxfId="113"/>
    <tableColumn id="3" xr3:uid="{00000000-0010-0000-0000-000003000000}" name="Column3" headerRowDxfId="112" dataDxfId="111"/>
    <tableColumn id="4" xr3:uid="{00000000-0010-0000-0000-000004000000}" name="Column4" headerRowDxfId="110" dataDxfId="109"/>
    <tableColumn id="5" xr3:uid="{00000000-0010-0000-0000-000005000000}" name="Column5" headerRowDxfId="108" dataDxfId="107"/>
    <tableColumn id="6" xr3:uid="{00000000-0010-0000-0000-000006000000}" name="Column6" headerRowDxfId="106" dataDxfId="105"/>
    <tableColumn id="7" xr3:uid="{00000000-0010-0000-0000-000007000000}" name="Column7" headerRowDxfId="104" dataDxfId="103"/>
    <tableColumn id="8" xr3:uid="{00000000-0010-0000-0000-000008000000}" name="Column8" headerRowDxfId="102" dataDxfId="101"/>
    <tableColumn id="9" xr3:uid="{00000000-0010-0000-0000-000009000000}" name="Column9" headerRowDxfId="100" dataDxfId="99"/>
    <tableColumn id="10" xr3:uid="{00000000-0010-0000-0000-00000A000000}" name="Column10" headerRowDxfId="98" dataDxfId="97"/>
    <tableColumn id="11" xr3:uid="{00000000-0010-0000-0000-00000B000000}" name="Column11" headerRowDxfId="96" dataDxfId="95"/>
    <tableColumn id="12" xr3:uid="{00000000-0010-0000-0000-00000C000000}" name="Column12" headerRowDxfId="94" dataDxfId="9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lowerCommon" displayName="lowerCommon" ref="G16:H19" headerRowCount="0" totalsRowShown="0" headerRowDxfId="92" headerRowBorderDxfId="91" tableBorderDxfId="90" totalsRowBorderDxfId="89">
  <tableColumns count="2">
    <tableColumn id="1" xr3:uid="{00000000-0010-0000-0100-000001000000}" name="Column1" headerRowDxfId="88" dataDxfId="87"/>
    <tableColumn id="2" xr3:uid="{00000000-0010-0000-0100-000002000000}" name="Column2" headerRowDxfId="86" dataDxfId="8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choosenMaterials" displayName="choosenMaterials" ref="G6:H8" headerRowCount="0" totalsRowShown="0" headerRowDxfId="84" headerRowBorderDxfId="83" tableBorderDxfId="82" totalsRowBorderDxfId="81">
  <tableColumns count="2">
    <tableColumn id="1" xr3:uid="{00000000-0010-0000-0200-000001000000}" name="Column1" headerRowDxfId="80"/>
    <tableColumn id="2" xr3:uid="{00000000-0010-0000-0200-000002000000}" name="Column2" headerRowDxfId="7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rdiumChoosenMaterials" displayName="bordiumChoosenMaterials" ref="G11:H13" headerRowCount="0" totalsRowShown="0" headerRowDxfId="78" headerRowBorderDxfId="77" tableBorderDxfId="76" totalsRowBorderDxfId="75">
  <tableColumns count="2">
    <tableColumn id="1" xr3:uid="{00000000-0010-0000-0300-000001000000}" name="Column1" headerRowDxfId="74"/>
    <tableColumn id="2" xr3:uid="{00000000-0010-0000-0300-000002000000}" name="Column2" headerRowDxfId="7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bordiumCommon" displayName="bordiumCommon" ref="G22:H26" headerRowCount="0" totalsRowShown="0" headerRowDxfId="72" headerRowBorderDxfId="71" tableBorderDxfId="70" totalsRowBorderDxfId="69">
  <tableColumns count="2">
    <tableColumn id="1" xr3:uid="{00000000-0010-0000-0400-000001000000}" name="Column1" headerRowDxfId="68" dataDxfId="67"/>
    <tableColumn id="2" xr3:uid="{00000000-0010-0000-0400-000002000000}" name="Column2" headerRowDxfId="66" dataDxfId="6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upperCommon" displayName="upperCommon" ref="G29:H32" headerRowCount="0" totalsRowShown="0" headerRowDxfId="64" headerRowBorderDxfId="63" tableBorderDxfId="62" totalsRowBorderDxfId="61">
  <tableColumns count="2">
    <tableColumn id="1" xr3:uid="{00000000-0010-0000-0500-000001000000}" name="Column1" headerRowDxfId="60" dataDxfId="59"/>
    <tableColumn id="2" xr3:uid="{00000000-0010-0000-0500-000002000000}" name="Column2" headerRowDxfId="58" dataDxfId="57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segmantsCommon" displayName="segmantsCommon" ref="G35:H35" headerRowCount="0" totalsRowShown="0" headerRowDxfId="56" dataDxfId="54" headerRowBorderDxfId="55" tableBorderDxfId="53" totalsRowBorderDxfId="52">
  <tableColumns count="2">
    <tableColumn id="1" xr3:uid="{00000000-0010-0000-0600-000001000000}" name="Column1" headerRowDxfId="51" dataDxfId="50">
      <calculatedColumnFormula>INDEX(choosenMaterials[[#All],[Column1]],MATCH(H12,choosenMaterials[[#All],[Column2]],0))</calculatedColumnFormula>
    </tableColumn>
    <tableColumn id="2" xr3:uid="{00000000-0010-0000-0600-000002000000}" name="Column2" headerRowDxfId="49" dataDxfId="4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47" dataDxfId="45" headerRowBorderDxfId="46" tableBorderDxfId="44" totalsRowBorderDxfId="43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2"/>
    <tableColumn id="2" xr3:uid="{00000000-0010-0000-0700-000002000000}" name="بورديوم" dataDxfId="41"/>
    <tableColumn id="3" xr3:uid="{00000000-0010-0000-0700-000003000000}" name="وحدات علوية" dataDxfId="40"/>
    <tableColumn id="4" xr3:uid="{00000000-0010-0000-0700-000004000000}" name="دواليب" dataDxfId="39"/>
    <tableColumn id="5" xr3:uid="{00000000-0010-0000-0700-000005000000}" name="تجاليد" dataDxfId="3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Z58"/>
  <sheetViews>
    <sheetView topLeftCell="A6" zoomScale="70" zoomScaleNormal="70" workbookViewId="0">
      <selection activeCell="M17" sqref="M17"/>
    </sheetView>
  </sheetViews>
  <sheetFormatPr defaultRowHeight="21" customHeight="1" x14ac:dyDescent="0.3"/>
  <cols>
    <col min="1" max="4" width="8.88671875" style="1"/>
    <col min="5" max="7" width="12.5546875" style="1" customWidth="1"/>
    <col min="8" max="8" width="19.6640625" style="1" customWidth="1"/>
    <col min="9" max="13" width="10.77734375" style="1" customWidth="1"/>
    <col min="14" max="16" width="11.88671875" style="1" customWidth="1"/>
    <col min="17" max="20" width="8.88671875" style="1"/>
    <col min="21" max="21" width="13.33203125" style="1" customWidth="1"/>
    <col min="22" max="16384" width="8.88671875" style="1"/>
  </cols>
  <sheetData>
    <row r="3" spans="2:26" ht="21" customHeight="1" x14ac:dyDescent="0.3">
      <c r="R3"/>
      <c r="S3"/>
      <c r="T3"/>
      <c r="U3"/>
      <c r="V3"/>
    </row>
    <row r="5" spans="2:26" ht="21" customHeight="1" x14ac:dyDescent="0.3">
      <c r="N5" s="88" t="s">
        <v>121</v>
      </c>
      <c r="O5" s="89"/>
      <c r="P5" s="89"/>
      <c r="Q5" s="89"/>
      <c r="R5" s="89"/>
      <c r="S5" s="89"/>
      <c r="T5" s="89"/>
      <c r="U5" s="89"/>
      <c r="V5" s="89"/>
      <c r="W5" s="89"/>
      <c r="X5" s="89"/>
      <c r="Y5" s="90"/>
    </row>
    <row r="6" spans="2:26" ht="21" customHeight="1" x14ac:dyDescent="0.3">
      <c r="B6" s="3"/>
      <c r="C6" s="3"/>
      <c r="D6" s="3"/>
      <c r="G6" s="16" t="str">
        <f>V6</f>
        <v>HPL</v>
      </c>
      <c r="H6" s="46" t="s">
        <v>40</v>
      </c>
      <c r="I6" s="87" t="s">
        <v>120</v>
      </c>
      <c r="J6" s="87"/>
      <c r="K6" s="87"/>
      <c r="N6" s="33"/>
      <c r="O6" s="6" t="s">
        <v>49</v>
      </c>
      <c r="P6" s="6" t="s">
        <v>47</v>
      </c>
      <c r="Q6" s="6" t="s">
        <v>46</v>
      </c>
      <c r="R6" s="6" t="s">
        <v>45</v>
      </c>
      <c r="S6" s="6" t="s">
        <v>43</v>
      </c>
      <c r="T6" s="6" t="s">
        <v>113</v>
      </c>
      <c r="U6" s="6" t="s">
        <v>44</v>
      </c>
      <c r="V6" s="6" t="s">
        <v>22</v>
      </c>
      <c r="W6" s="6" t="s">
        <v>48</v>
      </c>
      <c r="X6" s="6" t="s">
        <v>67</v>
      </c>
      <c r="Y6" s="34"/>
    </row>
    <row r="7" spans="2:26" ht="21" customHeight="1" x14ac:dyDescent="0.3">
      <c r="B7" s="22"/>
      <c r="C7" s="22"/>
      <c r="D7" s="22"/>
      <c r="G7" s="7" t="str">
        <f>S6</f>
        <v>يوفيلاك</v>
      </c>
      <c r="H7" s="47" t="s">
        <v>41</v>
      </c>
      <c r="I7" s="87"/>
      <c r="J7" s="87"/>
      <c r="K7" s="87"/>
      <c r="N7" s="33"/>
      <c r="O7" s="6">
        <v>4</v>
      </c>
      <c r="P7" s="6">
        <v>4</v>
      </c>
      <c r="Q7" s="6">
        <v>4</v>
      </c>
      <c r="R7" s="6">
        <v>4</v>
      </c>
      <c r="S7" s="6">
        <v>6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Y7" s="34" t="s">
        <v>69</v>
      </c>
    </row>
    <row r="8" spans="2:26" ht="21" customHeight="1" x14ac:dyDescent="0.3">
      <c r="B8" s="22"/>
      <c r="C8" s="22"/>
      <c r="D8" s="22"/>
      <c r="G8" s="48" t="str">
        <f>X6</f>
        <v>ظهر</v>
      </c>
      <c r="H8" s="49" t="s">
        <v>67</v>
      </c>
      <c r="I8" s="87"/>
      <c r="J8" s="87"/>
      <c r="K8" s="87"/>
      <c r="M8" s="3"/>
      <c r="N8" s="35"/>
      <c r="O8" s="36">
        <v>3</v>
      </c>
      <c r="P8" s="36">
        <v>3</v>
      </c>
      <c r="Q8" s="36">
        <v>3</v>
      </c>
      <c r="R8" s="36">
        <v>3</v>
      </c>
      <c r="S8" s="36">
        <v>5</v>
      </c>
      <c r="T8" s="36">
        <v>1</v>
      </c>
      <c r="U8" s="36">
        <v>1</v>
      </c>
      <c r="V8" s="36">
        <v>1</v>
      </c>
      <c r="W8" s="36">
        <v>1</v>
      </c>
      <c r="X8" s="36">
        <v>1</v>
      </c>
      <c r="Y8" s="37" t="s">
        <v>70</v>
      </c>
    </row>
    <row r="9" spans="2:26" ht="21" customHeight="1" x14ac:dyDescent="0.3">
      <c r="B9" s="5"/>
      <c r="C9" s="5"/>
      <c r="D9" s="5"/>
      <c r="L9" s="32"/>
      <c r="M9" s="32"/>
    </row>
    <row r="10" spans="2:26" ht="21" customHeight="1" x14ac:dyDescent="0.3">
      <c r="B10" s="3"/>
      <c r="C10" s="3"/>
      <c r="D10" s="3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2:26" ht="21" customHeight="1" x14ac:dyDescent="0.3">
      <c r="F11"/>
      <c r="G11" s="16" t="str">
        <f>T6</f>
        <v>بورديوم</v>
      </c>
      <c r="H11" s="46" t="s">
        <v>40</v>
      </c>
      <c r="I11" s="87" t="s">
        <v>125</v>
      </c>
      <c r="J11" s="87"/>
      <c r="K11" s="87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2:26" ht="21" customHeight="1" x14ac:dyDescent="0.3">
      <c r="F12"/>
      <c r="G12" s="7" t="str">
        <f>INDEX(choosenMaterials[[#All],[Column1]],MATCH(H12,choosenMaterials[[#All],[Column2]],0))</f>
        <v>يوفيلاك</v>
      </c>
      <c r="H12" s="47" t="s">
        <v>41</v>
      </c>
      <c r="I12" s="87"/>
      <c r="J12" s="87"/>
      <c r="K12" s="87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2:26" ht="21" customHeight="1" x14ac:dyDescent="0.3">
      <c r="E13" s="38"/>
      <c r="F13"/>
      <c r="G13" s="51" t="str">
        <f>INDEX(choosenMaterials[[#All],[Column1]],MATCH(H13,choosenMaterials[[#All],[Column2]],0))</f>
        <v>ظهر</v>
      </c>
      <c r="H13" s="52" t="s">
        <v>67</v>
      </c>
      <c r="I13" s="87"/>
      <c r="J13" s="87"/>
      <c r="K13" s="87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2:26" ht="21" customHeight="1" x14ac:dyDescent="0.3">
      <c r="E14" s="38"/>
      <c r="F14"/>
      <c r="G14"/>
      <c r="H14"/>
      <c r="I14"/>
      <c r="J14" s="32"/>
      <c r="K14" s="32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2:26" ht="21" customHeight="1" x14ac:dyDescent="0.3">
      <c r="F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2:26" ht="21" customHeight="1" x14ac:dyDescent="0.3">
      <c r="G16" s="42">
        <v>56</v>
      </c>
      <c r="H16" s="43" t="s">
        <v>123</v>
      </c>
      <c r="I16" s="87" t="s">
        <v>124</v>
      </c>
      <c r="J16" s="87"/>
      <c r="K16" s="87"/>
    </row>
    <row r="17" spans="5:11" ht="21" customHeight="1" x14ac:dyDescent="0.3">
      <c r="G17" s="40">
        <v>78</v>
      </c>
      <c r="H17" s="41" t="s">
        <v>3</v>
      </c>
      <c r="I17" s="87"/>
      <c r="J17" s="87"/>
      <c r="K17" s="87"/>
    </row>
    <row r="18" spans="5:11" ht="21" customHeight="1" x14ac:dyDescent="0.3">
      <c r="E18" s="38"/>
      <c r="F18" s="38"/>
      <c r="G18" s="44">
        <v>3.5</v>
      </c>
      <c r="H18" s="45" t="s">
        <v>17</v>
      </c>
      <c r="I18" s="87"/>
      <c r="J18" s="87"/>
      <c r="K18" s="87"/>
    </row>
    <row r="19" spans="5:11" ht="21" customHeight="1" x14ac:dyDescent="0.3">
      <c r="E19" s="38"/>
      <c r="F19" s="38"/>
      <c r="G19" s="44">
        <v>45</v>
      </c>
      <c r="H19" s="45" t="s">
        <v>21</v>
      </c>
      <c r="I19" s="87"/>
      <c r="J19" s="87"/>
      <c r="K19" s="87"/>
    </row>
    <row r="20" spans="5:11" ht="21" customHeight="1" x14ac:dyDescent="0.3">
      <c r="E20" s="38"/>
      <c r="F20" s="38"/>
    </row>
    <row r="21" spans="5:11" ht="21" customHeight="1" x14ac:dyDescent="0.3">
      <c r="E21" s="38"/>
      <c r="F21" s="38"/>
    </row>
    <row r="22" spans="5:11" ht="21" customHeight="1" x14ac:dyDescent="0.3">
      <c r="E22" s="38"/>
      <c r="F22" s="38"/>
      <c r="G22" s="42">
        <f>INDEX(lowerCommon[[#All],[Column1]],MATCH(H22,lowerCommon[[#All],[Column2]],0))</f>
        <v>56</v>
      </c>
      <c r="H22" s="43" t="s">
        <v>123</v>
      </c>
      <c r="I22" s="87" t="s">
        <v>126</v>
      </c>
      <c r="J22" s="87"/>
      <c r="K22" s="87"/>
    </row>
    <row r="23" spans="5:11" ht="21" customHeight="1" x14ac:dyDescent="0.3">
      <c r="E23" s="38"/>
      <c r="F23" s="38"/>
      <c r="G23" s="42">
        <f>INDEX(lowerCommon[[#All],[Column1]],MATCH(H23,lowerCommon[[#All],[Column2]],0))</f>
        <v>78</v>
      </c>
      <c r="H23" s="41" t="s">
        <v>3</v>
      </c>
      <c r="I23" s="87"/>
      <c r="J23" s="87"/>
      <c r="K23" s="87"/>
    </row>
    <row r="24" spans="5:11" ht="21" customHeight="1" x14ac:dyDescent="0.3">
      <c r="E24" s="38"/>
      <c r="F24" s="38"/>
      <c r="G24" s="42">
        <f>INDEX(lowerCommon[[#All],[Column1]],MATCH(H24,lowerCommon[[#All],[Column2]],0))</f>
        <v>3.5</v>
      </c>
      <c r="H24" s="45" t="s">
        <v>17</v>
      </c>
      <c r="I24" s="87"/>
      <c r="J24" s="87"/>
      <c r="K24" s="87"/>
    </row>
    <row r="25" spans="5:11" ht="21" customHeight="1" x14ac:dyDescent="0.3">
      <c r="E25" s="38"/>
      <c r="F25" s="38"/>
      <c r="G25" s="42">
        <f>INDEX(lowerCommon[[#All],[Column1]],MATCH(H25,lowerCommon[[#All],[Column2]],0))</f>
        <v>45</v>
      </c>
      <c r="H25" s="45" t="s">
        <v>21</v>
      </c>
      <c r="I25" s="87"/>
      <c r="J25" s="87"/>
      <c r="K25" s="87"/>
    </row>
    <row r="26" spans="5:11" ht="21" customHeight="1" x14ac:dyDescent="0.3">
      <c r="E26" s="38"/>
      <c r="F26" s="38"/>
      <c r="G26" s="44" t="b">
        <v>0</v>
      </c>
      <c r="H26" s="45" t="s">
        <v>127</v>
      </c>
      <c r="I26" s="87"/>
      <c r="J26" s="87"/>
      <c r="K26" s="87"/>
    </row>
    <row r="27" spans="5:11" ht="21" customHeight="1" x14ac:dyDescent="0.3">
      <c r="E27" s="38"/>
      <c r="F27" s="38"/>
      <c r="G27" s="39"/>
      <c r="H27" s="39"/>
    </row>
    <row r="28" spans="5:11" ht="21" customHeight="1" x14ac:dyDescent="0.3">
      <c r="E28" s="38"/>
      <c r="F28" s="38"/>
      <c r="G28" s="39"/>
      <c r="H28" s="39"/>
    </row>
    <row r="29" spans="5:11" ht="21" customHeight="1" x14ac:dyDescent="0.3">
      <c r="E29" s="38"/>
      <c r="F29" s="38"/>
      <c r="G29" s="42">
        <v>30</v>
      </c>
      <c r="H29" s="43" t="s">
        <v>123</v>
      </c>
      <c r="I29" s="87" t="s">
        <v>129</v>
      </c>
      <c r="J29" s="87"/>
      <c r="K29" s="87"/>
    </row>
    <row r="30" spans="5:11" ht="21" customHeight="1" x14ac:dyDescent="0.3">
      <c r="E30" s="38"/>
      <c r="F30" s="38"/>
      <c r="G30" s="40">
        <v>70</v>
      </c>
      <c r="H30" s="41" t="s">
        <v>3</v>
      </c>
      <c r="I30" s="87"/>
      <c r="J30" s="87"/>
      <c r="K30" s="87"/>
    </row>
    <row r="31" spans="5:11" ht="21" customHeight="1" x14ac:dyDescent="0.3">
      <c r="E31" s="38"/>
      <c r="F31" s="38"/>
      <c r="G31" s="44">
        <v>3.5</v>
      </c>
      <c r="H31" s="45" t="s">
        <v>17</v>
      </c>
      <c r="I31" s="87"/>
      <c r="J31" s="87"/>
      <c r="K31" s="87"/>
    </row>
    <row r="32" spans="5:11" ht="21" customHeight="1" x14ac:dyDescent="0.3">
      <c r="E32" s="38"/>
      <c r="F32" s="38"/>
      <c r="G32" s="44">
        <v>0</v>
      </c>
      <c r="H32" s="45" t="s">
        <v>128</v>
      </c>
      <c r="I32" s="87"/>
      <c r="J32" s="87"/>
      <c r="K32" s="87"/>
    </row>
    <row r="33" spans="5:12" ht="21" customHeight="1" x14ac:dyDescent="0.3">
      <c r="E33" s="38"/>
      <c r="F33" s="38"/>
      <c r="G33" s="39"/>
      <c r="H33" s="39"/>
    </row>
    <row r="34" spans="5:12" ht="21" customHeight="1" x14ac:dyDescent="0.3">
      <c r="E34" s="38"/>
      <c r="F34"/>
      <c r="G34"/>
      <c r="H34"/>
      <c r="I34"/>
      <c r="J34"/>
      <c r="K34"/>
      <c r="L34"/>
    </row>
    <row r="35" spans="5:12" ht="21" customHeight="1" x14ac:dyDescent="0.3">
      <c r="E35" s="38"/>
      <c r="F35"/>
      <c r="G35" s="7" t="str">
        <f>INDEX(choosenMaterials[[#All],[Column1]],MATCH(H12,choosenMaterials[[#All],[Column2]],0))</f>
        <v>يوفيلاك</v>
      </c>
      <c r="H35" s="47" t="s">
        <v>9</v>
      </c>
      <c r="I35" s="84" t="s">
        <v>138</v>
      </c>
      <c r="J35" s="85"/>
      <c r="K35" s="86"/>
      <c r="L35"/>
    </row>
    <row r="36" spans="5:12" ht="21" customHeight="1" x14ac:dyDescent="0.3">
      <c r="E36" s="38"/>
      <c r="F36"/>
      <c r="G36"/>
      <c r="H36"/>
      <c r="I36"/>
      <c r="J36"/>
      <c r="K36"/>
      <c r="L36"/>
    </row>
    <row r="37" spans="5:12" ht="21" customHeight="1" x14ac:dyDescent="0.3">
      <c r="E37" s="38"/>
      <c r="F37"/>
      <c r="G37"/>
      <c r="H37"/>
      <c r="I37"/>
      <c r="J37"/>
      <c r="K37"/>
      <c r="L37"/>
    </row>
    <row r="38" spans="5:12" ht="21" customHeight="1" x14ac:dyDescent="0.3">
      <c r="E38" s="38"/>
      <c r="F38"/>
      <c r="G38"/>
      <c r="H38"/>
      <c r="I38"/>
      <c r="J38"/>
      <c r="K38"/>
      <c r="L38"/>
    </row>
    <row r="39" spans="5:12" ht="21" customHeight="1" x14ac:dyDescent="0.3">
      <c r="E39" s="38"/>
      <c r="F39"/>
      <c r="G39"/>
      <c r="H39"/>
      <c r="I39"/>
      <c r="J39"/>
      <c r="K39"/>
      <c r="L39"/>
    </row>
    <row r="40" spans="5:12" ht="21" customHeight="1" x14ac:dyDescent="0.3">
      <c r="E40" s="38"/>
      <c r="F40" s="38"/>
      <c r="G40" s="39"/>
      <c r="H40" s="39"/>
    </row>
    <row r="41" spans="5:12" ht="21" customHeight="1" x14ac:dyDescent="0.3">
      <c r="E41" s="38"/>
      <c r="F41" s="38"/>
      <c r="G41" s="39"/>
      <c r="H41" s="39"/>
    </row>
    <row r="42" spans="5:12" ht="21" customHeight="1" x14ac:dyDescent="0.3">
      <c r="E42" s="38"/>
      <c r="F42" s="38"/>
      <c r="G42" s="39"/>
      <c r="H42" s="39"/>
    </row>
    <row r="43" spans="5:12" ht="21" customHeight="1" x14ac:dyDescent="0.3">
      <c r="E43" s="38"/>
      <c r="F43" s="38"/>
      <c r="G43" s="39"/>
      <c r="H43" s="39"/>
    </row>
    <row r="44" spans="5:12" ht="21" customHeight="1" x14ac:dyDescent="0.3">
      <c r="E44" s="38"/>
      <c r="F44" s="38"/>
      <c r="G44" s="39"/>
      <c r="H44" s="39"/>
    </row>
    <row r="45" spans="5:12" ht="21" customHeight="1" x14ac:dyDescent="0.3">
      <c r="E45" s="38"/>
      <c r="F45" s="38"/>
      <c r="G45" s="38"/>
      <c r="H45" s="38"/>
    </row>
    <row r="46" spans="5:12" ht="21" customHeight="1" x14ac:dyDescent="0.3">
      <c r="E46" s="38"/>
      <c r="F46" s="38"/>
      <c r="G46" s="38"/>
      <c r="H46" s="38"/>
    </row>
    <row r="47" spans="5:12" ht="21" customHeight="1" x14ac:dyDescent="0.3">
      <c r="E47" s="38"/>
      <c r="F47" s="38"/>
      <c r="G47" s="38"/>
      <c r="H47" s="38"/>
    </row>
    <row r="48" spans="5:12" ht="21" customHeight="1" x14ac:dyDescent="0.3">
      <c r="E48" s="38"/>
      <c r="F48" s="38"/>
      <c r="G48" s="38"/>
      <c r="H48" s="38"/>
    </row>
    <row r="49" spans="5:8" ht="21" customHeight="1" x14ac:dyDescent="0.3">
      <c r="E49" s="38"/>
      <c r="F49" s="38"/>
      <c r="G49" s="38"/>
      <c r="H49" s="38"/>
    </row>
    <row r="50" spans="5:8" ht="21" customHeight="1" x14ac:dyDescent="0.3">
      <c r="E50" s="38"/>
      <c r="F50" s="38"/>
      <c r="G50" s="38"/>
      <c r="H50" s="38"/>
    </row>
    <row r="51" spans="5:8" ht="21" customHeight="1" x14ac:dyDescent="0.3">
      <c r="E51" s="38"/>
      <c r="F51" s="38"/>
      <c r="G51" s="38"/>
      <c r="H51" s="38"/>
    </row>
    <row r="52" spans="5:8" ht="21" customHeight="1" x14ac:dyDescent="0.3">
      <c r="E52" s="38"/>
      <c r="F52" s="38"/>
      <c r="G52" s="38"/>
      <c r="H52" s="38"/>
    </row>
    <row r="53" spans="5:8" ht="21" customHeight="1" x14ac:dyDescent="0.3">
      <c r="E53" s="38"/>
      <c r="F53" s="38"/>
      <c r="G53" s="38"/>
      <c r="H53" s="38"/>
    </row>
    <row r="54" spans="5:8" ht="21" customHeight="1" x14ac:dyDescent="0.3">
      <c r="E54" s="38"/>
      <c r="F54" s="38"/>
      <c r="G54" s="38"/>
      <c r="H54" s="38"/>
    </row>
    <row r="55" spans="5:8" ht="21" customHeight="1" x14ac:dyDescent="0.3">
      <c r="E55" s="38"/>
      <c r="F55" s="38"/>
      <c r="G55" s="38"/>
      <c r="H55" s="38"/>
    </row>
    <row r="56" spans="5:8" ht="21" customHeight="1" x14ac:dyDescent="0.3">
      <c r="E56" s="38"/>
      <c r="F56" s="38"/>
      <c r="G56" s="38"/>
      <c r="H56" s="38"/>
    </row>
    <row r="57" spans="5:8" ht="21" customHeight="1" x14ac:dyDescent="0.3">
      <c r="E57" s="38"/>
      <c r="F57" s="38"/>
      <c r="G57" s="38"/>
      <c r="H57" s="38"/>
    </row>
    <row r="58" spans="5:8" ht="21" customHeight="1" x14ac:dyDescent="0.3">
      <c r="G58" s="38"/>
      <c r="H58" s="38"/>
    </row>
  </sheetData>
  <mergeCells count="7">
    <mergeCell ref="I35:K35"/>
    <mergeCell ref="I29:K32"/>
    <mergeCell ref="I11:K13"/>
    <mergeCell ref="I16:K19"/>
    <mergeCell ref="N5:Y5"/>
    <mergeCell ref="I6:K8"/>
    <mergeCell ref="I22:K26"/>
  </mergeCells>
  <phoneticPr fontId="11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ggleBackExists">
                <anchor moveWithCells="1" sizeWithCells="1">
                  <from>
                    <xdr:col>4</xdr:col>
                    <xdr:colOff>845820</xdr:colOff>
                    <xdr:row>25</xdr:row>
                    <xdr:rowOff>0</xdr:rowOff>
                  </from>
                  <to>
                    <xdr:col>5</xdr:col>
                    <xdr:colOff>845820</xdr:colOff>
                    <xdr:row>26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abSelected="1" topLeftCell="B1" zoomScale="70" zoomScaleNormal="70" workbookViewId="0">
      <pane ySplit="8" topLeftCell="A9" activePane="bottomLeft" state="frozen"/>
      <selection pane="bottomLeft" activeCell="P19" sqref="P19"/>
    </sheetView>
  </sheetViews>
  <sheetFormatPr defaultRowHeight="14.4" x14ac:dyDescent="0.3"/>
  <cols>
    <col min="1" max="1" width="10.77734375" style="64" hidden="1" customWidth="1"/>
    <col min="2" max="2" width="34.44140625" style="65" customWidth="1"/>
    <col min="3" max="3" width="8.88671875" style="65" customWidth="1"/>
    <col min="4" max="4" width="11.6640625" style="65" customWidth="1"/>
    <col min="5" max="5" width="17.21875" style="65" customWidth="1"/>
    <col min="6" max="6" width="8.88671875" style="65" customWidth="1"/>
    <col min="7" max="7" width="12.5546875" style="65" customWidth="1"/>
    <col min="8" max="8" width="8.88671875" style="65" customWidth="1"/>
    <col min="9" max="9" width="13.109375" style="65" customWidth="1"/>
    <col min="10" max="10" width="11.21875" style="65" customWidth="1"/>
    <col min="11" max="11" width="8.88671875" style="65"/>
    <col min="12" max="12" width="12.33203125" style="65" customWidth="1"/>
    <col min="13" max="13" width="10.21875" style="65" customWidth="1"/>
    <col min="14" max="14" width="8.88671875" style="65" customWidth="1"/>
    <col min="15" max="17" width="8.88671875" style="65"/>
    <col min="18" max="22" width="10.6640625" style="65" hidden="1" customWidth="1"/>
    <col min="23" max="52" width="0" style="65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17.10937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65"/>
  </cols>
  <sheetData>
    <row r="1" spans="2:63" s="64" customFormat="1" x14ac:dyDescent="0.3">
      <c r="B1" s="66">
        <v>1</v>
      </c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</row>
    <row r="2" spans="2:63" s="64" customFormat="1" ht="21" x14ac:dyDescent="0.4">
      <c r="B2" s="70" t="s">
        <v>144</v>
      </c>
      <c r="E2" s="91" t="s">
        <v>122</v>
      </c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2:63" s="64" customFormat="1" x14ac:dyDescent="0.3">
      <c r="B3" s="66"/>
      <c r="E3" s="64" cm="1">
        <f t="array" ref="E3:P5">materials[]</f>
        <v>0</v>
      </c>
      <c r="F3" s="64" t="str">
        <v>بوليلاك</v>
      </c>
      <c r="G3" s="64" t="str">
        <v>Lumber J</v>
      </c>
      <c r="H3" s="64" t="str">
        <v>بولى بلس</v>
      </c>
      <c r="I3" s="64" t="str">
        <v>PVC</v>
      </c>
      <c r="J3" s="64" t="str">
        <v>يوفيلاك</v>
      </c>
      <c r="K3" s="64" t="str">
        <v>بورديوم</v>
      </c>
      <c r="L3" s="64" t="str">
        <v>كونتر ميلامين</v>
      </c>
      <c r="M3" s="64" t="str">
        <v>HPL</v>
      </c>
      <c r="N3" s="64" t="str">
        <v>CPL</v>
      </c>
      <c r="O3" s="64" t="str">
        <v>ظهر</v>
      </c>
      <c r="P3" s="64">
        <v>0</v>
      </c>
      <c r="R3" s="64" t="s">
        <v>0</v>
      </c>
      <c r="S3" s="64" t="s">
        <v>113</v>
      </c>
      <c r="T3" s="64" t="s">
        <v>52</v>
      </c>
      <c r="U3" s="64" t="s">
        <v>73</v>
      </c>
      <c r="V3" s="67" t="s">
        <v>112</v>
      </c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</row>
    <row r="4" spans="2:63" s="64" customFormat="1" x14ac:dyDescent="0.3">
      <c r="B4" s="66"/>
      <c r="E4" s="64">
        <v>0</v>
      </c>
      <c r="F4" s="64">
        <v>4</v>
      </c>
      <c r="G4" s="64">
        <v>4</v>
      </c>
      <c r="H4" s="64">
        <v>4</v>
      </c>
      <c r="I4" s="64">
        <v>4</v>
      </c>
      <c r="J4" s="64">
        <v>6</v>
      </c>
      <c r="K4" s="64">
        <v>2</v>
      </c>
      <c r="L4" s="64">
        <v>2</v>
      </c>
      <c r="M4" s="64">
        <v>2</v>
      </c>
      <c r="N4" s="64">
        <v>2</v>
      </c>
      <c r="O4" s="64">
        <v>2</v>
      </c>
      <c r="P4" s="64" t="str">
        <v xml:space="preserve">خشبى </v>
      </c>
      <c r="R4" s="64">
        <v>1</v>
      </c>
      <c r="S4" s="64">
        <v>2</v>
      </c>
      <c r="T4" s="64">
        <v>3</v>
      </c>
      <c r="U4" s="64">
        <v>4</v>
      </c>
      <c r="V4" s="64">
        <v>5</v>
      </c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</row>
    <row r="5" spans="2:63" s="64" customFormat="1" x14ac:dyDescent="0.3">
      <c r="B5" s="66"/>
      <c r="E5" s="64">
        <v>0</v>
      </c>
      <c r="F5" s="64">
        <v>3</v>
      </c>
      <c r="G5" s="64">
        <v>3</v>
      </c>
      <c r="H5" s="64">
        <v>3</v>
      </c>
      <c r="I5" s="64">
        <v>3</v>
      </c>
      <c r="J5" s="64">
        <v>5</v>
      </c>
      <c r="K5" s="64">
        <v>1</v>
      </c>
      <c r="L5" s="64">
        <v>1</v>
      </c>
      <c r="M5" s="64">
        <v>1</v>
      </c>
      <c r="N5" s="64">
        <v>1</v>
      </c>
      <c r="O5" s="64">
        <v>1</v>
      </c>
      <c r="P5" s="64" t="str">
        <v>سادة</v>
      </c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</row>
    <row r="6" spans="2:63" s="64" customFormat="1" x14ac:dyDescent="0.3">
      <c r="B6" s="6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</row>
    <row r="7" spans="2:63" s="64" customFormat="1" x14ac:dyDescent="0.3">
      <c r="B7" s="6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</row>
    <row r="8" spans="2:63" s="64" customFormat="1" x14ac:dyDescent="0.3">
      <c r="B8" s="6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52"/>
  <sheetViews>
    <sheetView topLeftCell="B1" zoomScale="85" zoomScaleNormal="85" workbookViewId="0">
      <selection activeCell="K14" sqref="K14"/>
    </sheetView>
  </sheetViews>
  <sheetFormatPr defaultRowHeight="15.6" x14ac:dyDescent="0.3"/>
  <cols>
    <col min="1" max="1" width="16" style="74" hidden="1" customWidth="1"/>
    <col min="2" max="2" width="26.88671875" style="17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58" customFormat="1" x14ac:dyDescent="0.3">
      <c r="A1" s="74">
        <v>13</v>
      </c>
      <c r="B1" s="75">
        <v>8</v>
      </c>
    </row>
    <row r="2" spans="1:75" s="58" customFormat="1" ht="37.200000000000003" customHeight="1" x14ac:dyDescent="0.3">
      <c r="A2" s="74">
        <v>30</v>
      </c>
      <c r="B2" s="71" t="s">
        <v>139</v>
      </c>
      <c r="C2" s="96" t="s">
        <v>0</v>
      </c>
      <c r="D2" s="96"/>
      <c r="E2" s="96"/>
      <c r="F2" s="96"/>
      <c r="G2" s="96"/>
      <c r="H2" s="96"/>
      <c r="I2" s="96"/>
      <c r="J2" s="96"/>
      <c r="Q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</row>
    <row r="3" spans="1:75" s="58" customFormat="1" ht="18" customHeight="1" x14ac:dyDescent="0.3">
      <c r="A3" s="74"/>
      <c r="B3" s="76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Q3" s="68"/>
      <c r="R3" s="57"/>
      <c r="S3" s="57"/>
      <c r="T3" s="57"/>
      <c r="U3" s="57"/>
      <c r="V3" s="63"/>
      <c r="W3" s="63"/>
      <c r="X3" s="63"/>
      <c r="Y3" s="63"/>
      <c r="Z3" s="63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</row>
    <row r="4" spans="1:75" s="58" customFormat="1" ht="14.4" x14ac:dyDescent="0.3">
      <c r="A4" s="74"/>
      <c r="B4" s="76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Q4" s="68"/>
      <c r="R4" s="57"/>
      <c r="S4" s="57"/>
      <c r="T4" s="57"/>
      <c r="U4" s="57"/>
      <c r="V4" s="57"/>
      <c r="W4" s="57"/>
      <c r="X4" s="57"/>
      <c r="Y4" s="57"/>
      <c r="Z4" s="57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  <c r="BS4" s="68"/>
      <c r="BT4" s="68"/>
      <c r="BU4" s="68"/>
      <c r="BV4" s="68"/>
      <c r="BW4" s="68"/>
    </row>
    <row r="5" spans="1:75" s="58" customFormat="1" ht="14.4" x14ac:dyDescent="0.3">
      <c r="A5" s="74"/>
      <c r="B5" s="76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</row>
    <row r="6" spans="1:75" s="58" customFormat="1" ht="14.4" x14ac:dyDescent="0.3">
      <c r="A6" s="74"/>
      <c r="B6" s="76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</row>
    <row r="7" spans="1:75" s="60" customFormat="1" ht="18" x14ac:dyDescent="0.3">
      <c r="A7" s="74"/>
      <c r="B7" s="76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  <c r="BQ7" s="68"/>
      <c r="BR7" s="68"/>
      <c r="BS7" s="68"/>
      <c r="BT7" s="68"/>
      <c r="BU7" s="68"/>
      <c r="BV7" s="68"/>
      <c r="BW7" s="68"/>
    </row>
    <row r="8" spans="1:75" s="61" customFormat="1" ht="18" x14ac:dyDescent="0.3">
      <c r="A8" s="74"/>
      <c r="B8" s="76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</row>
    <row r="9" spans="1:75" customFormat="1" ht="14.4" x14ac:dyDescent="0.3">
      <c r="A9" s="74"/>
    </row>
    <row r="10" spans="1:75" customFormat="1" ht="14.4" x14ac:dyDescent="0.3">
      <c r="A10" s="74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77" t="s">
        <v>173</v>
      </c>
      <c r="B13" s="17"/>
      <c r="C13" s="15">
        <v>1</v>
      </c>
      <c r="D13" s="25" t="s">
        <v>68</v>
      </c>
      <c r="E13" s="92" t="s">
        <v>16</v>
      </c>
      <c r="F13" s="93"/>
      <c r="G13" s="93"/>
      <c r="H13" s="94"/>
      <c r="I13" s="2" t="s">
        <v>39</v>
      </c>
      <c r="J13" s="2">
        <f>letterToNumber(A13)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74">
        <v>1</v>
      </c>
      <c r="C14" s="8" t="s">
        <v>12</v>
      </c>
      <c r="D14" s="20" t="s">
        <v>19</v>
      </c>
      <c r="E14" s="8" t="s">
        <v>17</v>
      </c>
      <c r="F14" s="95"/>
      <c r="G14" s="95"/>
      <c r="H14" s="8" t="s">
        <v>31</v>
      </c>
      <c r="I14" s="8" t="s">
        <v>3</v>
      </c>
      <c r="J14" s="8" t="s">
        <v>123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74">
        <v>1</v>
      </c>
      <c r="C15" s="9">
        <v>2</v>
      </c>
      <c r="D15" s="9">
        <v>1</v>
      </c>
      <c r="E15" s="30">
        <f>INDEX(lowerCommon[[#All],[Column1]],MATCH(E14,lowerCommon[[#All],[Column2]],0))</f>
        <v>3.5</v>
      </c>
      <c r="F15" s="95"/>
      <c r="G15" s="95"/>
      <c r="H15" s="9"/>
      <c r="I15" s="30">
        <f>INDEX(lowerCommon[[#All],[Column1]],MATCH(I14,lowerCommon[[#All],[Column2]],0))</f>
        <v>78</v>
      </c>
      <c r="J15" s="30">
        <f>INDEX(lowerCommon[[#All],[Column1]],MATCH(J14,lowerCommon[[#All],[Column2]],0))</f>
        <v>56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74">
        <v>1</v>
      </c>
      <c r="C16" s="9"/>
      <c r="D16" s="30" t="str">
        <f>INDEX(choosenMaterials[[#All],[Column1]],MATCH(E16,choosenMaterials[[#All],[Column2]],0))</f>
        <v>ظهر</v>
      </c>
      <c r="E16" s="8" t="s">
        <v>67</v>
      </c>
      <c r="F16" s="30" t="str">
        <f>INDEX(choosenMaterials[[#All],[Column1]],MATCH(G16,choosenMaterials[[#All],[Column2]],0))</f>
        <v>يوفيلاك</v>
      </c>
      <c r="G16" s="8" t="s">
        <v>41</v>
      </c>
      <c r="H16" s="30" t="str">
        <f>INDEX(choosenMaterials[[#All],[Column1]],MATCH(I16,choosenMaterials[[#All],[Column2]],0))</f>
        <v>HPL</v>
      </c>
      <c r="I16" s="8" t="s">
        <v>40</v>
      </c>
      <c r="J16" s="28" t="s">
        <v>121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74"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74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42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74">
        <v>0</v>
      </c>
      <c r="C19" s="6"/>
      <c r="D19" s="6"/>
      <c r="E19" s="6"/>
      <c r="F19" s="6"/>
      <c r="G19" s="6"/>
      <c r="H19" s="6"/>
      <c r="I19" s="6"/>
      <c r="J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74">
        <v>3</v>
      </c>
      <c r="B20" s="17" t="str">
        <f>E13</f>
        <v xml:space="preserve">وحدة سفلية دلفة /دلفتين </v>
      </c>
      <c r="C20" s="6">
        <v>1</v>
      </c>
      <c r="D20" s="6" t="str">
        <f>H16</f>
        <v>HPL</v>
      </c>
      <c r="E20" s="6" t="s">
        <v>10</v>
      </c>
      <c r="F20" s="6">
        <f>H15-3.6</f>
        <v>-3.6</v>
      </c>
      <c r="G20" s="6">
        <f>J15</f>
        <v>56</v>
      </c>
      <c r="H20" s="6">
        <f>1*C13</f>
        <v>1</v>
      </c>
      <c r="I20" s="6">
        <f>HLOOKUP(D20, materials[], 2,FALSE)</f>
        <v>2</v>
      </c>
      <c r="J20" s="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74">
        <v>3</v>
      </c>
      <c r="B21" s="17" t="str">
        <f>B20</f>
        <v xml:space="preserve">وحدة سفلية دلفة /دلفتين </v>
      </c>
      <c r="C21" s="6">
        <f>C20+1</f>
        <v>2</v>
      </c>
      <c r="D21" s="6" t="str">
        <f>H16</f>
        <v>HPL</v>
      </c>
      <c r="E21" s="6" t="s">
        <v>11</v>
      </c>
      <c r="F21" s="6">
        <f>I15</f>
        <v>78</v>
      </c>
      <c r="G21" s="6">
        <f>J15</f>
        <v>56</v>
      </c>
      <c r="H21" s="6">
        <f>2*C13</f>
        <v>2</v>
      </c>
      <c r="I21" s="6">
        <f>HLOOKUP(D21, materials[], 2,FALSE)</f>
        <v>2</v>
      </c>
      <c r="J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74">
        <v>3</v>
      </c>
      <c r="B22" s="17" t="str">
        <f>B20</f>
        <v xml:space="preserve">وحدة سفلية دلفة /دلفتين </v>
      </c>
      <c r="C22" s="6">
        <f t="shared" ref="C22:C24" si="0">C21+1</f>
        <v>3</v>
      </c>
      <c r="D22" s="6" t="str">
        <f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>HLOOKUP(D22, materials[], 2,FALSE)</f>
        <v>2</v>
      </c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74">
        <v>3</v>
      </c>
      <c r="B23" s="17" t="str">
        <f>B20</f>
        <v xml:space="preserve">وحدة سفلية دلفة /دلفتين </v>
      </c>
      <c r="C23" s="6">
        <f t="shared" si="0"/>
        <v>4</v>
      </c>
      <c r="D23" s="6" t="str">
        <f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74">
        <v>3</v>
      </c>
      <c r="B24" s="17" t="str">
        <f>B20</f>
        <v xml:space="preserve">وحدة سفلية دلفة /دلفتين </v>
      </c>
      <c r="C24" s="6">
        <f t="shared" si="0"/>
        <v>5</v>
      </c>
      <c r="D24" s="6" t="str">
        <f>H16</f>
        <v>HPL</v>
      </c>
      <c r="E24" s="6" t="s">
        <v>18</v>
      </c>
      <c r="F24" s="6">
        <f>H15-3.8</f>
        <v>-3.8</v>
      </c>
      <c r="G24" s="6">
        <f>J15-6</f>
        <v>50</v>
      </c>
      <c r="H24" s="6">
        <f>D15*C13</f>
        <v>1</v>
      </c>
      <c r="I24" s="6">
        <f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74">
        <v>0</v>
      </c>
      <c r="C25" s="6"/>
      <c r="D25" s="6"/>
      <c r="E25" s="6"/>
      <c r="F25" s="6"/>
      <c r="G25" s="6"/>
      <c r="H25" s="6"/>
      <c r="I25" s="6"/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74">
        <v>4</v>
      </c>
      <c r="B26" s="17" t="str">
        <f>B20</f>
        <v xml:space="preserve">وحدة سفلية دلفة /دلفتين </v>
      </c>
      <c r="C26" s="10">
        <f>C24+1</f>
        <v>6</v>
      </c>
      <c r="D26" s="10" t="str">
        <f>F16</f>
        <v>يوفيلاك</v>
      </c>
      <c r="E26" s="10" t="s">
        <v>15</v>
      </c>
      <c r="F26" s="10">
        <f>I15-0.5-E15</f>
        <v>74</v>
      </c>
      <c r="G26" s="10">
        <f>(H15/C15)-0.5</f>
        <v>-0.5</v>
      </c>
      <c r="H26" s="10">
        <f>C15*C13</f>
        <v>2</v>
      </c>
      <c r="I26" s="10">
        <f>HLOOKUP(D26, materials[], 2,FALSE)</f>
        <v>6</v>
      </c>
      <c r="J26" s="10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74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74">
        <v>5</v>
      </c>
      <c r="B28" s="17" t="str">
        <f>B20</f>
        <v xml:space="preserve">وحدة سفلية دلفة /دلفتين </v>
      </c>
      <c r="C28" s="21">
        <f>C26+1</f>
        <v>7</v>
      </c>
      <c r="D28" s="21" t="str">
        <f>D16</f>
        <v>ظهر</v>
      </c>
      <c r="E28" s="21" t="s">
        <v>67</v>
      </c>
      <c r="F28" s="21">
        <f>I15-2</f>
        <v>76</v>
      </c>
      <c r="G28" s="21">
        <f>H15-2</f>
        <v>-2</v>
      </c>
      <c r="H28" s="21">
        <f>1*C13</f>
        <v>1</v>
      </c>
      <c r="I28" s="21">
        <f>HLOOKUP(D28, materials[], 2,FALSE)</f>
        <v>2</v>
      </c>
      <c r="J28" s="2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74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74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74" t="s">
        <v>174</v>
      </c>
      <c r="C31" s="15">
        <v>1</v>
      </c>
      <c r="D31" s="25" t="s">
        <v>68</v>
      </c>
      <c r="E31" s="92" t="s">
        <v>160</v>
      </c>
      <c r="F31" s="93"/>
      <c r="G31" s="93"/>
      <c r="H31" s="94"/>
      <c r="I31" s="2" t="s">
        <v>39</v>
      </c>
      <c r="J31" s="2">
        <f>letterToNumber(A31)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74">
        <v>1</v>
      </c>
      <c r="C32" s="8" t="s">
        <v>147</v>
      </c>
      <c r="D32" s="8" t="s">
        <v>146</v>
      </c>
      <c r="E32" s="8" t="s">
        <v>148</v>
      </c>
      <c r="F32" s="8" t="s">
        <v>145</v>
      </c>
      <c r="G32" s="30" t="str">
        <f>INDEX(choosenMaterials[[#All],[Column1]],MATCH(H32,choosenMaterials[[#All],[Column2]],0))</f>
        <v>ظهر</v>
      </c>
      <c r="H32" s="8" t="s">
        <v>67</v>
      </c>
      <c r="I32" s="10">
        <f>INDEX(lowerCommon[[#All],[Column1]],MATCH(J32,lowerCommon[[#All],[Column2]],0))</f>
        <v>45</v>
      </c>
      <c r="J32" s="18" t="s">
        <v>21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74">
        <v>1</v>
      </c>
      <c r="C33" s="9">
        <v>1</v>
      </c>
      <c r="D33" s="9">
        <v>2</v>
      </c>
      <c r="E33" s="8">
        <v>1</v>
      </c>
      <c r="F33" s="8">
        <v>1</v>
      </c>
      <c r="G33" s="8" t="s">
        <v>17</v>
      </c>
      <c r="H33" s="8" t="s">
        <v>31</v>
      </c>
      <c r="I33" s="8" t="s">
        <v>3</v>
      </c>
      <c r="J33" s="8" t="s">
        <v>123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74">
        <v>1</v>
      </c>
      <c r="C34" s="9">
        <v>30</v>
      </c>
      <c r="D34" s="9">
        <v>20</v>
      </c>
      <c r="E34" s="8">
        <v>10</v>
      </c>
      <c r="F34" s="8">
        <v>7</v>
      </c>
      <c r="G34" s="30">
        <f>INDEX(lowerCommon[[#All],[Column1]],MATCH(G33,lowerCommon[[#All],[Column2]],0))</f>
        <v>3.5</v>
      </c>
      <c r="H34" s="9">
        <v>60</v>
      </c>
      <c r="I34" s="30">
        <f>INDEX(lowerCommon[[#All],[Column1]],MATCH(I33,lowerCommon[[#All],[Column2]],0))</f>
        <v>78</v>
      </c>
      <c r="J34" s="30">
        <f>INDEX(lowerCommon[[#All],[Column1]],MATCH(J33,lowerCommon[[#All],[Column2]],0))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74">
        <v>1</v>
      </c>
      <c r="B35" s="82" t="s">
        <v>166</v>
      </c>
      <c r="C35" s="83">
        <v>0</v>
      </c>
      <c r="D35" s="81">
        <v>4</v>
      </c>
      <c r="E35" s="81" t="s">
        <v>161</v>
      </c>
      <c r="F35" s="30" t="str">
        <f>INDEX(choosenMaterials[[#All],[Column1]],MATCH(G35,choosenMaterials[[#All],[Column2]],0))</f>
        <v>يوفيلاك</v>
      </c>
      <c r="G35" s="8" t="s">
        <v>41</v>
      </c>
      <c r="H35" s="30" t="str">
        <f>INDEX(choosenMaterials[[#All],[Column1]],MATCH(I35,choosenMaterials[[#All],[Column2]],0))</f>
        <v>HPL</v>
      </c>
      <c r="I35" s="8" t="s">
        <v>40</v>
      </c>
      <c r="J35" s="28" t="s">
        <v>121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74">
        <v>0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74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42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74">
        <v>0</v>
      </c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74">
        <v>3</v>
      </c>
      <c r="B39" s="17" t="str">
        <f>E31</f>
        <v xml:space="preserve">وحدة سفلية    أدراج </v>
      </c>
      <c r="C39" s="6">
        <v>1</v>
      </c>
      <c r="D39" s="6" t="str">
        <f>H35</f>
        <v>HPL</v>
      </c>
      <c r="E39" s="6" t="s">
        <v>10</v>
      </c>
      <c r="F39" s="6">
        <f>H34-3.6</f>
        <v>56.4</v>
      </c>
      <c r="G39" s="6">
        <f>J34</f>
        <v>56</v>
      </c>
      <c r="H39" s="6">
        <f>1*C31</f>
        <v>1</v>
      </c>
      <c r="I39" s="6">
        <f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74">
        <v>3</v>
      </c>
      <c r="B40" s="17" t="str">
        <f>B39</f>
        <v xml:space="preserve">وحدة سفلية    أدراج </v>
      </c>
      <c r="C40" s="6">
        <f>C39+1</f>
        <v>2</v>
      </c>
      <c r="D40" s="6" t="str">
        <f>H35</f>
        <v>HPL</v>
      </c>
      <c r="E40" s="6" t="s">
        <v>11</v>
      </c>
      <c r="F40" s="6">
        <f>I34</f>
        <v>78</v>
      </c>
      <c r="G40" s="6">
        <f>J34</f>
        <v>56</v>
      </c>
      <c r="H40" s="6">
        <f>2*C31</f>
        <v>2</v>
      </c>
      <c r="I40" s="6">
        <f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74">
        <v>3</v>
      </c>
      <c r="B41" s="17" t="str">
        <f>B39</f>
        <v xml:space="preserve">وحدة سفلية    أدراج </v>
      </c>
      <c r="C41" s="6">
        <f t="shared" ref="C41:C53" si="1">C40+1</f>
        <v>3</v>
      </c>
      <c r="D41" s="6" t="str">
        <f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74">
        <v>3</v>
      </c>
      <c r="B42" s="17" t="str">
        <f>B39</f>
        <v xml:space="preserve">وحدة سفلية    أدراج </v>
      </c>
      <c r="C42" s="6">
        <f t="shared" si="1"/>
        <v>4</v>
      </c>
      <c r="D42" s="6" t="str">
        <f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74">
        <v>3</v>
      </c>
      <c r="B43" s="17" t="str">
        <f>B39</f>
        <v xml:space="preserve">وحدة سفلية    أدراج </v>
      </c>
      <c r="C43" s="11">
        <f t="shared" si="1"/>
        <v>5</v>
      </c>
      <c r="D43" s="11" t="str">
        <f>H35</f>
        <v>HPL</v>
      </c>
      <c r="E43" s="11" t="s">
        <v>149</v>
      </c>
      <c r="F43" s="11">
        <f>H34-3.6-3.6-2.5</f>
        <v>50.3</v>
      </c>
      <c r="G43" s="11">
        <f>E34</f>
        <v>10</v>
      </c>
      <c r="H43" s="11">
        <f>E33*C31</f>
        <v>1</v>
      </c>
      <c r="I43" s="11">
        <f>HLOOKUP(D43, materials[], 2,FALSE)</f>
        <v>2</v>
      </c>
      <c r="J43" s="1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74">
        <v>3</v>
      </c>
      <c r="B44" s="17" t="str">
        <f>B39</f>
        <v xml:space="preserve">وحدة سفلية    أدراج </v>
      </c>
      <c r="C44" s="11">
        <f t="shared" si="1"/>
        <v>6</v>
      </c>
      <c r="D44" s="11" t="str">
        <f>H35</f>
        <v>HPL</v>
      </c>
      <c r="E44" s="11" t="s">
        <v>150</v>
      </c>
      <c r="F44" s="11">
        <f>I32</f>
        <v>45</v>
      </c>
      <c r="G44" s="11">
        <f>E34</f>
        <v>10</v>
      </c>
      <c r="H44" s="11">
        <f>E33*2*C31</f>
        <v>2</v>
      </c>
      <c r="I44" s="11">
        <f>HLOOKUP(D44, materials[], 2,FALSE)</f>
        <v>2</v>
      </c>
      <c r="J44" s="1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74">
        <v>3</v>
      </c>
      <c r="B45" s="17" t="str">
        <f>B39</f>
        <v xml:space="preserve">وحدة سفلية    أدراج </v>
      </c>
      <c r="C45" s="11">
        <f t="shared" si="1"/>
        <v>7</v>
      </c>
      <c r="D45" s="11" t="str">
        <f>H35</f>
        <v>HPL</v>
      </c>
      <c r="E45" s="11" t="s">
        <v>151</v>
      </c>
      <c r="F45" s="11">
        <f>H34-3.6-3.6-2.5</f>
        <v>50.3</v>
      </c>
      <c r="G45" s="11">
        <f>E34-3</f>
        <v>7</v>
      </c>
      <c r="H45" s="11">
        <f>E33*C31</f>
        <v>1</v>
      </c>
      <c r="I45" s="11">
        <f>HLOOKUP(D45, materials[], 2,FALSE)</f>
        <v>2</v>
      </c>
      <c r="J45" s="1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74">
        <v>3</v>
      </c>
      <c r="B46" s="17" t="str">
        <f>B39</f>
        <v xml:space="preserve">وحدة سفلية    أدراج </v>
      </c>
      <c r="C46" s="12">
        <f t="shared" si="1"/>
        <v>8</v>
      </c>
      <c r="D46" s="12" t="str">
        <f>H35</f>
        <v>HPL</v>
      </c>
      <c r="E46" s="12" t="s">
        <v>152</v>
      </c>
      <c r="F46" s="12">
        <f>H34-3.6-3.6-2.5</f>
        <v>50.3</v>
      </c>
      <c r="G46" s="12">
        <f>D34</f>
        <v>20</v>
      </c>
      <c r="H46" s="12">
        <f>(D33*C31)</f>
        <v>2</v>
      </c>
      <c r="I46" s="12">
        <f>HLOOKUP(D46, materials[], 2,FALSE)</f>
        <v>2</v>
      </c>
      <c r="J46" s="12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74">
        <v>3</v>
      </c>
      <c r="B47" s="17" t="str">
        <f>B39</f>
        <v xml:space="preserve">وحدة سفلية    أدراج </v>
      </c>
      <c r="C47" s="12">
        <f t="shared" si="1"/>
        <v>9</v>
      </c>
      <c r="D47" s="12" t="str">
        <f>H35</f>
        <v>HPL</v>
      </c>
      <c r="E47" s="12" t="s">
        <v>153</v>
      </c>
      <c r="F47" s="12">
        <f>I32</f>
        <v>45</v>
      </c>
      <c r="G47" s="12">
        <f>D34</f>
        <v>20</v>
      </c>
      <c r="H47" s="12">
        <f>(D33)*2*C31</f>
        <v>4</v>
      </c>
      <c r="I47" s="12">
        <f>HLOOKUP(D47, materials[], 2,FALSE)</f>
        <v>2</v>
      </c>
      <c r="J47" s="12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74">
        <v>3</v>
      </c>
      <c r="B48" s="17" t="str">
        <f>B39</f>
        <v xml:space="preserve">وحدة سفلية    أدراج </v>
      </c>
      <c r="C48" s="12">
        <f t="shared" si="1"/>
        <v>10</v>
      </c>
      <c r="D48" s="12" t="str">
        <f>H35</f>
        <v>HPL</v>
      </c>
      <c r="E48" s="12" t="s">
        <v>154</v>
      </c>
      <c r="F48" s="12">
        <f>H34-3.6-3.6-2.5</f>
        <v>50.3</v>
      </c>
      <c r="G48" s="12">
        <f>D34-3</f>
        <v>17</v>
      </c>
      <c r="H48" s="12">
        <f>(D33)*C31</f>
        <v>2</v>
      </c>
      <c r="I48" s="12">
        <f>HLOOKUP(D48, materials[], 2,FALSE)</f>
        <v>2</v>
      </c>
      <c r="J48" s="12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74">
        <v>3</v>
      </c>
      <c r="B49" s="17" t="str">
        <f>B39</f>
        <v xml:space="preserve">وحدة سفلية    أدراج </v>
      </c>
      <c r="C49" s="11">
        <f t="shared" si="1"/>
        <v>11</v>
      </c>
      <c r="D49" s="11" t="str">
        <f>H35</f>
        <v>HPL</v>
      </c>
      <c r="E49" s="11" t="s">
        <v>157</v>
      </c>
      <c r="F49" s="11">
        <f>H34-3.6-3.6-2.5</f>
        <v>50.3</v>
      </c>
      <c r="G49" s="11">
        <f>C34</f>
        <v>30</v>
      </c>
      <c r="H49" s="11">
        <f>C33*C31</f>
        <v>1</v>
      </c>
      <c r="I49" s="11">
        <f>HLOOKUP(D49, materials[], 2,FALSE)</f>
        <v>2</v>
      </c>
      <c r="J49" s="1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74">
        <v>3</v>
      </c>
      <c r="B50" s="17" t="str">
        <f>B39</f>
        <v xml:space="preserve">وحدة سفلية    أدراج </v>
      </c>
      <c r="C50" s="11">
        <f t="shared" si="1"/>
        <v>12</v>
      </c>
      <c r="D50" s="11" t="str">
        <f>H35</f>
        <v>HPL</v>
      </c>
      <c r="E50" s="11" t="s">
        <v>158</v>
      </c>
      <c r="F50" s="11">
        <f>I32</f>
        <v>45</v>
      </c>
      <c r="G50" s="11">
        <f>C34</f>
        <v>30</v>
      </c>
      <c r="H50" s="11">
        <f>C33*2*C31</f>
        <v>2</v>
      </c>
      <c r="I50" s="11">
        <f>HLOOKUP(D50, materials[], 2,FALSE)</f>
        <v>2</v>
      </c>
      <c r="J50" s="1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74">
        <v>3</v>
      </c>
      <c r="B51" s="17" t="str">
        <f>B39</f>
        <v xml:space="preserve">وحدة سفلية    أدراج </v>
      </c>
      <c r="C51" s="11">
        <f t="shared" si="1"/>
        <v>13</v>
      </c>
      <c r="D51" s="11" t="str">
        <f>H35</f>
        <v>HPL</v>
      </c>
      <c r="E51" s="11" t="s">
        <v>159</v>
      </c>
      <c r="F51" s="11">
        <f>H34-3.6-3.6-2.5</f>
        <v>50.3</v>
      </c>
      <c r="G51" s="11">
        <f>C34-3</f>
        <v>27</v>
      </c>
      <c r="H51" s="11">
        <f>C33*C31</f>
        <v>1</v>
      </c>
      <c r="I51" s="11">
        <f>HLOOKUP(D51, materials[], 2,FALSE)</f>
        <v>2</v>
      </c>
      <c r="J51" s="1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74">
        <v>3</v>
      </c>
      <c r="B52" s="17" t="str">
        <f>B39</f>
        <v xml:space="preserve">وحدة سفلية    أدراج </v>
      </c>
      <c r="C52" s="12">
        <f t="shared" si="1"/>
        <v>14</v>
      </c>
      <c r="D52" s="12" t="str">
        <f>H35</f>
        <v>HPL</v>
      </c>
      <c r="E52" s="12" t="s">
        <v>156</v>
      </c>
      <c r="F52" s="12">
        <f>H34-3.6-3.6-2.5</f>
        <v>50.3</v>
      </c>
      <c r="G52" s="12">
        <f>F34</f>
        <v>7</v>
      </c>
      <c r="H52" s="12">
        <f>C31*F33*2</f>
        <v>2</v>
      </c>
      <c r="I52" s="12">
        <f>HLOOKUP(D52, materials[], 2,FALSE)</f>
        <v>2</v>
      </c>
      <c r="J52" s="1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74">
        <v>3</v>
      </c>
      <c r="B53" s="17" t="str">
        <f>B39</f>
        <v xml:space="preserve">وحدة سفلية    أدراج </v>
      </c>
      <c r="C53" s="12">
        <f t="shared" si="1"/>
        <v>15</v>
      </c>
      <c r="D53" s="12" t="str">
        <f>H35</f>
        <v>HPL</v>
      </c>
      <c r="E53" s="12" t="s">
        <v>155</v>
      </c>
      <c r="F53" s="12">
        <f>I32</f>
        <v>45</v>
      </c>
      <c r="G53" s="12">
        <f>F34</f>
        <v>7</v>
      </c>
      <c r="H53" s="12">
        <f>C31*F33*2</f>
        <v>2</v>
      </c>
      <c r="I53" s="12">
        <f>HLOOKUP(D53, materials[], 2,FALSE)</f>
        <v>2</v>
      </c>
      <c r="J53" s="12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74">
        <v>0</v>
      </c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74">
        <v>4</v>
      </c>
      <c r="B55" s="17" t="str">
        <f>B39</f>
        <v xml:space="preserve">وحدة سفلية    أدراج </v>
      </c>
      <c r="C55" s="10">
        <f>C53+1</f>
        <v>16</v>
      </c>
      <c r="D55" s="10" t="str">
        <f>F35</f>
        <v>يوفيلاك</v>
      </c>
      <c r="E55" s="10" t="s">
        <v>162</v>
      </c>
      <c r="F55" s="10">
        <f>((I34/D35)-0.5-G34)</f>
        <v>15.5</v>
      </c>
      <c r="G55" s="10">
        <f>H34-0.5</f>
        <v>59.5</v>
      </c>
      <c r="H55" s="10" t="str">
        <f>IF(D35&gt;3,"",(D35*C31))</f>
        <v/>
      </c>
      <c r="I55" s="10">
        <f>HLOOKUP(D55, materials[], 2,FALSE)</f>
        <v>6</v>
      </c>
      <c r="J55" s="10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74">
        <v>4</v>
      </c>
      <c r="B56" s="17" t="str">
        <f>B39</f>
        <v xml:space="preserve">وحدة سفلية    أدراج </v>
      </c>
      <c r="C56" s="10">
        <f>C55+1</f>
        <v>17</v>
      </c>
      <c r="D56" s="10" t="str">
        <f>F35</f>
        <v>يوفيلاك</v>
      </c>
      <c r="E56" s="10" t="s">
        <v>163</v>
      </c>
      <c r="F56" s="10">
        <f>((I34/D35)-0.5-G34)</f>
        <v>15.5</v>
      </c>
      <c r="G56" s="10">
        <f>H34-0.5</f>
        <v>59.5</v>
      </c>
      <c r="H56" s="10" t="str">
        <f>IF(AND(D35=4,C35),(D35*C31),"")</f>
        <v/>
      </c>
      <c r="I56" s="10">
        <f>HLOOKUP(D56, materials[], 2,FALSE)</f>
        <v>6</v>
      </c>
      <c r="J56" s="10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74">
        <v>4</v>
      </c>
      <c r="B57" s="17" t="str">
        <f>B39</f>
        <v xml:space="preserve">وحدة سفلية    أدراج </v>
      </c>
      <c r="C57" s="10">
        <f>C56+1</f>
        <v>18</v>
      </c>
      <c r="D57" s="10" t="str">
        <f>F35</f>
        <v>يوفيلاك</v>
      </c>
      <c r="E57" s="10" t="s">
        <v>164</v>
      </c>
      <c r="F57" s="10">
        <f>((I34/D35)-0.5-G34)</f>
        <v>15.5</v>
      </c>
      <c r="G57" s="10">
        <f>H34-0.5</f>
        <v>59.5</v>
      </c>
      <c r="H57" s="10">
        <f>IF(AND(D35=4,NOT(C35)),(D35*C31),"")</f>
        <v>4</v>
      </c>
      <c r="I57" s="10">
        <f>HLOOKUP(D57, materials[], 2,FALSE)</f>
        <v>6</v>
      </c>
      <c r="J57" s="10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74">
        <v>4</v>
      </c>
      <c r="B58" s="17" t="str">
        <f>B39</f>
        <v xml:space="preserve">وحدة سفلية    أدراج </v>
      </c>
      <c r="C58" s="10">
        <f>C57+1</f>
        <v>19</v>
      </c>
      <c r="D58" s="10" t="str">
        <f>F35</f>
        <v>يوفيلاك</v>
      </c>
      <c r="E58" s="10" t="s">
        <v>165</v>
      </c>
      <c r="F58" s="10">
        <f>((I34/D35)*2)-G34-0.5</f>
        <v>35</v>
      </c>
      <c r="G58" s="10">
        <f>H34-0.5</f>
        <v>59.5</v>
      </c>
      <c r="H58" s="10">
        <f>IF(AND(D35=4,NOT(C35)),(D35*C31),"")</f>
        <v>4</v>
      </c>
      <c r="I58" s="10">
        <f>HLOOKUP(D58, materials[], 2,FALSE)</f>
        <v>6</v>
      </c>
      <c r="J58" s="10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74">
        <v>0</v>
      </c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74">
        <v>5</v>
      </c>
      <c r="B60" s="17" t="str">
        <f>B39</f>
        <v xml:space="preserve">وحدة سفلية    أدراج </v>
      </c>
      <c r="C60" s="21">
        <f>C55+1</f>
        <v>17</v>
      </c>
      <c r="D60" s="21" t="str">
        <f>G32</f>
        <v>ظهر</v>
      </c>
      <c r="E60" s="21" t="s">
        <v>67</v>
      </c>
      <c r="F60" s="21">
        <f>I34-2</f>
        <v>76</v>
      </c>
      <c r="G60" s="21">
        <f>H34-2</f>
        <v>58</v>
      </c>
      <c r="H60" s="21">
        <f>1*C31</f>
        <v>1</v>
      </c>
      <c r="I60" s="21">
        <f>HLOOKUP(D60, materials[], 2,FALSE)</f>
        <v>2</v>
      </c>
      <c r="J60" s="2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74">
        <v>5</v>
      </c>
      <c r="B61" s="17" t="str">
        <f>B39</f>
        <v xml:space="preserve">وحدة سفلية    أدراج </v>
      </c>
      <c r="C61" s="21">
        <f>C56+1</f>
        <v>18</v>
      </c>
      <c r="D61" s="21" t="str">
        <f>G32</f>
        <v>ظهر</v>
      </c>
      <c r="E61" s="21" t="s">
        <v>167</v>
      </c>
      <c r="F61" s="21">
        <f>H34-3.6-3.6-2.5+2</f>
        <v>52.3</v>
      </c>
      <c r="G61" s="21">
        <f>I32-1</f>
        <v>44</v>
      </c>
      <c r="H61" s="21">
        <f>E33*C31</f>
        <v>1</v>
      </c>
      <c r="I61" s="21">
        <f>HLOOKUP(D61, materials[], 2,FALSE)</f>
        <v>2</v>
      </c>
      <c r="J61" s="2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74">
        <v>5</v>
      </c>
      <c r="B62" s="17" t="str">
        <f>B39</f>
        <v xml:space="preserve">وحدة سفلية    أدراج </v>
      </c>
      <c r="C62" s="21">
        <f>C57+1</f>
        <v>19</v>
      </c>
      <c r="D62" s="21" t="str">
        <f>G32</f>
        <v>ظهر</v>
      </c>
      <c r="E62" s="21" t="s">
        <v>168</v>
      </c>
      <c r="F62" s="21">
        <f>H34-3.6-3.6-2.5+2</f>
        <v>52.3</v>
      </c>
      <c r="G62" s="21">
        <f>I32-1</f>
        <v>44</v>
      </c>
      <c r="H62" s="21">
        <f>(D33*C31)</f>
        <v>2</v>
      </c>
      <c r="I62" s="21">
        <f>HLOOKUP(D62, materials[], 2,FALSE)</f>
        <v>2</v>
      </c>
      <c r="J62" s="2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74">
        <v>5</v>
      </c>
      <c r="B63" s="17" t="str">
        <f>B39</f>
        <v xml:space="preserve">وحدة سفلية    أدراج </v>
      </c>
      <c r="C63" s="21">
        <f>C58+1</f>
        <v>20</v>
      </c>
      <c r="D63" s="21" t="str">
        <f>G32</f>
        <v>ظهر</v>
      </c>
      <c r="E63" s="21" t="s">
        <v>169</v>
      </c>
      <c r="F63" s="21">
        <f>H34-3.6-3.6-2.5+2</f>
        <v>52.3</v>
      </c>
      <c r="G63" s="21">
        <f>I32-1</f>
        <v>44</v>
      </c>
      <c r="H63" s="21">
        <f>C33*C31</f>
        <v>1</v>
      </c>
      <c r="I63" s="21">
        <f>HLOOKUP(D63, materials[], 2,FALSE)</f>
        <v>2</v>
      </c>
      <c r="J63" s="2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74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74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74" t="s">
        <v>175</v>
      </c>
      <c r="C66" s="15">
        <v>1</v>
      </c>
      <c r="D66" s="25" t="s">
        <v>68</v>
      </c>
      <c r="E66" s="92" t="s">
        <v>32</v>
      </c>
      <c r="F66" s="93"/>
      <c r="G66" s="93"/>
      <c r="H66" s="94"/>
      <c r="I66" s="2" t="s">
        <v>39</v>
      </c>
      <c r="J66" s="2">
        <f>letterToNumber(A66)</f>
        <v>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74">
        <v>1</v>
      </c>
      <c r="C67" s="8" t="s">
        <v>12</v>
      </c>
      <c r="D67" s="8" t="s">
        <v>19</v>
      </c>
      <c r="E67" s="8" t="s">
        <v>17</v>
      </c>
      <c r="F67" s="95"/>
      <c r="G67" s="8" t="s">
        <v>33</v>
      </c>
      <c r="H67" s="8" t="s">
        <v>31</v>
      </c>
      <c r="I67" s="8" t="s">
        <v>3</v>
      </c>
      <c r="J67" s="8" t="s">
        <v>123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74">
        <v>1</v>
      </c>
      <c r="C68" s="9">
        <v>1</v>
      </c>
      <c r="D68" s="9">
        <v>1</v>
      </c>
      <c r="E68" s="30">
        <f>INDEX(lowerCommon[[#All],[Column1]],MATCH(E67,lowerCommon[[#All],[Column2]],0))</f>
        <v>3.5</v>
      </c>
      <c r="F68" s="95"/>
      <c r="G68" s="30">
        <v>56</v>
      </c>
      <c r="H68" s="9">
        <v>105</v>
      </c>
      <c r="I68" s="30">
        <f>INDEX(lowerCommon[[#All],[Column1]],MATCH(I67,lowerCommon[[#All],[Column2]],0))</f>
        <v>78</v>
      </c>
      <c r="J68" s="30">
        <f>INDEX(lowerCommon[[#All],[Column1]],MATCH(J67,lowerCommon[[#All],[Column2]],0))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74">
        <v>1</v>
      </c>
      <c r="C69" s="9"/>
      <c r="D69" s="30" t="str">
        <f>INDEX(choosenMaterials[[#All],[Column1]],MATCH(E69,choosenMaterials[[#All],[Column2]],0))</f>
        <v>ظهر</v>
      </c>
      <c r="E69" s="8" t="s">
        <v>67</v>
      </c>
      <c r="F69" s="30" t="str">
        <f>INDEX(choosenMaterials[[#All],[Column1]],MATCH(G69,choosenMaterials[[#All],[Column2]],0))</f>
        <v>يوفيلاك</v>
      </c>
      <c r="G69" s="8" t="s">
        <v>41</v>
      </c>
      <c r="H69" s="30" t="str">
        <f>INDEX(choosenMaterials[[#All],[Column1]],MATCH(I69,choosenMaterials[[#All],[Column2]],0))</f>
        <v>HPL</v>
      </c>
      <c r="I69" s="8" t="s">
        <v>40</v>
      </c>
      <c r="J69" s="28" t="s">
        <v>121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74">
        <v>0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74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42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74">
        <v>0</v>
      </c>
      <c r="C72" s="6"/>
      <c r="D72" s="6"/>
      <c r="E72" s="6"/>
      <c r="F72" s="6"/>
      <c r="G72" s="6"/>
      <c r="H72" s="6"/>
      <c r="I72" s="6"/>
      <c r="J72" s="6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74">
        <v>3</v>
      </c>
      <c r="B73" s="17" t="str">
        <f>E66</f>
        <v xml:space="preserve">وحدة سفلية  تلبيسة دلفة /دلفتين </v>
      </c>
      <c r="C73" s="6">
        <v>1</v>
      </c>
      <c r="D73" s="6" t="str">
        <f>H69</f>
        <v>HPL</v>
      </c>
      <c r="E73" s="6" t="s">
        <v>10</v>
      </c>
      <c r="F73" s="6">
        <f>H68-3.6</f>
        <v>101.4</v>
      </c>
      <c r="G73" s="6">
        <f>J68</f>
        <v>56</v>
      </c>
      <c r="H73" s="6">
        <f>1*C66</f>
        <v>1</v>
      </c>
      <c r="I73" s="6">
        <f>HLOOKUP(D73, materials[], 2,FALSE)</f>
        <v>2</v>
      </c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74">
        <v>3</v>
      </c>
      <c r="B74" s="17" t="str">
        <f>B73</f>
        <v xml:space="preserve">وحدة سفلية  تلبيسة دلفة /دلفتين </v>
      </c>
      <c r="C74" s="6">
        <f>C73+1</f>
        <v>2</v>
      </c>
      <c r="D74" s="6" t="str">
        <f>H69</f>
        <v>HPL</v>
      </c>
      <c r="E74" s="6" t="s">
        <v>11</v>
      </c>
      <c r="F74" s="6">
        <f>I68</f>
        <v>78</v>
      </c>
      <c r="G74" s="6">
        <f>J68</f>
        <v>56</v>
      </c>
      <c r="H74" s="6">
        <v>2</v>
      </c>
      <c r="I74" s="6">
        <f>HLOOKUP(D74, materials[], 2,FALSE)</f>
        <v>2</v>
      </c>
      <c r="J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74">
        <v>3</v>
      </c>
      <c r="B75" s="17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>HLOOKUP(D75, materials[], 2,FALSE)</f>
        <v>2</v>
      </c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74">
        <v>3</v>
      </c>
      <c r="B76" s="17" t="str">
        <f>B73</f>
        <v xml:space="preserve">وحدة سفلية  تلبيسة دلفة /دلفتين </v>
      </c>
      <c r="C76" s="6">
        <f t="shared" si="2"/>
        <v>4</v>
      </c>
      <c r="D76" s="6" t="str">
        <f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>HLOOKUP(D76, materials[], 2,FALSE)</f>
        <v>2</v>
      </c>
      <c r="J76" s="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74">
        <v>3</v>
      </c>
      <c r="B77" s="17" t="str">
        <f>B73</f>
        <v xml:space="preserve">وحدة سفلية  تلبيسة دلفة /دلفتين </v>
      </c>
      <c r="C77" s="6">
        <f t="shared" si="2"/>
        <v>5</v>
      </c>
      <c r="D77" s="6" t="str">
        <f>H69</f>
        <v>HPL</v>
      </c>
      <c r="E77" s="6" t="s">
        <v>18</v>
      </c>
      <c r="F77" s="6">
        <f>H68-3.8</f>
        <v>101.2</v>
      </c>
      <c r="G77" s="6">
        <f>J68-6</f>
        <v>50</v>
      </c>
      <c r="H77" s="6">
        <f>D68*C66</f>
        <v>1</v>
      </c>
      <c r="I77" s="6">
        <f>HLOOKUP(D77, materials[], 2,FALSE)</f>
        <v>2</v>
      </c>
      <c r="J77" s="6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74">
        <v>3</v>
      </c>
      <c r="B78" s="17" t="str">
        <f>B73</f>
        <v xml:space="preserve">وحدة سفلية  تلبيسة دلفة /دلفتين </v>
      </c>
      <c r="C78" s="6">
        <f t="shared" si="2"/>
        <v>6</v>
      </c>
      <c r="D78" s="6" t="str">
        <f>H69</f>
        <v>HPL</v>
      </c>
      <c r="E78" s="6" t="s">
        <v>33</v>
      </c>
      <c r="F78" s="6">
        <f>I68</f>
        <v>78</v>
      </c>
      <c r="G78" s="6">
        <f>G68</f>
        <v>56</v>
      </c>
      <c r="H78" s="6">
        <f>1*C66</f>
        <v>1</v>
      </c>
      <c r="I78" s="6">
        <f>HLOOKUP(D78, materials[], 2,FALSE)</f>
        <v>2</v>
      </c>
      <c r="J78" s="6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74">
        <v>0</v>
      </c>
      <c r="C79" s="6"/>
      <c r="D79" s="6"/>
      <c r="E79" s="6"/>
      <c r="F79" s="6"/>
      <c r="G79" s="6"/>
      <c r="H79" s="6"/>
      <c r="I79" s="6"/>
      <c r="J79" s="6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74">
        <v>4</v>
      </c>
      <c r="B80" s="17" t="str">
        <f>B73</f>
        <v xml:space="preserve">وحدة سفلية  تلبيسة دلفة /دلفتين </v>
      </c>
      <c r="C80" s="10">
        <f>C78+1</f>
        <v>7</v>
      </c>
      <c r="D80" s="10" t="str">
        <f>F69</f>
        <v>يوفيلاك</v>
      </c>
      <c r="E80" s="10" t="s">
        <v>15</v>
      </c>
      <c r="F80" s="10">
        <f>I68-0.5-E68</f>
        <v>74</v>
      </c>
      <c r="G80" s="10">
        <f>(H68-G68-G81)/C68-0.5</f>
        <v>44.5</v>
      </c>
      <c r="H80" s="10">
        <f>C68*C66</f>
        <v>1</v>
      </c>
      <c r="I80" s="10">
        <f>HLOOKUP(D80, materials[], 2,FALSE)</f>
        <v>6</v>
      </c>
      <c r="J80" s="10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74">
        <v>4</v>
      </c>
      <c r="B81" s="17" t="str">
        <f>B73</f>
        <v xml:space="preserve">وحدة سفلية  تلبيسة دلفة /دلفتين </v>
      </c>
      <c r="C81" s="10">
        <f t="shared" ref="C81" si="3">C80+1</f>
        <v>8</v>
      </c>
      <c r="D81" s="10" t="str">
        <f>F69</f>
        <v>يوفيلاك</v>
      </c>
      <c r="E81" s="10" t="s">
        <v>34</v>
      </c>
      <c r="F81" s="10">
        <f>I68</f>
        <v>78</v>
      </c>
      <c r="G81" s="10">
        <v>4</v>
      </c>
      <c r="H81" s="10">
        <f>1*C66</f>
        <v>1</v>
      </c>
      <c r="I81" s="10">
        <f>HLOOKUP(D81, materials[], 2,FALSE)</f>
        <v>6</v>
      </c>
      <c r="J81" s="10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74">
        <v>0</v>
      </c>
      <c r="C82" s="6"/>
      <c r="D82" s="6"/>
      <c r="E82" s="6"/>
      <c r="F82" s="6"/>
      <c r="G82" s="6"/>
      <c r="H82" s="6"/>
      <c r="I82" s="6"/>
      <c r="J82" s="6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74">
        <v>5</v>
      </c>
      <c r="B83" s="17" t="str">
        <f>B73</f>
        <v xml:space="preserve">وحدة سفلية  تلبيسة دلفة /دلفتين </v>
      </c>
      <c r="C83" s="21">
        <f>C81+1</f>
        <v>9</v>
      </c>
      <c r="D83" s="21" t="str">
        <f>D69</f>
        <v>ظهر</v>
      </c>
      <c r="E83" s="21" t="s">
        <v>67</v>
      </c>
      <c r="F83" s="21">
        <f>I68-2</f>
        <v>76</v>
      </c>
      <c r="G83" s="21">
        <f>H68-2</f>
        <v>103</v>
      </c>
      <c r="H83" s="21">
        <f>1*C66</f>
        <v>1</v>
      </c>
      <c r="I83" s="21">
        <f>HLOOKUP(D83, materials[], 2,FALSE)</f>
        <v>2</v>
      </c>
      <c r="J83" s="2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74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74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74" t="s">
        <v>176</v>
      </c>
      <c r="C86" s="15">
        <v>1</v>
      </c>
      <c r="D86" s="25" t="s">
        <v>68</v>
      </c>
      <c r="E86" s="92" t="s">
        <v>35</v>
      </c>
      <c r="F86" s="93"/>
      <c r="G86" s="93"/>
      <c r="H86" s="94"/>
      <c r="I86" s="2" t="s">
        <v>39</v>
      </c>
      <c r="J86" s="2">
        <f>letterToNumber(A86)</f>
        <v>6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74">
        <v>1</v>
      </c>
      <c r="C87" s="8"/>
      <c r="D87" s="8" t="s">
        <v>19</v>
      </c>
      <c r="E87" s="8" t="s">
        <v>17</v>
      </c>
      <c r="F87" s="95"/>
      <c r="G87" s="8"/>
      <c r="H87" s="8" t="s">
        <v>31</v>
      </c>
      <c r="I87" s="8" t="s">
        <v>3</v>
      </c>
      <c r="J87" s="8" t="s">
        <v>123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74">
        <v>1</v>
      </c>
      <c r="C88" s="9"/>
      <c r="D88" s="9">
        <v>1</v>
      </c>
      <c r="E88" s="30">
        <f>INDEX(lowerCommon[[#All],[Column1]],MATCH(E87,lowerCommon[[#All],[Column2]],0))</f>
        <v>3.5</v>
      </c>
      <c r="F88" s="95"/>
      <c r="G88" s="8"/>
      <c r="H88" s="9"/>
      <c r="I88" s="30">
        <f>INDEX(lowerCommon[[#All],[Column1]],MATCH(I87,lowerCommon[[#All],[Column2]],0))</f>
        <v>78</v>
      </c>
      <c r="J88" s="30">
        <f>INDEX(lowerCommon[[#All],[Column1]],MATCH(J87,lowerCommon[[#All],[Column2]],0))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74">
        <v>1</v>
      </c>
      <c r="C89" s="31"/>
      <c r="D89" s="13"/>
      <c r="E89" s="13"/>
      <c r="F89" s="14"/>
      <c r="G89" s="8"/>
      <c r="H89" s="9"/>
      <c r="I89" s="30">
        <f>INDEX(lowerCommon[[#All],[Column1]],MATCH(I87,lowerCommon[[#All],[Column2]],0))</f>
        <v>78</v>
      </c>
      <c r="J89" s="30">
        <f>INDEX(lowerCommon[[#All],[Column1]],MATCH(J87,lowerCommon[[#All],[Column2]],0))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74">
        <v>1</v>
      </c>
      <c r="C90" s="9"/>
      <c r="D90" s="30" t="str">
        <f>INDEX(choosenMaterials[[#All],[Column1]],MATCH(E90,choosenMaterials[[#All],[Column2]],0))</f>
        <v>ظهر</v>
      </c>
      <c r="E90" s="8" t="s">
        <v>67</v>
      </c>
      <c r="F90" s="30" t="str">
        <f>INDEX(choosenMaterials[[#All],[Column1]],MATCH(G90,choosenMaterials[[#All],[Column2]],0))</f>
        <v>يوفيلاك</v>
      </c>
      <c r="G90" s="8" t="s">
        <v>41</v>
      </c>
      <c r="H90" s="30" t="str">
        <f>INDEX(choosenMaterials[[#All],[Column1]],MATCH(I90,choosenMaterials[[#All],[Column2]],0))</f>
        <v>HPL</v>
      </c>
      <c r="I90" s="8" t="s">
        <v>40</v>
      </c>
      <c r="J90" s="28" t="s">
        <v>121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74">
        <v>0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74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42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74">
        <v>0</v>
      </c>
      <c r="B93" s="17" t="str">
        <f>E86</f>
        <v>وحدة سفلية  زاوية 90</v>
      </c>
      <c r="C93" s="6"/>
      <c r="D93" s="6"/>
      <c r="E93" s="6"/>
      <c r="F93" s="6"/>
      <c r="G93" s="6"/>
      <c r="H93" s="6"/>
      <c r="I93" s="6"/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74">
        <v>3</v>
      </c>
      <c r="B94" s="17" t="str">
        <f>B93</f>
        <v>وحدة سفلية  زاوية 90</v>
      </c>
      <c r="C94" s="6">
        <v>1</v>
      </c>
      <c r="D94" s="6" t="str">
        <f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>HLOOKUP(D94, materials[], 2,FALSE)</f>
        <v>2</v>
      </c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74">
        <v>3</v>
      </c>
      <c r="B95" s="17" t="str">
        <f>B93</f>
        <v>وحدة سفلية  زاوية 90</v>
      </c>
      <c r="C95" s="6">
        <f>C94+1</f>
        <v>2</v>
      </c>
      <c r="D95" s="6" t="str">
        <f>H90</f>
        <v>HPL</v>
      </c>
      <c r="E95" s="6" t="s">
        <v>11</v>
      </c>
      <c r="F95" s="6">
        <f>I88</f>
        <v>78</v>
      </c>
      <c r="G95" s="6">
        <f>J88</f>
        <v>56</v>
      </c>
      <c r="H95" s="6">
        <f>2*C86</f>
        <v>2</v>
      </c>
      <c r="I95" s="6">
        <f>HLOOKUP(D95, materials[], 2,FALSE)</f>
        <v>2</v>
      </c>
      <c r="J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74">
        <v>3</v>
      </c>
      <c r="B96" s="17" t="str">
        <f>B93</f>
        <v>وحدة سفلية  زاوية 90</v>
      </c>
      <c r="C96" s="6">
        <f t="shared" ref="C96:C99" si="4">C95+1</f>
        <v>3</v>
      </c>
      <c r="D96" s="6" t="str">
        <f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>HLOOKUP(D96, materials[], 2,FALSE)</f>
        <v>2</v>
      </c>
      <c r="J96" s="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74">
        <v>3</v>
      </c>
      <c r="B97" s="17" t="str">
        <f>B93</f>
        <v>وحدة سفلية  زاوية 90</v>
      </c>
      <c r="C97" s="6">
        <f t="shared" si="4"/>
        <v>4</v>
      </c>
      <c r="D97" s="6" t="str">
        <f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>HLOOKUP(D97, materials[], 2,FALSE)</f>
        <v>2</v>
      </c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74">
        <v>3</v>
      </c>
      <c r="B98" s="17" t="str">
        <f>B93</f>
        <v>وحدة سفلية  زاوية 90</v>
      </c>
      <c r="C98" s="6">
        <f t="shared" si="4"/>
        <v>5</v>
      </c>
      <c r="D98" s="6" t="str">
        <f>H90</f>
        <v>HPL</v>
      </c>
      <c r="E98" s="6" t="s">
        <v>36</v>
      </c>
      <c r="F98" s="6">
        <f>I88</f>
        <v>78</v>
      </c>
      <c r="G98" s="6">
        <v>10</v>
      </c>
      <c r="H98" s="6">
        <f>1*C86</f>
        <v>1</v>
      </c>
      <c r="I98" s="6">
        <f>HLOOKUP(D98, materials[], 2,FALSE)</f>
        <v>2</v>
      </c>
      <c r="J98" s="6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74">
        <v>3</v>
      </c>
      <c r="B99" s="17" t="str">
        <f>B93</f>
        <v>وحدة سفلية  زاوية 90</v>
      </c>
      <c r="C99" s="6">
        <f t="shared" si="4"/>
        <v>6</v>
      </c>
      <c r="D99" s="6" t="str">
        <f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>HLOOKUP(D99, materials[], 2,FALSE)</f>
        <v>2</v>
      </c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74">
        <v>0</v>
      </c>
      <c r="C100" s="6"/>
      <c r="D100" s="6"/>
      <c r="E100" s="6"/>
      <c r="F100" s="6"/>
      <c r="G100" s="6"/>
      <c r="H100" s="6"/>
      <c r="I100" s="6"/>
      <c r="J100" s="6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74">
        <v>4</v>
      </c>
      <c r="B101" s="17" t="str">
        <f>B93</f>
        <v>وحدة سفلية  زاوية 90</v>
      </c>
      <c r="C101" s="10">
        <f>C99+1</f>
        <v>7</v>
      </c>
      <c r="D101" s="10" t="str">
        <f>F90</f>
        <v>يوفيلاك</v>
      </c>
      <c r="E101" s="10" t="s">
        <v>37</v>
      </c>
      <c r="F101" s="10">
        <f>I88-0.5-E88</f>
        <v>74</v>
      </c>
      <c r="G101" s="10">
        <f>H88-56-3</f>
        <v>-59</v>
      </c>
      <c r="H101" s="10">
        <f>1*C86</f>
        <v>1</v>
      </c>
      <c r="I101" s="10">
        <f>HLOOKUP(D101, materials[], 2,FALSE)</f>
        <v>6</v>
      </c>
      <c r="J101" s="10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74">
        <v>4</v>
      </c>
      <c r="B102" s="17" t="str">
        <f>B93</f>
        <v>وحدة سفلية  زاوية 90</v>
      </c>
      <c r="C102" s="10">
        <f t="shared" ref="C102" si="5">C101+1</f>
        <v>8</v>
      </c>
      <c r="D102" s="10" t="str">
        <f>F90</f>
        <v>يوفيلاك</v>
      </c>
      <c r="E102" s="10" t="s">
        <v>50</v>
      </c>
      <c r="F102" s="10">
        <f>I89-0.5-E88</f>
        <v>74</v>
      </c>
      <c r="G102" s="10">
        <f>H89-56-3</f>
        <v>-59</v>
      </c>
      <c r="H102" s="10">
        <f>1*C86</f>
        <v>1</v>
      </c>
      <c r="I102" s="10">
        <f>HLOOKUP(D102, materials[], 2,FALSE)</f>
        <v>6</v>
      </c>
      <c r="J102" s="10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74">
        <v>0</v>
      </c>
      <c r="C103" s="6"/>
      <c r="D103" s="6"/>
      <c r="E103" s="6"/>
      <c r="F103" s="6"/>
      <c r="G103" s="6"/>
      <c r="H103" s="6"/>
      <c r="I103" s="6"/>
      <c r="J103" s="6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74">
        <v>5</v>
      </c>
      <c r="B104" s="17" t="str">
        <f>B93</f>
        <v>وحدة سفلية  زاوية 90</v>
      </c>
      <c r="C104" s="21">
        <f>C102+1</f>
        <v>9</v>
      </c>
      <c r="D104" s="21" t="str">
        <f>D90</f>
        <v>ظهر</v>
      </c>
      <c r="E104" s="21" t="s">
        <v>67</v>
      </c>
      <c r="F104" s="21">
        <f>I89-1</f>
        <v>77</v>
      </c>
      <c r="G104" s="21">
        <f>H89-1</f>
        <v>-1</v>
      </c>
      <c r="H104" s="21">
        <f>2*C86</f>
        <v>2</v>
      </c>
      <c r="I104" s="21">
        <f>HLOOKUP(D104, materials[], 2,FALSE)</f>
        <v>2</v>
      </c>
      <c r="J104" s="2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74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7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74" t="s">
        <v>177</v>
      </c>
      <c r="C107" s="15">
        <v>1</v>
      </c>
      <c r="D107" s="25" t="s">
        <v>68</v>
      </c>
      <c r="E107" s="92" t="s">
        <v>38</v>
      </c>
      <c r="F107" s="93"/>
      <c r="G107" s="93"/>
      <c r="H107" s="94"/>
      <c r="I107" s="2" t="s">
        <v>39</v>
      </c>
      <c r="J107" s="2">
        <f>letterToNumber(A107)</f>
        <v>7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74">
        <v>1</v>
      </c>
      <c r="C108" s="8"/>
      <c r="D108" s="8" t="s">
        <v>19</v>
      </c>
      <c r="E108" s="8" t="s">
        <v>17</v>
      </c>
      <c r="F108" s="95"/>
      <c r="G108" s="8"/>
      <c r="H108" s="8" t="s">
        <v>31</v>
      </c>
      <c r="I108" s="8" t="s">
        <v>3</v>
      </c>
      <c r="J108" s="8" t="s">
        <v>123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74">
        <v>1</v>
      </c>
      <c r="C109" s="9"/>
      <c r="D109" s="9">
        <v>1</v>
      </c>
      <c r="E109" s="30">
        <f>INDEX(lowerCommon[[#All],[Column1]],MATCH(E108,lowerCommon[[#All],[Column2]],0))</f>
        <v>3.5</v>
      </c>
      <c r="F109" s="95"/>
      <c r="G109" s="8"/>
      <c r="H109" s="9"/>
      <c r="I109" s="30">
        <f>INDEX(lowerCommon[[#All],[Column1]],MATCH(I108,lowerCommon[[#All],[Column2]],0))</f>
        <v>78</v>
      </c>
      <c r="J109" s="30">
        <f>INDEX(lowerCommon[[#All],[Column1]],MATCH(J108,lowerCommon[[#All],[Column2]],0))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74">
        <v>1</v>
      </c>
      <c r="C110" s="31"/>
      <c r="D110" s="13"/>
      <c r="E110" s="13"/>
      <c r="F110" s="14"/>
      <c r="G110" s="8"/>
      <c r="H110" s="9"/>
      <c r="I110" s="30">
        <f>INDEX(lowerCommon[[#All],[Column1]],MATCH(I108,lowerCommon[[#All],[Column2]],0))</f>
        <v>78</v>
      </c>
      <c r="J110" s="30">
        <f>INDEX(lowerCommon[[#All],[Column1]],MATCH(J108,lowerCommon[[#All],[Column2]],0))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74">
        <v>1</v>
      </c>
      <c r="C111" s="9"/>
      <c r="D111" s="30" t="str">
        <f>INDEX(choosenMaterials[[#All],[Column1]],MATCH(E111,choosenMaterials[[#All],[Column2]],0))</f>
        <v>ظهر</v>
      </c>
      <c r="E111" s="8" t="s">
        <v>67</v>
      </c>
      <c r="F111" s="30" t="str">
        <f>INDEX(choosenMaterials[[#All],[Column1]],MATCH(G111,choosenMaterials[[#All],[Column2]],0))</f>
        <v>يوفيلاك</v>
      </c>
      <c r="G111" s="8" t="s">
        <v>41</v>
      </c>
      <c r="H111" s="30" t="str">
        <f>INDEX(choosenMaterials[[#All],[Column1]],MATCH(I111,choosenMaterials[[#All],[Column2]],0))</f>
        <v>HPL</v>
      </c>
      <c r="I111" s="8" t="s">
        <v>40</v>
      </c>
      <c r="J111" s="28" t="s">
        <v>121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74">
        <v>0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74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42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74">
        <v>0</v>
      </c>
      <c r="C114" s="6"/>
      <c r="D114" s="6"/>
      <c r="E114" s="6"/>
      <c r="F114" s="6"/>
      <c r="G114" s="6"/>
      <c r="H114" s="6"/>
      <c r="I114" s="6"/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74">
        <v>3</v>
      </c>
      <c r="B115" s="17" t="str">
        <f>E107</f>
        <v>وحدة سفلية  ركنة 45</v>
      </c>
      <c r="C115" s="6">
        <v>1</v>
      </c>
      <c r="D115" s="6" t="str">
        <f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74">
        <v>3</v>
      </c>
      <c r="B116" s="17" t="str">
        <f>B115</f>
        <v>وحدة سفلية  ركنة 45</v>
      </c>
      <c r="C116" s="6">
        <f>C115+1</f>
        <v>2</v>
      </c>
      <c r="D116" s="6" t="str">
        <f>H111</f>
        <v>HPL</v>
      </c>
      <c r="E116" s="6" t="s">
        <v>11</v>
      </c>
      <c r="F116" s="6">
        <f>I109</f>
        <v>78</v>
      </c>
      <c r="G116" s="6">
        <f>J109</f>
        <v>56</v>
      </c>
      <c r="H116" s="6">
        <f>2*C107</f>
        <v>2</v>
      </c>
      <c r="I116" s="6">
        <f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74">
        <v>3</v>
      </c>
      <c r="B117" s="17" t="str">
        <f>B115</f>
        <v>وحدة سفلية  ركنة 45</v>
      </c>
      <c r="C117" s="6">
        <f t="shared" ref="C117:C120" si="6">C116+1</f>
        <v>3</v>
      </c>
      <c r="D117" s="6" t="str">
        <f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74">
        <v>3</v>
      </c>
      <c r="B118" s="17" t="str">
        <f>B115</f>
        <v>وحدة سفلية  ركنة 45</v>
      </c>
      <c r="C118" s="6">
        <f t="shared" si="6"/>
        <v>4</v>
      </c>
      <c r="D118" s="6" t="str">
        <f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>HLOOKUP(D118, materials[], 2,FALSE)</f>
        <v>2</v>
      </c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74">
        <v>3</v>
      </c>
      <c r="B119" s="17" t="str">
        <f>B115</f>
        <v>وحدة سفلية  ركنة 45</v>
      </c>
      <c r="C119" s="6">
        <f t="shared" si="6"/>
        <v>5</v>
      </c>
      <c r="D119" s="6" t="str">
        <f>H111</f>
        <v>HPL</v>
      </c>
      <c r="E119" s="6" t="s">
        <v>36</v>
      </c>
      <c r="F119" s="6">
        <v>70</v>
      </c>
      <c r="G119" s="6">
        <v>10</v>
      </c>
      <c r="H119" s="6">
        <f>1*C107</f>
        <v>1</v>
      </c>
      <c r="I119" s="6">
        <f>HLOOKUP(D119, materials[], 2,FALSE)</f>
        <v>2</v>
      </c>
      <c r="J119" s="6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74">
        <v>3</v>
      </c>
      <c r="B120" s="17" t="str">
        <f>B115</f>
        <v>وحدة سفلية  ركنة 45</v>
      </c>
      <c r="C120" s="6">
        <f t="shared" si="6"/>
        <v>6</v>
      </c>
      <c r="D120" s="6" t="str">
        <f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>HLOOKUP(D120, materials[], 2,FALSE)</f>
        <v>2</v>
      </c>
      <c r="J120" s="6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74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74">
        <v>4</v>
      </c>
      <c r="B122" s="17" t="str">
        <f>B115</f>
        <v>وحدة سفلية  ركنة 45</v>
      </c>
      <c r="C122" s="10">
        <f>C120+1</f>
        <v>7</v>
      </c>
      <c r="D122" s="10" t="str">
        <f>F111</f>
        <v>يوفيلاك</v>
      </c>
      <c r="E122" s="10" t="s">
        <v>37</v>
      </c>
      <c r="F122" s="10">
        <f>I109-0.5-E109</f>
        <v>74</v>
      </c>
      <c r="G122" s="19">
        <f>(SQRT((H109-J109)^2+(H110-J110)^2))-2</f>
        <v>77.195959492893323</v>
      </c>
      <c r="H122" s="10">
        <f>1*C107</f>
        <v>1</v>
      </c>
      <c r="I122" s="10">
        <f>HLOOKUP(D122, materials[], 2,FALSE)</f>
        <v>6</v>
      </c>
      <c r="J122" s="10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74">
        <v>0</v>
      </c>
      <c r="C123" s="6"/>
      <c r="D123" s="6"/>
      <c r="E123" s="6"/>
      <c r="F123" s="6"/>
      <c r="G123" s="6"/>
      <c r="H123" s="6"/>
      <c r="I123" s="6"/>
      <c r="J123" s="6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74">
        <v>5</v>
      </c>
      <c r="B124" s="17" t="str">
        <f>B115</f>
        <v>وحدة سفلية  ركنة 45</v>
      </c>
      <c r="C124" s="21">
        <f>C122+1</f>
        <v>8</v>
      </c>
      <c r="D124" s="21" t="str">
        <f>D111</f>
        <v>ظهر</v>
      </c>
      <c r="E124" s="21" t="s">
        <v>67</v>
      </c>
      <c r="F124" s="21">
        <f>I109-1</f>
        <v>77</v>
      </c>
      <c r="G124" s="21">
        <f>H109-1</f>
        <v>-1</v>
      </c>
      <c r="H124" s="21">
        <f>1*C107</f>
        <v>1</v>
      </c>
      <c r="I124" s="21">
        <f>HLOOKUP(D124, materials[], 2,FALSE)</f>
        <v>2</v>
      </c>
      <c r="J124" s="2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74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74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74" t="s">
        <v>178</v>
      </c>
      <c r="B127" s="3"/>
      <c r="C127" s="15">
        <v>1</v>
      </c>
      <c r="D127" s="25" t="s">
        <v>68</v>
      </c>
      <c r="E127" s="92" t="s">
        <v>114</v>
      </c>
      <c r="F127" s="93"/>
      <c r="G127" s="93"/>
      <c r="H127" s="94"/>
      <c r="I127" s="2" t="s">
        <v>39</v>
      </c>
      <c r="J127" s="2">
        <f>letterToNumber(A127)</f>
        <v>8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74">
        <v>1</v>
      </c>
      <c r="B128" s="24"/>
      <c r="C128" s="8" t="s">
        <v>12</v>
      </c>
      <c r="D128" s="8" t="s">
        <v>19</v>
      </c>
      <c r="E128" s="8" t="s">
        <v>17</v>
      </c>
      <c r="F128" s="95"/>
      <c r="G128" s="18" t="s">
        <v>21</v>
      </c>
      <c r="H128" s="8" t="s">
        <v>31</v>
      </c>
      <c r="I128" s="8" t="s">
        <v>3</v>
      </c>
      <c r="J128" s="8" t="s">
        <v>123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74">
        <v>1</v>
      </c>
      <c r="B129" s="24"/>
      <c r="C129" s="9"/>
      <c r="D129" s="9">
        <v>0</v>
      </c>
      <c r="E129" s="30">
        <f>INDEX(lowerCommon[[#All],[Column1]],MATCH(E128,lowerCommon[[#All],[Column2]],0))</f>
        <v>3.5</v>
      </c>
      <c r="F129" s="95"/>
      <c r="G129" s="10">
        <f>INDEX(lowerCommon[[#All],[Column1]],MATCH(G128,lowerCommon[[#All],[Column2]],0))</f>
        <v>45</v>
      </c>
      <c r="H129" s="9">
        <v>60</v>
      </c>
      <c r="I129" s="30">
        <f>INDEX(lowerCommon[[#All],[Column1]],MATCH(I128,lowerCommon[[#All],[Column2]],0))</f>
        <v>78</v>
      </c>
      <c r="J129" s="30">
        <f>INDEX(lowerCommon[[#All],[Column1]],MATCH(J128,lowerCommon[[#All],[Column2]],0))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74">
        <v>1</v>
      </c>
      <c r="B130" s="24"/>
      <c r="C130" s="9"/>
      <c r="D130" s="30" t="str">
        <f>INDEX(choosenMaterials[[#All],[Column1]],MATCH(E130,choosenMaterials[[#All],[Column2]],0))</f>
        <v>ظهر</v>
      </c>
      <c r="E130" s="8" t="s">
        <v>67</v>
      </c>
      <c r="F130" s="30" t="str">
        <f>INDEX(choosenMaterials[[#All],[Column1]],MATCH(G130,choosenMaterials[[#All],[Column2]],0))</f>
        <v>يوفيلاك</v>
      </c>
      <c r="G130" s="8" t="s">
        <v>41</v>
      </c>
      <c r="H130" s="30" t="str">
        <f>INDEX(choosenMaterials[[#All],[Column1]],MATCH(I130,choosenMaterials[[#All],[Column2]],0))</f>
        <v>HPL</v>
      </c>
      <c r="I130" s="8" t="s">
        <v>40</v>
      </c>
      <c r="J130" s="28" t="s">
        <v>121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74">
        <v>0</v>
      </c>
      <c r="B131" s="24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74">
        <v>2</v>
      </c>
      <c r="B132" s="24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42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74">
        <v>0</v>
      </c>
      <c r="B133" s="24"/>
      <c r="C133" s="6"/>
      <c r="D133" s="6"/>
      <c r="E133" s="6"/>
      <c r="F133" s="6"/>
      <c r="G133" s="6"/>
      <c r="H133" s="6"/>
      <c r="I133" s="6"/>
      <c r="J133" s="6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74">
        <v>3</v>
      </c>
      <c r="B134" s="17" t="str">
        <f>E127</f>
        <v xml:space="preserve">وحدة سفلية  فرن </v>
      </c>
      <c r="C134" s="6">
        <v>1</v>
      </c>
      <c r="D134" s="6" t="str">
        <f>H130</f>
        <v>HPL</v>
      </c>
      <c r="E134" s="6" t="s">
        <v>10</v>
      </c>
      <c r="F134" s="6">
        <f>H129-3.6</f>
        <v>56.4</v>
      </c>
      <c r="G134" s="6">
        <f>J129</f>
        <v>56</v>
      </c>
      <c r="H134" s="6">
        <f>2*C127</f>
        <v>2</v>
      </c>
      <c r="I134" s="6">
        <f>HLOOKUP(D134, materials[], 2,FALSE)</f>
        <v>2</v>
      </c>
      <c r="J134" s="6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74">
        <v>3</v>
      </c>
      <c r="B135" s="17" t="str">
        <f>B134</f>
        <v xml:space="preserve">وحدة سفلية  فرن </v>
      </c>
      <c r="C135" s="6">
        <f>C134+1</f>
        <v>2</v>
      </c>
      <c r="D135" s="6" t="str">
        <f>H130</f>
        <v>HPL</v>
      </c>
      <c r="E135" s="6" t="s">
        <v>11</v>
      </c>
      <c r="F135" s="6">
        <f>I129</f>
        <v>78</v>
      </c>
      <c r="G135" s="6">
        <f>J129</f>
        <v>56</v>
      </c>
      <c r="H135" s="6">
        <f>2*C127</f>
        <v>2</v>
      </c>
      <c r="I135" s="6">
        <f>HLOOKUP(D135, materials[], 2,FALSE)</f>
        <v>2</v>
      </c>
      <c r="J135" s="6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74">
        <v>3</v>
      </c>
      <c r="B136" s="17" t="str">
        <f>B134</f>
        <v xml:space="preserve">وحدة سفلية  فرن </v>
      </c>
      <c r="C136" s="6">
        <f t="shared" ref="C136:C141" si="7">C135+1</f>
        <v>3</v>
      </c>
      <c r="D136" s="6" t="str">
        <f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>HLOOKUP(D136, materials[], 2,FALSE)</f>
        <v>2</v>
      </c>
      <c r="J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74">
        <v>3</v>
      </c>
      <c r="B137" s="17" t="str">
        <f>B134</f>
        <v xml:space="preserve">وحدة سفلية  فرن </v>
      </c>
      <c r="C137" s="6">
        <f t="shared" si="7"/>
        <v>4</v>
      </c>
      <c r="D137" s="6" t="str">
        <f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>HLOOKUP(D137, materials[], 2,FALSE)</f>
        <v>2</v>
      </c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74">
        <v>3</v>
      </c>
      <c r="B138" s="17" t="str">
        <f>B134</f>
        <v xml:space="preserve">وحدة سفلية  فرن </v>
      </c>
      <c r="C138" s="6">
        <f t="shared" si="7"/>
        <v>5</v>
      </c>
      <c r="D138" s="6" t="str">
        <f>H130</f>
        <v>HPL</v>
      </c>
      <c r="E138" s="6" t="s">
        <v>18</v>
      </c>
      <c r="F138" s="6">
        <f>H129-3.8</f>
        <v>56.2</v>
      </c>
      <c r="G138" s="6">
        <f>J129-6</f>
        <v>50</v>
      </c>
      <c r="H138" s="6">
        <f>D129*C127</f>
        <v>0</v>
      </c>
      <c r="I138" s="6">
        <f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74">
        <v>3</v>
      </c>
      <c r="B139" s="17" t="str">
        <f>B135</f>
        <v xml:space="preserve">وحدة سفلية  فرن </v>
      </c>
      <c r="C139" s="6">
        <f t="shared" si="7"/>
        <v>6</v>
      </c>
      <c r="D139" s="6" t="str">
        <f>H130</f>
        <v>HPL</v>
      </c>
      <c r="E139" s="11" t="s">
        <v>23</v>
      </c>
      <c r="F139" s="11">
        <f>H129-3.6-3.6-2.5</f>
        <v>50.3</v>
      </c>
      <c r="G139" s="11">
        <v>10</v>
      </c>
      <c r="H139" s="11">
        <f>1*C127</f>
        <v>1</v>
      </c>
      <c r="I139" s="6">
        <f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74">
        <v>3</v>
      </c>
      <c r="B140" s="17" t="str">
        <f>B136</f>
        <v xml:space="preserve">وحدة سفلية  فرن </v>
      </c>
      <c r="C140" s="6">
        <f t="shared" si="7"/>
        <v>7</v>
      </c>
      <c r="D140" s="6" t="str">
        <f>H130</f>
        <v>HPL</v>
      </c>
      <c r="E140" s="11" t="s">
        <v>171</v>
      </c>
      <c r="F140" s="11">
        <f>G129</f>
        <v>45</v>
      </c>
      <c r="G140" s="11">
        <v>10</v>
      </c>
      <c r="H140" s="11">
        <f>2*C127</f>
        <v>2</v>
      </c>
      <c r="I140" s="6">
        <f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74">
        <v>3</v>
      </c>
      <c r="B141" s="17" t="str">
        <f>B137</f>
        <v xml:space="preserve">وحدة سفلية  فرن </v>
      </c>
      <c r="C141" s="6">
        <f t="shared" si="7"/>
        <v>8</v>
      </c>
      <c r="D141" s="6" t="str">
        <f>H130</f>
        <v>HPL</v>
      </c>
      <c r="E141" s="11" t="s">
        <v>172</v>
      </c>
      <c r="F141" s="11">
        <f>H129-3.6-3.6-2.5</f>
        <v>50.3</v>
      </c>
      <c r="G141" s="11">
        <f>10-3</f>
        <v>7</v>
      </c>
      <c r="H141" s="11">
        <f>1*C127</f>
        <v>1</v>
      </c>
      <c r="I141" s="6">
        <f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74">
        <v>0</v>
      </c>
      <c r="C142" s="6"/>
      <c r="D142" s="6"/>
      <c r="E142" s="6"/>
      <c r="F142" s="6"/>
      <c r="G142" s="6"/>
      <c r="H142" s="6"/>
      <c r="I142" s="6"/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74">
        <v>4</v>
      </c>
      <c r="B143" s="17" t="str">
        <f>B134</f>
        <v xml:space="preserve">وحدة سفلية  فرن </v>
      </c>
      <c r="C143" s="10">
        <f>C141+1</f>
        <v>9</v>
      </c>
      <c r="D143" s="10" t="str">
        <f>F130</f>
        <v>يوفيلاك</v>
      </c>
      <c r="E143" s="10" t="s">
        <v>15</v>
      </c>
      <c r="F143" s="10" t="str">
        <f>IF(H143=0,"",(I129-0.5-E129))</f>
        <v/>
      </c>
      <c r="G143" s="10" t="str">
        <f>IF(H143=0, "",(H129/C129)-0.5)</f>
        <v/>
      </c>
      <c r="H143" s="10">
        <f>C129*C127</f>
        <v>0</v>
      </c>
      <c r="I143" s="10">
        <f>HLOOKUP(D143, materials[], 2,FALSE)</f>
        <v>6</v>
      </c>
      <c r="J143" s="10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74">
        <v>4</v>
      </c>
      <c r="B144" s="17" t="str">
        <f>B134</f>
        <v xml:space="preserve">وحدة سفلية  فرن </v>
      </c>
      <c r="C144" s="10">
        <f>C143+1</f>
        <v>10</v>
      </c>
      <c r="D144" s="10" t="str">
        <f>F130</f>
        <v>يوفيلاك</v>
      </c>
      <c r="E144" s="10" t="s">
        <v>170</v>
      </c>
      <c r="F144" s="27">
        <f>H129-0.5</f>
        <v>59.5</v>
      </c>
      <c r="G144" s="27">
        <f>I129-E129-60.5</f>
        <v>14</v>
      </c>
      <c r="H144" s="27">
        <f>1*C127</f>
        <v>1</v>
      </c>
      <c r="I144" s="10">
        <f>HLOOKUP(D144, materials[], 2,FALSE)</f>
        <v>6</v>
      </c>
      <c r="J144" s="10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74">
        <v>0</v>
      </c>
      <c r="C145" s="6"/>
      <c r="D145" s="6"/>
      <c r="E145" s="6"/>
      <c r="F145" s="6"/>
      <c r="G145" s="6"/>
      <c r="H145" s="6"/>
      <c r="I145" s="6"/>
      <c r="J145" s="6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74">
        <v>5</v>
      </c>
      <c r="B146" s="17" t="str">
        <f>B134</f>
        <v xml:space="preserve">وحدة سفلية  فرن </v>
      </c>
      <c r="C146" s="21">
        <f>C144+1</f>
        <v>11</v>
      </c>
      <c r="D146" s="21" t="str">
        <f>D130</f>
        <v>ظهر</v>
      </c>
      <c r="E146" s="21" t="s">
        <v>67</v>
      </c>
      <c r="F146" s="21">
        <f>I129-2</f>
        <v>76</v>
      </c>
      <c r="G146" s="21">
        <f>H129-2</f>
        <v>58</v>
      </c>
      <c r="H146" s="21">
        <f>1*C127</f>
        <v>1</v>
      </c>
      <c r="I146" s="21">
        <f>HLOOKUP(D146, materials[], 2,FALSE)</f>
        <v>2</v>
      </c>
      <c r="J146" s="2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74">
        <v>5</v>
      </c>
      <c r="B147" s="17" t="str">
        <f>B134</f>
        <v xml:space="preserve">وحدة سفلية  فرن </v>
      </c>
      <c r="C147" s="21">
        <f>C146+1</f>
        <v>12</v>
      </c>
      <c r="D147" s="21" t="str">
        <f>D130</f>
        <v>ظهر</v>
      </c>
      <c r="E147" s="21" t="s">
        <v>167</v>
      </c>
      <c r="F147" s="21">
        <f>H129-3.6-3.6-2.5+2</f>
        <v>52.3</v>
      </c>
      <c r="G147" s="21">
        <f>G129-1</f>
        <v>44</v>
      </c>
      <c r="H147" s="21">
        <f>1*C127</f>
        <v>1</v>
      </c>
      <c r="I147" s="21">
        <f>HLOOKUP(D147, materials[], 2,FALSE)</f>
        <v>2</v>
      </c>
      <c r="J147" s="2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74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74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</sheetData>
  <mergeCells count="13">
    <mergeCell ref="C2:J2"/>
    <mergeCell ref="G14:G15"/>
    <mergeCell ref="F14:F15"/>
    <mergeCell ref="F67:F68"/>
    <mergeCell ref="E13:H13"/>
    <mergeCell ref="E31:H31"/>
    <mergeCell ref="E127:H127"/>
    <mergeCell ref="F128:F129"/>
    <mergeCell ref="E107:H107"/>
    <mergeCell ref="E66:H66"/>
    <mergeCell ref="F108:F109"/>
    <mergeCell ref="F87:F88"/>
    <mergeCell ref="E86:H86"/>
  </mergeCells>
  <phoneticPr fontId="11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158"/>
  <sheetViews>
    <sheetView topLeftCell="B1" zoomScale="70" zoomScaleNormal="70" workbookViewId="0">
      <selection activeCell="N145" sqref="N145"/>
    </sheetView>
  </sheetViews>
  <sheetFormatPr defaultRowHeight="15.6" x14ac:dyDescent="0.3"/>
  <cols>
    <col min="1" max="1" width="12.5546875" style="59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58" customFormat="1" x14ac:dyDescent="0.3">
      <c r="A1" s="59">
        <v>74</v>
      </c>
      <c r="B1" s="78">
        <v>7</v>
      </c>
    </row>
    <row r="2" spans="1:25" s="58" customFormat="1" ht="31.2" x14ac:dyDescent="0.3">
      <c r="A2" s="59">
        <v>96</v>
      </c>
      <c r="B2" s="71" t="s">
        <v>140</v>
      </c>
      <c r="C2" s="96" t="s">
        <v>113</v>
      </c>
      <c r="D2" s="96"/>
      <c r="E2" s="96"/>
      <c r="F2" s="96"/>
      <c r="G2" s="96"/>
      <c r="H2" s="96"/>
      <c r="I2" s="96"/>
      <c r="J2" s="96"/>
    </row>
    <row r="3" spans="1:25" s="58" customFormat="1" ht="14.4" x14ac:dyDescent="0.3">
      <c r="A3" s="68"/>
      <c r="B3" s="76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57"/>
      <c r="S3" s="57"/>
      <c r="T3" s="57"/>
      <c r="U3" s="57"/>
      <c r="V3" s="63"/>
      <c r="W3" s="63"/>
      <c r="X3" s="63"/>
      <c r="Y3" s="63"/>
    </row>
    <row r="4" spans="1:25" s="58" customFormat="1" ht="14.4" x14ac:dyDescent="0.3">
      <c r="A4" s="68"/>
      <c r="B4" s="76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57"/>
      <c r="S4" s="57"/>
      <c r="T4" s="57"/>
      <c r="U4" s="57"/>
      <c r="V4" s="57"/>
      <c r="W4" s="57"/>
      <c r="X4" s="57"/>
      <c r="Y4" s="57"/>
    </row>
    <row r="5" spans="1:25" s="58" customFormat="1" ht="14.4" x14ac:dyDescent="0.3">
      <c r="A5" s="68"/>
      <c r="B5" s="76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</row>
    <row r="6" spans="1:25" s="58" customFormat="1" ht="14.4" x14ac:dyDescent="0.3">
      <c r="A6" s="68"/>
      <c r="B6" s="76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</row>
    <row r="7" spans="1:25" s="60" customFormat="1" ht="18" x14ac:dyDescent="0.3">
      <c r="A7" s="68"/>
      <c r="B7" s="76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</row>
    <row r="8" spans="1:25" s="61" customFormat="1" ht="18" x14ac:dyDescent="0.3">
      <c r="A8" s="68"/>
      <c r="B8" s="76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</row>
    <row r="9" spans="1:25" customFormat="1" ht="14.4" x14ac:dyDescent="0.3"/>
    <row r="10" spans="1:25" customFormat="1" ht="14.4" x14ac:dyDescent="0.3"/>
    <row r="12" spans="1:25" ht="14.4" x14ac:dyDescent="0.3">
      <c r="A12" s="58"/>
    </row>
    <row r="13" spans="1:25" s="4" customFormat="1" ht="36" x14ac:dyDescent="0.3">
      <c r="A13" s="62" t="s">
        <v>173</v>
      </c>
      <c r="B13" s="17"/>
      <c r="C13" s="15">
        <v>1</v>
      </c>
      <c r="D13" s="25" t="s">
        <v>68</v>
      </c>
      <c r="E13" s="92" t="s">
        <v>130</v>
      </c>
      <c r="F13" s="93"/>
      <c r="G13" s="93"/>
      <c r="H13" s="94"/>
      <c r="I13" s="2" t="s">
        <v>39</v>
      </c>
      <c r="J13" s="2">
        <f>letterToNumber(A13)</f>
        <v>1</v>
      </c>
    </row>
    <row r="14" spans="1:25" ht="31.2" x14ac:dyDescent="0.3">
      <c r="A14" s="58">
        <v>1</v>
      </c>
      <c r="B14" s="17"/>
      <c r="C14" s="8" t="s">
        <v>12</v>
      </c>
      <c r="D14" s="20" t="s">
        <v>19</v>
      </c>
      <c r="E14" s="8" t="s">
        <v>17</v>
      </c>
      <c r="F14" s="50" t="s">
        <v>127</v>
      </c>
      <c r="G14" s="95"/>
      <c r="H14" s="8" t="s">
        <v>31</v>
      </c>
      <c r="I14" s="8" t="s">
        <v>3</v>
      </c>
      <c r="J14" s="8" t="s">
        <v>123</v>
      </c>
    </row>
    <row r="15" spans="1:25" x14ac:dyDescent="0.3">
      <c r="A15" s="58">
        <v>1</v>
      </c>
      <c r="B15" s="17"/>
      <c r="C15" s="9">
        <v>1</v>
      </c>
      <c r="D15" s="9">
        <v>1</v>
      </c>
      <c r="E15" s="30">
        <f>INDEX(bordiumCommon[[#All],[Column1]],MATCH(E14,bordiumCommon[[#All],[Column2]],0))</f>
        <v>3.5</v>
      </c>
      <c r="F15" s="30" t="b">
        <f>INDEX(bordiumCommon[[#All],[Column1]],MATCH(F14,bordiumCommon[[#All],[Column2]],0))</f>
        <v>0</v>
      </c>
      <c r="G15" s="95"/>
      <c r="H15" s="9"/>
      <c r="I15" s="30">
        <f>INDEX(bordiumCommon[[#All],[Column1]],MATCH(I14,bordiumCommon[[#All],[Column2]],0))</f>
        <v>78</v>
      </c>
      <c r="J15" s="30">
        <f>INDEX(bordiumCommon[[#All],[Column1]],MATCH(J14,bordiumCommon[[#All],[Column2]],0))</f>
        <v>56</v>
      </c>
    </row>
    <row r="16" spans="1:25" ht="31.2" x14ac:dyDescent="0.3">
      <c r="A16" s="58">
        <v>1</v>
      </c>
      <c r="B16" s="17"/>
      <c r="C16" s="9"/>
      <c r="D16" s="30" t="str">
        <f>INDEX(bordiumChoosenMaterials[[#All],[Column1]],MATCH(E16,bordiumChoosenMaterials[[#All],[Column2]],0))</f>
        <v>ظهر</v>
      </c>
      <c r="E16" s="8" t="s">
        <v>67</v>
      </c>
      <c r="F16" s="30" t="str">
        <f>INDEX(bordiumChoosenMaterials[[#All],[Column1]],MATCH(G16,bordiumChoosenMaterials[[#All],[Column2]],0))</f>
        <v>يوفيلاك</v>
      </c>
      <c r="G16" s="8" t="s">
        <v>41</v>
      </c>
      <c r="H16" s="30" t="str">
        <f>INDEX(bordiumChoosenMaterials[[#All],[Column1]],MATCH(I16,bordiumChoosenMaterials[[#All],[Column2]],0))</f>
        <v>بورديوم</v>
      </c>
      <c r="I16" s="8" t="s">
        <v>40</v>
      </c>
      <c r="J16" s="28" t="s">
        <v>121</v>
      </c>
    </row>
    <row r="17" spans="1:10" x14ac:dyDescent="0.3">
      <c r="A17" s="58">
        <v>0</v>
      </c>
      <c r="B17" s="17"/>
    </row>
    <row r="18" spans="1:10" x14ac:dyDescent="0.3">
      <c r="A18" s="74">
        <v>2</v>
      </c>
      <c r="B18" s="17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42</v>
      </c>
      <c r="J18" s="6" t="s">
        <v>8</v>
      </c>
    </row>
    <row r="19" spans="1:10" x14ac:dyDescent="0.3">
      <c r="A19" s="74">
        <v>0</v>
      </c>
      <c r="B19" s="17"/>
      <c r="C19" s="6"/>
      <c r="D19" s="6"/>
      <c r="E19" s="6"/>
      <c r="F19" s="6"/>
      <c r="G19" s="6"/>
      <c r="H19" s="6"/>
      <c r="I19" s="6"/>
      <c r="J19" s="6"/>
    </row>
    <row r="20" spans="1:10" x14ac:dyDescent="0.3">
      <c r="A20" s="74">
        <v>3</v>
      </c>
      <c r="B20" s="17" t="str">
        <f>E13</f>
        <v>وحدة سفلية دلفة /دلفتين (بورديوم)</v>
      </c>
      <c r="C20" s="6">
        <v>1</v>
      </c>
      <c r="D20" s="6" t="str">
        <f>H16</f>
        <v>بورديوم</v>
      </c>
      <c r="E20" s="6" t="s">
        <v>10</v>
      </c>
      <c r="F20" s="6">
        <f>H15-3.6</f>
        <v>-3.6</v>
      </c>
      <c r="G20" s="6">
        <f>J15</f>
        <v>56</v>
      </c>
      <c r="H20" s="6">
        <f>1*C13</f>
        <v>1</v>
      </c>
      <c r="I20" s="6">
        <f>HLOOKUP(D20, materials[], 2,FALSE)</f>
        <v>2</v>
      </c>
      <c r="J20" s="6"/>
    </row>
    <row r="21" spans="1:10" x14ac:dyDescent="0.3">
      <c r="A21" s="74">
        <v>3</v>
      </c>
      <c r="B21" s="17" t="str">
        <f>B20</f>
        <v>وحدة سفلية دلفة /دلفتين (بورديوم)</v>
      </c>
      <c r="C21" s="6">
        <f>C20+1</f>
        <v>2</v>
      </c>
      <c r="D21" s="6" t="str">
        <f>H16</f>
        <v>بورديوم</v>
      </c>
      <c r="E21" s="6" t="s">
        <v>11</v>
      </c>
      <c r="F21" s="6">
        <f>I15</f>
        <v>78</v>
      </c>
      <c r="G21" s="6">
        <f>J15</f>
        <v>56</v>
      </c>
      <c r="H21" s="6">
        <f>2*C13</f>
        <v>2</v>
      </c>
      <c r="I21" s="6">
        <f>HLOOKUP(D21, materials[], 2,FALSE)</f>
        <v>2</v>
      </c>
      <c r="J21" s="6"/>
    </row>
    <row r="22" spans="1:10" x14ac:dyDescent="0.3">
      <c r="A22" s="74">
        <v>3</v>
      </c>
      <c r="B22" s="17" t="str">
        <f>B20</f>
        <v>وحدة سفلية دلفة /دلفتين (بورديوم)</v>
      </c>
      <c r="C22" s="6">
        <f t="shared" ref="C22:C24" si="0">C21+1</f>
        <v>3</v>
      </c>
      <c r="D22" s="6" t="str">
        <f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>HLOOKUP(D22, materials[], 2,FALSE)</f>
        <v>2</v>
      </c>
      <c r="J22" s="6"/>
    </row>
    <row r="23" spans="1:10" x14ac:dyDescent="0.3">
      <c r="A23" s="74">
        <v>3</v>
      </c>
      <c r="B23" s="17" t="str">
        <f>B20</f>
        <v>وحدة سفلية دلفة /دلفتين (بورديوم)</v>
      </c>
      <c r="C23" s="6">
        <f t="shared" si="0"/>
        <v>4</v>
      </c>
      <c r="D23" s="6" t="str">
        <f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>HLOOKUP(D23, materials[], 2,FALSE)</f>
        <v>2</v>
      </c>
      <c r="J23" s="6"/>
    </row>
    <row r="24" spans="1:10" x14ac:dyDescent="0.3">
      <c r="A24" s="74">
        <v>3</v>
      </c>
      <c r="B24" s="17" t="str">
        <f>B20</f>
        <v>وحدة سفلية دلفة /دلفتين (بورديوم)</v>
      </c>
      <c r="C24" s="6">
        <f t="shared" si="0"/>
        <v>5</v>
      </c>
      <c r="D24" s="6" t="str">
        <f>H16</f>
        <v>بورديوم</v>
      </c>
      <c r="E24" s="6" t="s">
        <v>18</v>
      </c>
      <c r="F24" s="6">
        <f>H15-3.8</f>
        <v>-3.8</v>
      </c>
      <c r="G24" s="6">
        <f>J15-6</f>
        <v>50</v>
      </c>
      <c r="H24" s="6">
        <f>D15*C13</f>
        <v>1</v>
      </c>
      <c r="I24" s="6">
        <f>HLOOKUP(D24, materials[], 2,FALSE)</f>
        <v>2</v>
      </c>
      <c r="J24" s="6"/>
    </row>
    <row r="25" spans="1:10" x14ac:dyDescent="0.3">
      <c r="A25" s="74">
        <v>0</v>
      </c>
      <c r="B25" s="17"/>
      <c r="C25" s="6"/>
      <c r="D25" s="6"/>
      <c r="E25" s="6"/>
      <c r="F25" s="6"/>
      <c r="G25" s="6"/>
      <c r="H25" s="6"/>
      <c r="I25" s="6"/>
      <c r="J25" s="6"/>
    </row>
    <row r="26" spans="1:10" x14ac:dyDescent="0.3">
      <c r="A26" s="74">
        <v>4</v>
      </c>
      <c r="B26" s="17" t="str">
        <f>B20</f>
        <v>وحدة سفلية دلفة /دلفتين (بورديوم)</v>
      </c>
      <c r="C26" s="10">
        <f>C24+1</f>
        <v>6</v>
      </c>
      <c r="D26" s="10" t="str">
        <f>F16</f>
        <v>يوفيلاك</v>
      </c>
      <c r="E26" s="10" t="s">
        <v>15</v>
      </c>
      <c r="F26" s="10">
        <f>I15-0.5-E15</f>
        <v>74</v>
      </c>
      <c r="G26" s="10">
        <f>(H15/C15)-0.5</f>
        <v>-0.5</v>
      </c>
      <c r="H26" s="10">
        <f>C15*C13</f>
        <v>1</v>
      </c>
      <c r="I26" s="10">
        <f>HLOOKUP(D26, materials[], 2,FALSE)</f>
        <v>6</v>
      </c>
      <c r="J26" s="10"/>
    </row>
    <row r="27" spans="1:10" x14ac:dyDescent="0.3">
      <c r="A27" s="74">
        <v>0</v>
      </c>
      <c r="B27" s="17"/>
      <c r="C27" s="6"/>
      <c r="D27" s="6"/>
      <c r="E27" s="6"/>
      <c r="F27" s="6"/>
      <c r="G27" s="6"/>
      <c r="H27" s="6"/>
      <c r="I27" s="6"/>
      <c r="J27" s="6"/>
    </row>
    <row r="28" spans="1:10" x14ac:dyDescent="0.3">
      <c r="A28" s="74">
        <v>5</v>
      </c>
      <c r="B28" s="17" t="str">
        <f>IF(F15,B20, "")</f>
        <v/>
      </c>
      <c r="C28" s="21" t="str">
        <f>IF(F15,C26+1, "")</f>
        <v/>
      </c>
      <c r="D28" s="21" t="str">
        <f>IF(F15,D16, "")</f>
        <v/>
      </c>
      <c r="E28" s="21" t="str">
        <f>IF(F15,"ظهر", "")</f>
        <v/>
      </c>
      <c r="F28" s="21" t="str">
        <f>IF(F15,I15-2, "")</f>
        <v/>
      </c>
      <c r="G28" s="21" t="str">
        <f>IF(F15,H15-2, "")</f>
        <v/>
      </c>
      <c r="H28" s="21" t="str">
        <f>IF(F15,0, "")</f>
        <v/>
      </c>
      <c r="I28" s="21" t="str">
        <f>IF(F15,HLOOKUP(D28, materials[], 2,FALSE), "")</f>
        <v/>
      </c>
      <c r="J28" s="21"/>
    </row>
    <row r="29" spans="1:10" ht="14.4" x14ac:dyDescent="0.3">
      <c r="A29" s="58">
        <v>255</v>
      </c>
    </row>
    <row r="30" spans="1:10" x14ac:dyDescent="0.3">
      <c r="A30" s="58">
        <v>255</v>
      </c>
      <c r="B30" s="17"/>
    </row>
    <row r="31" spans="1:10" ht="36" x14ac:dyDescent="0.3">
      <c r="A31" s="74" t="s">
        <v>179</v>
      </c>
      <c r="B31" s="17"/>
      <c r="C31" s="15">
        <v>1</v>
      </c>
      <c r="D31" s="25" t="s">
        <v>68</v>
      </c>
      <c r="E31" s="92" t="s">
        <v>131</v>
      </c>
      <c r="F31" s="93"/>
      <c r="G31" s="93"/>
      <c r="H31" s="94"/>
      <c r="I31" s="2" t="s">
        <v>39</v>
      </c>
      <c r="J31" s="2">
        <f>letterToNumber(A31)</f>
        <v>2</v>
      </c>
    </row>
    <row r="32" spans="1:10" ht="31.2" x14ac:dyDescent="0.3">
      <c r="A32" s="58">
        <v>1</v>
      </c>
      <c r="B32" s="17"/>
      <c r="C32" s="8" t="s">
        <v>20</v>
      </c>
      <c r="D32" s="8"/>
      <c r="E32" s="8" t="s">
        <v>17</v>
      </c>
      <c r="F32" s="50" t="s">
        <v>127</v>
      </c>
      <c r="G32" s="18" t="s">
        <v>21</v>
      </c>
      <c r="H32" s="8" t="s">
        <v>31</v>
      </c>
      <c r="I32" s="8" t="s">
        <v>3</v>
      </c>
      <c r="J32" s="8" t="s">
        <v>123</v>
      </c>
    </row>
    <row r="33" spans="1:10" x14ac:dyDescent="0.3">
      <c r="A33" s="58">
        <v>1</v>
      </c>
      <c r="B33" s="17"/>
      <c r="C33" s="9">
        <v>3</v>
      </c>
      <c r="D33" s="8"/>
      <c r="E33" s="30">
        <f>INDEX(bordiumCommon[[#All],[Column1]],MATCH(E32,bordiumCommon[[#All],[Column2]],0))</f>
        <v>3.5</v>
      </c>
      <c r="F33" s="9" t="b">
        <f>INDEX(bordiumCommon[[#All],[Column1]],MATCH(F32,bordiumCommon[[#All],[Column2]],0))</f>
        <v>0</v>
      </c>
      <c r="G33" s="10">
        <f>INDEX(bordiumCommon[[#All],[Column1]],MATCH(G32,bordiumCommon[[#All],[Column2]],0))</f>
        <v>45</v>
      </c>
      <c r="H33" s="9"/>
      <c r="I33" s="30">
        <f>INDEX(bordiumCommon[[#All],[Column1]],MATCH(I32,bordiumCommon[[#All],[Column2]],0))</f>
        <v>78</v>
      </c>
      <c r="J33" s="30">
        <f>INDEX(bordiumCommon[[#All],[Column1]],MATCH(J32,bordiumCommon[[#All],[Column2]],0))</f>
        <v>56</v>
      </c>
    </row>
    <row r="34" spans="1:10" ht="31.2" x14ac:dyDescent="0.3">
      <c r="A34" s="58">
        <v>1</v>
      </c>
      <c r="B34" s="17"/>
      <c r="C34" s="9"/>
      <c r="D34" s="30" t="str">
        <f>INDEX(bordiumChoosenMaterials[[#All],[Column1]],MATCH(E34,bordiumChoosenMaterials[[#All],[Column2]],0))</f>
        <v>ظهر</v>
      </c>
      <c r="E34" s="8" t="s">
        <v>67</v>
      </c>
      <c r="F34" s="30" t="str">
        <f>INDEX(bordiumChoosenMaterials[[#All],[Column1]],MATCH(G34,bordiumChoosenMaterials[[#All],[Column2]],0))</f>
        <v>يوفيلاك</v>
      </c>
      <c r="G34" s="8" t="s">
        <v>41</v>
      </c>
      <c r="H34" s="30" t="str">
        <f>INDEX(bordiumChoosenMaterials[[#All],[Column1]],MATCH(I34,bordiumChoosenMaterials[[#All],[Column2]],0))</f>
        <v>بورديوم</v>
      </c>
      <c r="I34" s="8" t="s">
        <v>40</v>
      </c>
      <c r="J34" s="28" t="s">
        <v>121</v>
      </c>
    </row>
    <row r="35" spans="1:10" x14ac:dyDescent="0.3">
      <c r="A35" s="58">
        <v>0</v>
      </c>
      <c r="B35" s="17"/>
    </row>
    <row r="36" spans="1:10" x14ac:dyDescent="0.3">
      <c r="A36" s="74">
        <v>2</v>
      </c>
      <c r="B36" s="17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42</v>
      </c>
      <c r="J36" s="6" t="s">
        <v>8</v>
      </c>
    </row>
    <row r="37" spans="1:10" x14ac:dyDescent="0.3">
      <c r="A37" s="74">
        <v>0</v>
      </c>
      <c r="B37" s="17"/>
      <c r="C37" s="6"/>
      <c r="D37" s="6"/>
      <c r="E37" s="6"/>
      <c r="F37" s="6"/>
      <c r="G37" s="6"/>
      <c r="H37" s="6"/>
      <c r="I37" s="6"/>
      <c r="J37" s="6"/>
    </row>
    <row r="38" spans="1:10" x14ac:dyDescent="0.3">
      <c r="A38" s="74">
        <v>3</v>
      </c>
      <c r="B38" s="17" t="str">
        <f>E31</f>
        <v>وحدة سفلية   درجين / 3 أدراج (بورديوم)</v>
      </c>
      <c r="C38" s="6">
        <v>1</v>
      </c>
      <c r="D38" s="6" t="str">
        <f>H34</f>
        <v>بورديوم</v>
      </c>
      <c r="E38" s="6" t="s">
        <v>10</v>
      </c>
      <c r="F38" s="6">
        <f>H33-3.6</f>
        <v>-3.6</v>
      </c>
      <c r="G38" s="6">
        <f>J33</f>
        <v>56</v>
      </c>
      <c r="H38" s="6">
        <f>1*C31</f>
        <v>1</v>
      </c>
      <c r="I38" s="6">
        <f>HLOOKUP(D38, materials[], 2,FALSE)</f>
        <v>2</v>
      </c>
      <c r="J38" s="6"/>
    </row>
    <row r="39" spans="1:10" x14ac:dyDescent="0.3">
      <c r="A39" s="74">
        <v>3</v>
      </c>
      <c r="B39" s="17" t="str">
        <f>B38</f>
        <v>وحدة سفلية   درجين / 3 أدراج (بورديوم)</v>
      </c>
      <c r="C39" s="6">
        <f>C38+1</f>
        <v>2</v>
      </c>
      <c r="D39" s="6" t="str">
        <f>H34</f>
        <v>بورديوم</v>
      </c>
      <c r="E39" s="6" t="s">
        <v>11</v>
      </c>
      <c r="F39" s="6">
        <f>I33</f>
        <v>78</v>
      </c>
      <c r="G39" s="6">
        <f>J33</f>
        <v>56</v>
      </c>
      <c r="H39" s="6">
        <f>2*C31</f>
        <v>2</v>
      </c>
      <c r="I39" s="6">
        <f>HLOOKUP(D39, materials[], 2,FALSE)</f>
        <v>2</v>
      </c>
      <c r="J39" s="6"/>
    </row>
    <row r="40" spans="1:10" x14ac:dyDescent="0.3">
      <c r="A40" s="74">
        <v>3</v>
      </c>
      <c r="B40" s="17" t="str">
        <f>B38</f>
        <v>وحدة سفلية   درجين / 3 أدراج (بورديوم)</v>
      </c>
      <c r="C40" s="6">
        <f t="shared" ref="C40:C44" si="1">C39+1</f>
        <v>3</v>
      </c>
      <c r="D40" s="6" t="str">
        <f>H34</f>
        <v>بورديوم</v>
      </c>
      <c r="E40" s="6" t="s">
        <v>13</v>
      </c>
      <c r="F40" s="6">
        <f>H33-3.6</f>
        <v>-3.6</v>
      </c>
      <c r="G40" s="6">
        <v>10</v>
      </c>
      <c r="H40" s="6">
        <f>1*C31</f>
        <v>1</v>
      </c>
      <c r="I40" s="6">
        <f>HLOOKUP(D40, materials[], 2,FALSE)</f>
        <v>2</v>
      </c>
      <c r="J40" s="6"/>
    </row>
    <row r="41" spans="1:10" x14ac:dyDescent="0.3">
      <c r="A41" s="74">
        <v>3</v>
      </c>
      <c r="B41" s="17" t="str">
        <f>B38</f>
        <v>وحدة سفلية   درجين / 3 أدراج (بورديوم)</v>
      </c>
      <c r="C41" s="6">
        <f t="shared" si="1"/>
        <v>4</v>
      </c>
      <c r="D41" s="6" t="str">
        <f>H34</f>
        <v>بورديوم</v>
      </c>
      <c r="E41" s="6" t="s">
        <v>14</v>
      </c>
      <c r="F41" s="6">
        <f>H33-3.6</f>
        <v>-3.6</v>
      </c>
      <c r="G41" s="6">
        <v>7</v>
      </c>
      <c r="H41" s="6">
        <f>1*C31</f>
        <v>1</v>
      </c>
      <c r="I41" s="6">
        <f>HLOOKUP(D41, materials[], 2,FALSE)</f>
        <v>2</v>
      </c>
      <c r="J41" s="6"/>
    </row>
    <row r="42" spans="1:10" x14ac:dyDescent="0.3">
      <c r="A42" s="74">
        <v>3</v>
      </c>
      <c r="B42" s="17" t="str">
        <f>B38</f>
        <v>وحدة سفلية   درجين / 3 أدراج (بورديوم)</v>
      </c>
      <c r="C42" s="11">
        <f t="shared" si="1"/>
        <v>5</v>
      </c>
      <c r="D42" s="11" t="str">
        <f>H34</f>
        <v>بورديوم</v>
      </c>
      <c r="E42" s="11" t="s">
        <v>23</v>
      </c>
      <c r="F42" s="11">
        <f>H33-3.6-3.6-2.5</f>
        <v>-9.6999999999999993</v>
      </c>
      <c r="G42" s="11">
        <f>60/C33</f>
        <v>20</v>
      </c>
      <c r="H42" s="11">
        <f>C33*C31</f>
        <v>3</v>
      </c>
      <c r="I42" s="11">
        <f>HLOOKUP(D42, materials[], 2,FALSE)</f>
        <v>2</v>
      </c>
      <c r="J42" s="11"/>
    </row>
    <row r="43" spans="1:10" x14ac:dyDescent="0.3">
      <c r="A43" s="74">
        <v>3</v>
      </c>
      <c r="B43" s="17" t="str">
        <f>B38</f>
        <v>وحدة سفلية   درجين / 3 أدراج (بورديوم)</v>
      </c>
      <c r="C43" s="11">
        <f t="shared" si="1"/>
        <v>6</v>
      </c>
      <c r="D43" s="11" t="str">
        <f>H34</f>
        <v>بورديوم</v>
      </c>
      <c r="E43" s="11" t="s">
        <v>24</v>
      </c>
      <c r="F43" s="11">
        <f>G33</f>
        <v>45</v>
      </c>
      <c r="G43" s="11">
        <f>60/C33</f>
        <v>20</v>
      </c>
      <c r="H43" s="11">
        <f>C33*2*C31</f>
        <v>6</v>
      </c>
      <c r="I43" s="11">
        <f>HLOOKUP(D43, materials[], 2,FALSE)</f>
        <v>2</v>
      </c>
      <c r="J43" s="11"/>
    </row>
    <row r="44" spans="1:10" x14ac:dyDescent="0.3">
      <c r="A44" s="74">
        <v>3</v>
      </c>
      <c r="B44" s="17" t="str">
        <f>B38</f>
        <v>وحدة سفلية   درجين / 3 أدراج (بورديوم)</v>
      </c>
      <c r="C44" s="11">
        <f t="shared" si="1"/>
        <v>7</v>
      </c>
      <c r="D44" s="11" t="str">
        <f>H34</f>
        <v>بورديوم</v>
      </c>
      <c r="E44" s="11" t="s">
        <v>25</v>
      </c>
      <c r="F44" s="11">
        <f>H33-3.6-3.6-2.5</f>
        <v>-9.6999999999999993</v>
      </c>
      <c r="G44" s="11">
        <f>60/C33-3</f>
        <v>17</v>
      </c>
      <c r="H44" s="11">
        <f>C33*C31</f>
        <v>3</v>
      </c>
      <c r="I44" s="11">
        <f>HLOOKUP(D44, materials[], 2,FALSE)</f>
        <v>2</v>
      </c>
      <c r="J44" s="11"/>
    </row>
    <row r="45" spans="1:10" x14ac:dyDescent="0.3">
      <c r="A45" s="74">
        <v>0</v>
      </c>
      <c r="B45" s="17"/>
      <c r="C45" s="6"/>
      <c r="D45" s="6"/>
      <c r="E45" s="6"/>
      <c r="F45" s="6"/>
      <c r="G45" s="6"/>
      <c r="H45" s="6"/>
      <c r="I45" s="6"/>
      <c r="J45" s="6"/>
    </row>
    <row r="46" spans="1:10" x14ac:dyDescent="0.3">
      <c r="A46" s="74">
        <v>4</v>
      </c>
      <c r="B46" s="17" t="str">
        <f>B38</f>
        <v>وحدة سفلية   درجين / 3 أدراج (بورديوم)</v>
      </c>
      <c r="C46" s="10">
        <f>C44+1</f>
        <v>8</v>
      </c>
      <c r="D46" s="10" t="str">
        <f>F34</f>
        <v>يوفيلاك</v>
      </c>
      <c r="E46" s="10" t="s">
        <v>26</v>
      </c>
      <c r="F46" s="10">
        <f>(I33/C33)-0.5-E33</f>
        <v>22</v>
      </c>
      <c r="G46" s="10">
        <f>H33-0.5</f>
        <v>-0.5</v>
      </c>
      <c r="H46" s="10">
        <f>C33*C31</f>
        <v>3</v>
      </c>
      <c r="I46" s="10">
        <f>HLOOKUP(D46, materials[], 2,FALSE)</f>
        <v>6</v>
      </c>
      <c r="J46" s="10"/>
    </row>
    <row r="47" spans="1:10" ht="14.4" x14ac:dyDescent="0.3">
      <c r="A47" s="74">
        <v>0</v>
      </c>
      <c r="C47" s="6"/>
      <c r="D47" s="6"/>
      <c r="E47" s="6"/>
      <c r="F47" s="6"/>
      <c r="G47" s="6"/>
      <c r="H47" s="6"/>
      <c r="I47" s="6"/>
      <c r="J47" s="6"/>
    </row>
    <row r="48" spans="1:10" x14ac:dyDescent="0.3">
      <c r="A48" s="74">
        <v>5</v>
      </c>
      <c r="B48" s="17" t="str">
        <f>IF(F33,B38, "")</f>
        <v/>
      </c>
      <c r="C48" s="21" t="str">
        <f>IF(F33,C46+1, "")</f>
        <v/>
      </c>
      <c r="D48" s="21" t="str">
        <f>IF(F33,D34, "")</f>
        <v/>
      </c>
      <c r="E48" s="21" t="str">
        <f>IF(F33,"ظهر", "")</f>
        <v/>
      </c>
      <c r="F48" s="21" t="str">
        <f>IF(F33,I33-2, "")</f>
        <v/>
      </c>
      <c r="G48" s="21" t="str">
        <f>IF(F33,H33-2, "")</f>
        <v/>
      </c>
      <c r="H48" s="21" t="str">
        <f>IF(F33,1*C31, "")</f>
        <v/>
      </c>
      <c r="I48" s="21" t="str">
        <f>IF(F33,HLOOKUP(D48, materials[], 2,FALSE), "")</f>
        <v/>
      </c>
      <c r="J48" s="21"/>
    </row>
    <row r="49" spans="1:10" ht="14.4" x14ac:dyDescent="0.3">
      <c r="A49" s="58">
        <v>255</v>
      </c>
    </row>
    <row r="50" spans="1:10" x14ac:dyDescent="0.3">
      <c r="A50" s="58">
        <v>255</v>
      </c>
      <c r="B50" s="17"/>
    </row>
    <row r="51" spans="1:10" ht="36" x14ac:dyDescent="0.3">
      <c r="A51" s="58" t="s">
        <v>174</v>
      </c>
      <c r="B51" s="17"/>
      <c r="C51" s="15">
        <v>1</v>
      </c>
      <c r="D51" s="25" t="s">
        <v>68</v>
      </c>
      <c r="E51" s="92" t="s">
        <v>132</v>
      </c>
      <c r="F51" s="93"/>
      <c r="G51" s="93"/>
      <c r="H51" s="94"/>
      <c r="I51" s="2" t="s">
        <v>39</v>
      </c>
      <c r="J51" s="2">
        <f>letterToNumber(A51)</f>
        <v>3</v>
      </c>
    </row>
    <row r="52" spans="1:10" ht="31.2" x14ac:dyDescent="0.3">
      <c r="A52" s="58">
        <v>1</v>
      </c>
      <c r="B52" s="17"/>
      <c r="C52" s="8" t="s">
        <v>20</v>
      </c>
      <c r="D52" s="8" t="s">
        <v>27</v>
      </c>
      <c r="E52" s="8" t="s">
        <v>17</v>
      </c>
      <c r="F52" s="50" t="s">
        <v>127</v>
      </c>
      <c r="G52" s="18" t="s">
        <v>21</v>
      </c>
      <c r="H52" s="8" t="s">
        <v>31</v>
      </c>
      <c r="I52" s="8" t="s">
        <v>3</v>
      </c>
      <c r="J52" s="8" t="s">
        <v>123</v>
      </c>
    </row>
    <row r="53" spans="1:10" x14ac:dyDescent="0.3">
      <c r="A53" s="58">
        <v>1</v>
      </c>
      <c r="B53" s="17"/>
      <c r="C53" s="9">
        <v>3</v>
      </c>
      <c r="D53" s="8">
        <v>2</v>
      </c>
      <c r="E53" s="9">
        <f>INDEX(bordiumCommon[[#All],[Column1]],MATCH(E52,bordiumCommon[[#All],[Column2]],0))</f>
        <v>3.5</v>
      </c>
      <c r="F53" s="9" t="b">
        <f>INDEX(bordiumCommon[[#All],[Column1]],MATCH(F52,bordiumCommon[[#All],[Column2]],0))</f>
        <v>0</v>
      </c>
      <c r="G53" s="10">
        <f>INDEX(bordiumCommon[[#All],[Column1]],MATCH(G52,bordiumCommon[[#All],[Column2]],0))</f>
        <v>45</v>
      </c>
      <c r="H53" s="9"/>
      <c r="I53" s="30">
        <f>INDEX(bordiumCommon[[#All],[Column1]],MATCH(I52,bordiumCommon[[#All],[Column2]],0))</f>
        <v>78</v>
      </c>
      <c r="J53" s="30">
        <f>INDEX(bordiumCommon[[#All],[Column1]],MATCH(J52,bordiumCommon[[#All],[Column2]],0))</f>
        <v>56</v>
      </c>
    </row>
    <row r="54" spans="1:10" ht="31.2" x14ac:dyDescent="0.3">
      <c r="A54" s="58">
        <v>1</v>
      </c>
      <c r="B54" s="17"/>
      <c r="C54" s="9"/>
      <c r="D54" s="30" t="str">
        <f>INDEX(bordiumChoosenMaterials[[#All],[Column1]],MATCH(E54,bordiumChoosenMaterials[[#All],[Column2]],0))</f>
        <v>ظهر</v>
      </c>
      <c r="E54" s="8" t="s">
        <v>67</v>
      </c>
      <c r="F54" s="30" t="str">
        <f>INDEX(bordiumChoosenMaterials[[#All],[Column1]],MATCH(G54,bordiumChoosenMaterials[[#All],[Column2]],0))</f>
        <v>يوفيلاك</v>
      </c>
      <c r="G54" s="8" t="s">
        <v>41</v>
      </c>
      <c r="H54" s="30" t="str">
        <f>INDEX(bordiumChoosenMaterials[[#All],[Column1]],MATCH(I54,bordiumChoosenMaterials[[#All],[Column2]],0))</f>
        <v>بورديوم</v>
      </c>
      <c r="I54" s="8" t="s">
        <v>40</v>
      </c>
      <c r="J54" s="28" t="s">
        <v>121</v>
      </c>
    </row>
    <row r="55" spans="1:10" x14ac:dyDescent="0.3">
      <c r="A55" s="58">
        <v>0</v>
      </c>
      <c r="B55" s="17"/>
    </row>
    <row r="56" spans="1:10" x14ac:dyDescent="0.3">
      <c r="A56" s="74">
        <v>2</v>
      </c>
      <c r="B56" s="17"/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42</v>
      </c>
      <c r="J56" s="6" t="s">
        <v>8</v>
      </c>
    </row>
    <row r="57" spans="1:10" x14ac:dyDescent="0.3">
      <c r="A57" s="74">
        <v>0</v>
      </c>
      <c r="B57" s="17"/>
      <c r="C57" s="6"/>
      <c r="D57" s="6"/>
      <c r="E57" s="6"/>
      <c r="F57" s="6"/>
      <c r="G57" s="6"/>
      <c r="H57" s="6"/>
      <c r="I57" s="6"/>
      <c r="J57" s="6"/>
    </row>
    <row r="58" spans="1:10" x14ac:dyDescent="0.3">
      <c r="A58" s="74">
        <v>3</v>
      </c>
      <c r="B58" s="17" t="str">
        <f>E51</f>
        <v>وحدة سفلية   3 أدراج - 3/2 (بورديوم)</v>
      </c>
      <c r="C58" s="6">
        <v>1</v>
      </c>
      <c r="D58" s="6" t="str">
        <f>H54</f>
        <v>بورديوم</v>
      </c>
      <c r="E58" s="6" t="s">
        <v>10</v>
      </c>
      <c r="F58" s="6">
        <f>H53-3.6</f>
        <v>-3.6</v>
      </c>
      <c r="G58" s="6">
        <f>J53</f>
        <v>56</v>
      </c>
      <c r="H58" s="6">
        <f>1*C51</f>
        <v>1</v>
      </c>
      <c r="I58" s="6">
        <f>HLOOKUP(D58, materials[], 2,FALSE)</f>
        <v>2</v>
      </c>
      <c r="J58" s="6"/>
    </row>
    <row r="59" spans="1:10" ht="14.4" x14ac:dyDescent="0.3">
      <c r="A59" s="74">
        <v>3</v>
      </c>
      <c r="B59" s="3" t="str">
        <f>B58</f>
        <v>وحدة سفلية   3 أدراج - 3/2 (بورديوم)</v>
      </c>
      <c r="C59" s="6">
        <f>C58+1</f>
        <v>2</v>
      </c>
      <c r="D59" s="6" t="str">
        <f>H54</f>
        <v>بورديوم</v>
      </c>
      <c r="E59" s="6" t="s">
        <v>11</v>
      </c>
      <c r="F59" s="6">
        <f>I53</f>
        <v>78</v>
      </c>
      <c r="G59" s="6">
        <f>J53</f>
        <v>56</v>
      </c>
      <c r="H59" s="6">
        <f>2*C51</f>
        <v>2</v>
      </c>
      <c r="I59" s="6">
        <f>HLOOKUP(D59, materials[], 2,FALSE)</f>
        <v>2</v>
      </c>
      <c r="J59" s="6"/>
    </row>
    <row r="60" spans="1:10" x14ac:dyDescent="0.3">
      <c r="A60" s="74">
        <v>3</v>
      </c>
      <c r="B60" s="17" t="str">
        <f>B58</f>
        <v>وحدة سفلية   3 أدراج - 3/2 (بورديوم)</v>
      </c>
      <c r="C60" s="6">
        <f t="shared" ref="C60:C67" si="2">C59+1</f>
        <v>3</v>
      </c>
      <c r="D60" s="6" t="str">
        <f>H54</f>
        <v>بورديوم</v>
      </c>
      <c r="E60" s="6" t="s">
        <v>13</v>
      </c>
      <c r="F60" s="6">
        <f>H53-3.6</f>
        <v>-3.6</v>
      </c>
      <c r="G60" s="6">
        <v>10</v>
      </c>
      <c r="H60" s="6">
        <f>1*C51</f>
        <v>1</v>
      </c>
      <c r="I60" s="6">
        <f>HLOOKUP(D60, materials[], 2,FALSE)</f>
        <v>2</v>
      </c>
      <c r="J60" s="6"/>
    </row>
    <row r="61" spans="1:10" x14ac:dyDescent="0.3">
      <c r="A61" s="74">
        <v>3</v>
      </c>
      <c r="B61" s="17" t="str">
        <f>B58</f>
        <v>وحدة سفلية   3 أدراج - 3/2 (بورديوم)</v>
      </c>
      <c r="C61" s="6">
        <f t="shared" si="2"/>
        <v>4</v>
      </c>
      <c r="D61" s="6" t="str">
        <f>H54</f>
        <v>بورديوم</v>
      </c>
      <c r="E61" s="6" t="s">
        <v>14</v>
      </c>
      <c r="F61" s="6">
        <f>H53-3.6</f>
        <v>-3.6</v>
      </c>
      <c r="G61" s="6">
        <v>7</v>
      </c>
      <c r="H61" s="6">
        <f>1*C51</f>
        <v>1</v>
      </c>
      <c r="I61" s="6">
        <f>HLOOKUP(D61, materials[], 2,FALSE)</f>
        <v>2</v>
      </c>
      <c r="J61" s="6"/>
    </row>
    <row r="62" spans="1:10" x14ac:dyDescent="0.3">
      <c r="A62" s="74">
        <v>3</v>
      </c>
      <c r="B62" s="17" t="str">
        <f>B58</f>
        <v>وحدة سفلية   3 أدراج - 3/2 (بورديوم)</v>
      </c>
      <c r="C62" s="11">
        <f t="shared" si="2"/>
        <v>5</v>
      </c>
      <c r="D62" s="11" t="str">
        <f>H54</f>
        <v>بورديوم</v>
      </c>
      <c r="E62" s="11" t="s">
        <v>28</v>
      </c>
      <c r="F62" s="11">
        <f>H53-3.6-3.6-2.5</f>
        <v>-9.6999999999999993</v>
      </c>
      <c r="G62" s="11">
        <v>10</v>
      </c>
      <c r="H62" s="11">
        <f>C53*C51</f>
        <v>3</v>
      </c>
      <c r="I62" s="11">
        <f>HLOOKUP(D62, materials[], 2,FALSE)</f>
        <v>2</v>
      </c>
      <c r="J62" s="11"/>
    </row>
    <row r="63" spans="1:10" x14ac:dyDescent="0.3">
      <c r="A63" s="74">
        <v>3</v>
      </c>
      <c r="B63" s="17" t="str">
        <f>B58</f>
        <v>وحدة سفلية   3 أدراج - 3/2 (بورديوم)</v>
      </c>
      <c r="C63" s="11">
        <f t="shared" si="2"/>
        <v>6</v>
      </c>
      <c r="D63" s="11" t="str">
        <f>H54</f>
        <v>بورديوم</v>
      </c>
      <c r="E63" s="11" t="s">
        <v>29</v>
      </c>
      <c r="F63" s="11">
        <f>G53</f>
        <v>45</v>
      </c>
      <c r="G63" s="11">
        <v>10</v>
      </c>
      <c r="H63" s="11">
        <f>C53*2*C51</f>
        <v>6</v>
      </c>
      <c r="I63" s="11">
        <f>HLOOKUP(D63, materials[], 2,FALSE)</f>
        <v>2</v>
      </c>
      <c r="J63" s="11"/>
    </row>
    <row r="64" spans="1:10" x14ac:dyDescent="0.3">
      <c r="A64" s="74">
        <v>3</v>
      </c>
      <c r="B64" s="17" t="str">
        <f>B58</f>
        <v>وحدة سفلية   3 أدراج - 3/2 (بورديوم)</v>
      </c>
      <c r="C64" s="11">
        <f t="shared" si="2"/>
        <v>7</v>
      </c>
      <c r="D64" s="11" t="str">
        <f>H54</f>
        <v>بورديوم</v>
      </c>
      <c r="E64" s="11" t="s">
        <v>30</v>
      </c>
      <c r="F64" s="11">
        <f>H53-3.6-3.6-2.5</f>
        <v>-9.6999999999999993</v>
      </c>
      <c r="G64" s="11">
        <f>10-3</f>
        <v>7</v>
      </c>
      <c r="H64" s="11">
        <f>C53*C51</f>
        <v>3</v>
      </c>
      <c r="I64" s="11">
        <f>HLOOKUP(D64, materials[], 2,FALSE)</f>
        <v>2</v>
      </c>
      <c r="J64" s="11"/>
    </row>
    <row r="65" spans="1:10" x14ac:dyDescent="0.3">
      <c r="A65" s="74">
        <v>3</v>
      </c>
      <c r="B65" s="17" t="str">
        <f>B58</f>
        <v>وحدة سفلية   3 أدراج - 3/2 (بورديوم)</v>
      </c>
      <c r="C65" s="12">
        <f t="shared" si="2"/>
        <v>8</v>
      </c>
      <c r="D65" s="12" t="str">
        <f>H54</f>
        <v>بورديوم</v>
      </c>
      <c r="E65" s="12" t="s">
        <v>23</v>
      </c>
      <c r="F65" s="12">
        <f>H53-3.6-3.6-2.5</f>
        <v>-9.6999999999999993</v>
      </c>
      <c r="G65" s="12">
        <f>60/C53</f>
        <v>20</v>
      </c>
      <c r="H65" s="12">
        <f>(C53-1)*C51</f>
        <v>2</v>
      </c>
      <c r="I65" s="12">
        <f>HLOOKUP(D65, materials[], 2,FALSE)</f>
        <v>2</v>
      </c>
      <c r="J65" s="12"/>
    </row>
    <row r="66" spans="1:10" x14ac:dyDescent="0.3">
      <c r="A66" s="74">
        <v>3</v>
      </c>
      <c r="B66" s="17" t="str">
        <f>B58</f>
        <v>وحدة سفلية   3 أدراج - 3/2 (بورديوم)</v>
      </c>
      <c r="C66" s="12">
        <f t="shared" si="2"/>
        <v>9</v>
      </c>
      <c r="D66" s="12" t="str">
        <f>H54</f>
        <v>بورديوم</v>
      </c>
      <c r="E66" s="12" t="s">
        <v>24</v>
      </c>
      <c r="F66" s="12">
        <f>G53</f>
        <v>45</v>
      </c>
      <c r="G66" s="12">
        <f>60/C53</f>
        <v>20</v>
      </c>
      <c r="H66" s="12">
        <f>(C53-1)*2*C51</f>
        <v>4</v>
      </c>
      <c r="I66" s="12">
        <f>HLOOKUP(D66, materials[], 2,FALSE)</f>
        <v>2</v>
      </c>
      <c r="J66" s="12"/>
    </row>
    <row r="67" spans="1:10" x14ac:dyDescent="0.3">
      <c r="A67" s="74">
        <v>3</v>
      </c>
      <c r="B67" s="17" t="str">
        <f>B58</f>
        <v>وحدة سفلية   3 أدراج - 3/2 (بورديوم)</v>
      </c>
      <c r="C67" s="12">
        <f t="shared" si="2"/>
        <v>10</v>
      </c>
      <c r="D67" s="12" t="str">
        <f>H54</f>
        <v>بورديوم</v>
      </c>
      <c r="E67" s="12" t="s">
        <v>25</v>
      </c>
      <c r="F67" s="12">
        <f>H53-3.6-3.6-2.5</f>
        <v>-9.6999999999999993</v>
      </c>
      <c r="G67" s="12">
        <f>60/C53-3</f>
        <v>17</v>
      </c>
      <c r="H67" s="12">
        <f>(C53-1)*C51</f>
        <v>2</v>
      </c>
      <c r="I67" s="12">
        <f>HLOOKUP(D67, materials[], 2,FALSE)</f>
        <v>2</v>
      </c>
      <c r="J67" s="12"/>
    </row>
    <row r="68" spans="1:10" x14ac:dyDescent="0.3">
      <c r="A68" s="74">
        <v>0</v>
      </c>
      <c r="B68" s="17"/>
      <c r="C68" s="6"/>
      <c r="D68" s="6"/>
      <c r="E68" s="6"/>
      <c r="F68" s="6"/>
      <c r="G68" s="6"/>
      <c r="H68" s="6"/>
      <c r="I68" s="6"/>
      <c r="J68" s="6"/>
    </row>
    <row r="69" spans="1:10" x14ac:dyDescent="0.3">
      <c r="A69" s="59">
        <v>4</v>
      </c>
      <c r="B69" s="17" t="str">
        <f>B58</f>
        <v>وحدة سفلية   3 أدراج - 3/2 (بورديوم)</v>
      </c>
      <c r="C69" s="10">
        <f>C67+1</f>
        <v>11</v>
      </c>
      <c r="D69" s="10" t="str">
        <f>F54</f>
        <v>يوفيلاك</v>
      </c>
      <c r="E69" s="10" t="s">
        <v>26</v>
      </c>
      <c r="F69" s="10">
        <f>(I53/C53)-0.5-E53</f>
        <v>22</v>
      </c>
      <c r="G69" s="10">
        <f>H53-0.5</f>
        <v>-0.5</v>
      </c>
      <c r="H69" s="10">
        <f>C53*C51</f>
        <v>3</v>
      </c>
      <c r="I69" s="10">
        <f>HLOOKUP(D69, materials[], 2,FALSE)</f>
        <v>6</v>
      </c>
      <c r="J69" s="10"/>
    </row>
    <row r="70" spans="1:10" ht="14.4" x14ac:dyDescent="0.3">
      <c r="A70" s="74">
        <v>0</v>
      </c>
      <c r="C70" s="6"/>
      <c r="D70" s="6"/>
      <c r="E70" s="6"/>
      <c r="F70" s="6"/>
      <c r="G70" s="6"/>
      <c r="H70" s="6"/>
      <c r="I70" s="6"/>
      <c r="J70" s="6"/>
    </row>
    <row r="71" spans="1:10" x14ac:dyDescent="0.3">
      <c r="A71" s="58">
        <v>5</v>
      </c>
      <c r="B71" s="17" t="str">
        <f>IF(F53,B58, "")</f>
        <v/>
      </c>
      <c r="C71" s="21" t="str">
        <f>IF(F53,C69+1, "")</f>
        <v/>
      </c>
      <c r="D71" s="21" t="str">
        <f>IF(F53,D54, "")</f>
        <v/>
      </c>
      <c r="E71" s="21" t="str">
        <f>IF(F53,"ظهر", "")</f>
        <v/>
      </c>
      <c r="F71" s="21" t="str">
        <f>IF(F53,I53-2, "")</f>
        <v/>
      </c>
      <c r="G71" s="21" t="str">
        <f>IF(F53,H53-2, "")</f>
        <v/>
      </c>
      <c r="H71" s="21" t="str">
        <f>IF(F53,1*C51, "")</f>
        <v/>
      </c>
      <c r="I71" s="21" t="str">
        <f>IF(F53,HLOOKUP(D71, materials[], 2,FALSE), "")</f>
        <v/>
      </c>
      <c r="J71" s="21"/>
    </row>
    <row r="72" spans="1:10" x14ac:dyDescent="0.3">
      <c r="A72" s="58">
        <v>255</v>
      </c>
      <c r="B72" s="17"/>
    </row>
    <row r="73" spans="1:10" x14ac:dyDescent="0.3">
      <c r="A73" s="58">
        <v>255</v>
      </c>
      <c r="B73" s="17"/>
    </row>
    <row r="74" spans="1:10" ht="36" x14ac:dyDescent="0.3">
      <c r="A74" s="58" t="s">
        <v>180</v>
      </c>
      <c r="B74" s="17"/>
      <c r="C74" s="15">
        <v>1</v>
      </c>
      <c r="D74" s="25" t="s">
        <v>68</v>
      </c>
      <c r="E74" s="92" t="s">
        <v>133</v>
      </c>
      <c r="F74" s="93"/>
      <c r="G74" s="93"/>
      <c r="H74" s="94"/>
      <c r="I74" s="2" t="s">
        <v>39</v>
      </c>
      <c r="J74" s="2">
        <f>letterToNumber(A74)</f>
        <v>4</v>
      </c>
    </row>
    <row r="75" spans="1:10" ht="31.2" x14ac:dyDescent="0.3">
      <c r="A75" s="58">
        <v>1</v>
      </c>
      <c r="B75" s="17"/>
      <c r="C75" s="8" t="s">
        <v>20</v>
      </c>
      <c r="D75" s="8" t="s">
        <v>27</v>
      </c>
      <c r="E75" s="8" t="s">
        <v>17</v>
      </c>
      <c r="F75" s="50" t="s">
        <v>127</v>
      </c>
      <c r="G75" s="18" t="s">
        <v>21</v>
      </c>
      <c r="H75" s="8" t="s">
        <v>31</v>
      </c>
      <c r="I75" s="8" t="s">
        <v>3</v>
      </c>
      <c r="J75" s="8" t="s">
        <v>123</v>
      </c>
    </row>
    <row r="76" spans="1:10" x14ac:dyDescent="0.3">
      <c r="A76" s="58">
        <v>1</v>
      </c>
      <c r="B76" s="17"/>
      <c r="C76" s="9">
        <v>2</v>
      </c>
      <c r="D76" s="8">
        <v>4</v>
      </c>
      <c r="E76" s="9">
        <f>INDEX(bordiumCommon[[#All],[Column1]],MATCH(E75,bordiumCommon[[#All],[Column2]],0))</f>
        <v>3.5</v>
      </c>
      <c r="F76" s="9" t="b">
        <f>INDEX(bordiumCommon[[#All],[Column1]],MATCH(F75,bordiumCommon[[#All],[Column2]],0))</f>
        <v>0</v>
      </c>
      <c r="G76" s="10">
        <f>INDEX(bordiumCommon[[#All],[Column1]],MATCH(G75,bordiumCommon[[#All],[Column2]],0))</f>
        <v>45</v>
      </c>
      <c r="H76" s="9"/>
      <c r="I76" s="30">
        <f>INDEX(bordiumCommon[[#All],[Column1]],MATCH(I75,bordiumCommon[[#All],[Column2]],0))</f>
        <v>78</v>
      </c>
      <c r="J76" s="30">
        <f>INDEX(bordiumCommon[[#All],[Column1]],MATCH(J75,bordiumCommon[[#All],[Column2]],0))</f>
        <v>56</v>
      </c>
    </row>
    <row r="77" spans="1:10" ht="31.2" x14ac:dyDescent="0.3">
      <c r="A77" s="58">
        <v>1</v>
      </c>
      <c r="B77" s="17"/>
      <c r="C77" s="9"/>
      <c r="D77" s="30" t="str">
        <f>INDEX(bordiumChoosenMaterials[[#All],[Column1]],MATCH(E77,bordiumChoosenMaterials[[#All],[Column2]],0))</f>
        <v>ظهر</v>
      </c>
      <c r="E77" s="8" t="s">
        <v>67</v>
      </c>
      <c r="F77" s="30" t="str">
        <f>INDEX(bordiumChoosenMaterials[[#All],[Column1]],MATCH(G77,bordiumChoosenMaterials[[#All],[Column2]],0))</f>
        <v>يوفيلاك</v>
      </c>
      <c r="G77" s="8" t="s">
        <v>41</v>
      </c>
      <c r="H77" s="30" t="str">
        <f>INDEX(bordiumChoosenMaterials[[#All],[Column1]],MATCH(I77,bordiumChoosenMaterials[[#All],[Column2]],0))</f>
        <v>بورديوم</v>
      </c>
      <c r="I77" s="8" t="s">
        <v>40</v>
      </c>
      <c r="J77" s="28" t="s">
        <v>121</v>
      </c>
    </row>
    <row r="78" spans="1:10" x14ac:dyDescent="0.3">
      <c r="A78" s="58">
        <v>0</v>
      </c>
      <c r="B78" s="17"/>
    </row>
    <row r="79" spans="1:10" x14ac:dyDescent="0.3">
      <c r="A79" s="74">
        <v>2</v>
      </c>
      <c r="B79" s="17"/>
      <c r="C79" s="6" t="s">
        <v>4</v>
      </c>
      <c r="D79" s="6" t="s">
        <v>9</v>
      </c>
      <c r="E79" s="6" t="s">
        <v>5</v>
      </c>
      <c r="F79" s="6" t="s">
        <v>7</v>
      </c>
      <c r="G79" s="6" t="s">
        <v>1</v>
      </c>
      <c r="H79" s="6" t="s">
        <v>6</v>
      </c>
      <c r="I79" s="6" t="s">
        <v>42</v>
      </c>
      <c r="J79" s="6" t="s">
        <v>8</v>
      </c>
    </row>
    <row r="80" spans="1:10" x14ac:dyDescent="0.3">
      <c r="A80" s="74">
        <v>0</v>
      </c>
      <c r="B80" s="17"/>
      <c r="C80" s="6"/>
      <c r="D80" s="6"/>
      <c r="E80" s="6"/>
      <c r="F80" s="6"/>
      <c r="G80" s="6"/>
      <c r="H80" s="6"/>
      <c r="I80" s="6"/>
      <c r="J80" s="6"/>
    </row>
    <row r="81" spans="1:10" x14ac:dyDescent="0.3">
      <c r="A81" s="74">
        <v>3</v>
      </c>
      <c r="B81" s="17" t="str">
        <f>E74</f>
        <v>وحدة سفلية   درجين - 2/4 (بورديوم)</v>
      </c>
      <c r="C81" s="6">
        <v>1</v>
      </c>
      <c r="D81" s="6" t="str">
        <f>H77</f>
        <v>بورديوم</v>
      </c>
      <c r="E81" s="6" t="s">
        <v>10</v>
      </c>
      <c r="F81" s="6">
        <f>H76-3.6</f>
        <v>-3.6</v>
      </c>
      <c r="G81" s="6">
        <f>J76</f>
        <v>56</v>
      </c>
      <c r="H81" s="6">
        <f>1*C74</f>
        <v>1</v>
      </c>
      <c r="I81" s="6">
        <f>HLOOKUP(D81, materials[], 2,FALSE)</f>
        <v>2</v>
      </c>
      <c r="J81" s="6"/>
    </row>
    <row r="82" spans="1:10" x14ac:dyDescent="0.3">
      <c r="A82" s="74">
        <v>3</v>
      </c>
      <c r="B82" s="17" t="str">
        <f>B81</f>
        <v>وحدة سفلية   درجين - 2/4 (بورديوم)</v>
      </c>
      <c r="C82" s="6">
        <f>C81+1</f>
        <v>2</v>
      </c>
      <c r="D82" s="6" t="str">
        <f>H77</f>
        <v>بورديوم</v>
      </c>
      <c r="E82" s="6" t="s">
        <v>11</v>
      </c>
      <c r="F82" s="6">
        <f>I76</f>
        <v>78</v>
      </c>
      <c r="G82" s="6">
        <f>J76</f>
        <v>56</v>
      </c>
      <c r="H82" s="6">
        <f>2*C74</f>
        <v>2</v>
      </c>
      <c r="I82" s="6">
        <f>HLOOKUP(D82, materials[], 2,FALSE)</f>
        <v>2</v>
      </c>
      <c r="J82" s="6"/>
    </row>
    <row r="83" spans="1:10" x14ac:dyDescent="0.3">
      <c r="A83" s="74">
        <v>3</v>
      </c>
      <c r="B83" s="17" t="str">
        <f>B81</f>
        <v>وحدة سفلية   درجين - 2/4 (بورديوم)</v>
      </c>
      <c r="C83" s="6">
        <f t="shared" ref="C83:C90" si="3">C82+1</f>
        <v>3</v>
      </c>
      <c r="D83" s="6" t="str">
        <f>H77</f>
        <v>بورديوم</v>
      </c>
      <c r="E83" s="6" t="s">
        <v>13</v>
      </c>
      <c r="F83" s="6">
        <f>H76-3.6</f>
        <v>-3.6</v>
      </c>
      <c r="G83" s="6">
        <v>10</v>
      </c>
      <c r="H83" s="6">
        <f>1*C74</f>
        <v>1</v>
      </c>
      <c r="I83" s="6">
        <f>HLOOKUP(D83, materials[], 2,FALSE)</f>
        <v>2</v>
      </c>
      <c r="J83" s="6"/>
    </row>
    <row r="84" spans="1:10" x14ac:dyDescent="0.3">
      <c r="A84" s="74">
        <v>3</v>
      </c>
      <c r="B84" s="17" t="str">
        <f>B81</f>
        <v>وحدة سفلية   درجين - 2/4 (بورديوم)</v>
      </c>
      <c r="C84" s="6">
        <f t="shared" si="3"/>
        <v>4</v>
      </c>
      <c r="D84" s="6" t="str">
        <f>H77</f>
        <v>بورديوم</v>
      </c>
      <c r="E84" s="6" t="s">
        <v>14</v>
      </c>
      <c r="F84" s="6">
        <f>H76-3.6</f>
        <v>-3.6</v>
      </c>
      <c r="G84" s="6">
        <v>7</v>
      </c>
      <c r="H84" s="6">
        <f>1*C74</f>
        <v>1</v>
      </c>
      <c r="I84" s="6">
        <f>HLOOKUP(D84, materials[], 2,FALSE)</f>
        <v>2</v>
      </c>
      <c r="J84" s="6"/>
    </row>
    <row r="85" spans="1:10" x14ac:dyDescent="0.3">
      <c r="A85" s="74">
        <v>3</v>
      </c>
      <c r="B85" s="17" t="str">
        <f>B81</f>
        <v>وحدة سفلية   درجين - 2/4 (بورديوم)</v>
      </c>
      <c r="C85" s="11">
        <f t="shared" si="3"/>
        <v>5</v>
      </c>
      <c r="D85" s="11" t="str">
        <f>H77</f>
        <v>بورديوم</v>
      </c>
      <c r="E85" s="11" t="s">
        <v>28</v>
      </c>
      <c r="F85" s="11">
        <f>H76-3.6-3.6-2.5</f>
        <v>-9.6999999999999993</v>
      </c>
      <c r="G85" s="11">
        <v>10</v>
      </c>
      <c r="H85" s="11">
        <f>(D76-1)*C74</f>
        <v>3</v>
      </c>
      <c r="I85" s="11">
        <f>HLOOKUP(D85, materials[], 2,FALSE)</f>
        <v>2</v>
      </c>
      <c r="J85" s="11"/>
    </row>
    <row r="86" spans="1:10" x14ac:dyDescent="0.3">
      <c r="A86" s="74">
        <v>3</v>
      </c>
      <c r="B86" s="17" t="str">
        <f>B81</f>
        <v>وحدة سفلية   درجين - 2/4 (بورديوم)</v>
      </c>
      <c r="C86" s="11">
        <f t="shared" si="3"/>
        <v>6</v>
      </c>
      <c r="D86" s="11" t="str">
        <f>H77</f>
        <v>بورديوم</v>
      </c>
      <c r="E86" s="11" t="s">
        <v>29</v>
      </c>
      <c r="F86" s="11">
        <f>G76</f>
        <v>45</v>
      </c>
      <c r="G86" s="11">
        <v>10</v>
      </c>
      <c r="H86" s="11">
        <f>(D76-1)*2*C74</f>
        <v>6</v>
      </c>
      <c r="I86" s="11">
        <f>HLOOKUP(D86, materials[], 2,FALSE)</f>
        <v>2</v>
      </c>
      <c r="J86" s="11"/>
    </row>
    <row r="87" spans="1:10" x14ac:dyDescent="0.3">
      <c r="A87" s="74">
        <v>3</v>
      </c>
      <c r="B87" s="17" t="str">
        <f>B81</f>
        <v>وحدة سفلية   درجين - 2/4 (بورديوم)</v>
      </c>
      <c r="C87" s="11">
        <f t="shared" si="3"/>
        <v>7</v>
      </c>
      <c r="D87" s="11" t="str">
        <f>H77</f>
        <v>بورديوم</v>
      </c>
      <c r="E87" s="11" t="s">
        <v>30</v>
      </c>
      <c r="F87" s="11">
        <f>H76-3.6-3.6-2.5</f>
        <v>-9.6999999999999993</v>
      </c>
      <c r="G87" s="11">
        <f>10-3</f>
        <v>7</v>
      </c>
      <c r="H87" s="11">
        <f>(D76-1)*C74</f>
        <v>3</v>
      </c>
      <c r="I87" s="11">
        <f>HLOOKUP(D87, materials[], 2,FALSE)</f>
        <v>2</v>
      </c>
      <c r="J87" s="11"/>
    </row>
    <row r="88" spans="1:10" x14ac:dyDescent="0.3">
      <c r="A88" s="74">
        <v>3</v>
      </c>
      <c r="B88" s="17" t="str">
        <f>B81</f>
        <v>وحدة سفلية   درجين - 2/4 (بورديوم)</v>
      </c>
      <c r="C88" s="12">
        <f t="shared" si="3"/>
        <v>8</v>
      </c>
      <c r="D88" s="12" t="str">
        <f>H77</f>
        <v>بورديوم</v>
      </c>
      <c r="E88" s="12" t="s">
        <v>23</v>
      </c>
      <c r="F88" s="12">
        <f>H76-3.6-3.6-2.5</f>
        <v>-9.6999999999999993</v>
      </c>
      <c r="G88" s="12">
        <f>60/C76</f>
        <v>30</v>
      </c>
      <c r="H88" s="12">
        <f>(C76-1)*C74</f>
        <v>1</v>
      </c>
      <c r="I88" s="12">
        <f>HLOOKUP(D88, materials[], 2,FALSE)</f>
        <v>2</v>
      </c>
      <c r="J88" s="12"/>
    </row>
    <row r="89" spans="1:10" x14ac:dyDescent="0.3">
      <c r="A89" s="74">
        <v>3</v>
      </c>
      <c r="B89" s="17" t="str">
        <f>B81</f>
        <v>وحدة سفلية   درجين - 2/4 (بورديوم)</v>
      </c>
      <c r="C89" s="12">
        <f t="shared" si="3"/>
        <v>9</v>
      </c>
      <c r="D89" s="12" t="str">
        <f>H77</f>
        <v>بورديوم</v>
      </c>
      <c r="E89" s="12" t="s">
        <v>24</v>
      </c>
      <c r="F89" s="12">
        <f>G76</f>
        <v>45</v>
      </c>
      <c r="G89" s="12">
        <f>60/C76</f>
        <v>30</v>
      </c>
      <c r="H89" s="12">
        <f>(C76-1)*2*C74</f>
        <v>2</v>
      </c>
      <c r="I89" s="12">
        <f>HLOOKUP(D89, materials[], 2,FALSE)</f>
        <v>2</v>
      </c>
      <c r="J89" s="12"/>
    </row>
    <row r="90" spans="1:10" x14ac:dyDescent="0.3">
      <c r="A90" s="74">
        <v>3</v>
      </c>
      <c r="B90" s="17" t="str">
        <f>B81</f>
        <v>وحدة سفلية   درجين - 2/4 (بورديوم)</v>
      </c>
      <c r="C90" s="12">
        <f t="shared" si="3"/>
        <v>10</v>
      </c>
      <c r="D90" s="12" t="str">
        <f>H77</f>
        <v>بورديوم</v>
      </c>
      <c r="E90" s="12" t="s">
        <v>25</v>
      </c>
      <c r="F90" s="12">
        <f>H76-3.6-3.6-2.5</f>
        <v>-9.6999999999999993</v>
      </c>
      <c r="G90" s="12">
        <f>60/C76-3</f>
        <v>27</v>
      </c>
      <c r="H90" s="12">
        <f>(C76-1)*C74</f>
        <v>1</v>
      </c>
      <c r="I90" s="12">
        <f>HLOOKUP(D90, materials[], 2,FALSE)</f>
        <v>2</v>
      </c>
      <c r="J90" s="12"/>
    </row>
    <row r="91" spans="1:10" x14ac:dyDescent="0.3">
      <c r="A91" s="74">
        <v>0</v>
      </c>
      <c r="B91" s="17"/>
      <c r="C91" s="6"/>
      <c r="D91" s="6"/>
      <c r="E91" s="6"/>
      <c r="F91" s="6"/>
      <c r="G91" s="6"/>
      <c r="H91" s="6"/>
      <c r="I91" s="6"/>
      <c r="J91" s="6"/>
    </row>
    <row r="92" spans="1:10" x14ac:dyDescent="0.3">
      <c r="A92" s="74">
        <v>4</v>
      </c>
      <c r="B92" s="17" t="str">
        <f>B81</f>
        <v>وحدة سفلية   درجين - 2/4 (بورديوم)</v>
      </c>
      <c r="C92" s="10">
        <f>C90+1</f>
        <v>11</v>
      </c>
      <c r="D92" s="10" t="str">
        <f>F77</f>
        <v>يوفيلاك</v>
      </c>
      <c r="E92" s="10" t="s">
        <v>26</v>
      </c>
      <c r="F92" s="10">
        <f>(I76/C76)-0.5-E76</f>
        <v>35</v>
      </c>
      <c r="G92" s="10">
        <f>H76-0.5</f>
        <v>-0.5</v>
      </c>
      <c r="H92" s="10">
        <f>C76*C74</f>
        <v>2</v>
      </c>
      <c r="I92" s="10">
        <f>HLOOKUP(D92, materials[], 2,FALSE)</f>
        <v>6</v>
      </c>
      <c r="J92" s="10"/>
    </row>
    <row r="93" spans="1:10" x14ac:dyDescent="0.3">
      <c r="A93" s="74">
        <v>0</v>
      </c>
      <c r="B93" s="17"/>
      <c r="C93" s="6"/>
      <c r="D93" s="6"/>
      <c r="E93" s="6"/>
      <c r="F93" s="6"/>
      <c r="G93" s="6"/>
      <c r="H93" s="6"/>
      <c r="I93" s="6"/>
      <c r="J93" s="6"/>
    </row>
    <row r="94" spans="1:10" x14ac:dyDescent="0.3">
      <c r="A94" s="74">
        <v>5</v>
      </c>
      <c r="B94" s="17" t="str">
        <f>IF(F76,B81, "")</f>
        <v/>
      </c>
      <c r="C94" s="21" t="str">
        <f>IF(F76,C92+1, "")</f>
        <v/>
      </c>
      <c r="D94" s="21" t="str">
        <f>IF(F76,D77, "")</f>
        <v/>
      </c>
      <c r="E94" s="21" t="str">
        <f>IF(F76,"ظهر", "")</f>
        <v/>
      </c>
      <c r="F94" s="21" t="str">
        <f>IF(F76,I76-2, "")</f>
        <v/>
      </c>
      <c r="G94" s="21" t="str">
        <f>IF(F76,H76-2, "")</f>
        <v/>
      </c>
      <c r="H94" s="21" t="str">
        <f>IF(F76,1*C74, "")</f>
        <v/>
      </c>
      <c r="I94" s="21" t="str">
        <f>IF(F76,HLOOKUP(D94, materials[], 2,FALSE), "")</f>
        <v/>
      </c>
      <c r="J94" s="21"/>
    </row>
    <row r="95" spans="1:10" ht="14.4" x14ac:dyDescent="0.3">
      <c r="A95" s="58">
        <v>255</v>
      </c>
    </row>
    <row r="96" spans="1:10" x14ac:dyDescent="0.3">
      <c r="A96" s="58">
        <v>255</v>
      </c>
      <c r="B96" s="17"/>
    </row>
    <row r="97" spans="1:10" ht="36" x14ac:dyDescent="0.3">
      <c r="A97" s="58" t="s">
        <v>175</v>
      </c>
      <c r="B97" s="17"/>
      <c r="C97" s="15">
        <v>1</v>
      </c>
      <c r="D97" s="25" t="s">
        <v>68</v>
      </c>
      <c r="E97" s="92" t="s">
        <v>136</v>
      </c>
      <c r="F97" s="93"/>
      <c r="G97" s="93"/>
      <c r="H97" s="94"/>
      <c r="I97" s="2" t="s">
        <v>39</v>
      </c>
      <c r="J97" s="2">
        <f>letterToNumber(A97)</f>
        <v>5</v>
      </c>
    </row>
    <row r="98" spans="1:10" ht="31.2" x14ac:dyDescent="0.3">
      <c r="A98" s="58">
        <v>1</v>
      </c>
      <c r="B98" s="17"/>
      <c r="C98" s="8" t="s">
        <v>12</v>
      </c>
      <c r="D98" s="8" t="s">
        <v>19</v>
      </c>
      <c r="E98" s="8" t="s">
        <v>17</v>
      </c>
      <c r="F98" s="50" t="s">
        <v>127</v>
      </c>
      <c r="G98" s="95"/>
      <c r="H98" s="8" t="s">
        <v>31</v>
      </c>
      <c r="I98" s="8" t="s">
        <v>3</v>
      </c>
      <c r="J98" s="8" t="s">
        <v>123</v>
      </c>
    </row>
    <row r="99" spans="1:10" x14ac:dyDescent="0.3">
      <c r="A99" s="58">
        <v>1</v>
      </c>
      <c r="B99" s="17"/>
      <c r="C99" s="9">
        <v>1</v>
      </c>
      <c r="D99" s="9">
        <v>1</v>
      </c>
      <c r="E99" s="30">
        <f>INDEX(bordiumCommon[[#All],[Column1]],MATCH(E98,bordiumCommon[[#All],[Column2]],0))</f>
        <v>3.5</v>
      </c>
      <c r="F99" s="9" t="b">
        <f>INDEX(bordiumCommon[[#All],[Column1]],MATCH(F98,bordiumCommon[[#All],[Column2]],0))</f>
        <v>0</v>
      </c>
      <c r="G99" s="95"/>
      <c r="H99" s="9"/>
      <c r="I99" s="30">
        <f>INDEX(bordiumCommon[[#All],[Column1]],MATCH(I98,bordiumCommon[[#All],[Column2]],0))</f>
        <v>78</v>
      </c>
      <c r="J99" s="30">
        <f>INDEX(bordiumCommon[[#All],[Column1]],MATCH(J98,bordiumCommon[[#All],[Column2]],0))</f>
        <v>56</v>
      </c>
    </row>
    <row r="100" spans="1:10" ht="31.2" x14ac:dyDescent="0.3">
      <c r="A100" s="58">
        <v>1</v>
      </c>
      <c r="B100" s="17"/>
      <c r="C100" s="9"/>
      <c r="D100" s="30" t="str">
        <f>INDEX(bordiumChoosenMaterials[[#All],[Column1]],MATCH(E100,bordiumChoosenMaterials[[#All],[Column2]],0))</f>
        <v>ظهر</v>
      </c>
      <c r="E100" s="8" t="s">
        <v>67</v>
      </c>
      <c r="F100" s="30" t="str">
        <f>INDEX(bordiumChoosenMaterials[[#All],[Column1]],MATCH(G100,bordiumChoosenMaterials[[#All],[Column2]],0))</f>
        <v>يوفيلاك</v>
      </c>
      <c r="G100" s="8" t="s">
        <v>41</v>
      </c>
      <c r="H100" s="30" t="str">
        <f>INDEX(bordiumChoosenMaterials[[#All],[Column1]],MATCH(I100,bordiumChoosenMaterials[[#All],[Column2]],0))</f>
        <v>بورديوم</v>
      </c>
      <c r="I100" s="8" t="s">
        <v>40</v>
      </c>
      <c r="J100" s="28" t="s">
        <v>121</v>
      </c>
    </row>
    <row r="101" spans="1:10" x14ac:dyDescent="0.3">
      <c r="A101" s="58">
        <v>0</v>
      </c>
      <c r="B101" s="17"/>
    </row>
    <row r="102" spans="1:10" x14ac:dyDescent="0.3">
      <c r="A102" s="74">
        <v>2</v>
      </c>
      <c r="B102" s="17"/>
      <c r="C102" s="6" t="s">
        <v>4</v>
      </c>
      <c r="D102" s="6" t="s">
        <v>9</v>
      </c>
      <c r="E102" s="6" t="s">
        <v>5</v>
      </c>
      <c r="F102" s="6" t="s">
        <v>7</v>
      </c>
      <c r="G102" s="6" t="s">
        <v>1</v>
      </c>
      <c r="H102" s="6" t="s">
        <v>6</v>
      </c>
      <c r="I102" s="6" t="s">
        <v>42</v>
      </c>
      <c r="J102" s="6" t="s">
        <v>8</v>
      </c>
    </row>
    <row r="103" spans="1:10" ht="15.6" customHeight="1" x14ac:dyDescent="0.3">
      <c r="A103" s="74">
        <v>0</v>
      </c>
      <c r="B103" s="17"/>
      <c r="C103" s="6"/>
      <c r="D103" s="6"/>
      <c r="E103" s="6"/>
      <c r="F103" s="6"/>
      <c r="G103" s="6"/>
      <c r="H103" s="6"/>
      <c r="I103" s="6"/>
      <c r="J103" s="6"/>
    </row>
    <row r="104" spans="1:10" ht="15.6" customHeight="1" x14ac:dyDescent="0.3">
      <c r="A104" s="74">
        <v>3</v>
      </c>
      <c r="B104" s="17" t="str">
        <f>E97</f>
        <v>وحدة سفلية  تلبيسة دلفة /دلفتين (بورديوم)</v>
      </c>
      <c r="C104" s="6">
        <v>1</v>
      </c>
      <c r="D104" s="6" t="str">
        <f>H100</f>
        <v>بورديوم</v>
      </c>
      <c r="E104" s="6" t="s">
        <v>10</v>
      </c>
      <c r="F104" s="6">
        <f>H99-3.6</f>
        <v>-3.6</v>
      </c>
      <c r="G104" s="6">
        <f>J99</f>
        <v>56</v>
      </c>
      <c r="H104" s="6">
        <f>1*C97</f>
        <v>1</v>
      </c>
      <c r="I104" s="6">
        <f>HLOOKUP(D104, materials[], 2,FALSE)</f>
        <v>2</v>
      </c>
      <c r="J104" s="6"/>
    </row>
    <row r="105" spans="1:10" ht="15.6" customHeight="1" x14ac:dyDescent="0.3">
      <c r="A105" s="74">
        <v>3</v>
      </c>
      <c r="B105" s="17" t="str">
        <f>B104</f>
        <v>وحدة سفلية  تلبيسة دلفة /دلفتين (بورديوم)</v>
      </c>
      <c r="C105" s="6">
        <f>C104+1</f>
        <v>2</v>
      </c>
      <c r="D105" s="6" t="str">
        <f>H100</f>
        <v>بورديوم</v>
      </c>
      <c r="E105" s="6" t="s">
        <v>11</v>
      </c>
      <c r="F105" s="6">
        <f>I99</f>
        <v>78</v>
      </c>
      <c r="G105" s="6">
        <f>J99</f>
        <v>56</v>
      </c>
      <c r="H105" s="6">
        <v>2</v>
      </c>
      <c r="I105" s="6">
        <f>HLOOKUP(D105, materials[], 2,FALSE)</f>
        <v>2</v>
      </c>
      <c r="J105" s="6"/>
    </row>
    <row r="106" spans="1:10" ht="15.6" customHeight="1" x14ac:dyDescent="0.3">
      <c r="A106" s="74">
        <v>3</v>
      </c>
      <c r="B106" s="17" t="str">
        <f>B104</f>
        <v>وحدة سفلية  تلبيسة دلفة /دلفتين (بورديوم)</v>
      </c>
      <c r="C106" s="6">
        <f t="shared" ref="C106:C109" si="4">C105+1</f>
        <v>3</v>
      </c>
      <c r="D106" s="6" t="str">
        <f>H100</f>
        <v>بورديوم</v>
      </c>
      <c r="E106" s="6" t="s">
        <v>13</v>
      </c>
      <c r="F106" s="6">
        <f>H99-3.6</f>
        <v>-3.6</v>
      </c>
      <c r="G106" s="6">
        <v>10</v>
      </c>
      <c r="H106" s="6">
        <f>1*C97</f>
        <v>1</v>
      </c>
      <c r="I106" s="6">
        <f>HLOOKUP(D106, materials[], 2,FALSE)</f>
        <v>2</v>
      </c>
      <c r="J106" s="6"/>
    </row>
    <row r="107" spans="1:10" ht="15.6" customHeight="1" x14ac:dyDescent="0.3">
      <c r="A107" s="74">
        <v>3</v>
      </c>
      <c r="B107" s="17" t="str">
        <f>B104</f>
        <v>وحدة سفلية  تلبيسة دلفة /دلفتين (بورديوم)</v>
      </c>
      <c r="C107" s="6">
        <f t="shared" si="4"/>
        <v>4</v>
      </c>
      <c r="D107" s="6" t="str">
        <f>H100</f>
        <v>بورديوم</v>
      </c>
      <c r="E107" s="6" t="s">
        <v>14</v>
      </c>
      <c r="F107" s="6">
        <f>H99-3.6</f>
        <v>-3.6</v>
      </c>
      <c r="G107" s="6">
        <v>7</v>
      </c>
      <c r="H107" s="6">
        <f>1*C97</f>
        <v>1</v>
      </c>
      <c r="I107" s="6">
        <f>HLOOKUP(D107, materials[], 2,FALSE)</f>
        <v>2</v>
      </c>
      <c r="J107" s="6"/>
    </row>
    <row r="108" spans="1:10" ht="15.6" customHeight="1" x14ac:dyDescent="0.3">
      <c r="A108" s="74">
        <v>3</v>
      </c>
      <c r="B108" s="17" t="str">
        <f>B104</f>
        <v>وحدة سفلية  تلبيسة دلفة /دلفتين (بورديوم)</v>
      </c>
      <c r="C108" s="6">
        <f t="shared" si="4"/>
        <v>5</v>
      </c>
      <c r="D108" s="6" t="str">
        <f>H100</f>
        <v>بورديوم</v>
      </c>
      <c r="E108" s="6" t="s">
        <v>18</v>
      </c>
      <c r="F108" s="6">
        <f>H99-3.8</f>
        <v>-3.8</v>
      </c>
      <c r="G108" s="6">
        <f>J99-6</f>
        <v>50</v>
      </c>
      <c r="H108" s="6">
        <f>D99*C97</f>
        <v>1</v>
      </c>
      <c r="I108" s="6">
        <f>HLOOKUP(D108, materials[], 2,FALSE)</f>
        <v>2</v>
      </c>
      <c r="J108" s="6"/>
    </row>
    <row r="109" spans="1:10" ht="15.6" customHeight="1" x14ac:dyDescent="0.3">
      <c r="A109" s="74">
        <v>3</v>
      </c>
      <c r="B109" s="17" t="str">
        <f>B104</f>
        <v>وحدة سفلية  تلبيسة دلفة /دلفتين (بورديوم)</v>
      </c>
      <c r="C109" s="6">
        <f t="shared" si="4"/>
        <v>6</v>
      </c>
      <c r="D109" s="6" t="str">
        <f>H100</f>
        <v>بورديوم</v>
      </c>
      <c r="E109" s="6" t="s">
        <v>33</v>
      </c>
      <c r="F109" s="6">
        <f>I99</f>
        <v>78</v>
      </c>
      <c r="G109" s="6">
        <f>J99</f>
        <v>56</v>
      </c>
      <c r="H109" s="6">
        <f>1*C97</f>
        <v>1</v>
      </c>
      <c r="I109" s="6">
        <f>HLOOKUP(D109, materials[], 2,FALSE)</f>
        <v>2</v>
      </c>
      <c r="J109" s="6"/>
    </row>
    <row r="110" spans="1:10" ht="15.6" customHeight="1" x14ac:dyDescent="0.3">
      <c r="A110" s="74">
        <v>0</v>
      </c>
      <c r="B110" s="17"/>
      <c r="C110" s="6"/>
      <c r="D110" s="6"/>
      <c r="E110" s="6"/>
      <c r="F110" s="6"/>
      <c r="G110" s="6"/>
      <c r="H110" s="6"/>
      <c r="I110" s="6"/>
      <c r="J110" s="6"/>
    </row>
    <row r="111" spans="1:10" ht="15.6" customHeight="1" x14ac:dyDescent="0.3">
      <c r="A111" s="74">
        <v>4</v>
      </c>
      <c r="B111" s="17" t="str">
        <f>B104</f>
        <v>وحدة سفلية  تلبيسة دلفة /دلفتين (بورديوم)</v>
      </c>
      <c r="C111" s="10">
        <f>C109+1</f>
        <v>7</v>
      </c>
      <c r="D111" s="10" t="str">
        <f>F100</f>
        <v>يوفيلاك</v>
      </c>
      <c r="E111" s="10" t="s">
        <v>15</v>
      </c>
      <c r="F111" s="10">
        <f>I99-0.5-E99</f>
        <v>74</v>
      </c>
      <c r="G111" s="10">
        <f>(H99-J99-G112)/C99-0.5</f>
        <v>-60.5</v>
      </c>
      <c r="H111" s="10">
        <f>C99*C97</f>
        <v>1</v>
      </c>
      <c r="I111" s="10">
        <f>HLOOKUP(D111, materials[], 2,FALSE)</f>
        <v>6</v>
      </c>
      <c r="J111" s="10"/>
    </row>
    <row r="112" spans="1:10" ht="20.399999999999999" customHeight="1" x14ac:dyDescent="0.3">
      <c r="A112" s="74">
        <v>4</v>
      </c>
      <c r="B112" s="17" t="str">
        <f>B104</f>
        <v>وحدة سفلية  تلبيسة دلفة /دلفتين (بورديوم)</v>
      </c>
      <c r="C112" s="10">
        <f t="shared" ref="C112" si="5">C111+1</f>
        <v>8</v>
      </c>
      <c r="D112" s="10" t="str">
        <f>F100</f>
        <v>يوفيلاك</v>
      </c>
      <c r="E112" s="10" t="s">
        <v>34</v>
      </c>
      <c r="F112" s="10">
        <f>I99</f>
        <v>78</v>
      </c>
      <c r="G112" s="10">
        <v>4</v>
      </c>
      <c r="H112" s="10">
        <f>1*C97</f>
        <v>1</v>
      </c>
      <c r="I112" s="10">
        <f>HLOOKUP(D112, materials[], 2,FALSE)</f>
        <v>6</v>
      </c>
      <c r="J112" s="10"/>
    </row>
    <row r="113" spans="1:10" ht="15.6" customHeight="1" x14ac:dyDescent="0.3">
      <c r="A113" s="74">
        <v>0</v>
      </c>
      <c r="B113" s="17"/>
      <c r="C113" s="6"/>
      <c r="D113" s="6"/>
      <c r="E113" s="6"/>
      <c r="F113" s="6"/>
      <c r="G113" s="6"/>
      <c r="H113" s="6"/>
      <c r="I113" s="6"/>
      <c r="J113" s="6"/>
    </row>
    <row r="114" spans="1:10" x14ac:dyDescent="0.3">
      <c r="A114" s="74">
        <v>5</v>
      </c>
      <c r="B114" s="17" t="str">
        <f>IF(F99,B104, "")</f>
        <v/>
      </c>
      <c r="C114" s="21" t="str">
        <f>IF(F99,C112+1, "")</f>
        <v/>
      </c>
      <c r="D114" s="21" t="str">
        <f>IF(F99,D100, "")</f>
        <v/>
      </c>
      <c r="E114" s="21" t="str">
        <f>IF(F99,"ظهر", "")</f>
        <v/>
      </c>
      <c r="F114" s="21" t="str">
        <f>IF(F99,I99-2, "")</f>
        <v/>
      </c>
      <c r="G114" s="21" t="str">
        <f>IF(F99,H99-2, "")</f>
        <v/>
      </c>
      <c r="H114" s="21" t="str">
        <f>IF(F99,1*C97, "")</f>
        <v/>
      </c>
      <c r="I114" s="21" t="str">
        <f>IF(F99,HLOOKUP(D114,materials[], 2,FALSE), "")</f>
        <v/>
      </c>
      <c r="J114" s="21"/>
    </row>
    <row r="115" spans="1:10" ht="14.4" x14ac:dyDescent="0.3">
      <c r="A115" s="58">
        <v>255</v>
      </c>
    </row>
    <row r="116" spans="1:10" x14ac:dyDescent="0.3">
      <c r="A116" s="58">
        <v>255</v>
      </c>
      <c r="B116" s="17"/>
    </row>
    <row r="117" spans="1:10" ht="36" x14ac:dyDescent="0.3">
      <c r="A117" s="58" t="s">
        <v>176</v>
      </c>
      <c r="B117" s="17"/>
      <c r="C117" s="15">
        <v>1</v>
      </c>
      <c r="D117" s="25" t="s">
        <v>68</v>
      </c>
      <c r="E117" s="92" t="s">
        <v>134</v>
      </c>
      <c r="F117" s="93"/>
      <c r="G117" s="93"/>
      <c r="H117" s="94"/>
      <c r="I117" s="2" t="s">
        <v>39</v>
      </c>
      <c r="J117" s="2">
        <f>letterToNumber(A117)</f>
        <v>6</v>
      </c>
    </row>
    <row r="118" spans="1:10" ht="31.2" x14ac:dyDescent="0.3">
      <c r="A118" s="58">
        <v>1</v>
      </c>
      <c r="B118" s="17"/>
      <c r="C118" s="8"/>
      <c r="D118" s="8" t="s">
        <v>19</v>
      </c>
      <c r="E118" s="8" t="s">
        <v>17</v>
      </c>
      <c r="F118" s="50" t="s">
        <v>127</v>
      </c>
      <c r="G118" s="8"/>
      <c r="H118" s="8" t="s">
        <v>31</v>
      </c>
      <c r="I118" s="8" t="s">
        <v>3</v>
      </c>
      <c r="J118" s="8" t="s">
        <v>123</v>
      </c>
    </row>
    <row r="119" spans="1:10" x14ac:dyDescent="0.3">
      <c r="A119" s="58">
        <v>1</v>
      </c>
      <c r="B119" s="17"/>
      <c r="C119" s="9"/>
      <c r="D119" s="9">
        <v>1</v>
      </c>
      <c r="E119" s="30">
        <f>INDEX(bordiumCommon[[#All],[Column1]],MATCH(E118,bordiumCommon[[#All],[Column2]],0))</f>
        <v>3.5</v>
      </c>
      <c r="F119" s="9" t="b">
        <f>INDEX(bordiumCommon[[#All],[Column1]],MATCH(F118,bordiumCommon[[#All],[Column2]],0))</f>
        <v>0</v>
      </c>
      <c r="G119" s="8"/>
      <c r="H119" s="9"/>
      <c r="I119" s="30">
        <f>INDEX(bordiumCommon[[#All],[Column1]],MATCH(I118,bordiumCommon[[#All],[Column2]],0))</f>
        <v>78</v>
      </c>
      <c r="J119" s="30">
        <f>INDEX(bordiumCommon[[#All],[Column1]],MATCH(J118,bordiumCommon[[#All],[Column2]],0))</f>
        <v>56</v>
      </c>
    </row>
    <row r="120" spans="1:10" x14ac:dyDescent="0.3">
      <c r="A120" s="58">
        <v>1</v>
      </c>
      <c r="B120" s="17"/>
      <c r="C120" s="31"/>
      <c r="D120" s="13"/>
      <c r="E120" s="13"/>
      <c r="F120" s="14"/>
      <c r="G120" s="8"/>
      <c r="H120" s="9"/>
      <c r="I120" s="30">
        <f>INDEX(bordiumCommon[[#All],[Column1]],MATCH(I118,bordiumCommon[[#All],[Column2]],0))</f>
        <v>78</v>
      </c>
      <c r="J120" s="30">
        <f>INDEX(bordiumCommon[[#All],[Column1]],MATCH(J118,bordiumCommon[[#All],[Column2]],0))</f>
        <v>56</v>
      </c>
    </row>
    <row r="121" spans="1:10" ht="31.2" x14ac:dyDescent="0.3">
      <c r="A121" s="58">
        <v>1</v>
      </c>
      <c r="B121" s="17"/>
      <c r="C121" s="9"/>
      <c r="D121" s="30" t="str">
        <f>INDEX(bordiumChoosenMaterials[[#All],[Column1]],MATCH(E121,bordiumChoosenMaterials[[#All],[Column2]],0))</f>
        <v>ظهر</v>
      </c>
      <c r="E121" s="8" t="s">
        <v>67</v>
      </c>
      <c r="F121" s="30" t="str">
        <f>INDEX(bordiumChoosenMaterials[[#All],[Column1]],MATCH(G121,bordiumChoosenMaterials[[#All],[Column2]],0))</f>
        <v>يوفيلاك</v>
      </c>
      <c r="G121" s="8" t="s">
        <v>41</v>
      </c>
      <c r="H121" s="30" t="str">
        <f>INDEX(bordiumChoosenMaterials[[#All],[Column1]],MATCH(I121,bordiumChoosenMaterials[[#All],[Column2]],0))</f>
        <v>بورديوم</v>
      </c>
      <c r="I121" s="8" t="s">
        <v>40</v>
      </c>
      <c r="J121" s="28" t="s">
        <v>121</v>
      </c>
    </row>
    <row r="122" spans="1:10" x14ac:dyDescent="0.3">
      <c r="A122" s="58">
        <v>0</v>
      </c>
      <c r="B122" s="17"/>
    </row>
    <row r="123" spans="1:10" x14ac:dyDescent="0.3">
      <c r="A123" s="74">
        <v>2</v>
      </c>
      <c r="B123" s="17"/>
      <c r="C123" s="6" t="s">
        <v>4</v>
      </c>
      <c r="D123" s="6" t="s">
        <v>9</v>
      </c>
      <c r="E123" s="6" t="s">
        <v>5</v>
      </c>
      <c r="F123" s="6" t="s">
        <v>7</v>
      </c>
      <c r="G123" s="6" t="s">
        <v>1</v>
      </c>
      <c r="H123" s="6" t="s">
        <v>6</v>
      </c>
      <c r="I123" s="6" t="s">
        <v>42</v>
      </c>
      <c r="J123" s="6" t="s">
        <v>8</v>
      </c>
    </row>
    <row r="124" spans="1:10" x14ac:dyDescent="0.3">
      <c r="A124" s="74">
        <v>0</v>
      </c>
      <c r="B124" s="17"/>
      <c r="C124" s="6"/>
      <c r="D124" s="6"/>
      <c r="E124" s="6"/>
      <c r="F124" s="6"/>
      <c r="G124" s="6"/>
      <c r="H124" s="6"/>
      <c r="I124" s="6"/>
      <c r="J124" s="6"/>
    </row>
    <row r="125" spans="1:10" x14ac:dyDescent="0.3">
      <c r="A125" s="74">
        <v>3</v>
      </c>
      <c r="B125" s="17" t="str">
        <f>E117</f>
        <v>وحدة سفلية  زاوية 90 (بورديوم)</v>
      </c>
      <c r="C125" s="6">
        <v>1</v>
      </c>
      <c r="D125" s="6" t="str">
        <f>H121</f>
        <v>بورديوم</v>
      </c>
      <c r="E125" s="6" t="s">
        <v>10</v>
      </c>
      <c r="F125" s="6">
        <f>H119-1.8</f>
        <v>-1.8</v>
      </c>
      <c r="G125" s="6">
        <f>H120-1.8</f>
        <v>-1.8</v>
      </c>
      <c r="H125" s="6">
        <f>1*C117</f>
        <v>1</v>
      </c>
      <c r="I125" s="6">
        <f>HLOOKUP(D125, materials[], 2,FALSE)</f>
        <v>2</v>
      </c>
      <c r="J125" s="6"/>
    </row>
    <row r="126" spans="1:10" x14ac:dyDescent="0.3">
      <c r="A126" s="74">
        <v>3</v>
      </c>
      <c r="B126" s="17" t="str">
        <f>B125</f>
        <v>وحدة سفلية  زاوية 90 (بورديوم)</v>
      </c>
      <c r="C126" s="6">
        <f>C125+1</f>
        <v>2</v>
      </c>
      <c r="D126" s="6" t="str">
        <f>H121</f>
        <v>بورديوم</v>
      </c>
      <c r="E126" s="6" t="s">
        <v>11</v>
      </c>
      <c r="F126" s="6">
        <f>I119</f>
        <v>78</v>
      </c>
      <c r="G126" s="6">
        <f>J119</f>
        <v>56</v>
      </c>
      <c r="H126" s="6">
        <f>2*C117</f>
        <v>2</v>
      </c>
      <c r="I126" s="6">
        <f>HLOOKUP(D126, materials[], 2,FALSE)</f>
        <v>2</v>
      </c>
      <c r="J126" s="6"/>
    </row>
    <row r="127" spans="1:10" x14ac:dyDescent="0.3">
      <c r="A127" s="74">
        <v>3</v>
      </c>
      <c r="B127" s="17" t="str">
        <f>B125</f>
        <v>وحدة سفلية  زاوية 90 (بورديوم)</v>
      </c>
      <c r="C127" s="6">
        <f t="shared" ref="C127:C130" si="6">C126+1</f>
        <v>3</v>
      </c>
      <c r="D127" s="6" t="str">
        <f>H121</f>
        <v>بورديوم</v>
      </c>
      <c r="E127" s="6" t="s">
        <v>13</v>
      </c>
      <c r="F127" s="6">
        <f>H119-1.8</f>
        <v>-1.8</v>
      </c>
      <c r="G127" s="6">
        <v>10</v>
      </c>
      <c r="H127" s="6">
        <f>2*C117</f>
        <v>2</v>
      </c>
      <c r="I127" s="6">
        <f>HLOOKUP(D127, materials[], 2,FALSE)</f>
        <v>2</v>
      </c>
      <c r="J127" s="6"/>
    </row>
    <row r="128" spans="1:10" x14ac:dyDescent="0.3">
      <c r="A128" s="74">
        <v>3</v>
      </c>
      <c r="B128" s="17" t="str">
        <f>B125</f>
        <v>وحدة سفلية  زاوية 90 (بورديوم)</v>
      </c>
      <c r="C128" s="6">
        <f t="shared" si="6"/>
        <v>4</v>
      </c>
      <c r="D128" s="6" t="str">
        <f>H121</f>
        <v>بورديوم</v>
      </c>
      <c r="E128" s="6" t="s">
        <v>14</v>
      </c>
      <c r="F128" s="6">
        <f>H119-1.8</f>
        <v>-1.8</v>
      </c>
      <c r="G128" s="6">
        <v>7</v>
      </c>
      <c r="H128" s="6">
        <f>2*C117</f>
        <v>2</v>
      </c>
      <c r="I128" s="6">
        <f>HLOOKUP(D128, materials[], 2,FALSE)</f>
        <v>2</v>
      </c>
      <c r="J128" s="6"/>
    </row>
    <row r="129" spans="1:10" x14ac:dyDescent="0.3">
      <c r="A129" s="74">
        <v>3</v>
      </c>
      <c r="B129" s="17" t="str">
        <f>B125</f>
        <v>وحدة سفلية  زاوية 90 (بورديوم)</v>
      </c>
      <c r="C129" s="6">
        <f t="shared" si="6"/>
        <v>5</v>
      </c>
      <c r="D129" s="6" t="str">
        <f>H121</f>
        <v>بورديوم</v>
      </c>
      <c r="E129" s="6" t="s">
        <v>36</v>
      </c>
      <c r="F129" s="6">
        <f>I119</f>
        <v>78</v>
      </c>
      <c r="G129" s="6">
        <v>10</v>
      </c>
      <c r="H129" s="6">
        <f>1*C117</f>
        <v>1</v>
      </c>
      <c r="I129" s="6">
        <f>HLOOKUP(D129, materials[], 2,FALSE)</f>
        <v>2</v>
      </c>
      <c r="J129" s="6"/>
    </row>
    <row r="130" spans="1:10" x14ac:dyDescent="0.3">
      <c r="A130" s="74">
        <v>3</v>
      </c>
      <c r="B130" s="17" t="str">
        <f>B125</f>
        <v>وحدة سفلية  زاوية 90 (بورديوم)</v>
      </c>
      <c r="C130" s="6">
        <f t="shared" si="6"/>
        <v>6</v>
      </c>
      <c r="D130" s="6" t="str">
        <f>H121</f>
        <v>بورديوم</v>
      </c>
      <c r="E130" s="6" t="s">
        <v>18</v>
      </c>
      <c r="F130" s="6">
        <f>H119-3.8</f>
        <v>-3.8</v>
      </c>
      <c r="G130" s="6">
        <f>H120-3.8</f>
        <v>-3.8</v>
      </c>
      <c r="H130" s="6">
        <f>D119*C117</f>
        <v>1</v>
      </c>
      <c r="I130" s="6">
        <f>HLOOKUP(D130, materials[], 2,FALSE)</f>
        <v>2</v>
      </c>
      <c r="J130" s="6"/>
    </row>
    <row r="131" spans="1:10" x14ac:dyDescent="0.3">
      <c r="A131" s="74">
        <v>0</v>
      </c>
      <c r="B131" s="17"/>
      <c r="C131" s="6"/>
      <c r="D131" s="6"/>
      <c r="E131" s="6"/>
      <c r="F131" s="6"/>
      <c r="G131" s="6"/>
      <c r="H131" s="6"/>
      <c r="I131" s="6"/>
      <c r="J131" s="6"/>
    </row>
    <row r="132" spans="1:10" x14ac:dyDescent="0.3">
      <c r="A132" s="74">
        <v>4</v>
      </c>
      <c r="B132" s="17" t="str">
        <f>B125</f>
        <v>وحدة سفلية  زاوية 90 (بورديوم)</v>
      </c>
      <c r="C132" s="10">
        <f>C130+1</f>
        <v>7</v>
      </c>
      <c r="D132" s="10" t="str">
        <f>F121</f>
        <v>يوفيلاك</v>
      </c>
      <c r="E132" s="10" t="s">
        <v>37</v>
      </c>
      <c r="F132" s="10">
        <f>I119-0.5-E119</f>
        <v>74</v>
      </c>
      <c r="G132" s="10">
        <f>H119-56-3</f>
        <v>-59</v>
      </c>
      <c r="H132" s="10">
        <f>1*C117</f>
        <v>1</v>
      </c>
      <c r="I132" s="10">
        <f>HLOOKUP(D132, materials[], 2,FALSE)</f>
        <v>6</v>
      </c>
      <c r="J132" s="10"/>
    </row>
    <row r="133" spans="1:10" x14ac:dyDescent="0.3">
      <c r="A133" s="74">
        <v>4</v>
      </c>
      <c r="B133" s="17" t="str">
        <f>B125</f>
        <v>وحدة سفلية  زاوية 90 (بورديوم)</v>
      </c>
      <c r="C133" s="10">
        <f t="shared" ref="C133" si="7">C132+1</f>
        <v>8</v>
      </c>
      <c r="D133" s="10" t="str">
        <f>F121</f>
        <v>يوفيلاك</v>
      </c>
      <c r="E133" s="10" t="s">
        <v>50</v>
      </c>
      <c r="F133" s="10">
        <f>I120-0.5-E119</f>
        <v>74</v>
      </c>
      <c r="G133" s="10">
        <f>H120-56-3</f>
        <v>-59</v>
      </c>
      <c r="H133" s="10">
        <f>1*C117</f>
        <v>1</v>
      </c>
      <c r="I133" s="10">
        <f>HLOOKUP(D133, materials[], 2,FALSE)</f>
        <v>6</v>
      </c>
      <c r="J133" s="10"/>
    </row>
    <row r="134" spans="1:10" x14ac:dyDescent="0.3">
      <c r="A134" s="74">
        <v>0</v>
      </c>
      <c r="B134" s="17"/>
      <c r="C134" s="6"/>
      <c r="D134" s="6"/>
      <c r="E134" s="6"/>
      <c r="F134" s="6"/>
      <c r="G134" s="6"/>
      <c r="H134" s="6"/>
      <c r="I134" s="6"/>
      <c r="J134" s="6"/>
    </row>
    <row r="135" spans="1:10" x14ac:dyDescent="0.3">
      <c r="A135" s="74">
        <v>5</v>
      </c>
      <c r="B135" s="17" t="str">
        <f>IF(F119,B125, "")</f>
        <v/>
      </c>
      <c r="C135" s="21" t="str">
        <f>IF(F119,C133+1, "")</f>
        <v/>
      </c>
      <c r="D135" s="21" t="str">
        <f>IF(F119,D121, "")</f>
        <v/>
      </c>
      <c r="E135" s="21" t="str">
        <f>IF(F119,"ظهر", "")</f>
        <v/>
      </c>
      <c r="F135" s="21" t="str">
        <f>IF(F119,I120-1, "")</f>
        <v/>
      </c>
      <c r="G135" s="21" t="str">
        <f>IF(F119,H120-1, "")</f>
        <v/>
      </c>
      <c r="H135" s="21" t="str">
        <f>IF(F119,2*C117, "")</f>
        <v/>
      </c>
      <c r="I135" s="21" t="str">
        <f>IF(F119,HLOOKUP(D135, materials[], 2,FALSE), "")</f>
        <v/>
      </c>
      <c r="J135" s="21"/>
    </row>
    <row r="136" spans="1:10" ht="14.4" x14ac:dyDescent="0.3">
      <c r="A136" s="58">
        <v>255</v>
      </c>
    </row>
    <row r="137" spans="1:10" x14ac:dyDescent="0.3">
      <c r="A137" s="58">
        <v>255</v>
      </c>
      <c r="B137" s="17"/>
    </row>
    <row r="138" spans="1:10" ht="36" x14ac:dyDescent="0.3">
      <c r="A138" s="58" t="s">
        <v>177</v>
      </c>
      <c r="B138" s="17"/>
      <c r="C138" s="15">
        <v>1</v>
      </c>
      <c r="D138" s="25" t="s">
        <v>68</v>
      </c>
      <c r="E138" s="92" t="s">
        <v>135</v>
      </c>
      <c r="F138" s="93"/>
      <c r="G138" s="93"/>
      <c r="H138" s="94"/>
      <c r="I138" s="2" t="s">
        <v>39</v>
      </c>
      <c r="J138" s="2">
        <f>letterToNumber(A138)</f>
        <v>7</v>
      </c>
    </row>
    <row r="139" spans="1:10" ht="31.2" x14ac:dyDescent="0.3">
      <c r="A139" s="58">
        <v>1</v>
      </c>
      <c r="B139" s="17"/>
      <c r="C139" s="8"/>
      <c r="D139" s="8" t="s">
        <v>19</v>
      </c>
      <c r="E139" s="8" t="s">
        <v>17</v>
      </c>
      <c r="F139" s="50" t="s">
        <v>127</v>
      </c>
      <c r="G139" s="8"/>
      <c r="H139" s="8" t="s">
        <v>31</v>
      </c>
      <c r="I139" s="8" t="s">
        <v>3</v>
      </c>
      <c r="J139" s="8" t="s">
        <v>123</v>
      </c>
    </row>
    <row r="140" spans="1:10" x14ac:dyDescent="0.3">
      <c r="A140" s="58">
        <v>1</v>
      </c>
      <c r="B140" s="17"/>
      <c r="C140" s="9"/>
      <c r="D140" s="9">
        <v>1</v>
      </c>
      <c r="E140" s="30">
        <f>INDEX(bordiumCommon[[#All],[Column1]],MATCH(E139,bordiumCommon[[#All],[Column2]],0))</f>
        <v>3.5</v>
      </c>
      <c r="F140" s="9" t="b">
        <f>INDEX(bordiumCommon[[#All],[Column1]],MATCH(F139,bordiumCommon[[#All],[Column2]],0))</f>
        <v>0</v>
      </c>
      <c r="G140" s="8"/>
      <c r="H140" s="9"/>
      <c r="I140" s="30">
        <f>INDEX(bordiumCommon[[#All],[Column1]],MATCH(I139,bordiumCommon[[#All],[Column2]],0))</f>
        <v>78</v>
      </c>
      <c r="J140" s="30">
        <f>INDEX(bordiumCommon[[#All],[Column1]],MATCH(J139,bordiumCommon[[#All],[Column2]],0))</f>
        <v>56</v>
      </c>
    </row>
    <row r="141" spans="1:10" x14ac:dyDescent="0.3">
      <c r="A141" s="58">
        <v>1</v>
      </c>
      <c r="B141" s="17"/>
      <c r="C141" s="31"/>
      <c r="D141" s="13"/>
      <c r="E141" s="13"/>
      <c r="F141" s="14"/>
      <c r="G141" s="8"/>
      <c r="H141" s="9"/>
      <c r="I141" s="30">
        <f>INDEX(bordiumCommon[[#All],[Column1]],MATCH(I139,bordiumCommon[[#All],[Column2]],0))</f>
        <v>78</v>
      </c>
      <c r="J141" s="30">
        <f>INDEX(bordiumCommon[[#All],[Column1]],MATCH(J139,bordiumCommon[[#All],[Column2]],0))</f>
        <v>56</v>
      </c>
    </row>
    <row r="142" spans="1:10" ht="31.2" x14ac:dyDescent="0.3">
      <c r="A142" s="58">
        <v>1</v>
      </c>
      <c r="B142" s="17"/>
      <c r="C142" s="9"/>
      <c r="D142" s="30" t="str">
        <f>INDEX(bordiumChoosenMaterials[[#All],[Column1]],MATCH(E142,bordiumChoosenMaterials[[#All],[Column2]],0))</f>
        <v>ظهر</v>
      </c>
      <c r="E142" s="8" t="s">
        <v>67</v>
      </c>
      <c r="F142" s="30" t="str">
        <f>INDEX(bordiumChoosenMaterials[[#All],[Column1]],MATCH(G142,bordiumChoosenMaterials[[#All],[Column2]],0))</f>
        <v>يوفيلاك</v>
      </c>
      <c r="G142" s="8" t="s">
        <v>41</v>
      </c>
      <c r="H142" s="30" t="str">
        <f>INDEX(bordiumChoosenMaterials[[#All],[Column1]],MATCH(I142,bordiumChoosenMaterials[[#All],[Column2]],0))</f>
        <v>بورديوم</v>
      </c>
      <c r="I142" s="8" t="s">
        <v>40</v>
      </c>
      <c r="J142" s="28" t="s">
        <v>121</v>
      </c>
    </row>
    <row r="143" spans="1:10" x14ac:dyDescent="0.3">
      <c r="A143" s="58">
        <v>0</v>
      </c>
      <c r="B143" s="17"/>
    </row>
    <row r="144" spans="1:10" x14ac:dyDescent="0.3">
      <c r="A144" s="74">
        <v>2</v>
      </c>
      <c r="B144" s="17"/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42</v>
      </c>
      <c r="J144" s="6" t="s">
        <v>8</v>
      </c>
    </row>
    <row r="145" spans="1:10" x14ac:dyDescent="0.3">
      <c r="A145" s="74">
        <v>0</v>
      </c>
      <c r="B145" s="17"/>
      <c r="C145" s="6"/>
      <c r="D145" s="6"/>
      <c r="E145" s="6"/>
      <c r="F145" s="6"/>
      <c r="G145" s="6"/>
      <c r="H145" s="6"/>
      <c r="I145" s="6"/>
      <c r="J145" s="6"/>
    </row>
    <row r="146" spans="1:10" x14ac:dyDescent="0.3">
      <c r="A146" s="74">
        <v>3</v>
      </c>
      <c r="B146" s="17" t="str">
        <f>E138</f>
        <v>وحدة سفلية  ركنة 45 (بورديوم)</v>
      </c>
      <c r="C146" s="6">
        <v>1</v>
      </c>
      <c r="D146" s="6" t="str">
        <f>H142</f>
        <v>بورديوم</v>
      </c>
      <c r="E146" s="6" t="s">
        <v>10</v>
      </c>
      <c r="F146" s="6">
        <f>H140-1.8</f>
        <v>-1.8</v>
      </c>
      <c r="G146" s="6">
        <f>H141-1.8</f>
        <v>-1.8</v>
      </c>
      <c r="H146" s="6">
        <f>1*C138</f>
        <v>1</v>
      </c>
      <c r="I146" s="6">
        <f>HLOOKUP(D146, materials[], 2,FALSE)</f>
        <v>2</v>
      </c>
      <c r="J146" s="6"/>
    </row>
    <row r="147" spans="1:10" x14ac:dyDescent="0.3">
      <c r="A147" s="74">
        <v>3</v>
      </c>
      <c r="B147" s="17" t="str">
        <f>B146</f>
        <v>وحدة سفلية  ركنة 45 (بورديوم)</v>
      </c>
      <c r="C147" s="6">
        <f>C146+1</f>
        <v>2</v>
      </c>
      <c r="D147" s="6" t="str">
        <f>H142</f>
        <v>بورديوم</v>
      </c>
      <c r="E147" s="6" t="s">
        <v>11</v>
      </c>
      <c r="F147" s="6">
        <f>I140</f>
        <v>78</v>
      </c>
      <c r="G147" s="6">
        <f>J140</f>
        <v>56</v>
      </c>
      <c r="H147" s="6">
        <f>2*C138</f>
        <v>2</v>
      </c>
      <c r="I147" s="6">
        <f>HLOOKUP(D147, materials[], 2,FALSE)</f>
        <v>2</v>
      </c>
      <c r="J147" s="6"/>
    </row>
    <row r="148" spans="1:10" x14ac:dyDescent="0.3">
      <c r="A148" s="74">
        <v>3</v>
      </c>
      <c r="B148" s="17" t="str">
        <f>B146</f>
        <v>وحدة سفلية  ركنة 45 (بورديوم)</v>
      </c>
      <c r="C148" s="6">
        <f t="shared" ref="C148:C151" si="8">C147+1</f>
        <v>3</v>
      </c>
      <c r="D148" s="6" t="str">
        <f>H142</f>
        <v>بورديوم</v>
      </c>
      <c r="E148" s="6" t="s">
        <v>13</v>
      </c>
      <c r="F148" s="6">
        <f>H140-1.8</f>
        <v>-1.8</v>
      </c>
      <c r="G148" s="6">
        <v>10</v>
      </c>
      <c r="H148" s="6">
        <f>3*C138</f>
        <v>3</v>
      </c>
      <c r="I148" s="6">
        <f>HLOOKUP(D148, materials[], 2,FALSE)</f>
        <v>2</v>
      </c>
      <c r="J148" s="6"/>
    </row>
    <row r="149" spans="1:10" x14ac:dyDescent="0.3">
      <c r="A149" s="74">
        <v>3</v>
      </c>
      <c r="B149" s="17" t="str">
        <f>B146</f>
        <v>وحدة سفلية  ركنة 45 (بورديوم)</v>
      </c>
      <c r="C149" s="6">
        <f t="shared" si="8"/>
        <v>4</v>
      </c>
      <c r="D149" s="6" t="str">
        <f>H142</f>
        <v>بورديوم</v>
      </c>
      <c r="E149" s="6" t="s">
        <v>14</v>
      </c>
      <c r="F149" s="6">
        <f>H140-1.8</f>
        <v>-1.8</v>
      </c>
      <c r="G149" s="6">
        <v>7</v>
      </c>
      <c r="H149" s="6">
        <f>2*C138</f>
        <v>2</v>
      </c>
      <c r="I149" s="6">
        <f>HLOOKUP(D149, materials[], 2,FALSE)</f>
        <v>2</v>
      </c>
      <c r="J149" s="6"/>
    </row>
    <row r="150" spans="1:10" x14ac:dyDescent="0.3">
      <c r="A150" s="74">
        <v>3</v>
      </c>
      <c r="B150" s="17" t="str">
        <f>B146</f>
        <v>وحدة سفلية  ركنة 45 (بورديوم)</v>
      </c>
      <c r="C150" s="6">
        <f t="shared" si="8"/>
        <v>5</v>
      </c>
      <c r="D150" s="6" t="str">
        <f>H142</f>
        <v>بورديوم</v>
      </c>
      <c r="E150" s="6" t="s">
        <v>36</v>
      </c>
      <c r="F150" s="6">
        <v>70</v>
      </c>
      <c r="G150" s="6">
        <v>10</v>
      </c>
      <c r="H150" s="6">
        <f>1*C138</f>
        <v>1</v>
      </c>
      <c r="I150" s="6">
        <f>HLOOKUP(D150, materials[], 2,FALSE)</f>
        <v>2</v>
      </c>
      <c r="J150" s="6"/>
    </row>
    <row r="151" spans="1:10" x14ac:dyDescent="0.3">
      <c r="A151" s="74">
        <v>3</v>
      </c>
      <c r="B151" s="17" t="str">
        <f>B146</f>
        <v>وحدة سفلية  ركنة 45 (بورديوم)</v>
      </c>
      <c r="C151" s="6">
        <f t="shared" si="8"/>
        <v>6</v>
      </c>
      <c r="D151" s="6" t="str">
        <f>H142</f>
        <v>بورديوم</v>
      </c>
      <c r="E151" s="6" t="s">
        <v>18</v>
      </c>
      <c r="F151" s="6">
        <f>H140-3.8</f>
        <v>-3.8</v>
      </c>
      <c r="G151" s="6">
        <f>H141-3.8</f>
        <v>-3.8</v>
      </c>
      <c r="H151" s="6">
        <f>D140*C138</f>
        <v>1</v>
      </c>
      <c r="I151" s="6">
        <f>HLOOKUP(D151, materials[], 2,FALSE)</f>
        <v>2</v>
      </c>
      <c r="J151" s="6"/>
    </row>
    <row r="152" spans="1:10" x14ac:dyDescent="0.3">
      <c r="A152" s="74">
        <v>0</v>
      </c>
      <c r="B152" s="17"/>
      <c r="C152" s="6"/>
      <c r="D152" s="6"/>
      <c r="E152" s="6"/>
      <c r="F152" s="6"/>
      <c r="G152" s="6"/>
      <c r="H152" s="6"/>
      <c r="I152" s="6"/>
      <c r="J152" s="6"/>
    </row>
    <row r="153" spans="1:10" x14ac:dyDescent="0.3">
      <c r="A153" s="74">
        <v>4</v>
      </c>
      <c r="B153" s="17" t="str">
        <f>B146</f>
        <v>وحدة سفلية  ركنة 45 (بورديوم)</v>
      </c>
      <c r="C153" s="10">
        <f>C151+1</f>
        <v>7</v>
      </c>
      <c r="D153" s="10" t="str">
        <f>F142</f>
        <v>يوفيلاك</v>
      </c>
      <c r="E153" s="10" t="s">
        <v>37</v>
      </c>
      <c r="F153" s="10">
        <f>I140-0.5-E140</f>
        <v>74</v>
      </c>
      <c r="G153" s="19">
        <f>(SQRT((H140-J140)^2+(H141-J141)^2))-2</f>
        <v>77.195959492893323</v>
      </c>
      <c r="H153" s="10">
        <f>1*C138</f>
        <v>1</v>
      </c>
      <c r="I153" s="10">
        <f>HLOOKUP(D153, materials[], 2,FALSE)</f>
        <v>6</v>
      </c>
      <c r="J153" s="10"/>
    </row>
    <row r="154" spans="1:10" ht="14.4" x14ac:dyDescent="0.3">
      <c r="A154" s="74">
        <v>0</v>
      </c>
      <c r="C154" s="6"/>
      <c r="D154" s="6"/>
      <c r="E154" s="6"/>
      <c r="F154" s="6"/>
      <c r="G154" s="6"/>
      <c r="H154" s="6"/>
      <c r="I154" s="6"/>
      <c r="J154" s="6"/>
    </row>
    <row r="155" spans="1:10" x14ac:dyDescent="0.3">
      <c r="A155" s="74">
        <v>5</v>
      </c>
      <c r="B155" s="17" t="str">
        <f>IF(F140,B146, "")</f>
        <v/>
      </c>
      <c r="C155" s="21" t="str">
        <f>IF(F140,C153+1, "")</f>
        <v/>
      </c>
      <c r="D155" s="21" t="str">
        <f>IF(F140,D142, "")</f>
        <v/>
      </c>
      <c r="E155" s="21" t="str">
        <f>IF(F140,"ظهر", "")</f>
        <v/>
      </c>
      <c r="F155" s="21" t="str">
        <f>IF(F140,I140-1, "")</f>
        <v/>
      </c>
      <c r="G155" s="21" t="str">
        <f>IF(F140,H140-1, "")</f>
        <v/>
      </c>
      <c r="H155" s="21" t="str">
        <f>IF(F140,1*C138, "")</f>
        <v/>
      </c>
      <c r="I155" s="21" t="str">
        <f>IF(F140,HLOOKUP(D155, materials[], 2,FALSE), "")</f>
        <v/>
      </c>
      <c r="J155" s="21"/>
    </row>
    <row r="156" spans="1:10" x14ac:dyDescent="0.3">
      <c r="A156" s="58">
        <v>255</v>
      </c>
      <c r="B156" s="17"/>
    </row>
    <row r="157" spans="1:10" x14ac:dyDescent="0.3">
      <c r="A157" s="58">
        <v>255</v>
      </c>
      <c r="B157" s="17"/>
    </row>
    <row r="158" spans="1:10" x14ac:dyDescent="0.3">
      <c r="A158" s="58"/>
      <c r="B158" s="17"/>
    </row>
  </sheetData>
  <mergeCells count="10">
    <mergeCell ref="C2:J2"/>
    <mergeCell ref="E117:H117"/>
    <mergeCell ref="G98:G99"/>
    <mergeCell ref="E97:H97"/>
    <mergeCell ref="E138:H138"/>
    <mergeCell ref="G14:G15"/>
    <mergeCell ref="E13:H13"/>
    <mergeCell ref="E74:H74"/>
    <mergeCell ref="E51:H51"/>
    <mergeCell ref="E31:H31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58"/>
  <sheetViews>
    <sheetView topLeftCell="B1" zoomScale="70" zoomScaleNormal="70" workbookViewId="0">
      <selection activeCell="N13" sqref="N13"/>
    </sheetView>
  </sheetViews>
  <sheetFormatPr defaultRowHeight="14.4" x14ac:dyDescent="0.3"/>
  <cols>
    <col min="1" max="1" width="10.77734375" style="58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58" customFormat="1" x14ac:dyDescent="0.3">
      <c r="A1" s="58">
        <v>34</v>
      </c>
      <c r="B1" s="78">
        <v>6</v>
      </c>
      <c r="P1" s="68"/>
      <c r="Q1" s="68"/>
      <c r="R1" s="68"/>
      <c r="S1" s="68"/>
      <c r="T1" s="68"/>
      <c r="U1" s="68"/>
      <c r="V1" s="68"/>
      <c r="W1" s="68"/>
      <c r="X1" s="68"/>
    </row>
    <row r="2" spans="1:81" s="58" customFormat="1" ht="31.2" x14ac:dyDescent="0.3">
      <c r="A2" s="58">
        <v>54</v>
      </c>
      <c r="B2" s="71" t="s">
        <v>141</v>
      </c>
      <c r="C2" s="96" t="s">
        <v>52</v>
      </c>
      <c r="D2" s="96"/>
      <c r="E2" s="96"/>
      <c r="F2" s="96"/>
      <c r="G2" s="96"/>
      <c r="H2" s="96"/>
      <c r="I2" s="96"/>
      <c r="J2" s="96"/>
      <c r="P2" s="68"/>
      <c r="Q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</row>
    <row r="3" spans="1:81" s="58" customFormat="1" x14ac:dyDescent="0.3">
      <c r="B3" s="7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P3" s="68"/>
      <c r="Q3" s="68"/>
      <c r="R3" s="57"/>
      <c r="S3" s="57"/>
      <c r="T3" s="57"/>
      <c r="U3" s="57"/>
      <c r="V3" s="63"/>
      <c r="W3" s="63"/>
      <c r="X3" s="63"/>
      <c r="Y3" s="63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</row>
    <row r="4" spans="1:81" s="58" customFormat="1" x14ac:dyDescent="0.3">
      <c r="B4" s="7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P4" s="68"/>
      <c r="Q4" s="68"/>
      <c r="R4" s="57"/>
      <c r="S4" s="57"/>
      <c r="T4" s="57"/>
      <c r="U4" s="57"/>
      <c r="V4" s="57"/>
      <c r="W4" s="57"/>
      <c r="X4" s="57"/>
      <c r="Y4" s="57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  <c r="BS4" s="68"/>
      <c r="BT4" s="68"/>
      <c r="BU4" s="68"/>
      <c r="BV4" s="68"/>
      <c r="BW4" s="68"/>
      <c r="BX4" s="68"/>
      <c r="BY4" s="68"/>
      <c r="BZ4" s="68"/>
      <c r="CA4" s="68"/>
      <c r="CB4" s="68"/>
      <c r="CC4" s="68"/>
    </row>
    <row r="5" spans="1:81" s="58" customFormat="1" x14ac:dyDescent="0.3">
      <c r="B5" s="7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</row>
    <row r="6" spans="1:81" s="58" customFormat="1" x14ac:dyDescent="0.3">
      <c r="B6" s="7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</row>
    <row r="7" spans="1:81" s="58" customFormat="1" x14ac:dyDescent="0.3">
      <c r="B7" s="7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  <c r="BQ7" s="68"/>
      <c r="BR7" s="68"/>
      <c r="BS7" s="68"/>
      <c r="BT7" s="68"/>
      <c r="BU7" s="68"/>
      <c r="BV7" s="68"/>
      <c r="BW7" s="68"/>
      <c r="BX7" s="68"/>
      <c r="BY7" s="68"/>
      <c r="BZ7" s="68"/>
      <c r="CA7" s="68"/>
      <c r="CB7" s="68"/>
      <c r="CC7" s="68"/>
    </row>
    <row r="8" spans="1:81" s="61" customFormat="1" ht="18" x14ac:dyDescent="0.3">
      <c r="A8" s="58"/>
      <c r="B8" s="7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  <c r="BX8" s="68"/>
      <c r="BY8" s="68"/>
      <c r="BZ8" s="68"/>
      <c r="CA8" s="68"/>
      <c r="CB8" s="68"/>
      <c r="CC8" s="68"/>
    </row>
    <row r="9" spans="1:81" customFormat="1" x14ac:dyDescent="0.3">
      <c r="A9" s="58"/>
    </row>
    <row r="10" spans="1:81" customFormat="1" x14ac:dyDescent="0.3">
      <c r="A10" s="58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72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58" t="s">
        <v>173</v>
      </c>
      <c r="B13" s="3"/>
      <c r="C13" s="15">
        <v>1</v>
      </c>
      <c r="D13" s="25" t="s">
        <v>68</v>
      </c>
      <c r="E13" s="92" t="s">
        <v>53</v>
      </c>
      <c r="F13" s="93"/>
      <c r="G13" s="93"/>
      <c r="H13" s="94"/>
      <c r="I13" s="2" t="s">
        <v>39</v>
      </c>
      <c r="J13" s="2">
        <f>letterToNumber(A13)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58">
        <v>1</v>
      </c>
      <c r="C14" s="8" t="s">
        <v>63</v>
      </c>
      <c r="D14" s="8" t="s">
        <v>64</v>
      </c>
      <c r="E14" s="20" t="s">
        <v>19</v>
      </c>
      <c r="F14" s="8" t="s">
        <v>17</v>
      </c>
      <c r="G14" s="8" t="s">
        <v>128</v>
      </c>
      <c r="H14" s="8" t="s">
        <v>31</v>
      </c>
      <c r="I14" s="8" t="s">
        <v>3</v>
      </c>
      <c r="J14" s="8" t="s">
        <v>123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58">
        <v>1</v>
      </c>
      <c r="C15" s="9">
        <v>1</v>
      </c>
      <c r="D15" s="9">
        <v>0</v>
      </c>
      <c r="E15" s="9">
        <v>1</v>
      </c>
      <c r="F15" s="30">
        <f>INDEX(upperCommon[[#All],[Column1]],MATCH(F14,upperCommon[[#All],[Column2]],0))</f>
        <v>3.5</v>
      </c>
      <c r="G15" s="30">
        <f>INDEX(upperCommon[[#All],[Column1]],MATCH(G14,upperCommon[[#All],[Column2]],0))</f>
        <v>0</v>
      </c>
      <c r="H15" s="9"/>
      <c r="I15" s="30">
        <f>INDEX(upperCommon[[#All],[Column1]],MATCH(I14,upperCommon[[#All],[Column2]],0))</f>
        <v>70</v>
      </c>
      <c r="J15" s="30">
        <f>INDEX(upperCommon[[#All],[Column1]],MATCH(J14,upperCommon[[#All],[Column2]],0))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58">
        <v>1</v>
      </c>
      <c r="C16" s="10" t="b">
        <f>C15=0</f>
        <v>0</v>
      </c>
      <c r="D16" s="10" t="b">
        <f>D15=0</f>
        <v>1</v>
      </c>
      <c r="E16" s="8" t="s">
        <v>115</v>
      </c>
      <c r="F16" s="102" t="b">
        <f>NOT(AND(F15&gt;0,G15&gt;0))</f>
        <v>1</v>
      </c>
      <c r="G16" s="102"/>
      <c r="H16" s="3" t="b">
        <f>_xlfn.XOR(H15&lt;=50,C17=2)</f>
        <v>1</v>
      </c>
      <c r="I16" s="69"/>
      <c r="J16" s="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58">
        <v>1</v>
      </c>
      <c r="C17" s="101">
        <f>C15+D15</f>
        <v>1</v>
      </c>
      <c r="D17" s="101"/>
      <c r="E17" s="29">
        <v>10</v>
      </c>
      <c r="F17" s="103" t="str">
        <f>IF(F16,"المقابض مظبوطة","مينفعش مقبض مخفي مع بيلت ان")</f>
        <v>المقابض مظبوطة</v>
      </c>
      <c r="G17" s="103"/>
      <c r="H17" s="102" t="str">
        <f>IF(H16,"عدد الدلف صحيح","عدد الدلف غير صحيح")</f>
        <v>عدد الدلف صحيح</v>
      </c>
      <c r="I17" s="102"/>
      <c r="J17" s="102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58">
        <v>1</v>
      </c>
      <c r="C18" s="102" t="b">
        <f>C17&lt;=2</f>
        <v>1</v>
      </c>
      <c r="D18" s="102"/>
      <c r="E18" s="9"/>
      <c r="F18" s="9"/>
      <c r="G18" s="9"/>
      <c r="H18" s="9"/>
      <c r="I18" s="9"/>
      <c r="J18" s="9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58">
        <v>1</v>
      </c>
      <c r="C19" s="9"/>
      <c r="D19" s="30" t="str">
        <f>INDEX(choosenMaterials[[#All],[Column1]],MATCH(E19,choosenMaterials[[#All],[Column2]],0))</f>
        <v>ظهر</v>
      </c>
      <c r="E19" s="8" t="s">
        <v>67</v>
      </c>
      <c r="F19" s="30" t="str">
        <f>INDEX(choosenMaterials[[#All],[Column1]],MATCH(G19,choosenMaterials[[#All],[Column2]],0))</f>
        <v>يوفيلاك</v>
      </c>
      <c r="G19" s="8" t="s">
        <v>41</v>
      </c>
      <c r="H19" s="30" t="str">
        <f>INDEX(choosenMaterials[[#All],[Column1]],MATCH(I19,choosenMaterials[[#All],[Column2]],0))</f>
        <v>HPL</v>
      </c>
      <c r="I19" s="8" t="s">
        <v>40</v>
      </c>
      <c r="J19" s="28" t="s">
        <v>121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58">
        <v>0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58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42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58">
        <v>0</v>
      </c>
      <c r="C22" s="6"/>
      <c r="D22" s="6"/>
      <c r="E22" s="6"/>
      <c r="F22" s="6"/>
      <c r="G22" s="6"/>
      <c r="H22" s="6"/>
      <c r="I22" s="6"/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58">
        <v>3</v>
      </c>
      <c r="B23" s="3" t="str">
        <f>E13</f>
        <v xml:space="preserve">وحدة علوية دلفة /دلفتين </v>
      </c>
      <c r="C23" s="6">
        <v>1</v>
      </c>
      <c r="D23" s="6" t="str">
        <f>H19</f>
        <v>HPL</v>
      </c>
      <c r="E23" s="6" t="s">
        <v>58</v>
      </c>
      <c r="F23" s="6">
        <f>H15-3.6</f>
        <v>-3.6</v>
      </c>
      <c r="G23" s="6">
        <f>J15-E17</f>
        <v>20</v>
      </c>
      <c r="H23" s="6">
        <f>1*C13</f>
        <v>1</v>
      </c>
      <c r="I23" s="6">
        <f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58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>H19</f>
        <v>HPL</v>
      </c>
      <c r="E24" s="6" t="s">
        <v>10</v>
      </c>
      <c r="F24" s="6">
        <f>H15-3.6</f>
        <v>-3.6</v>
      </c>
      <c r="G24" s="6">
        <f>J15-G15-E17</f>
        <v>20</v>
      </c>
      <c r="H24" s="6">
        <f>1*C13</f>
        <v>1</v>
      </c>
      <c r="I24" s="6">
        <f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58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>H19</f>
        <v>HPL</v>
      </c>
      <c r="E25" s="6" t="s">
        <v>11</v>
      </c>
      <c r="F25" s="6">
        <f>I15</f>
        <v>70</v>
      </c>
      <c r="G25" s="6">
        <f>J15</f>
        <v>30</v>
      </c>
      <c r="H25" s="6">
        <f>2*C13</f>
        <v>2</v>
      </c>
      <c r="I25" s="6">
        <f>HLOOKUP(D25, materials[], 2,FALSE)</f>
        <v>2</v>
      </c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58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>H19</f>
        <v>HPL</v>
      </c>
      <c r="E26" s="6" t="s">
        <v>18</v>
      </c>
      <c r="F26" s="6">
        <f>H15-3.8</f>
        <v>-3.8</v>
      </c>
      <c r="G26" s="6">
        <f>J15-5-E17</f>
        <v>15</v>
      </c>
      <c r="H26" s="6">
        <f>E15*C13</f>
        <v>1</v>
      </c>
      <c r="I26" s="6">
        <f>HLOOKUP(D26, materials[], 2,FALSE)</f>
        <v>2</v>
      </c>
      <c r="J26" s="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58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58">
        <v>4</v>
      </c>
      <c r="B28" s="3" t="str">
        <f>B23</f>
        <v xml:space="preserve">وحدة علوية دلفة /دلفتين </v>
      </c>
      <c r="C28" s="10">
        <f>C26+1</f>
        <v>5</v>
      </c>
      <c r="D28" s="10" t="str">
        <f>F19</f>
        <v>يوفيلاك</v>
      </c>
      <c r="E28" s="10" t="s">
        <v>61</v>
      </c>
      <c r="F28" s="10">
        <f>IF(C16,"",I15-0.5-F15)</f>
        <v>66</v>
      </c>
      <c r="G28" s="10">
        <f>IF(C16,"",(H15/C17)-0.5)</f>
        <v>-0.5</v>
      </c>
      <c r="H28" s="10">
        <f>C15*C13</f>
        <v>1</v>
      </c>
      <c r="I28" s="10">
        <f>HLOOKUP(D28, materials[], 2,FALSE)</f>
        <v>6</v>
      </c>
      <c r="J28" s="10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58">
        <v>4</v>
      </c>
      <c r="B29" s="3" t="str">
        <f>B23</f>
        <v xml:space="preserve">وحدة علوية دلفة /دلفتين </v>
      </c>
      <c r="C29" s="10">
        <f>C28+1</f>
        <v>6</v>
      </c>
      <c r="D29" s="10" t="s">
        <v>62</v>
      </c>
      <c r="E29" s="10" t="s">
        <v>80</v>
      </c>
      <c r="F29" s="10">
        <f>I15-0.5</f>
        <v>69.5</v>
      </c>
      <c r="G29" s="10">
        <f>(H15/C17)-0.7</f>
        <v>-0.7</v>
      </c>
      <c r="H29" s="10">
        <f>C13*D15</f>
        <v>0</v>
      </c>
      <c r="I29" s="10"/>
      <c r="J29" s="10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58">
        <v>0</v>
      </c>
      <c r="C30" s="6"/>
      <c r="D30" s="6"/>
      <c r="E30" s="6"/>
      <c r="F30" s="6"/>
      <c r="G30" s="6"/>
      <c r="H30" s="6"/>
      <c r="I30" s="6"/>
      <c r="J30" s="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58">
        <v>5</v>
      </c>
      <c r="B31" s="3" t="str">
        <f>B23</f>
        <v xml:space="preserve">وحدة علوية دلفة /دلفتين </v>
      </c>
      <c r="C31" s="21">
        <f>C29+1</f>
        <v>7</v>
      </c>
      <c r="D31" s="21" t="str">
        <f>D19</f>
        <v>ظهر</v>
      </c>
      <c r="E31" s="21" t="s">
        <v>67</v>
      </c>
      <c r="F31" s="21">
        <f>I15-2</f>
        <v>68</v>
      </c>
      <c r="G31" s="21">
        <f>H15-2</f>
        <v>-2</v>
      </c>
      <c r="H31" s="21">
        <f>1*C13</f>
        <v>1</v>
      </c>
      <c r="I31" s="21">
        <f>HLOOKUP(D31, materials[], 2,FALSE)</f>
        <v>2</v>
      </c>
      <c r="J31" s="2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58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58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58" t="s">
        <v>179</v>
      </c>
      <c r="C34" s="15">
        <v>1</v>
      </c>
      <c r="D34" s="25" t="s">
        <v>68</v>
      </c>
      <c r="E34" s="92" t="s">
        <v>59</v>
      </c>
      <c r="F34" s="93"/>
      <c r="G34" s="93"/>
      <c r="H34" s="94"/>
      <c r="I34" s="2" t="s">
        <v>39</v>
      </c>
      <c r="J34" s="2">
        <f>letterToNumber(A34)</f>
        <v>2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58">
        <v>1</v>
      </c>
      <c r="C35" s="8" t="s">
        <v>63</v>
      </c>
      <c r="D35" s="8" t="s">
        <v>64</v>
      </c>
      <c r="E35" s="8" t="s">
        <v>60</v>
      </c>
      <c r="F35" s="8" t="s">
        <v>17</v>
      </c>
      <c r="G35" s="8" t="s">
        <v>128</v>
      </c>
      <c r="H35" s="8" t="s">
        <v>31</v>
      </c>
      <c r="I35" s="8" t="s">
        <v>3</v>
      </c>
      <c r="J35" s="8" t="s">
        <v>123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58">
        <v>1</v>
      </c>
      <c r="C36" s="9">
        <v>2</v>
      </c>
      <c r="D36" s="9">
        <v>0</v>
      </c>
      <c r="E36" s="8">
        <v>1</v>
      </c>
      <c r="F36" s="30">
        <f>INDEX(upperCommon[[#All],[Column1]],MATCH(F35,upperCommon[[#All],[Column2]],0))</f>
        <v>3.5</v>
      </c>
      <c r="G36" s="30">
        <f>INDEX(upperCommon[[#All],[Column1]],MATCH(G35,upperCommon[[#All],[Column2]],0))</f>
        <v>0</v>
      </c>
      <c r="H36" s="9"/>
      <c r="I36" s="30">
        <f>INDEX(upperCommon[[#All],[Column1]],MATCH(I35,upperCommon[[#All],[Column2]],0))</f>
        <v>70</v>
      </c>
      <c r="J36" s="30">
        <f>INDEX(upperCommon[[#All],[Column1]],MATCH(J35,upperCommon[[#All],[Column2]],0))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58">
        <v>1</v>
      </c>
      <c r="C37" s="10" t="b">
        <f>C36=0</f>
        <v>0</v>
      </c>
      <c r="D37" s="10" t="b">
        <f>D36=0</f>
        <v>1</v>
      </c>
      <c r="E37" s="69"/>
      <c r="F37" s="104" t="b">
        <f>NOT(AND(F36&gt;0,G36&gt;0))</f>
        <v>1</v>
      </c>
      <c r="G37" s="104"/>
      <c r="H37" s="9"/>
      <c r="I37" s="3" t="b">
        <f>_xlfn.XOR(I36&lt;=50,C38=2)</f>
        <v>1</v>
      </c>
      <c r="J37" s="9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58">
        <v>1</v>
      </c>
      <c r="C38" s="101">
        <f>C36+D36</f>
        <v>2</v>
      </c>
      <c r="D38" s="101"/>
      <c r="E38" s="53"/>
      <c r="F38" s="105" t="str">
        <f>IF(F37,"المقابض مظبوطة","مينفعش مقبض مخفي مع بيلت ان")</f>
        <v>المقابض مظبوطة</v>
      </c>
      <c r="G38" s="105"/>
      <c r="H38" s="53"/>
      <c r="I38" s="55" t="str">
        <f>IF(I37,"عدد الدلف صحيح","عدد الدلف غير صحيح")</f>
        <v>عدد الدلف صحيح</v>
      </c>
      <c r="J38" s="9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58">
        <v>1</v>
      </c>
      <c r="C39" s="102" t="b">
        <f>C38&lt;=2</f>
        <v>1</v>
      </c>
      <c r="D39" s="102"/>
      <c r="E39" s="69"/>
      <c r="F39" s="9"/>
      <c r="G39" s="9"/>
      <c r="H39" s="9"/>
      <c r="I39" s="9"/>
      <c r="J39" s="9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58">
        <v>1</v>
      </c>
      <c r="C40" s="9"/>
      <c r="D40" s="30" t="str">
        <f>INDEX(choosenMaterials[[#All],[Column1]],MATCH(E40,choosenMaterials[[#All],[Column2]],0))</f>
        <v>ظهر</v>
      </c>
      <c r="E40" s="8" t="s">
        <v>67</v>
      </c>
      <c r="F40" s="30" t="str">
        <f>INDEX(choosenMaterials[[#All],[Column1]],MATCH(G40,choosenMaterials[[#All],[Column2]],0))</f>
        <v>يوفيلاك</v>
      </c>
      <c r="G40" s="8" t="s">
        <v>41</v>
      </c>
      <c r="H40" s="30" t="str">
        <f>INDEX(choosenMaterials[[#All],[Column1]],MATCH(I40,choosenMaterials[[#All],[Column2]],0))</f>
        <v>HPL</v>
      </c>
      <c r="I40" s="8" t="s">
        <v>40</v>
      </c>
      <c r="J40" s="28" t="s">
        <v>121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58">
        <v>0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58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42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58">
        <v>0</v>
      </c>
      <c r="C43" s="6"/>
      <c r="D43" s="6"/>
      <c r="E43" s="6"/>
      <c r="F43" s="6"/>
      <c r="G43" s="6"/>
      <c r="H43" s="6"/>
      <c r="I43" s="6"/>
      <c r="J43" s="6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58">
        <v>3</v>
      </c>
      <c r="B44" s="3" t="str">
        <f>E34</f>
        <v>وحدة علوية  قلاب / 2 قلاب</v>
      </c>
      <c r="C44" s="6">
        <v>1</v>
      </c>
      <c r="D44" s="6" t="str">
        <f>H40</f>
        <v>HPL</v>
      </c>
      <c r="E44" s="6" t="s">
        <v>58</v>
      </c>
      <c r="F44" s="6">
        <f>H36-3.6</f>
        <v>-3.6</v>
      </c>
      <c r="G44" s="6">
        <f>J36</f>
        <v>30</v>
      </c>
      <c r="H44" s="6">
        <f>1*C34</f>
        <v>1</v>
      </c>
      <c r="I44" s="6">
        <f>HLOOKUP(D44, materials[], 2,FALSE)</f>
        <v>2</v>
      </c>
      <c r="J44" s="6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58">
        <v>3</v>
      </c>
      <c r="B45" s="3" t="str">
        <f>B44</f>
        <v>وحدة علوية  قلاب / 2 قلاب</v>
      </c>
      <c r="C45" s="6">
        <f>C44+1</f>
        <v>2</v>
      </c>
      <c r="D45" s="6" t="str">
        <f>H40</f>
        <v>HPL</v>
      </c>
      <c r="E45" s="6" t="s">
        <v>10</v>
      </c>
      <c r="F45" s="6">
        <f>H36-3.6</f>
        <v>-3.6</v>
      </c>
      <c r="G45" s="6">
        <f>J36-G36</f>
        <v>30</v>
      </c>
      <c r="H45" s="6">
        <f>1*C34</f>
        <v>1</v>
      </c>
      <c r="I45" s="6">
        <f>HLOOKUP(D45, materials[], 2,FALSE)</f>
        <v>2</v>
      </c>
      <c r="J45" s="6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58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>H40</f>
        <v>HPL</v>
      </c>
      <c r="E46" s="6" t="s">
        <v>11</v>
      </c>
      <c r="F46" s="6">
        <f>I36</f>
        <v>70</v>
      </c>
      <c r="G46" s="6">
        <f>J36</f>
        <v>30</v>
      </c>
      <c r="H46" s="6">
        <f>2*C34</f>
        <v>2</v>
      </c>
      <c r="I46" s="6">
        <f>HLOOKUP(D46, materials[], 2,FALSE)</f>
        <v>2</v>
      </c>
      <c r="J46" s="6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58">
        <v>3</v>
      </c>
      <c r="B47" s="3" t="str">
        <f>B44</f>
        <v>وحدة علوية  قلاب / 2 قلاب</v>
      </c>
      <c r="C47" s="6">
        <f t="shared" si="1"/>
        <v>4</v>
      </c>
      <c r="D47" s="6" t="str">
        <f>H40</f>
        <v>HPL</v>
      </c>
      <c r="E47" s="6" t="s">
        <v>60</v>
      </c>
      <c r="F47" s="6">
        <f>(H36-3.6)*E36</f>
        <v>-3.6</v>
      </c>
      <c r="G47" s="6">
        <f>(J36-2.5)*E36</f>
        <v>27.5</v>
      </c>
      <c r="H47" s="6">
        <f>E36*C34</f>
        <v>1</v>
      </c>
      <c r="I47" s="6">
        <f>HLOOKUP(D47, materials[], 2,FALSE)</f>
        <v>2</v>
      </c>
      <c r="J47" s="6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58">
        <v>0</v>
      </c>
      <c r="B48" s="3" t="str">
        <f>B44</f>
        <v>وحدة علوية  قلاب / 2 قلاب</v>
      </c>
      <c r="C48" s="6"/>
      <c r="D48" s="6"/>
      <c r="E48" s="6"/>
      <c r="F48" s="6"/>
      <c r="G48" s="6"/>
      <c r="H48" s="6"/>
      <c r="I48" s="6"/>
      <c r="J48" s="6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58">
        <v>4</v>
      </c>
      <c r="B49" s="3" t="str">
        <f>B44</f>
        <v>وحدة علوية  قلاب / 2 قلاب</v>
      </c>
      <c r="C49" s="10">
        <f>C47+1</f>
        <v>5</v>
      </c>
      <c r="D49" s="10" t="str">
        <f>F40</f>
        <v>يوفيلاك</v>
      </c>
      <c r="E49" s="10" t="s">
        <v>65</v>
      </c>
      <c r="F49" s="10">
        <f>(I36/C38)-0.5-F36</f>
        <v>31</v>
      </c>
      <c r="G49" s="10">
        <f>H36-0.5</f>
        <v>-0.5</v>
      </c>
      <c r="H49" s="10">
        <f>C36*C34</f>
        <v>2</v>
      </c>
      <c r="I49" s="10">
        <f>HLOOKUP(D49, materials[], 2,FALSE)</f>
        <v>6</v>
      </c>
      <c r="J49" s="10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58">
        <v>4</v>
      </c>
      <c r="B50" s="3" t="str">
        <f>B44</f>
        <v>وحدة علوية  قلاب / 2 قلاب</v>
      </c>
      <c r="C50" s="10">
        <f>C49+1</f>
        <v>6</v>
      </c>
      <c r="D50" s="10" t="s">
        <v>62</v>
      </c>
      <c r="E50" s="10" t="s">
        <v>66</v>
      </c>
      <c r="F50" s="10">
        <f>(I36/C38)-0.5</f>
        <v>34.5</v>
      </c>
      <c r="G50" s="10">
        <f>H36-0.7</f>
        <v>-0.7</v>
      </c>
      <c r="H50" s="10">
        <f>C34*D36</f>
        <v>0</v>
      </c>
      <c r="I50" s="10"/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58">
        <v>0</v>
      </c>
      <c r="C51" s="6"/>
      <c r="D51" s="6"/>
      <c r="E51" s="6"/>
      <c r="F51" s="6"/>
      <c r="G51" s="6"/>
      <c r="H51" s="6"/>
      <c r="I51" s="6"/>
      <c r="J51" s="6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58">
        <v>5</v>
      </c>
      <c r="B52" s="3" t="str">
        <f>B44</f>
        <v>وحدة علوية  قلاب / 2 قلاب</v>
      </c>
      <c r="C52" s="21">
        <f>C50+1</f>
        <v>7</v>
      </c>
      <c r="D52" s="21" t="str">
        <f>D40</f>
        <v>ظهر</v>
      </c>
      <c r="E52" s="21" t="s">
        <v>67</v>
      </c>
      <c r="F52" s="21">
        <f>I36-2</f>
        <v>68</v>
      </c>
      <c r="G52" s="21">
        <f>H36-2</f>
        <v>-2</v>
      </c>
      <c r="H52" s="21">
        <f>1*C34</f>
        <v>1</v>
      </c>
      <c r="I52" s="21">
        <f>HLOOKUP(D52, materials[], 2,FALSE)</f>
        <v>2</v>
      </c>
      <c r="J52" s="2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58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58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58" t="s">
        <v>174</v>
      </c>
      <c r="C55" s="15">
        <v>1</v>
      </c>
      <c r="D55" s="25" t="s">
        <v>68</v>
      </c>
      <c r="E55" s="92" t="s">
        <v>54</v>
      </c>
      <c r="F55" s="93"/>
      <c r="G55" s="93"/>
      <c r="H55" s="94"/>
      <c r="I55" s="2" t="s">
        <v>39</v>
      </c>
      <c r="J55" s="2">
        <f>letterToNumber(A55)</f>
        <v>3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58">
        <v>1</v>
      </c>
      <c r="C56" s="8" t="s">
        <v>12</v>
      </c>
      <c r="D56" s="8"/>
      <c r="E56" s="8" t="s">
        <v>19</v>
      </c>
      <c r="F56" s="8" t="s">
        <v>17</v>
      </c>
      <c r="G56" s="8" t="s">
        <v>128</v>
      </c>
      <c r="H56" s="8" t="s">
        <v>31</v>
      </c>
      <c r="I56" s="8" t="s">
        <v>3</v>
      </c>
      <c r="J56" s="8" t="s">
        <v>123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58">
        <v>1</v>
      </c>
      <c r="C57" s="9">
        <v>2</v>
      </c>
      <c r="D57" s="9"/>
      <c r="E57" s="9">
        <v>1</v>
      </c>
      <c r="F57" s="30">
        <f>INDEX(upperCommon[[#All],[Column1]],MATCH(F56,upperCommon[[#All],[Column2]],0))</f>
        <v>3.5</v>
      </c>
      <c r="G57" s="30">
        <f>INDEX(upperCommon[[#All],[Column1]],MATCH(G56,upperCommon[[#All],[Column2]],0))</f>
        <v>0</v>
      </c>
      <c r="H57" s="9"/>
      <c r="I57" s="30">
        <f>INDEX(upperCommon[[#All],[Column1]],MATCH(I56,upperCommon[[#All],[Column2]],0))</f>
        <v>70</v>
      </c>
      <c r="J57" s="30">
        <f>INDEX(upperCommon[[#All],[Column1]],MATCH(J56,upperCommon[[#All],[Column2]],0))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58">
        <v>1</v>
      </c>
      <c r="C58" s="10" t="b">
        <f>C57=0</f>
        <v>0</v>
      </c>
      <c r="D58" s="10" t="b">
        <f>E57=0</f>
        <v>0</v>
      </c>
      <c r="E58" s="3" t="b">
        <f>_xlfn.XOR(I57&lt;=50,E57=1)</f>
        <v>1</v>
      </c>
      <c r="F58" s="102" t="b">
        <f>NOT(AND(F57&gt;0,G57&gt;0))</f>
        <v>1</v>
      </c>
      <c r="G58" s="99"/>
      <c r="H58" s="8" t="s">
        <v>33</v>
      </c>
      <c r="I58" s="3" t="b">
        <f>_xlfn.XOR(I57&lt;=50,C59=2)</f>
        <v>0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58">
        <v>1</v>
      </c>
      <c r="C59" s="101">
        <f>C57+E57</f>
        <v>3</v>
      </c>
      <c r="D59" s="101"/>
      <c r="E59" s="53"/>
      <c r="F59" s="106" t="str">
        <f>IF(F58,"المقابض مظبوطة","مينفعش مقبض مخفي مع بيلت ان")</f>
        <v>المقابض مظبوطة</v>
      </c>
      <c r="G59" s="106"/>
      <c r="H59" s="8">
        <v>15</v>
      </c>
      <c r="I59" s="56" t="str">
        <f>IF(I58,"عدد الدلف صحيح","عدد الدلف غير صحيح")</f>
        <v>عدد الدلف غير صحيح</v>
      </c>
      <c r="J59" s="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x14ac:dyDescent="0.3">
      <c r="A60" s="58">
        <v>1</v>
      </c>
      <c r="C60" s="102" t="b">
        <f>C59&lt;=2</f>
        <v>0</v>
      </c>
      <c r="D60" s="102"/>
      <c r="E60" s="69"/>
      <c r="F60" s="9"/>
      <c r="G60" s="9"/>
      <c r="H60" s="9"/>
      <c r="I60" s="9"/>
      <c r="J60" s="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58">
        <v>1</v>
      </c>
      <c r="B61" s="1"/>
      <c r="C61" s="9"/>
      <c r="D61" s="30" t="str">
        <f>INDEX(choosenMaterials[[#All],[Column1]],MATCH(E61,choosenMaterials[[#All],[Column2]],0))</f>
        <v>ظهر</v>
      </c>
      <c r="E61" s="8" t="s">
        <v>67</v>
      </c>
      <c r="F61" s="30" t="str">
        <f>INDEX(choosenMaterials[[#All],[Column1]],MATCH(G61,choosenMaterials[[#All],[Column2]],0))</f>
        <v>يوفيلاك</v>
      </c>
      <c r="G61" s="8" t="s">
        <v>41</v>
      </c>
      <c r="H61" s="30" t="str">
        <f>INDEX(choosenMaterials[[#All],[Column1]],MATCH(I61,choosenMaterials[[#All],[Column2]],0))</f>
        <v>HPL</v>
      </c>
      <c r="I61" s="8" t="s">
        <v>40</v>
      </c>
      <c r="J61" s="28" t="s">
        <v>121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58">
        <v>0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58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42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58">
        <v>0</v>
      </c>
      <c r="C64" s="6"/>
      <c r="D64" s="6"/>
      <c r="E64" s="6"/>
      <c r="F64" s="6"/>
      <c r="G64" s="6"/>
      <c r="H64" s="6"/>
      <c r="I64" s="6"/>
      <c r="J64" s="6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58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>H61</f>
        <v>HPL</v>
      </c>
      <c r="E65" s="6" t="s">
        <v>58</v>
      </c>
      <c r="F65" s="6">
        <f>H57-3.6</f>
        <v>-3.6</v>
      </c>
      <c r="G65" s="6">
        <f>J57</f>
        <v>30</v>
      </c>
      <c r="H65" s="6">
        <f>1*C55</f>
        <v>1</v>
      </c>
      <c r="I65" s="6">
        <f>HLOOKUP(D65, materials[], 2,FALSE)</f>
        <v>2</v>
      </c>
      <c r="J65" s="6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58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>H61</f>
        <v>HPL</v>
      </c>
      <c r="E66" s="6" t="s">
        <v>10</v>
      </c>
      <c r="F66" s="6">
        <f>H57-3.6</f>
        <v>-3.6</v>
      </c>
      <c r="G66" s="6">
        <f>J57-G57</f>
        <v>30</v>
      </c>
      <c r="H66" s="6">
        <f>1*C55</f>
        <v>1</v>
      </c>
      <c r="I66" s="6">
        <f>HLOOKUP(D66, materials[], 2,FALSE)</f>
        <v>2</v>
      </c>
      <c r="J66" s="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58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>H61</f>
        <v>HPL</v>
      </c>
      <c r="E67" s="6" t="s">
        <v>11</v>
      </c>
      <c r="F67" s="6">
        <f>I57</f>
        <v>70</v>
      </c>
      <c r="G67" s="6">
        <f>J57</f>
        <v>30</v>
      </c>
      <c r="H67" s="6">
        <f>2*C55</f>
        <v>2</v>
      </c>
      <c r="I67" s="6">
        <f>HLOOKUP(D67, materials[], 2,FALSE)</f>
        <v>2</v>
      </c>
      <c r="J67" s="6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58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>H61</f>
        <v>HPL</v>
      </c>
      <c r="E68" s="6" t="s">
        <v>18</v>
      </c>
      <c r="F68" s="6">
        <f>H57-3.8</f>
        <v>-3.8</v>
      </c>
      <c r="G68" s="6">
        <f>J57-6</f>
        <v>24</v>
      </c>
      <c r="H68" s="6">
        <f>E57*C55</f>
        <v>1</v>
      </c>
      <c r="I68" s="6">
        <f>HLOOKUP(D68, materials[], 2,FALSE)</f>
        <v>2</v>
      </c>
      <c r="J68" s="6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58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>H61</f>
        <v>HPL</v>
      </c>
      <c r="E69" s="6" t="s">
        <v>33</v>
      </c>
      <c r="F69" s="6">
        <f>I57</f>
        <v>70</v>
      </c>
      <c r="G69" s="6">
        <f>H59</f>
        <v>15</v>
      </c>
      <c r="H69" s="6">
        <f>1*C55</f>
        <v>1</v>
      </c>
      <c r="I69" s="6">
        <f>HLOOKUP(D69, materials[], 2,FALSE)</f>
        <v>2</v>
      </c>
      <c r="J69" s="6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58">
        <v>0</v>
      </c>
      <c r="C70" s="6"/>
      <c r="D70" s="6"/>
      <c r="E70" s="6"/>
      <c r="F70" s="6"/>
      <c r="G70" s="6"/>
      <c r="H70" s="6"/>
      <c r="I70" s="6"/>
      <c r="J70" s="6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58">
        <v>4</v>
      </c>
      <c r="B71" s="3" t="str">
        <f>B65</f>
        <v xml:space="preserve">وحدة علوية  تلبيسة دلفة /دلفتين </v>
      </c>
      <c r="C71" s="10">
        <f>C69+1</f>
        <v>6</v>
      </c>
      <c r="D71" s="10" t="str">
        <f>F61</f>
        <v>يوفيلاك</v>
      </c>
      <c r="E71" s="10" t="s">
        <v>15</v>
      </c>
      <c r="F71" s="10">
        <f>I57-0.5-F57</f>
        <v>66</v>
      </c>
      <c r="G71" s="10">
        <f>(H57-H59-G72)/C57-0.5</f>
        <v>-10</v>
      </c>
      <c r="H71" s="10">
        <f>C57*C55</f>
        <v>2</v>
      </c>
      <c r="I71" s="10">
        <f>HLOOKUP(D71, materials[], 2,FALSE)</f>
        <v>6</v>
      </c>
      <c r="J71" s="10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58">
        <v>4</v>
      </c>
      <c r="B72" s="3" t="str">
        <f>B65</f>
        <v xml:space="preserve">وحدة علوية  تلبيسة دلفة /دلفتين </v>
      </c>
      <c r="C72" s="10">
        <f t="shared" ref="C72" si="3">C71+1</f>
        <v>7</v>
      </c>
      <c r="D72" s="10" t="str">
        <f>F61</f>
        <v>يوفيلاك</v>
      </c>
      <c r="E72" s="10" t="s">
        <v>34</v>
      </c>
      <c r="F72" s="10">
        <f>I57</f>
        <v>70</v>
      </c>
      <c r="G72" s="10">
        <v>4</v>
      </c>
      <c r="H72" s="10">
        <f>1*C55</f>
        <v>1</v>
      </c>
      <c r="I72" s="10">
        <f>HLOOKUP(D72, materials[], 2,FALSE)</f>
        <v>6</v>
      </c>
      <c r="J72" s="10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58">
        <v>0</v>
      </c>
      <c r="C73" s="6"/>
      <c r="D73" s="6"/>
      <c r="E73" s="6"/>
      <c r="F73" s="6"/>
      <c r="G73" s="6"/>
      <c r="H73" s="6"/>
      <c r="I73" s="6"/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58">
        <v>5</v>
      </c>
      <c r="B74" s="3" t="str">
        <f>B65</f>
        <v xml:space="preserve">وحدة علوية  تلبيسة دلفة /دلفتين </v>
      </c>
      <c r="C74" s="21">
        <f>C72+1</f>
        <v>8</v>
      </c>
      <c r="D74" s="21" t="str">
        <f>D61</f>
        <v>ظهر</v>
      </c>
      <c r="E74" s="21" t="s">
        <v>67</v>
      </c>
      <c r="F74" s="21">
        <f>I57-2</f>
        <v>68</v>
      </c>
      <c r="G74" s="21">
        <f>H57-2</f>
        <v>-2</v>
      </c>
      <c r="H74" s="21">
        <f>1*C55</f>
        <v>1</v>
      </c>
      <c r="I74" s="21">
        <f>HLOOKUP(D74, materials[], 2,FALSE)</f>
        <v>2</v>
      </c>
      <c r="J74" s="2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58">
        <v>255</v>
      </c>
      <c r="C75" s="1"/>
      <c r="D75" s="1"/>
      <c r="E75" s="1"/>
      <c r="F75" s="1"/>
      <c r="G75" s="1"/>
      <c r="H75" s="1"/>
      <c r="I75" s="1"/>
      <c r="J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58">
        <v>255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ht="36" x14ac:dyDescent="0.3">
      <c r="A77" s="58" t="s">
        <v>180</v>
      </c>
      <c r="C77" s="15">
        <v>1</v>
      </c>
      <c r="D77" s="25" t="s">
        <v>68</v>
      </c>
      <c r="E77" s="92" t="s">
        <v>55</v>
      </c>
      <c r="F77" s="93"/>
      <c r="G77" s="93"/>
      <c r="H77" s="94"/>
      <c r="I77" s="2" t="s">
        <v>39</v>
      </c>
      <c r="J77" s="2">
        <f>letterToNumber(A77)</f>
        <v>4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ht="31.2" x14ac:dyDescent="0.3">
      <c r="A78" s="58">
        <v>1</v>
      </c>
      <c r="C78" s="8"/>
      <c r="D78" s="8" t="s">
        <v>19</v>
      </c>
      <c r="E78" s="8"/>
      <c r="F78" s="8" t="s">
        <v>17</v>
      </c>
      <c r="G78" s="8" t="s">
        <v>128</v>
      </c>
      <c r="H78" s="8" t="s">
        <v>31</v>
      </c>
      <c r="I78" s="8" t="s">
        <v>3</v>
      </c>
      <c r="J78" s="8" t="s">
        <v>123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15.6" x14ac:dyDescent="0.3">
      <c r="A79" s="58">
        <v>1</v>
      </c>
      <c r="C79" s="9"/>
      <c r="D79" s="9">
        <v>2</v>
      </c>
      <c r="E79" s="9"/>
      <c r="F79" s="30">
        <f>INDEX(upperCommon[[#All],[Column1]],MATCH(F78,upperCommon[[#All],[Column2]],0))</f>
        <v>3.5</v>
      </c>
      <c r="G79" s="30">
        <f>INDEX(upperCommon[[#All],[Column1]],MATCH(G78,upperCommon[[#All],[Column2]],0))</f>
        <v>0</v>
      </c>
      <c r="H79" s="9"/>
      <c r="I79" s="30">
        <f>INDEX(upperCommon[[#All],[Column1]],MATCH(I78,upperCommon[[#All],[Column2]],0))</f>
        <v>70</v>
      </c>
      <c r="J79" s="30">
        <f>INDEX(upperCommon[[#All],[Column1]],MATCH(J78,upperCommon[[#All],[Column2]],0))</f>
        <v>30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15.6" x14ac:dyDescent="0.3">
      <c r="A80" s="58">
        <v>1</v>
      </c>
      <c r="C80" s="9"/>
      <c r="D80" s="9"/>
      <c r="E80" s="9"/>
      <c r="F80" s="102" t="b">
        <f>NOT(AND(F79&gt;0,G79&gt;0))</f>
        <v>1</v>
      </c>
      <c r="G80" s="102"/>
      <c r="H80" s="9"/>
      <c r="I80" s="30">
        <f>INDEX(upperCommon[[#All],[Column1]],MATCH(I78,upperCommon[[#All],[Column2]],0))</f>
        <v>70</v>
      </c>
      <c r="J80" s="30">
        <f>INDEX(upperCommon[[#All],[Column1]],MATCH(J78,upperCommon[[#All],[Column2]],0))</f>
        <v>30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58">
        <v>1</v>
      </c>
      <c r="C81" s="9"/>
      <c r="D81" s="9"/>
      <c r="E81" s="9"/>
      <c r="F81" s="105" t="str">
        <f>IF(F80,"المقابض مظبوطة","مينفعش مقبض مخفي مع بيلت ان")</f>
        <v>المقابض مظبوطة</v>
      </c>
      <c r="G81" s="105"/>
      <c r="H81" s="9"/>
      <c r="I81" s="9"/>
      <c r="J81" s="9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31.2" x14ac:dyDescent="0.3">
      <c r="A82" s="58">
        <v>1</v>
      </c>
      <c r="C82" s="9"/>
      <c r="D82" s="30" t="str">
        <f>INDEX(choosenMaterials[[#All],[Column1]],MATCH(E82,choosenMaterials[[#All],[Column2]],0))</f>
        <v>ظهر</v>
      </c>
      <c r="E82" s="8" t="s">
        <v>67</v>
      </c>
      <c r="F82" s="30" t="str">
        <f>INDEX(choosenMaterials[[#All],[Column1]],MATCH(G82,choosenMaterials[[#All],[Column2]],0))</f>
        <v>يوفيلاك</v>
      </c>
      <c r="G82" s="8" t="s">
        <v>41</v>
      </c>
      <c r="H82" s="30" t="str">
        <f>INDEX(choosenMaterials[[#All],[Column1]],MATCH(I82,choosenMaterials[[#All],[Column2]],0))</f>
        <v>HPL</v>
      </c>
      <c r="I82" s="8" t="s">
        <v>40</v>
      </c>
      <c r="J82" s="28" t="s">
        <v>121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x14ac:dyDescent="0.3">
      <c r="A83" s="58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x14ac:dyDescent="0.3">
      <c r="A84" s="58">
        <v>2</v>
      </c>
      <c r="C84" s="6" t="s">
        <v>4</v>
      </c>
      <c r="D84" s="6" t="s">
        <v>9</v>
      </c>
      <c r="E84" s="6" t="s">
        <v>5</v>
      </c>
      <c r="F84" s="6" t="s">
        <v>7</v>
      </c>
      <c r="G84" s="6" t="s">
        <v>1</v>
      </c>
      <c r="H84" s="6" t="s">
        <v>6</v>
      </c>
      <c r="I84" s="6" t="s">
        <v>42</v>
      </c>
      <c r="J84" s="6" t="s">
        <v>8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customHeight="1" x14ac:dyDescent="0.3">
      <c r="A85" s="58">
        <v>0</v>
      </c>
      <c r="C85" s="6"/>
      <c r="D85" s="6"/>
      <c r="E85" s="6"/>
      <c r="F85" s="6"/>
      <c r="G85" s="6"/>
      <c r="H85" s="6"/>
      <c r="I85" s="6"/>
      <c r="J85" s="6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customHeight="1" x14ac:dyDescent="0.3">
      <c r="A86" s="58">
        <v>3</v>
      </c>
      <c r="B86" s="3" t="str">
        <f>E77</f>
        <v>وحدة علوية  زاوية 90</v>
      </c>
      <c r="C86" s="6">
        <v>1</v>
      </c>
      <c r="D86" s="6" t="str">
        <f>H82</f>
        <v>HPL</v>
      </c>
      <c r="E86" s="6" t="s">
        <v>58</v>
      </c>
      <c r="F86" s="6">
        <f>H79-1.8</f>
        <v>-1.8</v>
      </c>
      <c r="G86" s="6">
        <f>H80-1.8</f>
        <v>-1.8</v>
      </c>
      <c r="H86" s="6">
        <f>1*C77</f>
        <v>1</v>
      </c>
      <c r="I86" s="6">
        <f>HLOOKUP(D86, materials[], 2,FALSE)</f>
        <v>2</v>
      </c>
      <c r="J86" s="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customHeight="1" x14ac:dyDescent="0.3">
      <c r="A87" s="58">
        <v>3</v>
      </c>
      <c r="B87" s="3" t="str">
        <f>B86</f>
        <v>وحدة علوية  زاوية 90</v>
      </c>
      <c r="C87" s="6">
        <f>C86+1</f>
        <v>2</v>
      </c>
      <c r="D87" s="6" t="str">
        <f>H82</f>
        <v>HPL</v>
      </c>
      <c r="E87" s="6" t="s">
        <v>10</v>
      </c>
      <c r="F87" s="6">
        <f>H79-1.8</f>
        <v>-1.8</v>
      </c>
      <c r="G87" s="6">
        <f>H80-1.8</f>
        <v>-1.8</v>
      </c>
      <c r="H87" s="6">
        <f>1*C77</f>
        <v>1</v>
      </c>
      <c r="I87" s="6">
        <f>HLOOKUP(D87, materials[], 2,FALSE)</f>
        <v>2</v>
      </c>
      <c r="J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58">
        <v>3</v>
      </c>
      <c r="B88" s="3" t="str">
        <f>B86</f>
        <v>وحدة علوية  زاوية 90</v>
      </c>
      <c r="C88" s="6">
        <f>C87+1</f>
        <v>3</v>
      </c>
      <c r="D88" s="6" t="str">
        <f>H82</f>
        <v>HPL</v>
      </c>
      <c r="E88" s="6" t="s">
        <v>71</v>
      </c>
      <c r="F88" s="6">
        <f>I79</f>
        <v>70</v>
      </c>
      <c r="G88" s="6">
        <f>J79</f>
        <v>30</v>
      </c>
      <c r="H88" s="6">
        <f>1*C77</f>
        <v>1</v>
      </c>
      <c r="I88" s="6">
        <f>HLOOKUP(D88, materials[], 2,FALSE)</f>
        <v>2</v>
      </c>
      <c r="J88" s="6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58">
        <v>3</v>
      </c>
      <c r="B89" s="3" t="str">
        <f>B86</f>
        <v>وحدة علوية  زاوية 90</v>
      </c>
      <c r="C89" s="6">
        <f>C88+1</f>
        <v>4</v>
      </c>
      <c r="D89" s="6" t="str">
        <f>H82</f>
        <v>HPL</v>
      </c>
      <c r="E89" s="6" t="s">
        <v>72</v>
      </c>
      <c r="F89" s="6">
        <f>I80</f>
        <v>70</v>
      </c>
      <c r="G89" s="6">
        <f>J80</f>
        <v>30</v>
      </c>
      <c r="H89" s="6">
        <f>1*C77</f>
        <v>1</v>
      </c>
      <c r="I89" s="6">
        <f>HLOOKUP(D89, materials[], 2,FALSE)</f>
        <v>2</v>
      </c>
      <c r="J89" s="6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58">
        <v>3</v>
      </c>
      <c r="B90" s="3" t="str">
        <f>B86</f>
        <v>وحدة علوية  زاوية 90</v>
      </c>
      <c r="C90" s="6">
        <f>C89+1</f>
        <v>5</v>
      </c>
      <c r="D90" s="6" t="str">
        <f>H82</f>
        <v>HPL</v>
      </c>
      <c r="E90" s="6" t="s">
        <v>36</v>
      </c>
      <c r="F90" s="6">
        <f>I79</f>
        <v>70</v>
      </c>
      <c r="G90" s="6">
        <v>10</v>
      </c>
      <c r="H90" s="6">
        <f>1*C77</f>
        <v>1</v>
      </c>
      <c r="I90" s="6">
        <f>HLOOKUP(D90, materials[], 2,FALSE)</f>
        <v>2</v>
      </c>
      <c r="J90" s="6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58">
        <v>3</v>
      </c>
      <c r="B91" s="3" t="str">
        <f>B86</f>
        <v>وحدة علوية  زاوية 90</v>
      </c>
      <c r="C91" s="6">
        <f t="shared" ref="C91" si="4">C90+1</f>
        <v>6</v>
      </c>
      <c r="D91" s="6" t="str">
        <f>H82</f>
        <v>HPL</v>
      </c>
      <c r="E91" s="6" t="s">
        <v>18</v>
      </c>
      <c r="F91" s="6">
        <f>H79-3.8</f>
        <v>-3.8</v>
      </c>
      <c r="G91" s="6">
        <f>H80-3.8</f>
        <v>-3.8</v>
      </c>
      <c r="H91" s="6">
        <f>D79*C77</f>
        <v>2</v>
      </c>
      <c r="I91" s="6">
        <f>HLOOKUP(D91, materials[], 2,FALSE)</f>
        <v>2</v>
      </c>
      <c r="J91" s="6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x14ac:dyDescent="0.3">
      <c r="A92" s="58">
        <v>0</v>
      </c>
      <c r="C92" s="6"/>
      <c r="D92" s="6"/>
      <c r="E92" s="6"/>
      <c r="F92" s="6"/>
      <c r="G92" s="6"/>
      <c r="H92" s="6"/>
      <c r="I92" s="6"/>
      <c r="J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58">
        <v>4</v>
      </c>
      <c r="B93" s="3" t="str">
        <f>B86</f>
        <v>وحدة علوية  زاوية 90</v>
      </c>
      <c r="C93" s="10">
        <f>C91+1</f>
        <v>7</v>
      </c>
      <c r="D93" s="10" t="str">
        <f>F82</f>
        <v>يوفيلاك</v>
      </c>
      <c r="E93" s="10" t="s">
        <v>37</v>
      </c>
      <c r="F93" s="10">
        <f>I79-0.5-F79</f>
        <v>66</v>
      </c>
      <c r="G93" s="10">
        <f>H79-J79-3</f>
        <v>-33</v>
      </c>
      <c r="H93" s="10">
        <f>1*C77</f>
        <v>1</v>
      </c>
      <c r="I93" s="10">
        <f>HLOOKUP(D93, materials[], 2,FALSE)</f>
        <v>6</v>
      </c>
      <c r="J93" s="10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58">
        <v>4</v>
      </c>
      <c r="B94" s="3" t="str">
        <f>B86</f>
        <v>وحدة علوية  زاوية 90</v>
      </c>
      <c r="C94" s="10">
        <f t="shared" ref="C94" si="5">C93+1</f>
        <v>8</v>
      </c>
      <c r="D94" s="10" t="str">
        <f>F82</f>
        <v>يوفيلاك</v>
      </c>
      <c r="E94" s="10" t="s">
        <v>50</v>
      </c>
      <c r="F94" s="10">
        <f>I80-0.5-F79</f>
        <v>66</v>
      </c>
      <c r="G94" s="10">
        <f>H80-J80-3</f>
        <v>-33</v>
      </c>
      <c r="H94" s="10">
        <f>1*C77</f>
        <v>1</v>
      </c>
      <c r="I94" s="10">
        <f>HLOOKUP(D94, materials[], 2,FALSE)</f>
        <v>6</v>
      </c>
      <c r="J94" s="10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58">
        <v>0</v>
      </c>
      <c r="C95" s="6"/>
      <c r="D95" s="6"/>
      <c r="E95" s="6"/>
      <c r="F95" s="6"/>
      <c r="G95" s="6"/>
      <c r="H95" s="6"/>
      <c r="I95" s="6"/>
      <c r="J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58">
        <v>5</v>
      </c>
      <c r="B96" s="3" t="str">
        <f>B86</f>
        <v>وحدة علوية  زاوية 90</v>
      </c>
      <c r="C96" s="21">
        <f>C94+1</f>
        <v>9</v>
      </c>
      <c r="D96" s="21" t="str">
        <f>D82</f>
        <v>ظهر</v>
      </c>
      <c r="E96" s="21" t="s">
        <v>116</v>
      </c>
      <c r="F96" s="21">
        <f>I79-2</f>
        <v>68</v>
      </c>
      <c r="G96" s="21">
        <f>H79-1</f>
        <v>-1</v>
      </c>
      <c r="H96" s="21">
        <f>1*C77</f>
        <v>1</v>
      </c>
      <c r="I96" s="21">
        <f>HLOOKUP(D96, materials[], 2,FALSE)</f>
        <v>2</v>
      </c>
      <c r="J96" s="2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58">
        <v>5</v>
      </c>
      <c r="B97" s="3" t="str">
        <f>B86</f>
        <v>وحدة علوية  زاوية 90</v>
      </c>
      <c r="C97" s="21">
        <f>C96+1</f>
        <v>10</v>
      </c>
      <c r="D97" s="21" t="str">
        <f>D82</f>
        <v>ظهر</v>
      </c>
      <c r="E97" s="21" t="s">
        <v>117</v>
      </c>
      <c r="F97" s="21">
        <f>I80-2</f>
        <v>68</v>
      </c>
      <c r="G97" s="21">
        <f>H80-1</f>
        <v>-1</v>
      </c>
      <c r="H97" s="21">
        <f>1*C77</f>
        <v>1</v>
      </c>
      <c r="I97" s="21">
        <f>HLOOKUP(D97, materials[], 2,FALSE)</f>
        <v>2</v>
      </c>
      <c r="J97" s="2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58">
        <v>255</v>
      </c>
      <c r="C98" s="1"/>
      <c r="D98" s="1"/>
      <c r="E98" s="1"/>
      <c r="F98" s="1"/>
      <c r="G98" s="1"/>
      <c r="H98" s="1"/>
      <c r="I98" s="1"/>
      <c r="J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58">
        <v>255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36" x14ac:dyDescent="0.3">
      <c r="A100" s="58" t="s">
        <v>175</v>
      </c>
      <c r="C100" s="15">
        <v>1</v>
      </c>
      <c r="D100" s="25" t="s">
        <v>68</v>
      </c>
      <c r="E100" s="92" t="s">
        <v>56</v>
      </c>
      <c r="F100" s="93"/>
      <c r="G100" s="93"/>
      <c r="H100" s="94"/>
      <c r="I100" s="2" t="s">
        <v>39</v>
      </c>
      <c r="J100" s="2">
        <f>letterToNumber(A100)</f>
        <v>5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31.2" x14ac:dyDescent="0.3">
      <c r="A101" s="58">
        <v>1</v>
      </c>
      <c r="C101" s="8"/>
      <c r="D101" s="8" t="s">
        <v>19</v>
      </c>
      <c r="E101" s="8"/>
      <c r="F101" s="8" t="s">
        <v>17</v>
      </c>
      <c r="G101" s="8" t="s">
        <v>128</v>
      </c>
      <c r="H101" s="8" t="s">
        <v>31</v>
      </c>
      <c r="I101" s="8" t="s">
        <v>3</v>
      </c>
      <c r="J101" s="8" t="s">
        <v>123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ht="15.6" x14ac:dyDescent="0.3">
      <c r="A102" s="58">
        <v>1</v>
      </c>
      <c r="C102" s="9"/>
      <c r="D102" s="9">
        <v>1</v>
      </c>
      <c r="E102" s="9"/>
      <c r="F102" s="30">
        <f>INDEX(upperCommon[[#All],[Column1]],MATCH(F101,upperCommon[[#All],[Column2]],0))</f>
        <v>3.5</v>
      </c>
      <c r="G102" s="30">
        <f>INDEX(upperCommon[[#All],[Column1]],MATCH(G101,upperCommon[[#All],[Column2]],0))</f>
        <v>0</v>
      </c>
      <c r="H102" s="9"/>
      <c r="I102" s="30">
        <f>INDEX(upperCommon[[#All],[Column1]],MATCH(I101,upperCommon[[#All],[Column2]],0))</f>
        <v>70</v>
      </c>
      <c r="J102" s="30">
        <f>INDEX(upperCommon[[#All],[Column1]],MATCH(J101,upperCommon[[#All],[Column2]],0))</f>
        <v>30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15.6" x14ac:dyDescent="0.3">
      <c r="A103" s="58">
        <v>1</v>
      </c>
      <c r="C103" s="9"/>
      <c r="D103" s="9"/>
      <c r="E103" s="9"/>
      <c r="F103" s="102" t="b">
        <f>NOT(AND(F102&gt;0,G102&gt;0))</f>
        <v>1</v>
      </c>
      <c r="G103" s="102"/>
      <c r="H103" s="9"/>
      <c r="I103" s="30">
        <f>INDEX(upperCommon[[#All],[Column1]],MATCH(I101,upperCommon[[#All],[Column2]],0))</f>
        <v>70</v>
      </c>
      <c r="J103" s="30">
        <f>INDEX(upperCommon[[#All],[Column1]],MATCH(J101,upperCommon[[#All],[Column2]],0))</f>
        <v>30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58">
        <v>1</v>
      </c>
      <c r="C104" s="9"/>
      <c r="D104" s="9"/>
      <c r="E104" s="9"/>
      <c r="F104" s="105" t="str">
        <f>IF(F103,"المقابض مظبوطة","مينفعش مقبض مخفي مع بيلت ان")</f>
        <v>المقابض مظبوطة</v>
      </c>
      <c r="G104" s="105"/>
      <c r="H104" s="9"/>
      <c r="I104" s="9"/>
      <c r="J104" s="9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31.2" x14ac:dyDescent="0.3">
      <c r="A105" s="58">
        <v>1</v>
      </c>
      <c r="C105" s="9"/>
      <c r="D105" s="30" t="str">
        <f>INDEX(choosenMaterials[[#All],[Column1]],MATCH(E105,choosenMaterials[[#All],[Column2]],0))</f>
        <v>ظهر</v>
      </c>
      <c r="E105" s="8" t="s">
        <v>67</v>
      </c>
      <c r="F105" s="30" t="str">
        <f>INDEX(choosenMaterials[[#All],[Column1]],MATCH(G105,choosenMaterials[[#All],[Column2]],0))</f>
        <v>يوفيلاك</v>
      </c>
      <c r="G105" s="8" t="s">
        <v>41</v>
      </c>
      <c r="H105" s="30" t="str">
        <f>INDEX(choosenMaterials[[#All],[Column1]],MATCH(I105,choosenMaterials[[#All],[Column2]],0))</f>
        <v>HPL</v>
      </c>
      <c r="I105" s="8" t="s">
        <v>40</v>
      </c>
      <c r="J105" s="28" t="s">
        <v>121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58">
        <v>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58">
        <v>2</v>
      </c>
      <c r="C107" s="6" t="s">
        <v>4</v>
      </c>
      <c r="D107" s="6" t="s">
        <v>9</v>
      </c>
      <c r="E107" s="6" t="s">
        <v>5</v>
      </c>
      <c r="F107" s="6" t="s">
        <v>7</v>
      </c>
      <c r="G107" s="6" t="s">
        <v>1</v>
      </c>
      <c r="H107" s="6" t="s">
        <v>6</v>
      </c>
      <c r="I107" s="6" t="s">
        <v>42</v>
      </c>
      <c r="J107" s="6" t="s">
        <v>8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15.6" customHeight="1" x14ac:dyDescent="0.3">
      <c r="A108" s="58">
        <v>0</v>
      </c>
      <c r="C108" s="6"/>
      <c r="D108" s="6"/>
      <c r="E108" s="6"/>
      <c r="F108" s="6"/>
      <c r="G108" s="6"/>
      <c r="H108" s="6"/>
      <c r="I108" s="6"/>
      <c r="J108" s="6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customHeight="1" x14ac:dyDescent="0.3">
      <c r="A109" s="58">
        <v>3</v>
      </c>
      <c r="B109" s="3" t="str">
        <f>E100</f>
        <v>وحدة علوية  ركنة 45</v>
      </c>
      <c r="C109" s="6">
        <v>1</v>
      </c>
      <c r="D109" s="6" t="str">
        <f>H105</f>
        <v>HPL</v>
      </c>
      <c r="E109" s="6" t="s">
        <v>58</v>
      </c>
      <c r="F109" s="6">
        <f>H102-1.8</f>
        <v>-1.8</v>
      </c>
      <c r="G109" s="6">
        <f>H103-1.8</f>
        <v>-1.8</v>
      </c>
      <c r="H109" s="6">
        <f>1*C100</f>
        <v>1</v>
      </c>
      <c r="I109" s="6">
        <f>HLOOKUP(D109, materials[], 2,FALSE)</f>
        <v>2</v>
      </c>
      <c r="J109" s="6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customHeight="1" x14ac:dyDescent="0.3">
      <c r="A110" s="58">
        <v>3</v>
      </c>
      <c r="B110" s="3" t="str">
        <f>B109</f>
        <v>وحدة علوية  ركنة 45</v>
      </c>
      <c r="C110" s="6">
        <f>C109+1</f>
        <v>2</v>
      </c>
      <c r="D110" s="6" t="str">
        <f>H105</f>
        <v>HPL</v>
      </c>
      <c r="E110" s="6" t="s">
        <v>10</v>
      </c>
      <c r="F110" s="6">
        <f>H102-1.8</f>
        <v>-1.8</v>
      </c>
      <c r="G110" s="6">
        <f>H103-1.8</f>
        <v>-1.8</v>
      </c>
      <c r="H110" s="6">
        <f>1*C100</f>
        <v>1</v>
      </c>
      <c r="I110" s="6">
        <f>HLOOKUP(D110, materials[], 2,FALSE)</f>
        <v>2</v>
      </c>
      <c r="J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58">
        <v>3</v>
      </c>
      <c r="B111" s="3" t="str">
        <f>B109</f>
        <v>وحدة علوية  ركنة 45</v>
      </c>
      <c r="C111" s="6">
        <f>C110+1</f>
        <v>3</v>
      </c>
      <c r="D111" s="6" t="str">
        <f>H105</f>
        <v>HPL</v>
      </c>
      <c r="E111" s="6" t="s">
        <v>71</v>
      </c>
      <c r="F111" s="6">
        <f>I102</f>
        <v>70</v>
      </c>
      <c r="G111" s="6">
        <f>J102</f>
        <v>30</v>
      </c>
      <c r="H111" s="6">
        <f>1*C100</f>
        <v>1</v>
      </c>
      <c r="I111" s="6">
        <f>HLOOKUP(D111, materials[], 2,FALSE)</f>
        <v>2</v>
      </c>
      <c r="J111" s="6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58">
        <v>3</v>
      </c>
      <c r="B112" s="3" t="str">
        <f>B109</f>
        <v>وحدة علوية  ركنة 45</v>
      </c>
      <c r="C112" s="6">
        <f>C111+1</f>
        <v>4</v>
      </c>
      <c r="D112" s="6" t="str">
        <f>H105</f>
        <v>HPL</v>
      </c>
      <c r="E112" s="6" t="s">
        <v>72</v>
      </c>
      <c r="F112" s="6">
        <f>I103</f>
        <v>70</v>
      </c>
      <c r="G112" s="6">
        <f>J103</f>
        <v>30</v>
      </c>
      <c r="H112" s="6">
        <f>1*C100</f>
        <v>1</v>
      </c>
      <c r="I112" s="6">
        <f>HLOOKUP(D112, materials[], 2,FALSE)</f>
        <v>2</v>
      </c>
      <c r="J112" s="6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58">
        <v>3</v>
      </c>
      <c r="B113" s="3" t="str">
        <f>B109</f>
        <v>وحدة علوية  ركنة 45</v>
      </c>
      <c r="C113" s="6">
        <f>C112+1</f>
        <v>5</v>
      </c>
      <c r="D113" s="6" t="str">
        <f>H105</f>
        <v>HPL</v>
      </c>
      <c r="E113" s="6" t="s">
        <v>36</v>
      </c>
      <c r="F113" s="6">
        <f>I102</f>
        <v>70</v>
      </c>
      <c r="G113" s="6">
        <v>10</v>
      </c>
      <c r="H113" s="6">
        <f>1*C100</f>
        <v>1</v>
      </c>
      <c r="I113" s="6">
        <f>HLOOKUP(D113, materials[], 2,FALSE)</f>
        <v>2</v>
      </c>
      <c r="J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58">
        <v>3</v>
      </c>
      <c r="B114" s="3" t="str">
        <f>B109</f>
        <v>وحدة علوية  ركنة 45</v>
      </c>
      <c r="C114" s="6">
        <f t="shared" ref="C114" si="6">C113+1</f>
        <v>6</v>
      </c>
      <c r="D114" s="6" t="str">
        <f>H105</f>
        <v>HPL</v>
      </c>
      <c r="E114" s="6" t="s">
        <v>18</v>
      </c>
      <c r="F114" s="6">
        <f>H102-3.8</f>
        <v>-3.8</v>
      </c>
      <c r="G114" s="6">
        <f>H103-3.8</f>
        <v>-3.8</v>
      </c>
      <c r="H114" s="6">
        <f>D102*C100</f>
        <v>1</v>
      </c>
      <c r="I114" s="6">
        <f>HLOOKUP(D114, materials[], 2,FALSE)</f>
        <v>2</v>
      </c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x14ac:dyDescent="0.3">
      <c r="A115" s="58">
        <v>0</v>
      </c>
      <c r="C115" s="6"/>
      <c r="D115" s="6"/>
      <c r="E115" s="6"/>
      <c r="F115" s="6"/>
      <c r="G115" s="6"/>
      <c r="H115" s="6"/>
      <c r="I115" s="6"/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x14ac:dyDescent="0.3">
      <c r="A116" s="58">
        <v>4</v>
      </c>
      <c r="B116" s="3" t="str">
        <f>B109</f>
        <v>وحدة علوية  ركنة 45</v>
      </c>
      <c r="C116" s="10">
        <f>C114+1</f>
        <v>7</v>
      </c>
      <c r="D116" s="10" t="str">
        <f>F105</f>
        <v>يوفيلاك</v>
      </c>
      <c r="E116" s="10" t="s">
        <v>37</v>
      </c>
      <c r="F116" s="10">
        <f>I102-0.5-F102</f>
        <v>66</v>
      </c>
      <c r="G116" s="19">
        <f>(SQRT((H102-J102)^2+(H103-J103)^2))-2</f>
        <v>40.426406871192853</v>
      </c>
      <c r="H116" s="10">
        <f>1*C100</f>
        <v>1</v>
      </c>
      <c r="I116" s="10">
        <f>HLOOKUP(D116, materials[], 2,FALSE)</f>
        <v>6</v>
      </c>
      <c r="J116" s="10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58">
        <v>0</v>
      </c>
      <c r="C117" s="6"/>
      <c r="D117" s="6"/>
      <c r="E117" s="6"/>
      <c r="F117" s="6"/>
      <c r="G117" s="6"/>
      <c r="H117" s="6"/>
      <c r="I117" s="6"/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58">
        <v>5</v>
      </c>
      <c r="B118" s="3" t="str">
        <f>B109</f>
        <v>وحدة علوية  ركنة 45</v>
      </c>
      <c r="C118" s="21">
        <f>C116+1</f>
        <v>8</v>
      </c>
      <c r="D118" s="21" t="str">
        <f>D105</f>
        <v>ظهر</v>
      </c>
      <c r="E118" s="21" t="s">
        <v>67</v>
      </c>
      <c r="F118" s="21">
        <f>I102-2</f>
        <v>68</v>
      </c>
      <c r="G118" s="21">
        <f>H102-1</f>
        <v>-1</v>
      </c>
      <c r="H118" s="21">
        <f>1*C100</f>
        <v>1</v>
      </c>
      <c r="I118" s="21">
        <f>HLOOKUP(D118, materials[], 2,FALSE)</f>
        <v>2</v>
      </c>
      <c r="J118" s="2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58">
        <v>255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58">
        <v>255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ht="36" x14ac:dyDescent="0.3">
      <c r="A121" s="58" t="s">
        <v>176</v>
      </c>
      <c r="C121" s="15">
        <v>1</v>
      </c>
      <c r="D121" s="25" t="s">
        <v>68</v>
      </c>
      <c r="E121" s="92" t="s">
        <v>118</v>
      </c>
      <c r="F121" s="93"/>
      <c r="G121" s="93"/>
      <c r="H121" s="94"/>
      <c r="I121" s="2" t="s">
        <v>39</v>
      </c>
      <c r="J121" s="2">
        <f>letterToNumber(A121)</f>
        <v>6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ht="31.2" x14ac:dyDescent="0.3">
      <c r="A122" s="58">
        <v>1</v>
      </c>
      <c r="C122" s="8" t="s">
        <v>63</v>
      </c>
      <c r="D122" s="8" t="s">
        <v>64</v>
      </c>
      <c r="E122" s="20" t="s">
        <v>19</v>
      </c>
      <c r="F122" s="8" t="s">
        <v>17</v>
      </c>
      <c r="G122" s="8" t="s">
        <v>128</v>
      </c>
      <c r="H122" s="8" t="s">
        <v>31</v>
      </c>
      <c r="I122" s="8" t="s">
        <v>3</v>
      </c>
      <c r="J122" s="8" t="s">
        <v>123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ht="15.6" x14ac:dyDescent="0.3">
      <c r="A123" s="58">
        <v>1</v>
      </c>
      <c r="C123" s="9">
        <v>1</v>
      </c>
      <c r="D123" s="9">
        <v>0</v>
      </c>
      <c r="E123" s="9">
        <v>2</v>
      </c>
      <c r="F123" s="30">
        <f>INDEX(upperCommon[[#All],[Column1]],MATCH(F122,upperCommon[[#All],[Column2]],0))</f>
        <v>3.5</v>
      </c>
      <c r="G123" s="30">
        <f>INDEX(upperCommon[[#All],[Column1]],MATCH(G122,upperCommon[[#All],[Column2]],0))</f>
        <v>0</v>
      </c>
      <c r="H123" s="9">
        <v>59</v>
      </c>
      <c r="I123" s="30">
        <v>100</v>
      </c>
      <c r="J123" s="30">
        <f>INDEX(upperCommon[[#All],[Column1]],MATCH(J122,upperCommon[[#All],[Column2]],0))</f>
        <v>30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ht="15.6" x14ac:dyDescent="0.3">
      <c r="A124" s="58">
        <v>1</v>
      </c>
      <c r="C124" s="10" t="b">
        <f>C123=0</f>
        <v>0</v>
      </c>
      <c r="D124" s="10" t="b">
        <f>D123=0</f>
        <v>1</v>
      </c>
      <c r="E124" s="8" t="s">
        <v>115</v>
      </c>
      <c r="F124" s="6" t="b">
        <f>NOT(AND(F123&gt;0,G123&gt;0))</f>
        <v>1</v>
      </c>
      <c r="G124" s="9"/>
      <c r="H124" s="6" t="b">
        <f>_xlfn.XOR(H123&lt;=50,C125=2)</f>
        <v>0</v>
      </c>
      <c r="I124" s="69"/>
      <c r="J124" s="8" t="s">
        <v>119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ht="28.8" x14ac:dyDescent="0.3">
      <c r="A125" s="58">
        <v>1</v>
      </c>
      <c r="C125" s="97">
        <f>C123+D123</f>
        <v>1</v>
      </c>
      <c r="D125" s="98"/>
      <c r="E125" s="8">
        <v>0</v>
      </c>
      <c r="F125" s="6" t="str">
        <f>IF(F124,"المقابض مظبوطة","مينفعش مقبض مخفي مع بيلت ان")</f>
        <v>المقابض مظبوطة</v>
      </c>
      <c r="G125" s="9"/>
      <c r="H125" s="6" t="str">
        <f>IF(H124,"عدد الدلف صحيح","عدد الدلف غير صحيح")</f>
        <v>عدد الدلف غير صحيح</v>
      </c>
      <c r="I125" s="9"/>
      <c r="J125" s="9">
        <v>32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58">
        <v>1</v>
      </c>
      <c r="C126" s="99" t="b">
        <f>C125&lt;=2</f>
        <v>1</v>
      </c>
      <c r="D126" s="100"/>
      <c r="E126" s="9"/>
      <c r="F126" s="9"/>
      <c r="G126" s="9"/>
      <c r="H126" s="9"/>
      <c r="I126" s="9"/>
      <c r="J126" s="9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ht="31.2" x14ac:dyDescent="0.3">
      <c r="A127" s="58">
        <v>1</v>
      </c>
      <c r="C127" s="9"/>
      <c r="D127" s="30" t="str">
        <f>INDEX(choosenMaterials[[#All],[Column1]],MATCH(E127,choosenMaterials[[#All],[Column2]],0))</f>
        <v>ظهر</v>
      </c>
      <c r="E127" s="8" t="s">
        <v>67</v>
      </c>
      <c r="F127" s="30" t="str">
        <f>INDEX(choosenMaterials[[#All],[Column1]],MATCH(G127,choosenMaterials[[#All],[Column2]],0))</f>
        <v>يوفيلاك</v>
      </c>
      <c r="G127" s="8" t="s">
        <v>41</v>
      </c>
      <c r="H127" s="30" t="str">
        <f>INDEX(choosenMaterials[[#All],[Column1]],MATCH(I127,choosenMaterials[[#All],[Column2]],0))</f>
        <v>HPL</v>
      </c>
      <c r="I127" s="8" t="s">
        <v>40</v>
      </c>
      <c r="J127" s="28" t="s">
        <v>121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58">
        <v>0</v>
      </c>
      <c r="C128" s="1"/>
      <c r="D128" s="1"/>
      <c r="E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58">
        <v>2</v>
      </c>
      <c r="C129" s="6" t="s">
        <v>4</v>
      </c>
      <c r="D129" s="6" t="s">
        <v>9</v>
      </c>
      <c r="E129" s="6" t="s">
        <v>5</v>
      </c>
      <c r="F129" s="6" t="s">
        <v>7</v>
      </c>
      <c r="G129" s="6" t="s">
        <v>1</v>
      </c>
      <c r="H129" s="6" t="s">
        <v>6</v>
      </c>
      <c r="I129" s="6" t="s">
        <v>42</v>
      </c>
      <c r="J129" s="6" t="s">
        <v>8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58">
        <v>0</v>
      </c>
      <c r="C130" s="6"/>
      <c r="D130" s="6"/>
      <c r="E130" s="6"/>
      <c r="F130" s="6"/>
      <c r="G130" s="6"/>
      <c r="H130" s="6"/>
      <c r="I130" s="6"/>
      <c r="J130" s="6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58">
        <v>3</v>
      </c>
      <c r="B131" s="3" t="str">
        <f>E121</f>
        <v xml:space="preserve">وحدة علوية ميكروويف دلفة /دلفتين </v>
      </c>
      <c r="C131" s="6">
        <v>1</v>
      </c>
      <c r="D131" s="6" t="str">
        <f>H127</f>
        <v>HPL</v>
      </c>
      <c r="E131" s="6" t="s">
        <v>58</v>
      </c>
      <c r="F131" s="6">
        <f>H123-3.6</f>
        <v>55.4</v>
      </c>
      <c r="G131" s="6">
        <f>J123-E125</f>
        <v>30</v>
      </c>
      <c r="H131" s="6">
        <f>1*C121</f>
        <v>1</v>
      </c>
      <c r="I131" s="6">
        <f>HLOOKUP(D131, materials[], 2,FALSE)</f>
        <v>2</v>
      </c>
      <c r="J131" s="6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58">
        <v>3</v>
      </c>
      <c r="B132" s="3" t="str">
        <f>B131</f>
        <v xml:space="preserve">وحدة علوية ميكروويف دلفة /دلفتين </v>
      </c>
      <c r="C132" s="6">
        <f>C131+1</f>
        <v>2</v>
      </c>
      <c r="D132" s="6" t="str">
        <f>H127</f>
        <v>HPL</v>
      </c>
      <c r="E132" s="6" t="s">
        <v>10</v>
      </c>
      <c r="F132" s="6">
        <f>H123-3.6</f>
        <v>55.4</v>
      </c>
      <c r="G132" s="6">
        <f>40-G123-E125</f>
        <v>40</v>
      </c>
      <c r="H132" s="6">
        <f>1*C121</f>
        <v>1</v>
      </c>
      <c r="I132" s="6">
        <f>HLOOKUP(D132, materials[], 2,FALSE)</f>
        <v>2</v>
      </c>
      <c r="J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58">
        <v>3</v>
      </c>
      <c r="B133" s="3" t="str">
        <f>B131</f>
        <v xml:space="preserve">وحدة علوية ميكروويف دلفة /دلفتين </v>
      </c>
      <c r="C133" s="6">
        <f t="shared" ref="C133:C135" si="7">C132+1</f>
        <v>3</v>
      </c>
      <c r="D133" s="6" t="str">
        <f>H127</f>
        <v>HPL</v>
      </c>
      <c r="E133" s="6" t="s">
        <v>11</v>
      </c>
      <c r="F133" s="6">
        <f>I123</f>
        <v>100</v>
      </c>
      <c r="G133" s="6">
        <f>J123</f>
        <v>30</v>
      </c>
      <c r="H133" s="6">
        <f>2*C121</f>
        <v>2</v>
      </c>
      <c r="I133" s="6">
        <f>HLOOKUP(D133, materials[], 2,FALSE)</f>
        <v>2</v>
      </c>
      <c r="J133" s="6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x14ac:dyDescent="0.3">
      <c r="A134" s="58">
        <v>3</v>
      </c>
      <c r="B134" s="3" t="str">
        <f>B131</f>
        <v xml:space="preserve">وحدة علوية ميكروويف دلفة /دلفتين </v>
      </c>
      <c r="C134" s="6">
        <f t="shared" si="7"/>
        <v>4</v>
      </c>
      <c r="D134" s="6" t="str">
        <f>H127</f>
        <v>HPL</v>
      </c>
      <c r="E134" s="6" t="s">
        <v>18</v>
      </c>
      <c r="F134" s="6">
        <f>H123-3.8</f>
        <v>55.2</v>
      </c>
      <c r="G134" s="6">
        <f>J123-5-E125</f>
        <v>25</v>
      </c>
      <c r="H134" s="6">
        <f>E123*C121</f>
        <v>2</v>
      </c>
      <c r="I134" s="6">
        <f>HLOOKUP(D134, materials[], 2,FALSE)</f>
        <v>2</v>
      </c>
      <c r="J134" s="6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58">
        <v>3</v>
      </c>
      <c r="B135" s="3" t="str">
        <f>B131</f>
        <v xml:space="preserve">وحدة علوية ميكروويف دلفة /دلفتين </v>
      </c>
      <c r="C135" s="6">
        <f t="shared" si="7"/>
        <v>5</v>
      </c>
      <c r="D135" s="6" t="str">
        <f>H127</f>
        <v>HPL</v>
      </c>
      <c r="E135" s="6" t="s">
        <v>60</v>
      </c>
      <c r="F135" s="6">
        <f>H123-3.6</f>
        <v>55.4</v>
      </c>
      <c r="G135" s="6">
        <f>J123-G123-E125</f>
        <v>30</v>
      </c>
      <c r="H135" s="6">
        <f>1*C121</f>
        <v>1</v>
      </c>
      <c r="I135" s="6">
        <f>HLOOKUP(D135, materials[], 2,FALSE)</f>
        <v>2</v>
      </c>
      <c r="J135" s="6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58">
        <v>0</v>
      </c>
      <c r="C136" s="6"/>
      <c r="D136" s="6"/>
      <c r="E136" s="6"/>
      <c r="F136" s="6"/>
      <c r="G136" s="6"/>
      <c r="H136" s="6"/>
      <c r="I136" s="6"/>
      <c r="J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x14ac:dyDescent="0.3">
      <c r="A137" s="58">
        <v>4</v>
      </c>
      <c r="B137" s="3" t="str">
        <f>B131</f>
        <v xml:space="preserve">وحدة علوية ميكروويف دلفة /دلفتين </v>
      </c>
      <c r="C137" s="10">
        <f>C135+1</f>
        <v>6</v>
      </c>
      <c r="D137" s="10" t="str">
        <f>F127</f>
        <v>يوفيلاك</v>
      </c>
      <c r="E137" s="10" t="s">
        <v>61</v>
      </c>
      <c r="F137" s="10">
        <f>IF(C124,"",I123-0.5-F123-J125)</f>
        <v>64</v>
      </c>
      <c r="G137" s="10">
        <f>IF(C124,"",(H123/C125)-0.5)</f>
        <v>58.5</v>
      </c>
      <c r="H137" s="10">
        <f>C123*C121</f>
        <v>1</v>
      </c>
      <c r="I137" s="10">
        <f>HLOOKUP(D137, materials[], 2,FALSE)</f>
        <v>6</v>
      </c>
      <c r="J137" s="10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x14ac:dyDescent="0.3">
      <c r="A138" s="58">
        <v>4</v>
      </c>
      <c r="B138" s="3" t="str">
        <f>B131</f>
        <v xml:space="preserve">وحدة علوية ميكروويف دلفة /دلفتين </v>
      </c>
      <c r="C138" s="10">
        <f>C137+1</f>
        <v>7</v>
      </c>
      <c r="D138" s="10" t="s">
        <v>62</v>
      </c>
      <c r="E138" s="10" t="s">
        <v>80</v>
      </c>
      <c r="F138" s="10">
        <f>I123-0.5-J125</f>
        <v>67.5</v>
      </c>
      <c r="G138" s="10">
        <f>(H123/C125)-0.7</f>
        <v>58.3</v>
      </c>
      <c r="H138" s="10">
        <f>C121*D123</f>
        <v>0</v>
      </c>
      <c r="I138" s="10"/>
      <c r="J138" s="10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58">
        <v>0</v>
      </c>
      <c r="C139" s="6"/>
      <c r="D139" s="6"/>
      <c r="E139" s="6"/>
      <c r="F139" s="6"/>
      <c r="G139" s="6"/>
      <c r="H139" s="6"/>
      <c r="I139" s="6"/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58">
        <v>5</v>
      </c>
      <c r="B140" s="3" t="str">
        <f>B131</f>
        <v xml:space="preserve">وحدة علوية ميكروويف دلفة /دلفتين </v>
      </c>
      <c r="C140" s="21">
        <f>C138+1</f>
        <v>8</v>
      </c>
      <c r="D140" s="21" t="str">
        <f>D127</f>
        <v>ظهر</v>
      </c>
      <c r="E140" s="21" t="s">
        <v>67</v>
      </c>
      <c r="F140" s="21">
        <f>I123-2</f>
        <v>98</v>
      </c>
      <c r="G140" s="21">
        <f>H123-2</f>
        <v>57</v>
      </c>
      <c r="H140" s="21">
        <f>1*C121</f>
        <v>1</v>
      </c>
      <c r="I140" s="21">
        <f>HLOOKUP(D140, materials[], 2,FALSE)</f>
        <v>2</v>
      </c>
      <c r="J140" s="2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x14ac:dyDescent="0.3">
      <c r="A141" s="58">
        <v>255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x14ac:dyDescent="0.3">
      <c r="A142" s="58">
        <v>255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2:81" x14ac:dyDescent="0.3"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2:81" x14ac:dyDescent="0.3"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2:81" x14ac:dyDescent="0.3"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2:81" x14ac:dyDescent="0.3"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2:81" x14ac:dyDescent="0.3"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2:81" x14ac:dyDescent="0.3"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2:81" x14ac:dyDescent="0.3"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2:81" x14ac:dyDescent="0.3"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2:81" x14ac:dyDescent="0.3"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2:81" x14ac:dyDescent="0.3"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2:81" x14ac:dyDescent="0.3"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2:81" x14ac:dyDescent="0.3"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2:81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2:81" x14ac:dyDescent="0.3"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</sheetData>
  <mergeCells count="26">
    <mergeCell ref="E121:H121"/>
    <mergeCell ref="C38:D38"/>
    <mergeCell ref="C39:D39"/>
    <mergeCell ref="C60:D60"/>
    <mergeCell ref="E77:H77"/>
    <mergeCell ref="F80:G80"/>
    <mergeCell ref="F81:G81"/>
    <mergeCell ref="E100:H100"/>
    <mergeCell ref="F103:G103"/>
    <mergeCell ref="F104:G104"/>
    <mergeCell ref="C2:J2"/>
    <mergeCell ref="C125:D125"/>
    <mergeCell ref="C126:D126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37" priority="91" operator="equal">
      <formula>TRUE</formula>
    </cfRule>
    <cfRule type="cellIs" dxfId="36" priority="92" operator="equal">
      <formula>FALSE</formula>
    </cfRule>
  </conditionalFormatting>
  <conditionalFormatting sqref="C126">
    <cfRule type="cellIs" dxfId="35" priority="11" operator="equal">
      <formula>TRUE</formula>
    </cfRule>
    <cfRule type="cellIs" dxfId="34" priority="12" operator="equal">
      <formula>FALSE</formula>
    </cfRule>
  </conditionalFormatting>
  <conditionalFormatting sqref="E58:F58">
    <cfRule type="cellIs" dxfId="33" priority="81" operator="equal">
      <formula>TRUE</formula>
    </cfRule>
    <cfRule type="cellIs" dxfId="32" priority="82" operator="equal">
      <formula>FALSE</formula>
    </cfRule>
  </conditionalFormatting>
  <conditionalFormatting sqref="F16">
    <cfRule type="cellIs" dxfId="31" priority="89" operator="equal">
      <formula>TRUE</formula>
    </cfRule>
    <cfRule type="cellIs" dxfId="30" priority="90" operator="equal">
      <formula>FALSE</formula>
    </cfRule>
  </conditionalFormatting>
  <conditionalFormatting sqref="F80">
    <cfRule type="cellIs" dxfId="29" priority="79" operator="equal">
      <formula>TRUE</formula>
    </cfRule>
    <cfRule type="cellIs" dxfId="28" priority="80" operator="equal">
      <formula>FALSE</formula>
    </cfRule>
  </conditionalFormatting>
  <conditionalFormatting sqref="F103">
    <cfRule type="cellIs" dxfId="27" priority="77" operator="equal">
      <formula>TRUE</formula>
    </cfRule>
    <cfRule type="cellIs" dxfId="26" priority="78" operator="equal">
      <formula>FALSE</formula>
    </cfRule>
  </conditionalFormatting>
  <conditionalFormatting sqref="F124">
    <cfRule type="cellIs" dxfId="25" priority="9" operator="equal">
      <formula>TRUE</formula>
    </cfRule>
    <cfRule type="cellIs" dxfId="24" priority="10" operator="equal">
      <formula>FALSE</formula>
    </cfRule>
  </conditionalFormatting>
  <conditionalFormatting sqref="H16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H124">
    <cfRule type="cellIs" dxfId="21" priority="7" operator="equal">
      <formula>TRUE</formula>
    </cfRule>
    <cfRule type="cellIs" dxfId="20" priority="8" operator="equal">
      <formula>FALSE</formula>
    </cfRule>
  </conditionalFormatting>
  <conditionalFormatting sqref="I58 C60">
    <cfRule type="cellIs" dxfId="19" priority="83" operator="equal">
      <formula>TRUE</formula>
    </cfRule>
    <cfRule type="cellIs" dxfId="18" priority="84" operator="equal">
      <formula>FALSE</formula>
    </cfRule>
  </conditionalFormatting>
  <conditionalFormatting sqref="F37 I37 C39">
    <cfRule type="cellIs" dxfId="17" priority="93" operator="equal">
      <formula>TRUE</formula>
    </cfRule>
    <cfRule type="cellIs" dxfId="16" priority="9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1" sqref="M11"/>
    </sheetView>
  </sheetViews>
  <sheetFormatPr defaultRowHeight="14.4" x14ac:dyDescent="0.3"/>
  <cols>
    <col min="1" max="1" width="7.77734375" style="58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58" customFormat="1" x14ac:dyDescent="0.3">
      <c r="A1" s="58">
        <v>40</v>
      </c>
      <c r="B1" s="78">
        <v>2</v>
      </c>
    </row>
    <row r="2" spans="1:23" s="58" customFormat="1" ht="31.2" x14ac:dyDescent="0.3">
      <c r="A2" s="58">
        <v>91</v>
      </c>
      <c r="B2" s="73" t="s">
        <v>142</v>
      </c>
      <c r="C2" s="96" t="s">
        <v>73</v>
      </c>
      <c r="D2" s="96"/>
      <c r="E2" s="96"/>
      <c r="F2" s="96"/>
      <c r="G2" s="96"/>
      <c r="H2" s="96"/>
      <c r="I2" s="96"/>
      <c r="J2" s="96"/>
    </row>
    <row r="3" spans="1:23" s="58" customFormat="1" x14ac:dyDescent="0.3">
      <c r="B3" s="7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R3" s="57"/>
      <c r="S3" s="57"/>
      <c r="T3" s="57"/>
      <c r="U3" s="57"/>
      <c r="V3" s="63"/>
      <c r="W3" s="63"/>
    </row>
    <row r="4" spans="1:23" s="58" customFormat="1" x14ac:dyDescent="0.3">
      <c r="B4" s="7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R4" s="57"/>
      <c r="S4" s="57"/>
      <c r="T4" s="57"/>
      <c r="U4" s="57"/>
      <c r="V4" s="57"/>
      <c r="W4" s="57"/>
    </row>
    <row r="5" spans="1:23" s="58" customFormat="1" x14ac:dyDescent="0.3">
      <c r="B5" s="7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</row>
    <row r="6" spans="1:23" s="58" customFormat="1" x14ac:dyDescent="0.3">
      <c r="B6" s="78"/>
    </row>
    <row r="7" spans="1:23" s="58" customFormat="1" ht="18" x14ac:dyDescent="0.3">
      <c r="B7" s="78"/>
      <c r="C7" s="60"/>
      <c r="D7" s="60"/>
      <c r="E7" s="68"/>
      <c r="F7" s="68"/>
      <c r="G7" s="68"/>
      <c r="H7" s="68"/>
      <c r="I7" s="68"/>
      <c r="J7" s="68"/>
      <c r="K7" s="60"/>
      <c r="L7" s="60"/>
      <c r="M7" s="60"/>
      <c r="N7" s="60"/>
    </row>
    <row r="8" spans="1:23" s="61" customFormat="1" ht="18" x14ac:dyDescent="0.3">
      <c r="A8" s="58"/>
      <c r="B8" s="7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</row>
    <row r="9" spans="1:23" customFormat="1" x14ac:dyDescent="0.3">
      <c r="A9" s="58"/>
    </row>
    <row r="10" spans="1:23" customFormat="1" x14ac:dyDescent="0.3">
      <c r="A10" s="58"/>
    </row>
    <row r="13" spans="1:23" s="4" customFormat="1" ht="36" x14ac:dyDescent="0.3">
      <c r="A13" s="58" t="s">
        <v>173</v>
      </c>
      <c r="B13" s="3"/>
      <c r="C13" s="15">
        <v>1</v>
      </c>
      <c r="D13" s="25" t="s">
        <v>68</v>
      </c>
      <c r="E13" s="107" t="s">
        <v>74</v>
      </c>
      <c r="F13" s="107"/>
      <c r="G13" s="107"/>
      <c r="H13" s="107"/>
      <c r="I13" s="2" t="s">
        <v>39</v>
      </c>
      <c r="J13" s="2">
        <f>letterToNumber(A13)</f>
        <v>1</v>
      </c>
    </row>
    <row r="14" spans="1:23" ht="31.2" x14ac:dyDescent="0.3">
      <c r="A14" s="58">
        <v>1</v>
      </c>
      <c r="C14" s="20"/>
      <c r="D14" s="20"/>
      <c r="E14" s="20" t="s">
        <v>19</v>
      </c>
      <c r="F14" s="8" t="s">
        <v>60</v>
      </c>
      <c r="G14" s="8" t="s">
        <v>17</v>
      </c>
      <c r="H14" s="8" t="s">
        <v>31</v>
      </c>
      <c r="I14" s="8" t="s">
        <v>3</v>
      </c>
      <c r="J14" s="8" t="s">
        <v>2</v>
      </c>
    </row>
    <row r="15" spans="1:23" x14ac:dyDescent="0.3">
      <c r="A15" s="58">
        <v>1</v>
      </c>
      <c r="C15" s="20"/>
      <c r="D15" s="20"/>
      <c r="E15" s="9">
        <v>2</v>
      </c>
      <c r="F15" s="9">
        <v>1</v>
      </c>
      <c r="G15" s="9">
        <v>3.5</v>
      </c>
      <c r="H15" s="9"/>
      <c r="I15" s="9">
        <v>210</v>
      </c>
      <c r="J15" s="9">
        <v>56</v>
      </c>
    </row>
    <row r="16" spans="1:23" ht="15.6" x14ac:dyDescent="0.3">
      <c r="A16" s="58">
        <v>1</v>
      </c>
      <c r="C16" s="9"/>
      <c r="D16" s="9"/>
      <c r="E16" s="9"/>
      <c r="F16" s="9"/>
      <c r="G16" s="8" t="s">
        <v>63</v>
      </c>
      <c r="H16" s="8" t="s">
        <v>64</v>
      </c>
      <c r="I16" s="9"/>
      <c r="J16" s="9"/>
    </row>
    <row r="17" spans="1:13" x14ac:dyDescent="0.3">
      <c r="A17" s="58">
        <v>1</v>
      </c>
      <c r="C17" s="9"/>
      <c r="D17" s="9"/>
      <c r="E17" s="9"/>
      <c r="F17" s="9"/>
      <c r="G17" s="9">
        <v>1</v>
      </c>
      <c r="H17" s="9">
        <v>1</v>
      </c>
      <c r="I17" s="9">
        <v>140</v>
      </c>
      <c r="J17" s="9" t="s">
        <v>78</v>
      </c>
    </row>
    <row r="18" spans="1:13" ht="25.8" customHeight="1" x14ac:dyDescent="0.3">
      <c r="A18" s="58">
        <v>1</v>
      </c>
      <c r="C18" s="10" t="b">
        <f>G17=0</f>
        <v>0</v>
      </c>
      <c r="D18" s="10" t="b">
        <f>H17=0</f>
        <v>0</v>
      </c>
      <c r="E18" s="9"/>
      <c r="F18" s="69"/>
      <c r="G18" s="9">
        <v>1</v>
      </c>
      <c r="H18" s="9">
        <v>1</v>
      </c>
      <c r="I18" s="9">
        <v>70</v>
      </c>
      <c r="J18" s="9" t="s">
        <v>79</v>
      </c>
    </row>
    <row r="19" spans="1:13" x14ac:dyDescent="0.3">
      <c r="A19" s="58">
        <v>1</v>
      </c>
      <c r="C19" s="101">
        <f>G17+H17</f>
        <v>2</v>
      </c>
      <c r="D19" s="101"/>
      <c r="E19" s="9"/>
      <c r="F19" s="69"/>
      <c r="G19" s="69"/>
      <c r="H19" s="69"/>
      <c r="I19" s="9">
        <f>SUM(I17:I18)</f>
        <v>210</v>
      </c>
      <c r="J19" s="105" t="str">
        <f>IF(I20,"مقاس الدلف صحيح","مقاس الدلف غير صحيح")</f>
        <v>مقاس الدلف صحيح</v>
      </c>
    </row>
    <row r="20" spans="1:13" x14ac:dyDescent="0.3">
      <c r="A20" s="58">
        <v>1</v>
      </c>
      <c r="C20" s="102" t="b">
        <f>C19&lt;=2</f>
        <v>1</v>
      </c>
      <c r="D20" s="102"/>
      <c r="E20" s="9"/>
      <c r="F20" s="9"/>
      <c r="G20" s="9"/>
      <c r="H20" s="9"/>
      <c r="I20" s="6" t="b">
        <f>I19=I15</f>
        <v>1</v>
      </c>
      <c r="J20" s="105"/>
    </row>
    <row r="21" spans="1:13" ht="31.2" x14ac:dyDescent="0.3">
      <c r="A21" s="58">
        <v>1</v>
      </c>
      <c r="B21" s="1"/>
      <c r="C21" s="9"/>
      <c r="D21" s="30" t="str">
        <f>INDEX(choosenMaterials[[#All],[Column1]],MATCH(E21,choosenMaterials[[#All],[Column2]],0))</f>
        <v>ظهر</v>
      </c>
      <c r="E21" s="8" t="s">
        <v>67</v>
      </c>
      <c r="F21" s="30" t="str">
        <f>INDEX(choosenMaterials[[#All],[Column1]],MATCH(G21,choosenMaterials[[#All],[Column2]],0))</f>
        <v>يوفيلاك</v>
      </c>
      <c r="G21" s="8" t="s">
        <v>41</v>
      </c>
      <c r="H21" s="30" t="str">
        <f>INDEX(choosenMaterials[[#All],[Column1]],MATCH(I21,choosenMaterials[[#All],[Column2]],0))</f>
        <v>HPL</v>
      </c>
      <c r="I21" s="8" t="s">
        <v>40</v>
      </c>
      <c r="J21" s="28" t="s">
        <v>121</v>
      </c>
    </row>
    <row r="22" spans="1:13" x14ac:dyDescent="0.3">
      <c r="A22" s="58">
        <v>0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58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42</v>
      </c>
      <c r="J23" s="6" t="s">
        <v>8</v>
      </c>
    </row>
    <row r="24" spans="1:13" x14ac:dyDescent="0.3">
      <c r="A24" s="58">
        <v>0</v>
      </c>
      <c r="C24" s="6"/>
      <c r="D24" s="6"/>
      <c r="E24" s="6"/>
      <c r="F24" s="6"/>
      <c r="G24" s="6"/>
      <c r="H24" s="6"/>
      <c r="I24" s="6"/>
      <c r="J24" s="6"/>
    </row>
    <row r="25" spans="1:13" ht="15.6" customHeight="1" x14ac:dyDescent="0.3">
      <c r="A25" s="58">
        <v>3</v>
      </c>
      <c r="B25" s="3" t="str">
        <f>E13</f>
        <v xml:space="preserve">دواليب دلفة /دلفتين </v>
      </c>
      <c r="C25" s="6">
        <v>1</v>
      </c>
      <c r="D25" s="6" t="str">
        <f>H21</f>
        <v>HPL</v>
      </c>
      <c r="E25" s="6" t="s">
        <v>58</v>
      </c>
      <c r="F25" s="6">
        <f>H15-3.6</f>
        <v>-3.6</v>
      </c>
      <c r="G25" s="6">
        <f>J15</f>
        <v>56</v>
      </c>
      <c r="H25" s="6">
        <f>1*C13</f>
        <v>1</v>
      </c>
      <c r="I25" s="6">
        <f>HLOOKUP(D25, materials[], 2,FALSE)</f>
        <v>2</v>
      </c>
      <c r="J25" s="6"/>
    </row>
    <row r="26" spans="1:13" ht="15.6" customHeight="1" x14ac:dyDescent="0.3">
      <c r="A26" s="58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>HLOOKUP(D26, materials[], 2,FALSE)</f>
        <v>2</v>
      </c>
      <c r="J26" s="6"/>
    </row>
    <row r="27" spans="1:13" ht="15.6" customHeight="1" x14ac:dyDescent="0.3">
      <c r="A27" s="58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>H21</f>
        <v>HPL</v>
      </c>
      <c r="E27" s="6" t="s">
        <v>60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>HLOOKUP(D27, materials[], 2,FALSE)</f>
        <v>2</v>
      </c>
      <c r="J27" s="6"/>
    </row>
    <row r="28" spans="1:13" ht="15.6" customHeight="1" x14ac:dyDescent="0.3">
      <c r="A28" s="58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>HLOOKUP(D28, materials[], 2,FALSE)</f>
        <v>2</v>
      </c>
      <c r="J28" s="6"/>
    </row>
    <row r="29" spans="1:13" x14ac:dyDescent="0.3">
      <c r="A29" s="58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>HLOOKUP(D29, materials[], 2,FALSE)</f>
        <v>2</v>
      </c>
      <c r="J29" s="6"/>
    </row>
    <row r="30" spans="1:13" x14ac:dyDescent="0.3">
      <c r="A30" s="58">
        <v>0</v>
      </c>
      <c r="C30" s="6"/>
      <c r="D30" s="6"/>
      <c r="E30" s="6"/>
      <c r="F30" s="6"/>
      <c r="G30" s="6"/>
      <c r="H30" s="6"/>
      <c r="I30" s="6"/>
      <c r="J30" s="6"/>
      <c r="M30" s="3" t="str">
        <f>IF(K170=0, "",F56)</f>
        <v/>
      </c>
    </row>
    <row r="31" spans="1:13" x14ac:dyDescent="0.3">
      <c r="A31" s="58">
        <v>4</v>
      </c>
      <c r="B31" s="3" t="str">
        <f>B25</f>
        <v xml:space="preserve">دواليب دلفة /دلفتين </v>
      </c>
      <c r="C31" s="10">
        <f>C29+1</f>
        <v>6</v>
      </c>
      <c r="D31" s="10" t="str">
        <f>F21</f>
        <v>يوفيلاك</v>
      </c>
      <c r="E31" s="10" t="s">
        <v>81</v>
      </c>
      <c r="F31" s="10">
        <f>I17-0.5-G15</f>
        <v>136</v>
      </c>
      <c r="G31" s="10">
        <f>(H15/C19)-0.5</f>
        <v>-0.5</v>
      </c>
      <c r="H31" s="10">
        <f>G17*C13</f>
        <v>1</v>
      </c>
      <c r="I31" s="10">
        <f>HLOOKUP(D31, materials[], 2,FALSE)</f>
        <v>6</v>
      </c>
      <c r="J31" s="6"/>
    </row>
    <row r="32" spans="1:13" x14ac:dyDescent="0.3">
      <c r="A32" s="58">
        <v>4</v>
      </c>
      <c r="B32" s="3" t="str">
        <f>B25</f>
        <v xml:space="preserve">دواليب دلفة /دلفتين </v>
      </c>
      <c r="C32" s="10">
        <f>C31+1</f>
        <v>7</v>
      </c>
      <c r="D32" s="10" t="str">
        <f>F21</f>
        <v>يوفيلاك</v>
      </c>
      <c r="E32" s="10" t="s">
        <v>82</v>
      </c>
      <c r="F32" s="10">
        <f>I18-0.5-G15</f>
        <v>66</v>
      </c>
      <c r="G32" s="10">
        <f>(H15/C19)-0.5</f>
        <v>-0.5</v>
      </c>
      <c r="H32" s="10">
        <f>G18*C13</f>
        <v>1</v>
      </c>
      <c r="I32" s="10">
        <f>HLOOKUP(D32, materials[], 2,FALSE)</f>
        <v>6</v>
      </c>
      <c r="J32" s="6"/>
    </row>
    <row r="33" spans="1:13" x14ac:dyDescent="0.3">
      <c r="A33" s="58">
        <v>0</v>
      </c>
      <c r="C33" s="6"/>
      <c r="D33" s="6"/>
      <c r="E33" s="6"/>
      <c r="F33" s="6"/>
      <c r="G33" s="6"/>
      <c r="H33" s="6"/>
      <c r="I33" s="6"/>
      <c r="J33" s="6"/>
    </row>
    <row r="34" spans="1:13" x14ac:dyDescent="0.3">
      <c r="A34" s="58">
        <v>4</v>
      </c>
      <c r="B34" s="3" t="str">
        <f>B25</f>
        <v xml:space="preserve">دواليب دلفة /دلفتين </v>
      </c>
      <c r="C34" s="10">
        <f>C32+1</f>
        <v>8</v>
      </c>
      <c r="D34" s="10" t="s">
        <v>62</v>
      </c>
      <c r="E34" s="10" t="s">
        <v>83</v>
      </c>
      <c r="F34" s="10">
        <f>I17-0.5</f>
        <v>139.5</v>
      </c>
      <c r="G34" s="10">
        <f>(H15/C19)-0.5</f>
        <v>-0.5</v>
      </c>
      <c r="H34" s="10">
        <f>H17*C13</f>
        <v>1</v>
      </c>
      <c r="I34" s="10"/>
      <c r="J34" s="10"/>
    </row>
    <row r="35" spans="1:13" x14ac:dyDescent="0.3">
      <c r="A35" s="58">
        <v>4</v>
      </c>
      <c r="B35" s="3" t="str">
        <f>B25</f>
        <v xml:space="preserve">دواليب دلفة /دلفتين </v>
      </c>
      <c r="C35" s="10">
        <f>C34+1</f>
        <v>9</v>
      </c>
      <c r="D35" s="10" t="s">
        <v>62</v>
      </c>
      <c r="E35" s="10" t="s">
        <v>84</v>
      </c>
      <c r="F35" s="10">
        <f>I18-0.5</f>
        <v>69.5</v>
      </c>
      <c r="G35" s="10">
        <f>(H15/C19)-0.5</f>
        <v>-0.5</v>
      </c>
      <c r="H35" s="10">
        <f>H18*C13</f>
        <v>1</v>
      </c>
      <c r="I35" s="10"/>
      <c r="J35" s="10"/>
    </row>
    <row r="36" spans="1:13" x14ac:dyDescent="0.3">
      <c r="A36" s="58">
        <v>0</v>
      </c>
      <c r="C36" s="6"/>
      <c r="D36" s="6"/>
      <c r="E36" s="6"/>
      <c r="F36" s="6"/>
      <c r="G36" s="6"/>
      <c r="H36" s="6"/>
      <c r="I36" s="6"/>
      <c r="J36" s="6"/>
    </row>
    <row r="37" spans="1:13" x14ac:dyDescent="0.3">
      <c r="A37" s="58">
        <v>5</v>
      </c>
      <c r="B37" s="3" t="str">
        <f>B25</f>
        <v xml:space="preserve">دواليب دلفة /دلفتين </v>
      </c>
      <c r="C37" s="21">
        <f>C35+1</f>
        <v>10</v>
      </c>
      <c r="D37" s="21" t="str">
        <f>D21</f>
        <v>ظهر</v>
      </c>
      <c r="E37" s="21" t="s">
        <v>67</v>
      </c>
      <c r="F37" s="21">
        <f>I15-2</f>
        <v>208</v>
      </c>
      <c r="G37" s="21">
        <f>H15-2</f>
        <v>-2</v>
      </c>
      <c r="H37" s="21">
        <f>1*C13</f>
        <v>1</v>
      </c>
      <c r="I37" s="21">
        <f>HLOOKUP(D37, materials[], 2,FALSE)</f>
        <v>2</v>
      </c>
      <c r="J37" s="21"/>
    </row>
    <row r="38" spans="1:13" x14ac:dyDescent="0.3">
      <c r="A38" s="58">
        <v>255</v>
      </c>
    </row>
    <row r="39" spans="1:13" x14ac:dyDescent="0.3">
      <c r="A39" s="58">
        <v>255</v>
      </c>
      <c r="K39" s="1"/>
      <c r="L39" s="1"/>
      <c r="M39" s="1"/>
    </row>
    <row r="40" spans="1:13" ht="36" x14ac:dyDescent="0.3">
      <c r="A40" s="58" t="s">
        <v>179</v>
      </c>
      <c r="C40" s="15">
        <v>1</v>
      </c>
      <c r="D40" s="25" t="s">
        <v>68</v>
      </c>
      <c r="E40" s="107" t="s">
        <v>85</v>
      </c>
      <c r="F40" s="107"/>
      <c r="G40" s="107"/>
      <c r="H40" s="107"/>
      <c r="I40" s="2" t="s">
        <v>39</v>
      </c>
      <c r="J40" s="2">
        <f>letterToNumber(A40)</f>
        <v>2</v>
      </c>
      <c r="K40" s="1"/>
      <c r="L40" s="1"/>
      <c r="M40" s="1"/>
    </row>
    <row r="41" spans="1:13" ht="31.2" x14ac:dyDescent="0.3">
      <c r="A41" s="58">
        <v>1</v>
      </c>
      <c r="C41" s="20"/>
      <c r="D41" s="18" t="s">
        <v>21</v>
      </c>
      <c r="E41" s="20" t="s">
        <v>19</v>
      </c>
      <c r="F41" s="8" t="s">
        <v>60</v>
      </c>
      <c r="G41" s="8" t="s">
        <v>17</v>
      </c>
      <c r="H41" s="8" t="s">
        <v>31</v>
      </c>
      <c r="I41" s="8" t="s">
        <v>3</v>
      </c>
      <c r="J41" s="8" t="s">
        <v>2</v>
      </c>
      <c r="K41" s="1"/>
      <c r="L41" s="1"/>
      <c r="M41" s="1"/>
    </row>
    <row r="42" spans="1:13" x14ac:dyDescent="0.3">
      <c r="A42" s="58">
        <v>1</v>
      </c>
      <c r="C42" s="20"/>
      <c r="D42" s="10">
        <v>45</v>
      </c>
      <c r="E42" s="9">
        <v>2</v>
      </c>
      <c r="F42" s="9">
        <v>1</v>
      </c>
      <c r="G42" s="9">
        <v>3.5</v>
      </c>
      <c r="H42" s="9"/>
      <c r="I42" s="9">
        <v>78</v>
      </c>
      <c r="J42" s="9">
        <v>56</v>
      </c>
      <c r="K42" s="1"/>
      <c r="L42" s="1"/>
      <c r="M42" s="1"/>
    </row>
    <row r="43" spans="1:13" ht="15.6" x14ac:dyDescent="0.3">
      <c r="A43" s="58">
        <v>1</v>
      </c>
      <c r="C43" s="9"/>
      <c r="D43" s="9"/>
      <c r="E43" s="9"/>
      <c r="F43" s="9"/>
      <c r="G43" s="8" t="s">
        <v>63</v>
      </c>
      <c r="H43" s="8" t="s">
        <v>64</v>
      </c>
      <c r="I43" s="9"/>
      <c r="J43" s="9"/>
      <c r="K43" s="1"/>
      <c r="L43" s="1"/>
      <c r="M43" s="1"/>
    </row>
    <row r="44" spans="1:13" ht="15.6" x14ac:dyDescent="0.3">
      <c r="A44" s="58">
        <v>1</v>
      </c>
      <c r="C44" s="9"/>
      <c r="D44" s="9"/>
      <c r="E44" s="9"/>
      <c r="F44" s="9"/>
      <c r="G44" s="8"/>
      <c r="H44" s="8"/>
      <c r="I44" s="9"/>
      <c r="J44" s="9" t="s">
        <v>86</v>
      </c>
    </row>
    <row r="45" spans="1:13" ht="15.6" x14ac:dyDescent="0.3">
      <c r="A45" s="58">
        <v>1</v>
      </c>
      <c r="C45" s="9"/>
      <c r="D45" s="9"/>
      <c r="E45" s="9"/>
      <c r="F45" s="9"/>
      <c r="G45" s="8"/>
      <c r="H45" s="8"/>
      <c r="I45" s="9"/>
      <c r="J45" s="9" t="s">
        <v>87</v>
      </c>
      <c r="K45" s="1"/>
      <c r="L45" s="1"/>
      <c r="M45" s="1"/>
    </row>
    <row r="46" spans="1:13" ht="15.6" x14ac:dyDescent="0.3">
      <c r="A46" s="58">
        <v>1</v>
      </c>
      <c r="C46" s="9"/>
      <c r="D46" s="9"/>
      <c r="E46" s="9"/>
      <c r="F46" s="9"/>
      <c r="G46" s="8"/>
      <c r="H46" s="8"/>
      <c r="I46" s="9"/>
      <c r="J46" s="9" t="s">
        <v>88</v>
      </c>
      <c r="K46" s="1"/>
      <c r="L46" s="1"/>
      <c r="M46" s="1"/>
    </row>
    <row r="47" spans="1:13" x14ac:dyDescent="0.3">
      <c r="A47" s="58">
        <v>1</v>
      </c>
      <c r="C47" s="9"/>
      <c r="D47" s="9"/>
      <c r="E47" s="9"/>
      <c r="F47" s="9"/>
      <c r="G47" s="9"/>
      <c r="H47" s="9"/>
      <c r="I47" s="9"/>
      <c r="J47" s="9" t="s">
        <v>78</v>
      </c>
      <c r="K47" s="1"/>
      <c r="L47" s="1"/>
      <c r="M47" s="1"/>
    </row>
    <row r="48" spans="1:13" x14ac:dyDescent="0.3">
      <c r="A48" s="58">
        <v>1</v>
      </c>
      <c r="C48" s="9"/>
      <c r="D48" s="9"/>
      <c r="E48" s="9"/>
      <c r="F48" s="9"/>
      <c r="G48" s="9"/>
      <c r="H48" s="9"/>
      <c r="I48" s="9"/>
      <c r="J48" s="9" t="s">
        <v>89</v>
      </c>
      <c r="K48" s="1"/>
      <c r="L48" s="1"/>
      <c r="M48" s="1"/>
    </row>
    <row r="49" spans="1:13" x14ac:dyDescent="0.3">
      <c r="A49" s="58">
        <v>1</v>
      </c>
      <c r="C49" s="9"/>
      <c r="D49" s="9"/>
      <c r="E49" s="9"/>
      <c r="F49" s="9"/>
      <c r="G49" s="9"/>
      <c r="H49" s="9"/>
      <c r="I49" s="9"/>
      <c r="J49" s="9" t="s">
        <v>90</v>
      </c>
      <c r="K49" s="1"/>
      <c r="L49" s="1"/>
      <c r="M49" s="1"/>
    </row>
    <row r="50" spans="1:13" x14ac:dyDescent="0.3">
      <c r="A50" s="58">
        <v>1</v>
      </c>
      <c r="C50" s="9"/>
      <c r="D50" s="9"/>
      <c r="E50" s="9"/>
      <c r="F50" s="9"/>
      <c r="G50" s="9"/>
      <c r="H50" s="9"/>
      <c r="I50" s="9"/>
      <c r="J50" s="9" t="s">
        <v>91</v>
      </c>
      <c r="K50" s="1"/>
      <c r="L50" s="1"/>
      <c r="M50" s="1"/>
    </row>
    <row r="51" spans="1:13" x14ac:dyDescent="0.3">
      <c r="A51" s="58">
        <v>1</v>
      </c>
      <c r="C51" s="10" t="b">
        <f>G47=0</f>
        <v>1</v>
      </c>
      <c r="D51" s="10" t="b">
        <f>H47=0</f>
        <v>1</v>
      </c>
      <c r="E51" s="9"/>
      <c r="F51" s="69"/>
      <c r="G51" s="9"/>
      <c r="H51" s="9"/>
      <c r="I51" s="9"/>
      <c r="J51" s="9" t="s">
        <v>92</v>
      </c>
      <c r="K51" s="1"/>
      <c r="L51" s="1"/>
      <c r="M51" s="1"/>
    </row>
    <row r="52" spans="1:13" x14ac:dyDescent="0.3">
      <c r="A52" s="58">
        <v>1</v>
      </c>
      <c r="C52" s="101">
        <f>G47+H47</f>
        <v>0</v>
      </c>
      <c r="D52" s="101"/>
      <c r="E52" s="9"/>
      <c r="F52" s="69"/>
      <c r="G52" s="69"/>
      <c r="H52" s="69"/>
      <c r="I52" s="9">
        <f>SUM(I44:I51)</f>
        <v>0</v>
      </c>
      <c r="J52" s="105" t="str">
        <f>IF(I53,"مقاس الدلف صحيح","مقاس الدلف غير صحيح")</f>
        <v>مقاس الدلف غير صحيح</v>
      </c>
      <c r="K52" s="1"/>
      <c r="L52" s="1"/>
      <c r="M52" s="1"/>
    </row>
    <row r="53" spans="1:13" x14ac:dyDescent="0.3">
      <c r="A53" s="58">
        <v>1</v>
      </c>
      <c r="C53" s="102" t="b">
        <f>C52&lt;=2</f>
        <v>1</v>
      </c>
      <c r="D53" s="102"/>
      <c r="E53" s="9"/>
      <c r="F53" s="9"/>
      <c r="G53" s="9"/>
      <c r="H53" s="9"/>
      <c r="I53" s="6" t="b">
        <f>I52=I42</f>
        <v>0</v>
      </c>
      <c r="J53" s="105"/>
      <c r="K53" s="1"/>
      <c r="L53" s="1"/>
      <c r="M53" s="1"/>
    </row>
    <row r="54" spans="1:13" ht="31.2" x14ac:dyDescent="0.3">
      <c r="A54" s="58">
        <v>1</v>
      </c>
      <c r="B54" s="1"/>
      <c r="C54" s="9"/>
      <c r="D54" s="30" t="str">
        <f>INDEX(choosenMaterials[[#All],[Column1]],MATCH(E54,choosenMaterials[[#All],[Column2]],0))</f>
        <v>ظهر</v>
      </c>
      <c r="E54" s="8" t="s">
        <v>67</v>
      </c>
      <c r="F54" s="30" t="str">
        <f>INDEX(choosenMaterials[[#All],[Column1]],MATCH(G54,choosenMaterials[[#All],[Column2]],0))</f>
        <v>يوفيلاك</v>
      </c>
      <c r="G54" s="8" t="s">
        <v>41</v>
      </c>
      <c r="H54" s="30" t="str">
        <f>INDEX(choosenMaterials[[#All],[Column1]],MATCH(I54,choosenMaterials[[#All],[Column2]],0))</f>
        <v>HPL</v>
      </c>
      <c r="I54" s="8" t="s">
        <v>40</v>
      </c>
      <c r="J54" s="28" t="s">
        <v>121</v>
      </c>
      <c r="K54" s="1"/>
      <c r="L54" s="1"/>
      <c r="M54" s="1"/>
    </row>
    <row r="55" spans="1:13" ht="15.6" customHeight="1" x14ac:dyDescent="0.3">
      <c r="A55" s="58">
        <v>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58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42</v>
      </c>
      <c r="J56" s="6" t="s">
        <v>8</v>
      </c>
      <c r="K56" s="1"/>
      <c r="L56" s="1"/>
      <c r="M56" s="1"/>
    </row>
    <row r="57" spans="1:13" ht="15.6" customHeight="1" x14ac:dyDescent="0.3">
      <c r="A57" s="58">
        <v>0</v>
      </c>
      <c r="C57" s="6"/>
      <c r="D57" s="6"/>
      <c r="E57" s="6"/>
      <c r="F57" s="6"/>
      <c r="G57" s="6"/>
      <c r="H57" s="6"/>
      <c r="I57" s="6"/>
      <c r="J57" s="6"/>
      <c r="K57" s="1"/>
      <c r="L57" s="1"/>
      <c r="M57" s="1"/>
    </row>
    <row r="58" spans="1:13" ht="15.6" customHeight="1" x14ac:dyDescent="0.3">
      <c r="A58" s="58">
        <v>3</v>
      </c>
      <c r="B58" s="3" t="str">
        <f>E40</f>
        <v>دواليب منوع /فرن /أدراج</v>
      </c>
      <c r="C58" s="6">
        <v>1</v>
      </c>
      <c r="D58" s="6" t="str">
        <f>H54</f>
        <v>HPL</v>
      </c>
      <c r="E58" s="6" t="s">
        <v>58</v>
      </c>
      <c r="F58" s="6">
        <f>H42-3.6</f>
        <v>-3.6</v>
      </c>
      <c r="G58" s="6">
        <f>J42</f>
        <v>56</v>
      </c>
      <c r="H58" s="6">
        <f>1*C40</f>
        <v>1</v>
      </c>
      <c r="I58" s="6">
        <f>HLOOKUP(D58, materials[], 2,FALSE)</f>
        <v>2</v>
      </c>
      <c r="J58" s="6"/>
      <c r="K58" s="1"/>
      <c r="L58" s="1"/>
      <c r="M58" s="1"/>
    </row>
    <row r="59" spans="1:13" x14ac:dyDescent="0.3">
      <c r="A59" s="58">
        <v>3</v>
      </c>
      <c r="B59" s="3" t="str">
        <f>B58</f>
        <v>دواليب منوع /فرن /أدراج</v>
      </c>
      <c r="C59" s="6">
        <f>C58+1</f>
        <v>2</v>
      </c>
      <c r="D59" s="6" t="str">
        <f>H54</f>
        <v>HPL</v>
      </c>
      <c r="E59" s="6" t="s">
        <v>10</v>
      </c>
      <c r="F59" s="6">
        <f>H42-3.6</f>
        <v>-3.6</v>
      </c>
      <c r="G59" s="6">
        <f>J42</f>
        <v>56</v>
      </c>
      <c r="H59" s="6">
        <f>1*C40</f>
        <v>1</v>
      </c>
      <c r="I59" s="6">
        <f>HLOOKUP(D59, materials[], 2,FALSE)</f>
        <v>2</v>
      </c>
      <c r="J59" s="6"/>
      <c r="K59" s="1"/>
      <c r="L59" s="1"/>
      <c r="M59" s="1"/>
    </row>
    <row r="60" spans="1:13" x14ac:dyDescent="0.3">
      <c r="A60" s="58">
        <v>3</v>
      </c>
      <c r="B60" s="3" t="str">
        <f>B58</f>
        <v>دواليب منوع /فرن /أدراج</v>
      </c>
      <c r="C60" s="6">
        <f>C59+1</f>
        <v>3</v>
      </c>
      <c r="D60" s="6" t="str">
        <f>H54</f>
        <v>HPL</v>
      </c>
      <c r="E60" s="6" t="s">
        <v>60</v>
      </c>
      <c r="F60" s="6">
        <f>H42-3.6</f>
        <v>-3.6</v>
      </c>
      <c r="G60" s="6">
        <f>J42-2.5</f>
        <v>53.5</v>
      </c>
      <c r="H60" s="6">
        <f>1*C40*F42</f>
        <v>1</v>
      </c>
      <c r="I60" s="6">
        <f>HLOOKUP(D60, materials[], 2,FALSE)</f>
        <v>2</v>
      </c>
      <c r="J60" s="6"/>
      <c r="K60" s="1"/>
      <c r="L60" s="1"/>
      <c r="M60" s="1"/>
    </row>
    <row r="61" spans="1:13" ht="15.6" customHeight="1" x14ac:dyDescent="0.3">
      <c r="A61" s="58">
        <v>3</v>
      </c>
      <c r="B61" s="3" t="str">
        <f>B58</f>
        <v>دواليب منوع /فرن /أدراج</v>
      </c>
      <c r="C61" s="6">
        <f>C60+1</f>
        <v>4</v>
      </c>
      <c r="D61" s="6" t="str">
        <f>H54</f>
        <v>HPL</v>
      </c>
      <c r="E61" s="6" t="s">
        <v>11</v>
      </c>
      <c r="F61" s="6">
        <f>I42</f>
        <v>78</v>
      </c>
      <c r="G61" s="6">
        <f>J42</f>
        <v>56</v>
      </c>
      <c r="H61" s="6">
        <f>2*C40</f>
        <v>2</v>
      </c>
      <c r="I61" s="6">
        <f>HLOOKUP(D61, materials[], 2,FALSE)</f>
        <v>2</v>
      </c>
      <c r="J61" s="6"/>
      <c r="K61" s="1"/>
      <c r="L61" s="1"/>
      <c r="M61" s="1"/>
    </row>
    <row r="62" spans="1:13" x14ac:dyDescent="0.3">
      <c r="A62" s="58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>H54</f>
        <v>HPL</v>
      </c>
      <c r="E62" s="6" t="s">
        <v>18</v>
      </c>
      <c r="F62" s="6">
        <f>H42-3.8</f>
        <v>-3.8</v>
      </c>
      <c r="G62" s="6">
        <f>J42-5</f>
        <v>51</v>
      </c>
      <c r="H62" s="6">
        <f>E42*C40</f>
        <v>2</v>
      </c>
      <c r="I62" s="6">
        <f>HLOOKUP(D62, materials[], 2,FALSE)</f>
        <v>2</v>
      </c>
      <c r="J62" s="6"/>
      <c r="K62" s="1"/>
      <c r="L62" s="1"/>
      <c r="M62" s="1"/>
    </row>
    <row r="63" spans="1:13" x14ac:dyDescent="0.3">
      <c r="A63" s="58">
        <v>0</v>
      </c>
      <c r="C63" s="6"/>
      <c r="D63" s="6"/>
      <c r="E63" s="6"/>
      <c r="F63" s="6"/>
      <c r="G63" s="6"/>
      <c r="H63" s="6"/>
      <c r="I63" s="6"/>
      <c r="J63" s="6"/>
      <c r="K63" s="1"/>
      <c r="L63" s="1"/>
      <c r="M63" s="1"/>
    </row>
    <row r="64" spans="1:13" x14ac:dyDescent="0.3">
      <c r="A64" s="58">
        <v>3</v>
      </c>
      <c r="B64" s="3" t="str">
        <f>B58</f>
        <v>دواليب منوع /فرن /أدراج</v>
      </c>
      <c r="C64" s="23">
        <f>C62+1</f>
        <v>6</v>
      </c>
      <c r="D64" s="23" t="str">
        <f>H54</f>
        <v>HPL</v>
      </c>
      <c r="E64" s="23" t="s">
        <v>93</v>
      </c>
      <c r="F64" s="23" t="str">
        <f>IF(H64=0, "",(H42-3.6-3.6-2.5))</f>
        <v/>
      </c>
      <c r="G64" s="23" t="str">
        <f>IF(H64=0, "",(I44-6))</f>
        <v/>
      </c>
      <c r="H64" s="23">
        <f>G44*C40</f>
        <v>0</v>
      </c>
      <c r="I64" s="23">
        <f>HLOOKUP(D64, materials[], 2,FALSE)</f>
        <v>2</v>
      </c>
      <c r="J64" s="6"/>
    </row>
    <row r="65" spans="1:12" x14ac:dyDescent="0.3">
      <c r="A65" s="58">
        <v>3</v>
      </c>
      <c r="B65" s="3" t="str">
        <f>B58</f>
        <v>دواليب منوع /فرن /أدراج</v>
      </c>
      <c r="C65" s="23">
        <f>C64+1</f>
        <v>7</v>
      </c>
      <c r="D65" s="23" t="str">
        <f>H54</f>
        <v>HPL</v>
      </c>
      <c r="E65" s="23" t="s">
        <v>94</v>
      </c>
      <c r="F65" s="23" t="str">
        <f>IF(H65=0, "",D42)</f>
        <v/>
      </c>
      <c r="G65" s="23" t="str">
        <f>IF(H65=0, "",(I44-6))</f>
        <v/>
      </c>
      <c r="H65" s="23">
        <f>2*G44*C40</f>
        <v>0</v>
      </c>
      <c r="I65" s="23">
        <f>HLOOKUP(D65, materials[], 2,FALSE)</f>
        <v>2</v>
      </c>
      <c r="J65" s="6"/>
    </row>
    <row r="66" spans="1:12" x14ac:dyDescent="0.3">
      <c r="A66" s="58">
        <v>3</v>
      </c>
      <c r="B66" s="3" t="str">
        <f>B58</f>
        <v>دواليب منوع /فرن /أدراج</v>
      </c>
      <c r="C66" s="23">
        <f t="shared" ref="C66:C72" si="2">C65+1</f>
        <v>8</v>
      </c>
      <c r="D66" s="23" t="str">
        <f>H54</f>
        <v>HPL</v>
      </c>
      <c r="E66" s="23" t="s">
        <v>95</v>
      </c>
      <c r="F66" s="23" t="str">
        <f>IF(H66=0, "",(H42-3.6-3.6-2.5))</f>
        <v/>
      </c>
      <c r="G66" s="23" t="str">
        <f>IF(H66=0, "",(I44-6-3))</f>
        <v/>
      </c>
      <c r="H66" s="23">
        <f>G44*C40</f>
        <v>0</v>
      </c>
      <c r="I66" s="23">
        <f>HLOOKUP(D66, materials[], 2,FALSE)</f>
        <v>2</v>
      </c>
      <c r="J66" s="6"/>
    </row>
    <row r="67" spans="1:12" x14ac:dyDescent="0.3">
      <c r="A67" s="58">
        <v>3</v>
      </c>
      <c r="B67" s="3" t="str">
        <f>B58</f>
        <v>دواليب منوع /فرن /أدراج</v>
      </c>
      <c r="C67" s="11">
        <f t="shared" si="2"/>
        <v>9</v>
      </c>
      <c r="D67" s="11" t="str">
        <f>H54</f>
        <v>HPL</v>
      </c>
      <c r="E67" s="11" t="s">
        <v>96</v>
      </c>
      <c r="F67" s="11" t="str">
        <f>IF(H67=0, "",(H42-3.6-3.6-2.5))</f>
        <v/>
      </c>
      <c r="G67" s="11" t="str">
        <f>IF(H67=0, "",(I45-6))</f>
        <v/>
      </c>
      <c r="H67" s="11">
        <f>G45*C40</f>
        <v>0</v>
      </c>
      <c r="I67" s="11">
        <f>HLOOKUP(D67, materials[], 2,FALSE)</f>
        <v>2</v>
      </c>
      <c r="J67" s="6"/>
    </row>
    <row r="68" spans="1:12" x14ac:dyDescent="0.3">
      <c r="A68" s="58">
        <v>3</v>
      </c>
      <c r="B68" s="3" t="str">
        <f>B58</f>
        <v>دواليب منوع /فرن /أدراج</v>
      </c>
      <c r="C68" s="11">
        <f t="shared" si="2"/>
        <v>10</v>
      </c>
      <c r="D68" s="11" t="str">
        <f>H54</f>
        <v>HPL</v>
      </c>
      <c r="E68" s="11" t="s">
        <v>97</v>
      </c>
      <c r="F68" s="11" t="str">
        <f>IF(H68=0, "",D42)</f>
        <v/>
      </c>
      <c r="G68" s="11" t="str">
        <f>IF(H68=0, "",(I45-6))</f>
        <v/>
      </c>
      <c r="H68" s="11">
        <f>2*G45*C40</f>
        <v>0</v>
      </c>
      <c r="I68" s="11">
        <f>HLOOKUP(D68, materials[], 2,FALSE)</f>
        <v>2</v>
      </c>
      <c r="J68" s="6"/>
    </row>
    <row r="69" spans="1:12" x14ac:dyDescent="0.3">
      <c r="A69" s="58">
        <v>3</v>
      </c>
      <c r="B69" s="3" t="str">
        <f>B58</f>
        <v>دواليب منوع /فرن /أدراج</v>
      </c>
      <c r="C69" s="11">
        <f t="shared" si="2"/>
        <v>11</v>
      </c>
      <c r="D69" s="11" t="str">
        <f>H54</f>
        <v>HPL</v>
      </c>
      <c r="E69" s="11" t="s">
        <v>98</v>
      </c>
      <c r="F69" s="11" t="str">
        <f>IF(H69=0, "",(H42-3.6-3.6-2.5))</f>
        <v/>
      </c>
      <c r="G69" s="11" t="str">
        <f>IF(H69=0, "",(I45-6-3))</f>
        <v/>
      </c>
      <c r="H69" s="11">
        <f>G45*C40</f>
        <v>0</v>
      </c>
      <c r="I69" s="11">
        <f>HLOOKUP(D69, materials[], 2,FALSE)</f>
        <v>2</v>
      </c>
      <c r="J69" s="6"/>
    </row>
    <row r="70" spans="1:12" x14ac:dyDescent="0.3">
      <c r="A70" s="58">
        <v>3</v>
      </c>
      <c r="B70" s="3" t="str">
        <f>B58</f>
        <v>دواليب منوع /فرن /أدراج</v>
      </c>
      <c r="C70" s="23">
        <f t="shared" si="2"/>
        <v>12</v>
      </c>
      <c r="D70" s="23" t="str">
        <f>H54</f>
        <v>HPL</v>
      </c>
      <c r="E70" s="23" t="s">
        <v>99</v>
      </c>
      <c r="F70" s="23" t="str">
        <f>IF(H70=0, "",(H42-3.6-3.6-2.5))</f>
        <v/>
      </c>
      <c r="G70" s="23" t="str">
        <f>IF(H70=0, "",(I46-6))</f>
        <v/>
      </c>
      <c r="H70" s="23">
        <f>G46*C40</f>
        <v>0</v>
      </c>
      <c r="I70" s="23">
        <f>HLOOKUP(D70, materials[], 2,FALSE)</f>
        <v>2</v>
      </c>
      <c r="J70" s="6"/>
    </row>
    <row r="71" spans="1:12" x14ac:dyDescent="0.3">
      <c r="A71" s="58">
        <v>3</v>
      </c>
      <c r="B71" s="3" t="str">
        <f>B58</f>
        <v>دواليب منوع /فرن /أدراج</v>
      </c>
      <c r="C71" s="23">
        <f t="shared" si="2"/>
        <v>13</v>
      </c>
      <c r="D71" s="23" t="str">
        <f>H54</f>
        <v>HPL</v>
      </c>
      <c r="E71" s="23" t="s">
        <v>100</v>
      </c>
      <c r="F71" s="23" t="str">
        <f>IF(H71=0, "",D42)</f>
        <v/>
      </c>
      <c r="G71" s="23" t="str">
        <f>IF(H71=0, "",(I46-6))</f>
        <v/>
      </c>
      <c r="H71" s="23">
        <f>2*G46*C40</f>
        <v>0</v>
      </c>
      <c r="I71" s="23">
        <f>HLOOKUP(D71, materials[], 2,FALSE)</f>
        <v>2</v>
      </c>
      <c r="J71" s="6"/>
    </row>
    <row r="72" spans="1:12" x14ac:dyDescent="0.3">
      <c r="A72" s="58">
        <v>3</v>
      </c>
      <c r="B72" s="3" t="str">
        <f>B58</f>
        <v>دواليب منوع /فرن /أدراج</v>
      </c>
      <c r="C72" s="23">
        <f t="shared" si="2"/>
        <v>14</v>
      </c>
      <c r="D72" s="23" t="str">
        <f>H54</f>
        <v>HPL</v>
      </c>
      <c r="E72" s="23" t="s">
        <v>101</v>
      </c>
      <c r="F72" s="23" t="str">
        <f>IF(H72=0, "",(H42-3.6-3.6-2.5))</f>
        <v/>
      </c>
      <c r="G72" s="23" t="str">
        <f>IF(H72=0, "",(I46-6-3))</f>
        <v/>
      </c>
      <c r="H72" s="23">
        <f>G46*C40</f>
        <v>0</v>
      </c>
      <c r="I72" s="23">
        <f>HLOOKUP(D72, materials[], 2,FALSE)</f>
        <v>2</v>
      </c>
      <c r="J72" s="6"/>
    </row>
    <row r="73" spans="1:12" x14ac:dyDescent="0.3">
      <c r="A73" s="58">
        <v>0</v>
      </c>
      <c r="C73" s="6"/>
      <c r="D73" s="6"/>
      <c r="E73" s="6"/>
      <c r="F73" s="6"/>
      <c r="G73" s="6"/>
      <c r="H73" s="6"/>
      <c r="I73" s="6"/>
      <c r="J73" s="6"/>
      <c r="L73" s="3" t="str">
        <f>IF(H74=0, "",(I44-0.5-G42))</f>
        <v/>
      </c>
    </row>
    <row r="74" spans="1:12" x14ac:dyDescent="0.3">
      <c r="A74" s="58">
        <v>4</v>
      </c>
      <c r="B74" s="3" t="str">
        <f>B58</f>
        <v>دواليب منوع /فرن /أدراج</v>
      </c>
      <c r="C74" s="10">
        <f>C72+1</f>
        <v>15</v>
      </c>
      <c r="D74" s="10" t="str">
        <f>F54</f>
        <v>يوفيلاك</v>
      </c>
      <c r="E74" s="10" t="s">
        <v>104</v>
      </c>
      <c r="F74" s="10" t="str">
        <f>IF(H74=0, "",(I44-0.5-G42))</f>
        <v/>
      </c>
      <c r="G74" s="10" t="str">
        <f>IF(H74=0, "",(H42-0.5))</f>
        <v/>
      </c>
      <c r="H74" s="10">
        <f>G44*C40</f>
        <v>0</v>
      </c>
      <c r="I74" s="10">
        <f>HLOOKUP(D74, materials[], 2,FALSE)</f>
        <v>6</v>
      </c>
      <c r="J74" s="6"/>
      <c r="L74" s="3" t="str">
        <f>IF(H75=0, "",(I45-0.5-G43))</f>
        <v/>
      </c>
    </row>
    <row r="75" spans="1:12" x14ac:dyDescent="0.3">
      <c r="A75" s="58">
        <v>4</v>
      </c>
      <c r="B75" s="3" t="str">
        <f>B58</f>
        <v>دواليب منوع /فرن /أدراج</v>
      </c>
      <c r="C75" s="10">
        <f t="shared" ref="C75:C82" si="3">C74+1</f>
        <v>16</v>
      </c>
      <c r="D75" s="10" t="str">
        <f>F54</f>
        <v>يوفيلاك</v>
      </c>
      <c r="E75" s="10" t="s">
        <v>105</v>
      </c>
      <c r="F75" s="10" t="str">
        <f>IF(H75=0, "",(I45-0.5-G42))</f>
        <v/>
      </c>
      <c r="G75" s="10" t="str">
        <f>IF(H75=0, "",(H42-0.5))</f>
        <v/>
      </c>
      <c r="H75" s="10">
        <f>G45*C40</f>
        <v>0</v>
      </c>
      <c r="I75" s="10">
        <f>HLOOKUP(D75, materials[], 2,FALSE)</f>
        <v>6</v>
      </c>
      <c r="J75" s="6"/>
      <c r="L75" s="3" t="str">
        <f>IF(H76=0, "",(I46-0.5-G44))</f>
        <v/>
      </c>
    </row>
    <row r="76" spans="1:12" x14ac:dyDescent="0.3">
      <c r="A76" s="58">
        <v>4</v>
      </c>
      <c r="B76" s="3" t="str">
        <f>B58</f>
        <v>دواليب منوع /فرن /أدراج</v>
      </c>
      <c r="C76" s="10">
        <f t="shared" si="3"/>
        <v>17</v>
      </c>
      <c r="D76" s="10" t="str">
        <f>F54</f>
        <v>يوفيلاك</v>
      </c>
      <c r="E76" s="10" t="s">
        <v>106</v>
      </c>
      <c r="F76" s="10" t="str">
        <f>IF(H76=0, "",(I46-0.5-G42))</f>
        <v/>
      </c>
      <c r="G76" s="10" t="str">
        <f>IF(H76=0, "",(H42-0.5))</f>
        <v/>
      </c>
      <c r="H76" s="10">
        <f>G46*C40</f>
        <v>0</v>
      </c>
      <c r="I76" s="10">
        <f>HLOOKUP(D76, materials[], 2,FALSE)</f>
        <v>6</v>
      </c>
      <c r="J76" s="6"/>
    </row>
    <row r="77" spans="1:12" x14ac:dyDescent="0.3">
      <c r="A77" s="58">
        <v>4</v>
      </c>
      <c r="B77" s="3" t="str">
        <f>B58</f>
        <v>دواليب منوع /فرن /أدراج</v>
      </c>
      <c r="C77" s="10">
        <f t="shared" si="3"/>
        <v>18</v>
      </c>
      <c r="D77" s="10" t="str">
        <f>F54</f>
        <v>يوفيلاك</v>
      </c>
      <c r="E77" s="10" t="s">
        <v>81</v>
      </c>
      <c r="F77" s="10" t="str">
        <f>IF(H77=0, "",(I47-0.5-G42))</f>
        <v/>
      </c>
      <c r="G77" s="10" t="str">
        <f>IF(H77=0, "",((H42/G47)-0.5))</f>
        <v/>
      </c>
      <c r="H77" s="10">
        <f>(G47+H47)*C40</f>
        <v>0</v>
      </c>
      <c r="I77" s="10">
        <f>HLOOKUP(D77, materials[], 2,FALSE)</f>
        <v>6</v>
      </c>
      <c r="J77" s="6"/>
      <c r="L77" s="3" t="str">
        <f>IF(H78=0, "",(I48-0.5-G46))</f>
        <v/>
      </c>
    </row>
    <row r="78" spans="1:12" x14ac:dyDescent="0.3">
      <c r="A78" s="58">
        <v>4</v>
      </c>
      <c r="B78" s="3" t="str">
        <f>B58</f>
        <v>دواليب منوع /فرن /أدراج</v>
      </c>
      <c r="C78" s="10">
        <f t="shared" si="3"/>
        <v>19</v>
      </c>
      <c r="D78" s="10" t="str">
        <f>F54</f>
        <v>يوفيلاك</v>
      </c>
      <c r="E78" s="10" t="s">
        <v>107</v>
      </c>
      <c r="F78" s="10" t="str">
        <f>IF(H78=0, "",(H42-0.5))</f>
        <v/>
      </c>
      <c r="G78" s="27" t="str">
        <f>IF(H78=0, "",(I48-59))</f>
        <v/>
      </c>
      <c r="H78" s="10">
        <f>G48*C40</f>
        <v>0</v>
      </c>
      <c r="I78" s="10">
        <f>HLOOKUP(D78, materials[], 2,FALSE)</f>
        <v>6</v>
      </c>
      <c r="J78" s="6"/>
      <c r="L78" s="3" t="str">
        <f>IF(H79=0, "",(I49-0.5-G47))</f>
        <v/>
      </c>
    </row>
    <row r="79" spans="1:12" x14ac:dyDescent="0.3">
      <c r="A79" s="58">
        <v>4</v>
      </c>
      <c r="B79" s="3" t="str">
        <f>B58</f>
        <v>دواليب منوع /فرن /أدراج</v>
      </c>
      <c r="C79" s="10">
        <f t="shared" si="3"/>
        <v>20</v>
      </c>
      <c r="D79" s="10" t="str">
        <f>F54</f>
        <v>يوفيلاك</v>
      </c>
      <c r="E79" s="10" t="s">
        <v>108</v>
      </c>
      <c r="F79" s="10"/>
      <c r="G79" s="10"/>
      <c r="H79" s="10"/>
      <c r="I79" s="10">
        <f>HLOOKUP(D79, materials[], 2,FALSE)</f>
        <v>6</v>
      </c>
      <c r="J79" s="6"/>
      <c r="L79" s="3" t="str">
        <f>IF(H80=0, "",(I50-0.5-G48))</f>
        <v/>
      </c>
    </row>
    <row r="80" spans="1:12" x14ac:dyDescent="0.3">
      <c r="A80" s="58">
        <v>4</v>
      </c>
      <c r="B80" s="3" t="str">
        <f>B58</f>
        <v>دواليب منوع /فرن /أدراج</v>
      </c>
      <c r="C80" s="10">
        <f t="shared" si="3"/>
        <v>21</v>
      </c>
      <c r="D80" s="10" t="str">
        <f>F54</f>
        <v>يوفيلاك</v>
      </c>
      <c r="E80" s="10" t="s">
        <v>109</v>
      </c>
      <c r="F80" s="10"/>
      <c r="G80" s="10"/>
      <c r="H80" s="10"/>
      <c r="I80" s="10">
        <f>HLOOKUP(D80, materials[], 2,FALSE)</f>
        <v>6</v>
      </c>
      <c r="J80" s="6"/>
    </row>
    <row r="81" spans="1:10" x14ac:dyDescent="0.3">
      <c r="A81" s="58">
        <v>4</v>
      </c>
      <c r="B81" s="3" t="str">
        <f>B58</f>
        <v>دواليب منوع /فرن /أدراج</v>
      </c>
      <c r="C81" s="10">
        <f t="shared" si="3"/>
        <v>22</v>
      </c>
      <c r="D81" s="10" t="str">
        <f>F54</f>
        <v>يوفيلاك</v>
      </c>
      <c r="E81" s="10" t="s">
        <v>102</v>
      </c>
      <c r="F81" s="10" t="str">
        <f>IF(H81=0, "",(I50-0.5))</f>
        <v/>
      </c>
      <c r="G81" s="10" t="str">
        <f>IF(H81=0, "",((H42/G50)-0.5))</f>
        <v/>
      </c>
      <c r="H81" s="10">
        <f>G50*C40</f>
        <v>0</v>
      </c>
      <c r="I81" s="10">
        <f>HLOOKUP(D81, materials[], 2,FALSE)</f>
        <v>6</v>
      </c>
      <c r="J81" s="6"/>
    </row>
    <row r="82" spans="1:10" x14ac:dyDescent="0.3">
      <c r="A82" s="58">
        <v>4</v>
      </c>
      <c r="B82" s="3" t="str">
        <f>B58</f>
        <v>دواليب منوع /فرن /أدراج</v>
      </c>
      <c r="C82" s="10">
        <f t="shared" si="3"/>
        <v>23</v>
      </c>
      <c r="D82" s="10" t="str">
        <f>F54</f>
        <v>يوفيلاك</v>
      </c>
      <c r="E82" s="10" t="s">
        <v>103</v>
      </c>
      <c r="F82" s="10" t="str">
        <f>IF(H82=0, "",(I51-0.5))</f>
        <v/>
      </c>
      <c r="G82" s="10" t="str">
        <f>IF(H82=0, "",((H42/G51)-0.5))</f>
        <v/>
      </c>
      <c r="H82" s="10">
        <f>G51*C40</f>
        <v>0</v>
      </c>
      <c r="I82" s="10">
        <f>HLOOKUP(D82, materials[], 2,FALSE)</f>
        <v>6</v>
      </c>
      <c r="J82" s="6"/>
    </row>
    <row r="83" spans="1:10" x14ac:dyDescent="0.3">
      <c r="A83" s="58">
        <v>0</v>
      </c>
      <c r="C83" s="6"/>
      <c r="D83" s="6"/>
      <c r="E83" s="6"/>
      <c r="F83" s="6"/>
      <c r="G83" s="6"/>
      <c r="H83" s="6"/>
      <c r="I83" s="6"/>
      <c r="J83" s="6"/>
    </row>
    <row r="84" spans="1:10" x14ac:dyDescent="0.3">
      <c r="A84" s="58">
        <v>0</v>
      </c>
      <c r="C84" s="6"/>
      <c r="D84" s="6"/>
      <c r="E84" s="6"/>
      <c r="F84" s="6"/>
      <c r="G84" s="6"/>
      <c r="H84" s="6"/>
      <c r="I84" s="6"/>
      <c r="J84" s="6"/>
    </row>
    <row r="85" spans="1:10" x14ac:dyDescent="0.3">
      <c r="A85" s="58">
        <v>4</v>
      </c>
      <c r="B85" s="3" t="str">
        <f>B58</f>
        <v>دواليب منوع /فرن /أدراج</v>
      </c>
      <c r="C85" s="10">
        <f>C81+1</f>
        <v>23</v>
      </c>
      <c r="D85" s="10" t="s">
        <v>62</v>
      </c>
      <c r="E85" s="10" t="s">
        <v>83</v>
      </c>
      <c r="F85" s="10" t="str">
        <f>IF(H85=0, "",(I47-0.5-G42))</f>
        <v/>
      </c>
      <c r="G85" s="10" t="str">
        <f>IF(H85=0, "",((H42/G47)-0.5))</f>
        <v/>
      </c>
      <c r="H85" s="10">
        <f>H47*C40</f>
        <v>0</v>
      </c>
      <c r="I85" s="10"/>
      <c r="J85" s="10"/>
    </row>
    <row r="86" spans="1:10" x14ac:dyDescent="0.3">
      <c r="A86" s="58">
        <v>4</v>
      </c>
      <c r="B86" s="3" t="str">
        <f>B58</f>
        <v>دواليب منوع /فرن /أدراج</v>
      </c>
      <c r="C86" s="10">
        <f>C85+1</f>
        <v>24</v>
      </c>
      <c r="D86" s="10" t="s">
        <v>62</v>
      </c>
      <c r="E86" s="10" t="s">
        <v>110</v>
      </c>
      <c r="F86" s="10" t="str">
        <f>IF(H86=0, "",(I50-0.5))</f>
        <v/>
      </c>
      <c r="G86" s="10" t="str">
        <f>IF(H86=0, "",((H42/H50)-0.5))</f>
        <v/>
      </c>
      <c r="H86" s="10">
        <f>H50*C40</f>
        <v>0</v>
      </c>
      <c r="I86" s="10"/>
      <c r="J86" s="10"/>
    </row>
    <row r="87" spans="1:10" x14ac:dyDescent="0.3">
      <c r="A87" s="58">
        <v>4</v>
      </c>
      <c r="B87" s="3" t="str">
        <f>B58</f>
        <v>دواليب منوع /فرن /أدراج</v>
      </c>
      <c r="C87" s="10">
        <f>C86+1</f>
        <v>25</v>
      </c>
      <c r="D87" s="10" t="s">
        <v>62</v>
      </c>
      <c r="E87" s="10" t="s">
        <v>111</v>
      </c>
      <c r="F87" s="10" t="str">
        <f>IF(H87=0, "",(I51-0.5))</f>
        <v/>
      </c>
      <c r="G87" s="10" t="str">
        <f>IF(H87=0, "",((H42/H51)-0.5))</f>
        <v/>
      </c>
      <c r="H87" s="10">
        <f>H51*C40</f>
        <v>0</v>
      </c>
      <c r="I87" s="10"/>
      <c r="J87" s="10"/>
    </row>
    <row r="88" spans="1:10" x14ac:dyDescent="0.3">
      <c r="A88" s="58">
        <v>0</v>
      </c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58">
        <v>5</v>
      </c>
      <c r="B89" s="3" t="str">
        <f>B58</f>
        <v>دواليب منوع /فرن /أدراج</v>
      </c>
      <c r="C89" s="21">
        <f>C86+1</f>
        <v>25</v>
      </c>
      <c r="D89" s="21" t="str">
        <f>D54</f>
        <v>ظهر</v>
      </c>
      <c r="E89" s="21" t="s">
        <v>67</v>
      </c>
      <c r="F89" s="21">
        <f>I42-2</f>
        <v>76</v>
      </c>
      <c r="G89" s="21">
        <f>H42-2</f>
        <v>-2</v>
      </c>
      <c r="H89" s="21">
        <f>1*C40</f>
        <v>1</v>
      </c>
      <c r="I89" s="21">
        <f>HLOOKUP(D89, materials[], 2,FALSE)</f>
        <v>2</v>
      </c>
      <c r="J89" s="21"/>
    </row>
    <row r="90" spans="1:10" x14ac:dyDescent="0.3">
      <c r="A90" s="58">
        <v>255</v>
      </c>
    </row>
    <row r="91" spans="1:10" x14ac:dyDescent="0.3">
      <c r="A91" s="58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5">
        <v>2</v>
      </c>
      <c r="D98" s="25" t="s">
        <v>68</v>
      </c>
      <c r="E98" s="92" t="s">
        <v>75</v>
      </c>
      <c r="F98" s="93"/>
      <c r="G98" s="93"/>
      <c r="H98" s="94"/>
      <c r="I98" s="2" t="s">
        <v>39</v>
      </c>
      <c r="J98" s="2">
        <f>J40+1</f>
        <v>3</v>
      </c>
    </row>
    <row r="99" spans="2:10" ht="31.2" hidden="1" customHeight="1" x14ac:dyDescent="0.3">
      <c r="C99" s="8" t="s">
        <v>12</v>
      </c>
      <c r="D99" s="8"/>
      <c r="E99" s="8" t="s">
        <v>19</v>
      </c>
      <c r="F99" s="8" t="s">
        <v>17</v>
      </c>
      <c r="G99" s="8" t="s">
        <v>57</v>
      </c>
      <c r="H99" s="8" t="s">
        <v>31</v>
      </c>
      <c r="I99" s="8" t="s">
        <v>3</v>
      </c>
      <c r="J99" s="8" t="s">
        <v>2</v>
      </c>
    </row>
    <row r="100" spans="2:10" ht="15.6" hidden="1" customHeight="1" x14ac:dyDescent="0.3">
      <c r="C100" s="9">
        <v>2</v>
      </c>
      <c r="D100" s="9"/>
      <c r="E100" s="9">
        <v>1</v>
      </c>
      <c r="F100" s="9">
        <v>3.5</v>
      </c>
      <c r="G100" s="9"/>
      <c r="H100" s="9">
        <v>120</v>
      </c>
      <c r="I100" s="9">
        <v>80</v>
      </c>
      <c r="J100" s="9">
        <v>30</v>
      </c>
    </row>
    <row r="101" spans="2:10" ht="15.6" hidden="1" customHeight="1" x14ac:dyDescent="0.3">
      <c r="C101" s="10" t="b">
        <f>C100=0</f>
        <v>0</v>
      </c>
      <c r="D101" s="10" t="b">
        <f>E100=0</f>
        <v>0</v>
      </c>
      <c r="E101" s="3" t="b">
        <f>_xlfn.XOR(I100&lt;=50,E100=1)</f>
        <v>1</v>
      </c>
      <c r="F101" s="102" t="b">
        <f>NOT(AND(F100&gt;0,G100&gt;0))</f>
        <v>1</v>
      </c>
      <c r="G101" s="102"/>
      <c r="I101" s="3" t="b">
        <f>_xlfn.XOR(I100&lt;=50,C102=2)</f>
        <v>0</v>
      </c>
    </row>
    <row r="102" spans="2:10" ht="24" hidden="1" customHeight="1" x14ac:dyDescent="0.3">
      <c r="C102" s="102">
        <f>C100+E100</f>
        <v>3</v>
      </c>
      <c r="D102" s="102"/>
      <c r="E102" s="56"/>
      <c r="F102" s="106" t="str">
        <f>IF(F101,"المقابض مظبوطة","مينفعش مقبض مخفي مع بيلت ان")</f>
        <v>المقابض مظبوطة</v>
      </c>
      <c r="G102" s="106"/>
      <c r="H102" s="26"/>
      <c r="I102" s="56" t="str">
        <f>IF(I101,"عدد الدلف صحيح","عدد الدلف غير صحيح")</f>
        <v>عدد الدلف غير صحيح</v>
      </c>
      <c r="J102" s="54"/>
    </row>
    <row r="103" spans="2:10" ht="15.6" hidden="1" customHeight="1" x14ac:dyDescent="0.3">
      <c r="C103" s="102" t="b">
        <f>C102&lt;=2</f>
        <v>0</v>
      </c>
      <c r="D103" s="102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42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58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33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10">
        <f>C110+1</f>
        <v>6</v>
      </c>
      <c r="D112" s="10">
        <f>H8</f>
        <v>0</v>
      </c>
      <c r="E112" s="10" t="s">
        <v>15</v>
      </c>
      <c r="F112" s="10">
        <f>I100-0.5-F100</f>
        <v>76</v>
      </c>
      <c r="G112" s="10">
        <f>(H100-J100-G113)/C100-0.5</f>
        <v>42.5</v>
      </c>
      <c r="H112" s="10">
        <f>C100*C98</f>
        <v>4</v>
      </c>
      <c r="I112" s="10">
        <f>F8</f>
        <v>0</v>
      </c>
      <c r="J112" s="10"/>
    </row>
    <row r="113" spans="2:10" ht="15.6" hidden="1" customHeight="1" x14ac:dyDescent="0.3">
      <c r="C113" s="10">
        <f t="shared" ref="C113:C114" si="5">C112+1</f>
        <v>7</v>
      </c>
      <c r="D113" s="10">
        <f>D112</f>
        <v>0</v>
      </c>
      <c r="E113" s="10" t="s">
        <v>34</v>
      </c>
      <c r="F113" s="10">
        <f>I100</f>
        <v>80</v>
      </c>
      <c r="G113" s="10">
        <v>4</v>
      </c>
      <c r="H113" s="10">
        <f>1*C98</f>
        <v>2</v>
      </c>
      <c r="I113" s="10">
        <f>I112</f>
        <v>0</v>
      </c>
      <c r="J113" s="10"/>
    </row>
    <row r="114" spans="2:10" ht="15.6" hidden="1" customHeight="1" x14ac:dyDescent="0.3">
      <c r="C114" s="10">
        <f t="shared" si="5"/>
        <v>8</v>
      </c>
      <c r="D114" s="10">
        <f>D113</f>
        <v>0</v>
      </c>
      <c r="E114" s="10"/>
      <c r="F114" s="10"/>
      <c r="G114" s="10"/>
      <c r="H114" s="10"/>
      <c r="I114" s="10"/>
      <c r="J114" s="10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21">
        <f>C114+1</f>
        <v>9</v>
      </c>
      <c r="D116" s="21" t="s">
        <v>67</v>
      </c>
      <c r="E116" s="21" t="s">
        <v>67</v>
      </c>
      <c r="F116" s="21">
        <f>I100-2</f>
        <v>78</v>
      </c>
      <c r="G116" s="21">
        <f>H100-2</f>
        <v>118</v>
      </c>
      <c r="H116" s="21">
        <f>1*C98</f>
        <v>2</v>
      </c>
      <c r="I116" s="21">
        <f>F9</f>
        <v>0</v>
      </c>
      <c r="J116" s="21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5">
        <v>1</v>
      </c>
      <c r="D118" s="25" t="s">
        <v>68</v>
      </c>
      <c r="E118" s="92" t="s">
        <v>76</v>
      </c>
      <c r="F118" s="93"/>
      <c r="G118" s="93"/>
      <c r="H118" s="94"/>
      <c r="I118" s="2" t="s">
        <v>39</v>
      </c>
      <c r="J118" s="2">
        <f>J98+1</f>
        <v>4</v>
      </c>
    </row>
    <row r="119" spans="2:10" ht="31.2" hidden="1" customHeight="1" x14ac:dyDescent="0.3">
      <c r="C119" s="8"/>
      <c r="D119" s="8" t="s">
        <v>19</v>
      </c>
      <c r="E119" s="8"/>
      <c r="F119" s="8" t="s">
        <v>17</v>
      </c>
      <c r="G119" s="8" t="s">
        <v>57</v>
      </c>
      <c r="H119" s="8" t="s">
        <v>31</v>
      </c>
      <c r="I119" s="8" t="s">
        <v>3</v>
      </c>
      <c r="J119" s="8" t="s">
        <v>2</v>
      </c>
    </row>
    <row r="120" spans="2:10" ht="15.6" hidden="1" customHeight="1" x14ac:dyDescent="0.3">
      <c r="C120" s="9"/>
      <c r="D120" s="9">
        <v>2</v>
      </c>
      <c r="E120" s="9"/>
      <c r="F120" s="9">
        <v>3.5</v>
      </c>
      <c r="G120" s="9"/>
      <c r="H120" s="9">
        <v>70</v>
      </c>
      <c r="I120" s="9">
        <v>80</v>
      </c>
      <c r="J120" s="9">
        <v>30</v>
      </c>
    </row>
    <row r="121" spans="2:10" ht="15.6" hidden="1" customHeight="1" x14ac:dyDescent="0.3">
      <c r="C121" s="13"/>
      <c r="D121" s="13"/>
      <c r="E121" s="13"/>
      <c r="F121" s="102" t="b">
        <f>NOT(AND(F120&gt;0,G120&gt;0))</f>
        <v>1</v>
      </c>
      <c r="G121" s="102"/>
      <c r="H121" s="9">
        <v>70</v>
      </c>
      <c r="I121" s="9">
        <v>80</v>
      </c>
      <c r="J121" s="9">
        <v>30</v>
      </c>
    </row>
    <row r="122" spans="2:10" ht="15.6" hidden="1" customHeight="1" x14ac:dyDescent="0.3">
      <c r="F122" s="106" t="str">
        <f>IF(F121,"المقابض مظبوطة","مينفعش مقبض مخفي مع بيلت ان")</f>
        <v>المقابض مظبوطة</v>
      </c>
      <c r="G122" s="106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42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58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71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72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36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10">
        <f>C131+1</f>
        <v>7</v>
      </c>
      <c r="D133" s="10">
        <f>H8</f>
        <v>0</v>
      </c>
      <c r="E133" s="10" t="s">
        <v>37</v>
      </c>
      <c r="F133" s="10">
        <f>I120-0.5-F120</f>
        <v>76</v>
      </c>
      <c r="G133" s="10">
        <f>H120-J120-3</f>
        <v>37</v>
      </c>
      <c r="H133" s="10">
        <f>1*C118</f>
        <v>1</v>
      </c>
      <c r="I133" s="10">
        <f>F8</f>
        <v>0</v>
      </c>
      <c r="J133" s="10"/>
    </row>
    <row r="134" spans="2:10" ht="15.6" hidden="1" customHeight="1" x14ac:dyDescent="0.3">
      <c r="C134" s="10">
        <f t="shared" ref="C134" si="7">C133+1</f>
        <v>8</v>
      </c>
      <c r="D134" s="10">
        <f>D133</f>
        <v>0</v>
      </c>
      <c r="E134" s="10" t="s">
        <v>50</v>
      </c>
      <c r="F134" s="10">
        <f>I121-0.5-F120</f>
        <v>76</v>
      </c>
      <c r="G134" s="10">
        <f>H121-J121-3</f>
        <v>37</v>
      </c>
      <c r="H134" s="10">
        <f>1*C118</f>
        <v>1</v>
      </c>
      <c r="I134" s="10">
        <f>I133</f>
        <v>0</v>
      </c>
      <c r="J134" s="10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21">
        <f>C134+1</f>
        <v>9</v>
      </c>
      <c r="D136" s="21" t="s">
        <v>67</v>
      </c>
      <c r="E136" s="21" t="s">
        <v>67</v>
      </c>
      <c r="F136" s="21">
        <f>I120-2</f>
        <v>78</v>
      </c>
      <c r="G136" s="21">
        <f>H120-2</f>
        <v>68</v>
      </c>
      <c r="H136" s="21">
        <f>2*C118</f>
        <v>2</v>
      </c>
      <c r="I136" s="21">
        <f>F9</f>
        <v>0</v>
      </c>
      <c r="J136" s="21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5">
        <v>2</v>
      </c>
      <c r="D138" s="25" t="s">
        <v>68</v>
      </c>
      <c r="E138" s="92" t="s">
        <v>77</v>
      </c>
      <c r="F138" s="93"/>
      <c r="G138" s="93"/>
      <c r="H138" s="94"/>
      <c r="I138" s="2" t="s">
        <v>39</v>
      </c>
      <c r="J138" s="2">
        <f>J118+1</f>
        <v>5</v>
      </c>
    </row>
    <row r="139" spans="2:10" ht="31.2" hidden="1" customHeight="1" x14ac:dyDescent="0.3">
      <c r="C139" s="8"/>
      <c r="D139" s="8" t="s">
        <v>19</v>
      </c>
      <c r="E139" s="8"/>
      <c r="F139" s="8" t="s">
        <v>17</v>
      </c>
      <c r="G139" s="8" t="s">
        <v>57</v>
      </c>
      <c r="H139" s="8" t="s">
        <v>31</v>
      </c>
      <c r="I139" s="8" t="s">
        <v>3</v>
      </c>
      <c r="J139" s="8" t="s">
        <v>2</v>
      </c>
    </row>
    <row r="140" spans="2:10" ht="15.6" hidden="1" customHeight="1" x14ac:dyDescent="0.3">
      <c r="C140" s="9"/>
      <c r="D140" s="9">
        <v>1</v>
      </c>
      <c r="E140" s="9"/>
      <c r="F140" s="9">
        <v>3.5</v>
      </c>
      <c r="G140" s="9"/>
      <c r="H140" s="9">
        <v>60</v>
      </c>
      <c r="I140" s="9">
        <v>80</v>
      </c>
      <c r="J140" s="9">
        <v>30</v>
      </c>
    </row>
    <row r="141" spans="2:10" ht="15.6" hidden="1" customHeight="1" x14ac:dyDescent="0.3">
      <c r="C141" s="13"/>
      <c r="D141" s="13"/>
      <c r="E141" s="13"/>
      <c r="F141" s="102" t="b">
        <f>NOT(AND(F140&gt;0,G140&gt;0))</f>
        <v>1</v>
      </c>
      <c r="G141" s="102"/>
      <c r="H141" s="9">
        <v>60</v>
      </c>
      <c r="I141" s="9">
        <v>80</v>
      </c>
      <c r="J141" s="9">
        <v>30</v>
      </c>
    </row>
    <row r="142" spans="2:10" ht="15.6" hidden="1" customHeight="1" x14ac:dyDescent="0.3">
      <c r="F142" s="106" t="str">
        <f>IF(F141,"المقابض مظبوطة","مينفعش مقبض مخفي مع بيلت ان")</f>
        <v>المقابض مظبوطة</v>
      </c>
      <c r="G142" s="106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42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58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71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72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36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10">
        <f>C151+1</f>
        <v>7</v>
      </c>
      <c r="D153" s="10">
        <f>H8</f>
        <v>0</v>
      </c>
      <c r="E153" s="10" t="s">
        <v>37</v>
      </c>
      <c r="F153" s="10">
        <f>I140-0.5-F140</f>
        <v>76</v>
      </c>
      <c r="G153" s="19">
        <f>(SQRT((H140-J140)^2+(H141-J141)^2))-2</f>
        <v>40.426406871192853</v>
      </c>
      <c r="H153" s="10">
        <f>1*C138</f>
        <v>2</v>
      </c>
      <c r="I153" s="10">
        <f>F8</f>
        <v>0</v>
      </c>
      <c r="J153" s="10"/>
    </row>
    <row r="154" spans="1:54" ht="15.6" hidden="1" customHeight="1" x14ac:dyDescent="0.3">
      <c r="C154" s="10">
        <f t="shared" ref="C154" si="9">C153+1</f>
        <v>8</v>
      </c>
      <c r="D154" s="10">
        <f>D153</f>
        <v>0</v>
      </c>
      <c r="E154" s="10"/>
      <c r="F154" s="10"/>
      <c r="G154" s="10"/>
      <c r="H154" s="10"/>
      <c r="I154" s="10"/>
      <c r="J154" s="10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21">
        <f>C154+1</f>
        <v>9</v>
      </c>
      <c r="D156" s="21" t="s">
        <v>67</v>
      </c>
      <c r="E156" s="21" t="s">
        <v>67</v>
      </c>
      <c r="F156" s="21">
        <f>I140-2</f>
        <v>78</v>
      </c>
      <c r="G156" s="21">
        <f>H140-2</f>
        <v>58</v>
      </c>
      <c r="H156" s="21">
        <f>1*C138</f>
        <v>2</v>
      </c>
      <c r="I156" s="21">
        <f>F9</f>
        <v>0</v>
      </c>
      <c r="J156" s="21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08" t="s">
        <v>51</v>
      </c>
      <c r="D273" s="108"/>
      <c r="E273" s="108"/>
      <c r="F273" s="108"/>
      <c r="G273" s="108"/>
      <c r="H273" s="108"/>
      <c r="I273" s="108"/>
      <c r="J273" s="108"/>
      <c r="K273" s="108"/>
      <c r="L273" s="108"/>
      <c r="M273" s="108"/>
      <c r="N273" s="108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0"/>
  <sheetViews>
    <sheetView topLeftCell="B1" zoomScale="70" zoomScaleNormal="70" workbookViewId="0">
      <selection activeCell="K15" sqref="K15"/>
    </sheetView>
  </sheetViews>
  <sheetFormatPr defaultRowHeight="15.6" x14ac:dyDescent="0.3"/>
  <cols>
    <col min="1" max="1" width="9" style="59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58" customFormat="1" x14ac:dyDescent="0.3">
      <c r="A1" s="59">
        <v>13</v>
      </c>
      <c r="B1" s="78">
        <v>1</v>
      </c>
    </row>
    <row r="2" spans="1:23" s="58" customFormat="1" ht="31.2" x14ac:dyDescent="0.3">
      <c r="A2" s="59">
        <v>20</v>
      </c>
      <c r="B2" s="73" t="s">
        <v>143</v>
      </c>
      <c r="C2" s="109" t="s">
        <v>112</v>
      </c>
      <c r="D2" s="110"/>
      <c r="E2" s="110"/>
      <c r="F2" s="110"/>
      <c r="G2" s="110"/>
      <c r="H2" s="110"/>
      <c r="I2" s="110"/>
      <c r="J2" s="111"/>
    </row>
    <row r="3" spans="1:23" s="58" customFormat="1" x14ac:dyDescent="0.3">
      <c r="A3" s="59"/>
      <c r="B3" s="78"/>
      <c r="R3" s="57"/>
      <c r="S3" s="57"/>
      <c r="T3" s="57"/>
      <c r="U3" s="57"/>
      <c r="V3" s="63"/>
      <c r="W3" s="63"/>
    </row>
    <row r="4" spans="1:23" s="58" customFormat="1" x14ac:dyDescent="0.3">
      <c r="A4" s="59"/>
      <c r="B4" s="78"/>
      <c r="R4" s="57"/>
      <c r="S4" s="57"/>
      <c r="T4" s="57"/>
      <c r="U4" s="57"/>
      <c r="V4" s="57"/>
      <c r="W4" s="57"/>
    </row>
    <row r="5" spans="1:23" s="58" customFormat="1" x14ac:dyDescent="0.3">
      <c r="A5" s="59"/>
      <c r="B5" s="78"/>
    </row>
    <row r="6" spans="1:23" s="58" customFormat="1" x14ac:dyDescent="0.3">
      <c r="A6" s="59"/>
      <c r="B6" s="78"/>
    </row>
    <row r="7" spans="1:23" s="58" customFormat="1" ht="18" x14ac:dyDescent="0.3">
      <c r="A7" s="60"/>
      <c r="B7" s="79"/>
      <c r="C7" s="60"/>
      <c r="D7" s="60"/>
      <c r="E7" s="61"/>
      <c r="F7" s="61"/>
      <c r="G7" s="61"/>
      <c r="H7" s="61"/>
      <c r="I7" s="60"/>
      <c r="J7" s="60"/>
      <c r="K7" s="60"/>
      <c r="L7" s="60"/>
      <c r="M7" s="60"/>
    </row>
    <row r="8" spans="1:23" s="61" customFormat="1" ht="18" x14ac:dyDescent="0.3">
      <c r="A8" s="62"/>
      <c r="B8" s="80"/>
    </row>
    <row r="9" spans="1:23" customFormat="1" x14ac:dyDescent="0.3">
      <c r="A9" s="62"/>
    </row>
    <row r="10" spans="1:23" customFormat="1" x14ac:dyDescent="0.3">
      <c r="A10" s="62"/>
    </row>
    <row r="13" spans="1:23" ht="18" x14ac:dyDescent="0.3">
      <c r="A13" s="59" t="s">
        <v>173</v>
      </c>
      <c r="B13" s="17"/>
      <c r="C13" s="15">
        <v>1</v>
      </c>
      <c r="D13" s="25" t="s">
        <v>68</v>
      </c>
      <c r="E13" s="92" t="s">
        <v>137</v>
      </c>
      <c r="F13" s="93"/>
      <c r="G13" s="93"/>
      <c r="H13" s="94"/>
      <c r="I13" s="2" t="s">
        <v>39</v>
      </c>
      <c r="J13" s="2">
        <f>letterToNumber(A13)</f>
        <v>1</v>
      </c>
    </row>
    <row r="14" spans="1:23" x14ac:dyDescent="0.3">
      <c r="A14" s="59">
        <v>1</v>
      </c>
      <c r="B14" s="17"/>
      <c r="C14" s="8"/>
      <c r="D14" s="20"/>
      <c r="E14" s="30" t="str">
        <f>INDEX(segmantsCommon[[#All],[Column1]],MATCH(F14,segmantsCommon[[#All],[Column2]],0))</f>
        <v>يوفيلاك</v>
      </c>
      <c r="F14" s="8" t="s">
        <v>9</v>
      </c>
      <c r="G14" s="8"/>
      <c r="H14" s="8" t="s">
        <v>1</v>
      </c>
      <c r="I14" s="9"/>
      <c r="J14" s="8" t="s">
        <v>31</v>
      </c>
    </row>
    <row r="15" spans="1:23" ht="15.6" customHeight="1" x14ac:dyDescent="0.3">
      <c r="A15" s="59">
        <v>0</v>
      </c>
      <c r="B15" s="17"/>
    </row>
    <row r="16" spans="1:23" ht="15.6" customHeight="1" x14ac:dyDescent="0.3">
      <c r="A16" s="59">
        <v>2</v>
      </c>
      <c r="B16" s="17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42</v>
      </c>
      <c r="J16" s="6" t="s">
        <v>8</v>
      </c>
    </row>
    <row r="17" spans="1:11" x14ac:dyDescent="0.3">
      <c r="A17" s="59">
        <v>0</v>
      </c>
      <c r="B17" s="17"/>
      <c r="C17" s="6"/>
      <c r="D17" s="6"/>
      <c r="E17" s="6"/>
      <c r="F17" s="6"/>
      <c r="G17" s="6"/>
      <c r="H17" s="6"/>
      <c r="I17" s="6"/>
      <c r="J17" s="6"/>
    </row>
    <row r="18" spans="1:11" x14ac:dyDescent="0.3">
      <c r="A18" s="58">
        <v>4</v>
      </c>
      <c r="B18" s="17" t="str">
        <f>E13</f>
        <v>تجليدة</v>
      </c>
      <c r="C18" s="10">
        <v>1</v>
      </c>
      <c r="D18" s="10" t="str">
        <f>E14</f>
        <v>يوفيلاك</v>
      </c>
      <c r="E18" s="10" t="s">
        <v>137</v>
      </c>
      <c r="F18" s="10">
        <f>I14</f>
        <v>0</v>
      </c>
      <c r="G18" s="10">
        <f>G14</f>
        <v>0</v>
      </c>
      <c r="H18" s="10">
        <f>C13</f>
        <v>1</v>
      </c>
      <c r="I18" s="10">
        <f>HLOOKUP(D18, materials[], 2,FALSE)</f>
        <v>6</v>
      </c>
      <c r="J18" s="10"/>
    </row>
    <row r="19" spans="1:11" customFormat="1" ht="14.4" x14ac:dyDescent="0.3">
      <c r="A19" s="68">
        <v>255</v>
      </c>
    </row>
    <row r="20" spans="1:11" customFormat="1" ht="14.4" x14ac:dyDescent="0.3">
      <c r="A20" s="68">
        <v>255</v>
      </c>
    </row>
    <row r="21" spans="1:11" customFormat="1" ht="14.4" x14ac:dyDescent="0.3">
      <c r="A21" s="68"/>
    </row>
    <row r="22" spans="1:11" ht="14.4" x14ac:dyDescent="0.3">
      <c r="A22" s="68"/>
      <c r="B22"/>
      <c r="C22"/>
      <c r="D22"/>
      <c r="E22"/>
      <c r="F22"/>
      <c r="G22"/>
      <c r="H22"/>
      <c r="I22"/>
      <c r="J22"/>
      <c r="K22"/>
    </row>
    <row r="23" spans="1:11" ht="14.4" x14ac:dyDescent="0.3">
      <c r="A23" s="68"/>
      <c r="B23"/>
      <c r="C23"/>
      <c r="D23"/>
      <c r="E23"/>
      <c r="F23"/>
      <c r="G23"/>
      <c r="H23"/>
      <c r="I23"/>
      <c r="J23"/>
      <c r="K23"/>
    </row>
    <row r="24" spans="1:11" ht="14.4" x14ac:dyDescent="0.3">
      <c r="A24" s="68"/>
      <c r="B24"/>
      <c r="C24"/>
      <c r="D24"/>
      <c r="E24"/>
      <c r="F24"/>
      <c r="G24"/>
      <c r="H24"/>
      <c r="I24"/>
      <c r="J24"/>
      <c r="K24"/>
    </row>
    <row r="25" spans="1:11" ht="14.4" x14ac:dyDescent="0.3">
      <c r="A25" s="68"/>
      <c r="B25"/>
      <c r="C25"/>
      <c r="D25"/>
      <c r="E25"/>
      <c r="F25"/>
      <c r="G25"/>
      <c r="H25"/>
      <c r="I25"/>
      <c r="J25"/>
      <c r="K25"/>
    </row>
    <row r="26" spans="1:11" ht="14.4" x14ac:dyDescent="0.3">
      <c r="A26" s="68"/>
      <c r="B26"/>
      <c r="C26"/>
      <c r="D26"/>
      <c r="E26"/>
      <c r="F26"/>
      <c r="G26"/>
      <c r="H26"/>
      <c r="I26"/>
      <c r="J26"/>
      <c r="K26"/>
    </row>
    <row r="27" spans="1:11" ht="14.4" x14ac:dyDescent="0.3">
      <c r="A27" s="68"/>
      <c r="B27"/>
      <c r="C27"/>
      <c r="D27"/>
      <c r="E27"/>
      <c r="F27"/>
      <c r="G27"/>
      <c r="H27"/>
      <c r="I27"/>
      <c r="J27"/>
      <c r="K27"/>
    </row>
    <row r="28" spans="1:11" ht="14.4" x14ac:dyDescent="0.3">
      <c r="A28" s="68"/>
      <c r="B28"/>
      <c r="C28"/>
      <c r="D28"/>
      <c r="E28"/>
      <c r="F28"/>
      <c r="G28"/>
      <c r="H28"/>
      <c r="I28"/>
      <c r="J28"/>
      <c r="K28"/>
    </row>
    <row r="29" spans="1:11" ht="14.4" x14ac:dyDescent="0.3">
      <c r="A29" s="68"/>
      <c r="B29"/>
      <c r="C29"/>
      <c r="D29"/>
      <c r="E29"/>
      <c r="F29"/>
      <c r="G29"/>
      <c r="H29"/>
      <c r="I29"/>
      <c r="J29"/>
      <c r="K29"/>
    </row>
    <row r="30" spans="1:11" ht="14.4" x14ac:dyDescent="0.3">
      <c r="A30" s="68"/>
      <c r="B30"/>
      <c r="C30"/>
      <c r="D30"/>
      <c r="E30"/>
      <c r="F30"/>
      <c r="G30"/>
      <c r="H30"/>
      <c r="I30"/>
      <c r="J30"/>
      <c r="K30"/>
    </row>
    <row r="31" spans="1:11" ht="14.4" x14ac:dyDescent="0.3">
      <c r="A31" s="68"/>
      <c r="B31"/>
      <c r="C31"/>
      <c r="D31"/>
      <c r="E31"/>
      <c r="F31"/>
      <c r="G31"/>
      <c r="H31"/>
      <c r="I31"/>
      <c r="J31"/>
      <c r="K31"/>
    </row>
    <row r="32" spans="1:11" ht="14.4" x14ac:dyDescent="0.3">
      <c r="A32" s="68"/>
      <c r="B32"/>
      <c r="C32"/>
      <c r="D32"/>
      <c r="E32"/>
      <c r="F32"/>
      <c r="G32"/>
      <c r="H32"/>
      <c r="I32"/>
      <c r="J32"/>
      <c r="K32"/>
    </row>
    <row r="33" spans="1:11" ht="14.4" x14ac:dyDescent="0.3">
      <c r="A33" s="68"/>
      <c r="B33"/>
      <c r="C33"/>
      <c r="D33"/>
      <c r="E33"/>
      <c r="F33"/>
      <c r="G33"/>
      <c r="H33"/>
      <c r="I33"/>
      <c r="J33"/>
      <c r="K33"/>
    </row>
    <row r="34" spans="1:11" ht="14.4" x14ac:dyDescent="0.3">
      <c r="A34" s="68"/>
      <c r="B34"/>
      <c r="C34"/>
      <c r="D34"/>
      <c r="E34"/>
      <c r="F34"/>
      <c r="G34"/>
      <c r="H34"/>
      <c r="I34"/>
      <c r="J34"/>
      <c r="K34"/>
    </row>
    <row r="35" spans="1:11" ht="14.4" x14ac:dyDescent="0.3">
      <c r="A35" s="68"/>
      <c r="B35"/>
      <c r="C35"/>
      <c r="D35"/>
      <c r="E35"/>
      <c r="F35"/>
      <c r="G35"/>
      <c r="H35"/>
      <c r="I35"/>
      <c r="J35"/>
      <c r="K35"/>
    </row>
    <row r="36" spans="1:11" ht="14.4" x14ac:dyDescent="0.3">
      <c r="A36" s="68"/>
      <c r="B36"/>
      <c r="C36"/>
      <c r="D36"/>
      <c r="E36"/>
      <c r="F36"/>
      <c r="G36"/>
      <c r="H36"/>
      <c r="I36"/>
      <c r="J36"/>
      <c r="K36"/>
    </row>
    <row r="37" spans="1:11" ht="14.4" x14ac:dyDescent="0.3">
      <c r="A37" s="68"/>
      <c r="B37"/>
      <c r="C37"/>
      <c r="D37"/>
      <c r="E37"/>
      <c r="F37"/>
      <c r="G37"/>
      <c r="H37"/>
      <c r="I37"/>
      <c r="J37"/>
      <c r="K37"/>
    </row>
    <row r="38" spans="1:11" ht="14.4" x14ac:dyDescent="0.3">
      <c r="A38" s="68"/>
      <c r="B38"/>
      <c r="C38"/>
      <c r="D38"/>
      <c r="E38"/>
      <c r="F38"/>
      <c r="G38"/>
      <c r="H38"/>
      <c r="I38"/>
      <c r="J38"/>
      <c r="K38"/>
    </row>
    <row r="39" spans="1:11" ht="14.4" x14ac:dyDescent="0.3">
      <c r="A39" s="68"/>
      <c r="B39"/>
      <c r="C39"/>
      <c r="D39"/>
      <c r="E39"/>
      <c r="F39"/>
      <c r="G39"/>
      <c r="H39"/>
      <c r="I39"/>
      <c r="J39"/>
      <c r="K39"/>
    </row>
    <row r="40" spans="1:11" ht="14.4" x14ac:dyDescent="0.3">
      <c r="A40" s="68"/>
      <c r="B40"/>
      <c r="C40"/>
      <c r="D40"/>
      <c r="E40"/>
      <c r="F40"/>
      <c r="G40"/>
      <c r="H40"/>
      <c r="I40"/>
      <c r="J40"/>
      <c r="K40"/>
    </row>
    <row r="41" spans="1:11" ht="14.4" x14ac:dyDescent="0.3">
      <c r="A41" s="68"/>
      <c r="B41"/>
      <c r="C41"/>
      <c r="D41"/>
      <c r="E41"/>
      <c r="F41"/>
      <c r="G41"/>
      <c r="H41"/>
      <c r="I41"/>
      <c r="J41"/>
      <c r="K41"/>
    </row>
    <row r="42" spans="1:11" ht="14.4" x14ac:dyDescent="0.3">
      <c r="A42" s="68"/>
      <c r="B42"/>
      <c r="C42"/>
      <c r="D42"/>
      <c r="E42"/>
      <c r="F42"/>
      <c r="G42"/>
      <c r="H42"/>
      <c r="I42"/>
      <c r="J42"/>
      <c r="K42"/>
    </row>
    <row r="43" spans="1:11" ht="14.4" x14ac:dyDescent="0.3">
      <c r="A43" s="68"/>
      <c r="B43"/>
      <c r="C43"/>
      <c r="D43"/>
      <c r="E43"/>
      <c r="F43"/>
      <c r="G43"/>
      <c r="H43"/>
      <c r="I43"/>
      <c r="J43"/>
      <c r="K43"/>
    </row>
    <row r="44" spans="1:11" ht="14.4" x14ac:dyDescent="0.3">
      <c r="A44" s="68"/>
      <c r="B44"/>
      <c r="C44"/>
      <c r="D44"/>
      <c r="E44"/>
      <c r="F44"/>
      <c r="G44"/>
      <c r="H44"/>
      <c r="I44"/>
      <c r="J44"/>
      <c r="K44"/>
    </row>
    <row r="45" spans="1:11" ht="14.4" x14ac:dyDescent="0.3">
      <c r="A45" s="68"/>
      <c r="B45"/>
      <c r="C45"/>
      <c r="D45"/>
      <c r="E45"/>
      <c r="F45"/>
      <c r="G45"/>
      <c r="H45"/>
      <c r="I45"/>
      <c r="J45"/>
      <c r="K45"/>
    </row>
    <row r="46" spans="1:11" ht="14.4" x14ac:dyDescent="0.3">
      <c r="A46" s="68"/>
      <c r="B46"/>
      <c r="C46"/>
      <c r="D46"/>
      <c r="E46"/>
      <c r="F46"/>
      <c r="G46"/>
      <c r="H46"/>
      <c r="I46"/>
      <c r="J46"/>
      <c r="K46"/>
    </row>
    <row r="47" spans="1:11" ht="14.4" x14ac:dyDescent="0.3">
      <c r="A47" s="68"/>
      <c r="B47"/>
      <c r="C47"/>
      <c r="D47"/>
      <c r="E47"/>
      <c r="F47"/>
      <c r="G47"/>
      <c r="H47"/>
      <c r="I47"/>
      <c r="J47"/>
      <c r="K47"/>
    </row>
    <row r="48" spans="1:11" ht="14.4" x14ac:dyDescent="0.3">
      <c r="A48" s="68"/>
      <c r="B48"/>
      <c r="C48"/>
      <c r="D48"/>
      <c r="E48"/>
      <c r="F48"/>
      <c r="G48"/>
      <c r="H48"/>
      <c r="I48"/>
      <c r="J48"/>
      <c r="K48"/>
    </row>
    <row r="49" spans="1:11" ht="14.4" x14ac:dyDescent="0.3">
      <c r="A49" s="68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68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68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68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68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68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68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68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68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68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68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68"/>
      <c r="B60"/>
      <c r="C60"/>
      <c r="D60"/>
      <c r="E60"/>
      <c r="F60"/>
      <c r="G60"/>
      <c r="H60"/>
      <c r="I60"/>
      <c r="J60"/>
      <c r="K60"/>
    </row>
  </sheetData>
  <mergeCells count="2">
    <mergeCell ref="E13:H13"/>
    <mergeCell ref="C2:J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2024-09-17T20:06:50Z</dcterms:modified>
</cp:coreProperties>
</file>