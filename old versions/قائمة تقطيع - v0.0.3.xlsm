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"/>
    </mc:Choice>
  </mc:AlternateContent>
  <xr:revisionPtr revIDLastSave="0" documentId="13_ncr:1_{38B01507-6959-49D8-95DF-C00EF27F9291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definedNames>
    <definedName name="_xlnm._FilterDatabase" localSheetId="2" hidden="1">'وحدات سفلية'!$B$198:$BV$198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7" i="10" l="1"/>
  <c r="G97" i="10"/>
  <c r="F97" i="10"/>
  <c r="E93" i="10"/>
  <c r="D97" i="10" s="1"/>
  <c r="I97" i="10" s="1"/>
  <c r="E92" i="10"/>
  <c r="B97" i="10" s="1"/>
  <c r="J92" i="10"/>
  <c r="H89" i="10"/>
  <c r="G89" i="10"/>
  <c r="H87" i="10"/>
  <c r="G87" i="10"/>
  <c r="H85" i="10"/>
  <c r="G85" i="10"/>
  <c r="F85" i="10"/>
  <c r="H84" i="10"/>
  <c r="G84" i="10"/>
  <c r="H83" i="10"/>
  <c r="G83" i="10"/>
  <c r="F83" i="10"/>
  <c r="H82" i="10"/>
  <c r="F82" i="10"/>
  <c r="D82" i="10"/>
  <c r="I82" i="10" s="1"/>
  <c r="H81" i="10"/>
  <c r="F81" i="10"/>
  <c r="C81" i="10"/>
  <c r="C82" i="10" s="1"/>
  <c r="C83" i="10" s="1"/>
  <c r="C84" i="10" s="1"/>
  <c r="C85" i="10" s="1"/>
  <c r="C87" i="10" s="1"/>
  <c r="C89" i="10" s="1"/>
  <c r="H80" i="10"/>
  <c r="C80" i="10"/>
  <c r="H79" i="10"/>
  <c r="F79" i="10"/>
  <c r="B79" i="10"/>
  <c r="B87" i="10" s="1"/>
  <c r="H75" i="10"/>
  <c r="D84" i="10" s="1"/>
  <c r="I84" i="10" s="1"/>
  <c r="F75" i="10"/>
  <c r="D87" i="10" s="1"/>
  <c r="I87" i="10" s="1"/>
  <c r="D75" i="10"/>
  <c r="D89" i="10" s="1"/>
  <c r="I89" i="10" s="1"/>
  <c r="J74" i="10"/>
  <c r="G80" i="10" s="1"/>
  <c r="I74" i="10"/>
  <c r="F89" i="10" s="1"/>
  <c r="F74" i="10"/>
  <c r="F84" i="10" s="1"/>
  <c r="E74" i="10"/>
  <c r="E72" i="10"/>
  <c r="J72" i="10"/>
  <c r="H69" i="10"/>
  <c r="G69" i="10"/>
  <c r="H67" i="10"/>
  <c r="G67" i="10"/>
  <c r="H66" i="10"/>
  <c r="G66" i="10"/>
  <c r="H64" i="10"/>
  <c r="F64" i="10"/>
  <c r="H63" i="10"/>
  <c r="H62" i="10"/>
  <c r="F62" i="10"/>
  <c r="C62" i="10"/>
  <c r="C63" i="10" s="1"/>
  <c r="C64" i="10" s="1"/>
  <c r="C66" i="10" s="1"/>
  <c r="C67" i="10" s="1"/>
  <c r="C69" i="10" s="1"/>
  <c r="H61" i="10"/>
  <c r="F61" i="10"/>
  <c r="H57" i="10"/>
  <c r="D64" i="10" s="1"/>
  <c r="I64" i="10" s="1"/>
  <c r="F57" i="10"/>
  <c r="D66" i="10" s="1"/>
  <c r="I66" i="10" s="1"/>
  <c r="D57" i="10"/>
  <c r="D69" i="10" s="1"/>
  <c r="I69" i="10" s="1"/>
  <c r="C55" i="10"/>
  <c r="C56" i="10" s="1"/>
  <c r="D54" i="10"/>
  <c r="C54" i="10"/>
  <c r="J53" i="10"/>
  <c r="I53" i="10"/>
  <c r="G53" i="10"/>
  <c r="F53" i="10"/>
  <c r="E51" i="10"/>
  <c r="B61" i="10" s="1"/>
  <c r="J51" i="10"/>
  <c r="H46" i="10"/>
  <c r="G46" i="10"/>
  <c r="H44" i="10"/>
  <c r="G44" i="10"/>
  <c r="F44" i="10"/>
  <c r="H43" i="10"/>
  <c r="G43" i="10"/>
  <c r="H42" i="10"/>
  <c r="G42" i="10"/>
  <c r="F42" i="10"/>
  <c r="H41" i="10"/>
  <c r="F41" i="10"/>
  <c r="H40" i="10"/>
  <c r="F40" i="10"/>
  <c r="H39" i="10"/>
  <c r="C39" i="10"/>
  <c r="C40" i="10" s="1"/>
  <c r="C41" i="10" s="1"/>
  <c r="C42" i="10" s="1"/>
  <c r="C43" i="10" s="1"/>
  <c r="C44" i="10" s="1"/>
  <c r="C46" i="10" s="1"/>
  <c r="H38" i="10"/>
  <c r="F38" i="10"/>
  <c r="H34" i="10"/>
  <c r="D43" i="10" s="1"/>
  <c r="I43" i="10" s="1"/>
  <c r="F34" i="10"/>
  <c r="D46" i="10" s="1"/>
  <c r="I46" i="10" s="1"/>
  <c r="D34" i="10"/>
  <c r="J33" i="10"/>
  <c r="G39" i="10" s="1"/>
  <c r="I33" i="10"/>
  <c r="F39" i="10" s="1"/>
  <c r="G33" i="10"/>
  <c r="F43" i="10" s="1"/>
  <c r="E33" i="10"/>
  <c r="F46" i="10" s="1"/>
  <c r="E31" i="10"/>
  <c r="B38" i="10" s="1"/>
  <c r="J31" i="10"/>
  <c r="H28" i="10"/>
  <c r="G28" i="10"/>
  <c r="H26" i="10"/>
  <c r="G26" i="10"/>
  <c r="H24" i="10"/>
  <c r="F24" i="10"/>
  <c r="H23" i="10"/>
  <c r="G23" i="10"/>
  <c r="F23" i="10"/>
  <c r="H22" i="10"/>
  <c r="G22" i="10"/>
  <c r="F22" i="10"/>
  <c r="H21" i="10"/>
  <c r="C21" i="10"/>
  <c r="C22" i="10" s="1"/>
  <c r="C23" i="10" s="1"/>
  <c r="C24" i="10" s="1"/>
  <c r="C26" i="10" s="1"/>
  <c r="C28" i="10" s="1"/>
  <c r="H20" i="10"/>
  <c r="F20" i="10"/>
  <c r="B20" i="10"/>
  <c r="B26" i="10" s="1"/>
  <c r="H16" i="10"/>
  <c r="D23" i="10" s="1"/>
  <c r="I23" i="10" s="1"/>
  <c r="F16" i="10"/>
  <c r="D26" i="10" s="1"/>
  <c r="I26" i="10" s="1"/>
  <c r="D16" i="10"/>
  <c r="D28" i="10" s="1"/>
  <c r="I28" i="10" s="1"/>
  <c r="J15" i="10"/>
  <c r="G21" i="10" s="1"/>
  <c r="I15" i="10"/>
  <c r="F21" i="10" s="1"/>
  <c r="E15" i="10"/>
  <c r="E13" i="10"/>
  <c r="J13" i="10"/>
  <c r="A31" i="7" a="1"/>
  <c r="A31" i="7" s="1"/>
  <c r="J31" i="7" s="1"/>
  <c r="I46" i="7"/>
  <c r="I69" i="7"/>
  <c r="I92" i="7"/>
  <c r="I112" i="7"/>
  <c r="I111" i="7"/>
  <c r="I133" i="7"/>
  <c r="I132" i="7"/>
  <c r="I153" i="7"/>
  <c r="I90" i="7"/>
  <c r="I89" i="7"/>
  <c r="I88" i="7"/>
  <c r="I87" i="7"/>
  <c r="I86" i="7"/>
  <c r="I85" i="7"/>
  <c r="I67" i="7"/>
  <c r="I66" i="7"/>
  <c r="I65" i="7"/>
  <c r="I64" i="7"/>
  <c r="I63" i="7"/>
  <c r="I62" i="7"/>
  <c r="I44" i="7"/>
  <c r="I43" i="7"/>
  <c r="I42" i="7"/>
  <c r="I151" i="7"/>
  <c r="I150" i="7"/>
  <c r="I149" i="7"/>
  <c r="I148" i="7"/>
  <c r="I147" i="7"/>
  <c r="I146" i="7"/>
  <c r="I130" i="7"/>
  <c r="I129" i="7"/>
  <c r="I128" i="7"/>
  <c r="I127" i="7"/>
  <c r="I126" i="7"/>
  <c r="I125" i="7"/>
  <c r="I109" i="7"/>
  <c r="I108" i="7"/>
  <c r="I107" i="7"/>
  <c r="I106" i="7"/>
  <c r="I105" i="7"/>
  <c r="I104" i="7"/>
  <c r="I84" i="7"/>
  <c r="I83" i="7"/>
  <c r="I82" i="7"/>
  <c r="I81" i="7"/>
  <c r="I61" i="7"/>
  <c r="I60" i="7"/>
  <c r="I59" i="7"/>
  <c r="I58" i="7"/>
  <c r="I41" i="7"/>
  <c r="I40" i="7"/>
  <c r="I39" i="7"/>
  <c r="I38" i="7"/>
  <c r="I26" i="7"/>
  <c r="I24" i="7"/>
  <c r="I23" i="7"/>
  <c r="I22" i="7"/>
  <c r="I21" i="7"/>
  <c r="I20" i="7"/>
  <c r="J138" i="7"/>
  <c r="J117" i="7"/>
  <c r="J97" i="7"/>
  <c r="J74" i="7"/>
  <c r="J51" i="7"/>
  <c r="J13" i="7"/>
  <c r="J13" i="6"/>
  <c r="A13" i="6" a="1"/>
  <c r="A13" i="6" s="1"/>
  <c r="A40" i="5" a="1"/>
  <c r="A40" i="5" s="1"/>
  <c r="J40" i="5" s="1"/>
  <c r="A13" i="5" a="1"/>
  <c r="A13" i="5" s="1"/>
  <c r="J13" i="5" s="1"/>
  <c r="A13" i="4" a="1"/>
  <c r="A13" i="4" s="1"/>
  <c r="J13" i="4" s="1"/>
  <c r="A138" i="7" a="1"/>
  <c r="A138" i="7" s="1"/>
  <c r="A117" i="7" a="1"/>
  <c r="A117" i="7" s="1"/>
  <c r="A97" i="7" a="1"/>
  <c r="A97" i="7" s="1"/>
  <c r="A74" i="7" a="1"/>
  <c r="A74" i="7" s="1"/>
  <c r="A51" i="7" a="1"/>
  <c r="A51" i="7" s="1"/>
  <c r="A13" i="7" a="1"/>
  <c r="A13" i="7" s="1"/>
  <c r="A117" i="3" a="1"/>
  <c r="A117" i="3" s="1"/>
  <c r="J117" i="3" s="1"/>
  <c r="A31" i="3" a="1"/>
  <c r="A31" i="3" s="1"/>
  <c r="J31" i="3" s="1"/>
  <c r="A13" i="3" a="1"/>
  <c r="A13" i="3" s="1"/>
  <c r="J13" i="3" s="1"/>
  <c r="D18" i="6"/>
  <c r="E14" i="6"/>
  <c r="E13" i="6"/>
  <c r="F18" i="6"/>
  <c r="G18" i="6"/>
  <c r="H18" i="6"/>
  <c r="B18" i="6"/>
  <c r="I18" i="6"/>
  <c r="E40" i="5"/>
  <c r="E13" i="5"/>
  <c r="S4" i="5"/>
  <c r="E121" i="4"/>
  <c r="E100" i="4"/>
  <c r="E77" i="4"/>
  <c r="E55" i="4"/>
  <c r="E34" i="4"/>
  <c r="E13" i="4"/>
  <c r="S4" i="4"/>
  <c r="T4" i="4" s="1"/>
  <c r="U4" i="4" s="1"/>
  <c r="V4" i="4" s="1"/>
  <c r="W4" i="4" s="1"/>
  <c r="A121" i="4" s="1" a="1"/>
  <c r="A121" i="4" s="1"/>
  <c r="J121" i="4" s="1"/>
  <c r="E138" i="7"/>
  <c r="E117" i="7"/>
  <c r="E97" i="7"/>
  <c r="E74" i="7"/>
  <c r="E51" i="7"/>
  <c r="E31" i="7"/>
  <c r="E13" i="7"/>
  <c r="S4" i="7"/>
  <c r="T4" i="7" s="1"/>
  <c r="U4" i="7" s="1"/>
  <c r="V4" i="7" s="1"/>
  <c r="W4" i="7" s="1"/>
  <c r="X4" i="7" s="1"/>
  <c r="E158" i="3"/>
  <c r="E138" i="3"/>
  <c r="E117" i="3"/>
  <c r="E97" i="3"/>
  <c r="E74" i="3"/>
  <c r="E51" i="3"/>
  <c r="E31" i="3"/>
  <c r="S4" i="3"/>
  <c r="T4" i="3" s="1"/>
  <c r="U4" i="3" s="1"/>
  <c r="V4" i="3" s="1"/>
  <c r="W4" i="3" s="1"/>
  <c r="X4" i="3" s="1"/>
  <c r="Y4" i="3" s="1"/>
  <c r="A158" i="3" s="1" a="1"/>
  <c r="A158" i="3" s="1"/>
  <c r="J158" i="3" s="1"/>
  <c r="E13" i="3"/>
  <c r="J123" i="4"/>
  <c r="I123" i="4"/>
  <c r="G123" i="4"/>
  <c r="F123" i="4"/>
  <c r="F102" i="4"/>
  <c r="G102" i="4"/>
  <c r="J103" i="4"/>
  <c r="I103" i="4"/>
  <c r="J102" i="4"/>
  <c r="I102" i="4"/>
  <c r="J80" i="4"/>
  <c r="I80" i="4"/>
  <c r="F79" i="4"/>
  <c r="G79" i="4"/>
  <c r="I79" i="4"/>
  <c r="J79" i="4"/>
  <c r="G57" i="4"/>
  <c r="F57" i="4"/>
  <c r="I57" i="4"/>
  <c r="J57" i="4"/>
  <c r="F36" i="4"/>
  <c r="G36" i="4"/>
  <c r="I36" i="4"/>
  <c r="J36" i="4"/>
  <c r="F15" i="4"/>
  <c r="G15" i="4"/>
  <c r="I15" i="4"/>
  <c r="J15" i="4"/>
  <c r="F76" i="7"/>
  <c r="F15" i="7"/>
  <c r="F140" i="7"/>
  <c r="F119" i="7"/>
  <c r="E135" i="7" s="1"/>
  <c r="F99" i="7"/>
  <c r="F53" i="7"/>
  <c r="F33" i="7"/>
  <c r="G48" i="7" s="1"/>
  <c r="G25" i="8"/>
  <c r="G76" i="7" s="1"/>
  <c r="F89" i="7" s="1"/>
  <c r="G24" i="8"/>
  <c r="E53" i="7" s="1"/>
  <c r="G23" i="8"/>
  <c r="I140" i="7" s="1"/>
  <c r="G22" i="8"/>
  <c r="J140" i="7" s="1"/>
  <c r="G7" i="8"/>
  <c r="F121" i="3" s="1"/>
  <c r="G11" i="8"/>
  <c r="H121" i="7" s="1"/>
  <c r="D127" i="7" s="1"/>
  <c r="F33" i="3"/>
  <c r="F53" i="3"/>
  <c r="F76" i="3"/>
  <c r="J141" i="3"/>
  <c r="I141" i="3"/>
  <c r="E160" i="3"/>
  <c r="I160" i="3"/>
  <c r="J160" i="3"/>
  <c r="J140" i="3"/>
  <c r="I140" i="3"/>
  <c r="E140" i="3"/>
  <c r="E119" i="3"/>
  <c r="I120" i="3"/>
  <c r="J120" i="3"/>
  <c r="I119" i="3"/>
  <c r="J119" i="3"/>
  <c r="E99" i="3"/>
  <c r="J99" i="3"/>
  <c r="I99" i="3"/>
  <c r="E76" i="3"/>
  <c r="I76" i="3"/>
  <c r="J76" i="3"/>
  <c r="J53" i="3"/>
  <c r="I53" i="3"/>
  <c r="E53" i="3"/>
  <c r="E33" i="3"/>
  <c r="I33" i="3"/>
  <c r="J33" i="3"/>
  <c r="E15" i="3"/>
  <c r="I15" i="3"/>
  <c r="F20" i="3"/>
  <c r="J15" i="3"/>
  <c r="G24" i="3" s="1"/>
  <c r="E3" i="10" a="1"/>
  <c r="E3" i="10" s="1"/>
  <c r="G23" i="3"/>
  <c r="G22" i="3"/>
  <c r="D79" i="10" l="1"/>
  <c r="I79" i="10" s="1"/>
  <c r="D83" i="10"/>
  <c r="I83" i="10" s="1"/>
  <c r="D81" i="10"/>
  <c r="I81" i="10" s="1"/>
  <c r="F87" i="10"/>
  <c r="G79" i="10"/>
  <c r="F80" i="10"/>
  <c r="G62" i="10"/>
  <c r="F54" i="10"/>
  <c r="F55" i="10" s="1"/>
  <c r="D42" i="10"/>
  <c r="I42" i="10" s="1"/>
  <c r="D38" i="10"/>
  <c r="I38" i="10" s="1"/>
  <c r="D40" i="10"/>
  <c r="I40" i="10" s="1"/>
  <c r="G38" i="10"/>
  <c r="F66" i="10"/>
  <c r="B81" i="10"/>
  <c r="B83" i="10"/>
  <c r="B85" i="10"/>
  <c r="D85" i="10"/>
  <c r="I85" i="10" s="1"/>
  <c r="B89" i="10"/>
  <c r="B80" i="10"/>
  <c r="B82" i="10"/>
  <c r="D80" i="10"/>
  <c r="I80" i="10" s="1"/>
  <c r="B84" i="10"/>
  <c r="B64" i="10"/>
  <c r="B62" i="10"/>
  <c r="B69" i="10"/>
  <c r="B66" i="10"/>
  <c r="B65" i="10"/>
  <c r="B63" i="10"/>
  <c r="B67" i="10"/>
  <c r="G64" i="10"/>
  <c r="F67" i="10"/>
  <c r="G61" i="10"/>
  <c r="D63" i="10"/>
  <c r="I63" i="10" s="1"/>
  <c r="I54" i="10"/>
  <c r="I55" i="10" s="1"/>
  <c r="F63" i="10"/>
  <c r="G63" i="10"/>
  <c r="D61" i="10"/>
  <c r="I61" i="10" s="1"/>
  <c r="F69" i="10"/>
  <c r="D62" i="10"/>
  <c r="I62" i="10" s="1"/>
  <c r="B46" i="10"/>
  <c r="B43" i="10"/>
  <c r="B41" i="10"/>
  <c r="B39" i="10"/>
  <c r="B40" i="10"/>
  <c r="B44" i="10"/>
  <c r="B42" i="10"/>
  <c r="D44" i="10"/>
  <c r="I44" i="10" s="1"/>
  <c r="B48" i="10"/>
  <c r="C48" i="10"/>
  <c r="D48" i="10"/>
  <c r="I48" i="10" s="1"/>
  <c r="D39" i="10"/>
  <c r="I39" i="10" s="1"/>
  <c r="E48" i="10"/>
  <c r="D41" i="10"/>
  <c r="I41" i="10" s="1"/>
  <c r="F48" i="10"/>
  <c r="G48" i="10"/>
  <c r="H48" i="10"/>
  <c r="F26" i="10"/>
  <c r="B22" i="10"/>
  <c r="G20" i="10"/>
  <c r="D22" i="10"/>
  <c r="I22" i="10" s="1"/>
  <c r="B24" i="10"/>
  <c r="D20" i="10"/>
  <c r="I20" i="10" s="1"/>
  <c r="D24" i="10"/>
  <c r="I24" i="10" s="1"/>
  <c r="B28" i="10"/>
  <c r="B21" i="10"/>
  <c r="G24" i="10"/>
  <c r="D21" i="10"/>
  <c r="I21" i="10" s="1"/>
  <c r="B23" i="10"/>
  <c r="F28" i="10"/>
  <c r="A51" i="3" a="1"/>
  <c r="A51" i="3" s="1"/>
  <c r="J51" i="3" s="1"/>
  <c r="A74" i="3" a="1"/>
  <c r="A74" i="3" s="1"/>
  <c r="J74" i="3" s="1"/>
  <c r="A97" i="3" a="1"/>
  <c r="A97" i="3" s="1"/>
  <c r="J97" i="3" s="1"/>
  <c r="A138" i="3" a="1"/>
  <c r="A138" i="3" s="1"/>
  <c r="J138" i="3" s="1"/>
  <c r="A55" i="4" a="1"/>
  <c r="A55" i="4" s="1"/>
  <c r="J55" i="4" s="1"/>
  <c r="A77" i="4" a="1"/>
  <c r="A77" i="4" s="1"/>
  <c r="J77" i="4" s="1"/>
  <c r="A100" i="4" a="1"/>
  <c r="A100" i="4" s="1"/>
  <c r="J100" i="4" s="1"/>
  <c r="A34" i="4" a="1"/>
  <c r="A34" i="4" s="1"/>
  <c r="J34" i="4" s="1"/>
  <c r="G35" i="8"/>
  <c r="D130" i="7"/>
  <c r="D128" i="7"/>
  <c r="D129" i="7"/>
  <c r="F40" i="4"/>
  <c r="D49" i="4" s="1"/>
  <c r="I49" i="4" s="1"/>
  <c r="F127" i="4"/>
  <c r="D137" i="4" s="1"/>
  <c r="I137" i="4" s="1"/>
  <c r="F54" i="5"/>
  <c r="F61" i="4"/>
  <c r="D72" i="4" s="1"/>
  <c r="I72" i="4" s="1"/>
  <c r="F21" i="5"/>
  <c r="F86" i="7"/>
  <c r="F82" i="4"/>
  <c r="D94" i="4" s="1"/>
  <c r="I94" i="4" s="1"/>
  <c r="D125" i="7"/>
  <c r="D126" i="7"/>
  <c r="F19" i="4"/>
  <c r="D28" i="4" s="1"/>
  <c r="I28" i="4" s="1"/>
  <c r="F105" i="4"/>
  <c r="D116" i="4" s="1"/>
  <c r="I116" i="4" s="1"/>
  <c r="G71" i="7"/>
  <c r="E155" i="7"/>
  <c r="H48" i="7"/>
  <c r="B114" i="7"/>
  <c r="C114" i="7"/>
  <c r="G135" i="7"/>
  <c r="B71" i="7"/>
  <c r="D114" i="7"/>
  <c r="I114" i="7" s="1"/>
  <c r="H135" i="7"/>
  <c r="C71" i="7"/>
  <c r="E114" i="7"/>
  <c r="H28" i="7"/>
  <c r="D71" i="7"/>
  <c r="I71" i="7" s="1"/>
  <c r="B155" i="7"/>
  <c r="E28" i="7"/>
  <c r="E71" i="7"/>
  <c r="G114" i="7"/>
  <c r="C155" i="7"/>
  <c r="D48" i="7"/>
  <c r="I48" i="7" s="1"/>
  <c r="H71" i="7"/>
  <c r="B135" i="7"/>
  <c r="F155" i="7"/>
  <c r="E48" i="7"/>
  <c r="C135" i="7"/>
  <c r="G155" i="7"/>
  <c r="D135" i="7"/>
  <c r="I135" i="7" s="1"/>
  <c r="H155" i="7"/>
  <c r="B48" i="7"/>
  <c r="H114" i="7"/>
  <c r="D155" i="7"/>
  <c r="I155" i="7" s="1"/>
  <c r="C48" i="7"/>
  <c r="B94" i="7"/>
  <c r="C94" i="7"/>
  <c r="D94" i="7"/>
  <c r="I94" i="7" s="1"/>
  <c r="E94" i="7"/>
  <c r="G94" i="7"/>
  <c r="H94" i="7"/>
  <c r="B28" i="7"/>
  <c r="C28" i="7"/>
  <c r="G28" i="7"/>
  <c r="D28" i="7"/>
  <c r="I28" i="7" s="1"/>
  <c r="I76" i="7"/>
  <c r="F94" i="7" s="1"/>
  <c r="H54" i="7"/>
  <c r="H142" i="7"/>
  <c r="J76" i="7"/>
  <c r="E76" i="7"/>
  <c r="E140" i="7"/>
  <c r="H77" i="7"/>
  <c r="G53" i="7"/>
  <c r="I141" i="7"/>
  <c r="H100" i="7"/>
  <c r="H34" i="7"/>
  <c r="F142" i="3"/>
  <c r="J141" i="7"/>
  <c r="E15" i="7"/>
  <c r="I120" i="7"/>
  <c r="F135" i="7" s="1"/>
  <c r="F54" i="3"/>
  <c r="I33" i="7"/>
  <c r="F48" i="7" s="1"/>
  <c r="I99" i="7"/>
  <c r="F114" i="7" s="1"/>
  <c r="J120" i="7"/>
  <c r="I15" i="7"/>
  <c r="F28" i="7" s="1"/>
  <c r="F77" i="3"/>
  <c r="F161" i="3"/>
  <c r="H16" i="7"/>
  <c r="J33" i="7"/>
  <c r="J99" i="7"/>
  <c r="E33" i="7"/>
  <c r="E99" i="7"/>
  <c r="G33" i="7"/>
  <c r="E119" i="7"/>
  <c r="J15" i="7"/>
  <c r="F16" i="3"/>
  <c r="F100" i="3"/>
  <c r="G12" i="8"/>
  <c r="I53" i="7"/>
  <c r="F71" i="7" s="1"/>
  <c r="I119" i="7"/>
  <c r="J53" i="7"/>
  <c r="J119" i="7"/>
  <c r="F34" i="3"/>
  <c r="F26" i="3"/>
  <c r="F23" i="3"/>
  <c r="F28" i="3"/>
  <c r="F22" i="3"/>
  <c r="G28" i="3"/>
  <c r="G26" i="3"/>
  <c r="F21" i="3"/>
  <c r="F24" i="3"/>
  <c r="G20" i="3"/>
  <c r="G21" i="3"/>
  <c r="G8" i="8"/>
  <c r="G6" i="8"/>
  <c r="E215" i="4"/>
  <c r="L215" i="4"/>
  <c r="M215" i="4"/>
  <c r="K215" i="4"/>
  <c r="L227" i="4"/>
  <c r="M227" i="4"/>
  <c r="L238" i="4"/>
  <c r="M238" i="4"/>
  <c r="K227" i="4"/>
  <c r="K238" i="4"/>
  <c r="I238" i="4" s="1"/>
  <c r="D238" i="4"/>
  <c r="E238" i="4"/>
  <c r="E227" i="4"/>
  <c r="L196" i="4"/>
  <c r="M196" i="4"/>
  <c r="K196" i="4"/>
  <c r="K198" i="4" s="1"/>
  <c r="E200" i="4"/>
  <c r="E199" i="4"/>
  <c r="E198" i="4"/>
  <c r="E197" i="4"/>
  <c r="E196" i="4"/>
  <c r="C196" i="4"/>
  <c r="H140" i="4"/>
  <c r="G140" i="4"/>
  <c r="F140" i="4"/>
  <c r="H138" i="4"/>
  <c r="F138" i="4"/>
  <c r="H137" i="4"/>
  <c r="H135" i="4"/>
  <c r="G135" i="4"/>
  <c r="F135" i="4"/>
  <c r="H134" i="4"/>
  <c r="G134" i="4"/>
  <c r="F134" i="4"/>
  <c r="H133" i="4"/>
  <c r="G133" i="4"/>
  <c r="F133" i="4"/>
  <c r="H132" i="4"/>
  <c r="G132" i="4"/>
  <c r="F132" i="4"/>
  <c r="C132" i="4"/>
  <c r="C133" i="4" s="1"/>
  <c r="C134" i="4" s="1"/>
  <c r="C135" i="4" s="1"/>
  <c r="C137" i="4" s="1"/>
  <c r="C138" i="4" s="1"/>
  <c r="C140" i="4" s="1"/>
  <c r="C227" i="4" s="1"/>
  <c r="H131" i="4"/>
  <c r="G131" i="4"/>
  <c r="F131" i="4"/>
  <c r="C125" i="4"/>
  <c r="C126" i="4" s="1"/>
  <c r="F124" i="4"/>
  <c r="F125" i="4" s="1"/>
  <c r="D124" i="4"/>
  <c r="C124" i="4"/>
  <c r="F137" i="4" s="1"/>
  <c r="B131" i="4"/>
  <c r="B196" i="4" s="1"/>
  <c r="F38" i="3"/>
  <c r="C258" i="3"/>
  <c r="E282" i="3"/>
  <c r="L242" i="3"/>
  <c r="L246" i="3" s="1"/>
  <c r="M242" i="3"/>
  <c r="M246" i="3" s="1"/>
  <c r="K242" i="3"/>
  <c r="K245" i="3" s="1"/>
  <c r="E268" i="3"/>
  <c r="E267" i="3"/>
  <c r="E242" i="3"/>
  <c r="C242" i="3"/>
  <c r="E243" i="3"/>
  <c r="E244" i="3"/>
  <c r="E245" i="3"/>
  <c r="E246" i="3"/>
  <c r="H174" i="3"/>
  <c r="G174" i="3"/>
  <c r="F174" i="3"/>
  <c r="H172" i="3"/>
  <c r="G172" i="3"/>
  <c r="F172" i="3"/>
  <c r="H171" i="3"/>
  <c r="F171" i="3" s="1"/>
  <c r="H169" i="3"/>
  <c r="G169" i="3"/>
  <c r="F169" i="3"/>
  <c r="H168" i="3"/>
  <c r="F168" i="3"/>
  <c r="H167" i="3"/>
  <c r="F167" i="3"/>
  <c r="H166" i="3"/>
  <c r="G166" i="3"/>
  <c r="F166" i="3"/>
  <c r="C166" i="3"/>
  <c r="C167" i="3" s="1"/>
  <c r="C168" i="3" s="1"/>
  <c r="C169" i="3" s="1"/>
  <c r="C171" i="3" s="1"/>
  <c r="C267" i="3" s="1"/>
  <c r="H165" i="3"/>
  <c r="G165" i="3"/>
  <c r="F165" i="3"/>
  <c r="B165" i="3"/>
  <c r="B174" i="3" s="1"/>
  <c r="B282" i="3" s="1"/>
  <c r="B109" i="4"/>
  <c r="B189" i="4" s="1"/>
  <c r="B86" i="4"/>
  <c r="B94" i="4" s="1"/>
  <c r="B213" i="4" s="1"/>
  <c r="B65" i="4"/>
  <c r="B44" i="4"/>
  <c r="B49" i="4" s="1"/>
  <c r="B209" i="4" s="1"/>
  <c r="B146" i="7"/>
  <c r="B214" i="7" s="1"/>
  <c r="B125" i="7"/>
  <c r="B104" i="7"/>
  <c r="B200" i="7" s="1"/>
  <c r="B81" i="7"/>
  <c r="B58" i="7"/>
  <c r="B66" i="7" s="1"/>
  <c r="B186" i="7" s="1"/>
  <c r="B38" i="7"/>
  <c r="B43" i="7" s="1"/>
  <c r="B175" i="7" s="1"/>
  <c r="A227" i="7"/>
  <c r="A228" i="7" s="1"/>
  <c r="A229" i="7" s="1"/>
  <c r="A230" i="7" s="1"/>
  <c r="A231" i="7" s="1"/>
  <c r="A232" i="7" s="1"/>
  <c r="A233" i="7" s="1"/>
  <c r="A234" i="7" s="1"/>
  <c r="A241" i="7" s="1"/>
  <c r="A242" i="7" s="1"/>
  <c r="A243" i="7" s="1"/>
  <c r="A244" i="7" s="1"/>
  <c r="A245" i="7" s="1"/>
  <c r="A246" i="7" s="1"/>
  <c r="A247" i="7" s="1"/>
  <c r="A165" i="7"/>
  <c r="A166" i="7" s="1"/>
  <c r="A167" i="7" s="1"/>
  <c r="A168" i="7" s="1"/>
  <c r="A170" i="7" s="1"/>
  <c r="A171" i="7" s="1"/>
  <c r="A172" i="7" s="1"/>
  <c r="A173" i="7" s="1"/>
  <c r="A174" i="7" s="1"/>
  <c r="A175" i="7" s="1"/>
  <c r="A176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200" i="7" s="1"/>
  <c r="A201" i="7" s="1"/>
  <c r="A202" i="7" s="1"/>
  <c r="A203" i="7" s="1"/>
  <c r="A204" i="7" s="1"/>
  <c r="A205" i="7" s="1"/>
  <c r="A207" i="7" s="1"/>
  <c r="A208" i="7" s="1"/>
  <c r="A209" i="7" s="1"/>
  <c r="A210" i="7" s="1"/>
  <c r="A211" i="7" s="1"/>
  <c r="A212" i="7" s="1"/>
  <c r="A214" i="7" s="1"/>
  <c r="A215" i="7" s="1"/>
  <c r="A216" i="7" s="1"/>
  <c r="A217" i="7" s="1"/>
  <c r="A218" i="7" s="1"/>
  <c r="A219" i="7" s="1"/>
  <c r="B20" i="7"/>
  <c r="B164" i="7" s="1"/>
  <c r="N258" i="3"/>
  <c r="M258" i="3"/>
  <c r="L258" i="3"/>
  <c r="K258" i="3"/>
  <c r="E258" i="3"/>
  <c r="B146" i="3"/>
  <c r="B153" i="3" s="1"/>
  <c r="B266" i="3" s="1"/>
  <c r="B124" i="3"/>
  <c r="B129" i="3" s="1"/>
  <c r="B233" i="3" s="1"/>
  <c r="B104" i="3"/>
  <c r="B106" i="3" s="1"/>
  <c r="B223" i="3" s="1"/>
  <c r="B81" i="3"/>
  <c r="B83" i="3" s="1"/>
  <c r="B212" i="3" s="1"/>
  <c r="B58" i="3"/>
  <c r="B60" i="3" s="1"/>
  <c r="B201" i="3" s="1"/>
  <c r="B38" i="3"/>
  <c r="B48" i="3" s="1"/>
  <c r="B276" i="3" s="1"/>
  <c r="B20" i="3"/>
  <c r="B28" i="3" s="1"/>
  <c r="B275" i="3" s="1"/>
  <c r="D215" i="4" l="1"/>
  <c r="D31" i="5"/>
  <c r="I31" i="5" s="1"/>
  <c r="D32" i="5"/>
  <c r="I32" i="5" s="1"/>
  <c r="D81" i="5"/>
  <c r="I81" i="5" s="1"/>
  <c r="D79" i="5"/>
  <c r="I79" i="5" s="1"/>
  <c r="D78" i="5"/>
  <c r="I78" i="5" s="1"/>
  <c r="D77" i="5"/>
  <c r="I77" i="5" s="1"/>
  <c r="D76" i="5"/>
  <c r="I76" i="5" s="1"/>
  <c r="D75" i="5"/>
  <c r="I75" i="5" s="1"/>
  <c r="D74" i="5"/>
  <c r="I74" i="5" s="1"/>
  <c r="D80" i="5"/>
  <c r="I80" i="5" s="1"/>
  <c r="D82" i="5"/>
  <c r="I82" i="5" s="1"/>
  <c r="D71" i="4"/>
  <c r="I71" i="4" s="1"/>
  <c r="D93" i="4"/>
  <c r="I93" i="4" s="1"/>
  <c r="G13" i="8"/>
  <c r="D54" i="7" s="1"/>
  <c r="D105" i="4"/>
  <c r="D118" i="4" s="1"/>
  <c r="I118" i="4" s="1"/>
  <c r="D19" i="4"/>
  <c r="D31" i="4" s="1"/>
  <c r="I31" i="4" s="1"/>
  <c r="D61" i="4"/>
  <c r="D74" i="4" s="1"/>
  <c r="I74" i="4" s="1"/>
  <c r="D82" i="4"/>
  <c r="D21" i="5"/>
  <c r="D37" i="5" s="1"/>
  <c r="I37" i="5" s="1"/>
  <c r="D54" i="5"/>
  <c r="D89" i="5" s="1"/>
  <c r="I89" i="5" s="1"/>
  <c r="D127" i="4"/>
  <c r="D140" i="4" s="1"/>
  <c r="D40" i="4"/>
  <c r="D52" i="4" s="1"/>
  <c r="I52" i="4" s="1"/>
  <c r="D44" i="7"/>
  <c r="D43" i="7"/>
  <c r="D42" i="7"/>
  <c r="D39" i="7"/>
  <c r="D41" i="7"/>
  <c r="D40" i="7"/>
  <c r="D38" i="7"/>
  <c r="D62" i="7"/>
  <c r="D61" i="7"/>
  <c r="D66" i="7"/>
  <c r="D60" i="7"/>
  <c r="D59" i="7"/>
  <c r="D65" i="7"/>
  <c r="D58" i="7"/>
  <c r="D67" i="7"/>
  <c r="D64" i="7"/>
  <c r="D63" i="7"/>
  <c r="D109" i="7"/>
  <c r="D104" i="7"/>
  <c r="D108" i="7"/>
  <c r="D107" i="7"/>
  <c r="D106" i="7"/>
  <c r="D105" i="7"/>
  <c r="F63" i="7"/>
  <c r="F66" i="7"/>
  <c r="H105" i="4"/>
  <c r="H19" i="4"/>
  <c r="H82" i="4"/>
  <c r="H127" i="4"/>
  <c r="H54" i="5"/>
  <c r="H21" i="5"/>
  <c r="H61" i="4"/>
  <c r="H40" i="4"/>
  <c r="D87" i="7"/>
  <c r="D86" i="7"/>
  <c r="D85" i="7"/>
  <c r="D84" i="7"/>
  <c r="D83" i="7"/>
  <c r="D82" i="7"/>
  <c r="D90" i="7"/>
  <c r="D81" i="7"/>
  <c r="D89" i="7"/>
  <c r="D88" i="7"/>
  <c r="D146" i="7"/>
  <c r="D151" i="7"/>
  <c r="D150" i="7"/>
  <c r="D149" i="7"/>
  <c r="D148" i="7"/>
  <c r="D147" i="7"/>
  <c r="B176" i="4"/>
  <c r="B244" i="7"/>
  <c r="F121" i="7"/>
  <c r="F34" i="7"/>
  <c r="D46" i="7" s="1"/>
  <c r="F100" i="7"/>
  <c r="F77" i="7"/>
  <c r="D92" i="7" s="1"/>
  <c r="F54" i="7"/>
  <c r="D69" i="7" s="1"/>
  <c r="F142" i="7"/>
  <c r="D153" i="7" s="1"/>
  <c r="D34" i="7"/>
  <c r="D100" i="7"/>
  <c r="D16" i="3"/>
  <c r="D28" i="3" s="1"/>
  <c r="I28" i="3" s="1"/>
  <c r="D121" i="3"/>
  <c r="D135" i="3" s="1"/>
  <c r="I135" i="3" s="1"/>
  <c r="D34" i="3"/>
  <c r="D48" i="3" s="1"/>
  <c r="I48" i="3" s="1"/>
  <c r="D142" i="3"/>
  <c r="D155" i="3" s="1"/>
  <c r="I155" i="3" s="1"/>
  <c r="D100" i="3"/>
  <c r="D114" i="3" s="1"/>
  <c r="I114" i="3" s="1"/>
  <c r="D161" i="3"/>
  <c r="D174" i="3" s="1"/>
  <c r="I174" i="3" s="1"/>
  <c r="D77" i="3"/>
  <c r="D94" i="3" s="1"/>
  <c r="I94" i="3" s="1"/>
  <c r="D54" i="3"/>
  <c r="D71" i="3" s="1"/>
  <c r="I71" i="3" s="1"/>
  <c r="F16" i="7"/>
  <c r="D26" i="7" s="1"/>
  <c r="H100" i="3"/>
  <c r="D107" i="3" s="1"/>
  <c r="I107" i="3" s="1"/>
  <c r="H121" i="3"/>
  <c r="H161" i="3"/>
  <c r="D169" i="3" s="1"/>
  <c r="I169" i="3" s="1"/>
  <c r="H16" i="3"/>
  <c r="D24" i="3" s="1"/>
  <c r="I24" i="3" s="1"/>
  <c r="H77" i="3"/>
  <c r="D86" i="3" s="1"/>
  <c r="I86" i="3" s="1"/>
  <c r="H34" i="3"/>
  <c r="D44" i="3" s="1"/>
  <c r="I44" i="3" s="1"/>
  <c r="H142" i="3"/>
  <c r="D149" i="3" s="1"/>
  <c r="I149" i="3" s="1"/>
  <c r="H54" i="3"/>
  <c r="D24" i="7"/>
  <c r="D23" i="7"/>
  <c r="D22" i="7"/>
  <c r="D21" i="7"/>
  <c r="D20" i="7"/>
  <c r="B60" i="7"/>
  <c r="B180" i="7" s="1"/>
  <c r="B65" i="7"/>
  <c r="B185" i="7" s="1"/>
  <c r="B67" i="7"/>
  <c r="B187" i="7" s="1"/>
  <c r="B207" i="7"/>
  <c r="B246" i="7"/>
  <c r="B69" i="7"/>
  <c r="B228" i="7" s="1"/>
  <c r="B105" i="7"/>
  <c r="B201" i="7" s="1"/>
  <c r="D153" i="3"/>
  <c r="I153" i="3" s="1"/>
  <c r="D69" i="3"/>
  <c r="I69" i="3" s="1"/>
  <c r="D46" i="3"/>
  <c r="I46" i="3" s="1"/>
  <c r="D26" i="3"/>
  <c r="I26" i="3" s="1"/>
  <c r="D171" i="3"/>
  <c r="I171" i="3" s="1"/>
  <c r="D92" i="3"/>
  <c r="I92" i="3" s="1"/>
  <c r="B23" i="7"/>
  <c r="B167" i="7" s="1"/>
  <c r="B241" i="7"/>
  <c r="B21" i="7"/>
  <c r="B165" i="7" s="1"/>
  <c r="B61" i="7"/>
  <c r="B181" i="7" s="1"/>
  <c r="B178" i="7"/>
  <c r="H124" i="4"/>
  <c r="H125" i="4" s="1"/>
  <c r="B62" i="7"/>
  <c r="B182" i="7" s="1"/>
  <c r="B22" i="7"/>
  <c r="B166" i="7" s="1"/>
  <c r="B63" i="7"/>
  <c r="B183" i="7" s="1"/>
  <c r="B243" i="7"/>
  <c r="B64" i="7"/>
  <c r="B184" i="7" s="1"/>
  <c r="B59" i="7"/>
  <c r="B179" i="7" s="1"/>
  <c r="B44" i="7"/>
  <c r="B176" i="7" s="1"/>
  <c r="B46" i="7"/>
  <c r="B227" i="7" s="1"/>
  <c r="C215" i="4"/>
  <c r="F215" i="4"/>
  <c r="H215" i="4"/>
  <c r="J215" i="4"/>
  <c r="B137" i="4"/>
  <c r="B215" i="4" s="1"/>
  <c r="F227" i="4"/>
  <c r="G227" i="4"/>
  <c r="H227" i="4"/>
  <c r="C200" i="4"/>
  <c r="B132" i="4"/>
  <c r="B197" i="4" s="1"/>
  <c r="F196" i="4"/>
  <c r="K200" i="4"/>
  <c r="H200" i="4" s="1"/>
  <c r="G196" i="4"/>
  <c r="B140" i="4"/>
  <c r="B50" i="4"/>
  <c r="B237" i="4" s="1"/>
  <c r="B52" i="4"/>
  <c r="B222" i="4" s="1"/>
  <c r="C198" i="4"/>
  <c r="C199" i="4"/>
  <c r="L198" i="4"/>
  <c r="H196" i="4"/>
  <c r="B133" i="4"/>
  <c r="B198" i="4" s="1"/>
  <c r="B134" i="4"/>
  <c r="B199" i="4" s="1"/>
  <c r="C197" i="4"/>
  <c r="C238" i="4"/>
  <c r="B135" i="4"/>
  <c r="B200" i="4" s="1"/>
  <c r="B171" i="4"/>
  <c r="G138" i="4"/>
  <c r="G238" i="4" s="1"/>
  <c r="B138" i="4"/>
  <c r="B238" i="4" s="1"/>
  <c r="K197" i="4"/>
  <c r="F197" i="4" s="1"/>
  <c r="F238" i="4"/>
  <c r="H238" i="4"/>
  <c r="J227" i="4"/>
  <c r="J238" i="4"/>
  <c r="L199" i="4"/>
  <c r="L197" i="4"/>
  <c r="J198" i="4"/>
  <c r="F198" i="4"/>
  <c r="J196" i="4"/>
  <c r="K199" i="4"/>
  <c r="J199" i="4" s="1"/>
  <c r="G198" i="4"/>
  <c r="H198" i="4"/>
  <c r="M197" i="4"/>
  <c r="M199" i="4"/>
  <c r="L200" i="4"/>
  <c r="M198" i="4"/>
  <c r="M200" i="4"/>
  <c r="G137" i="4"/>
  <c r="G215" i="4" s="1"/>
  <c r="K244" i="3"/>
  <c r="K282" i="3" s="1"/>
  <c r="F282" i="3" s="1"/>
  <c r="K243" i="3"/>
  <c r="M267" i="3"/>
  <c r="M245" i="3"/>
  <c r="M244" i="3"/>
  <c r="M282" i="3" s="1"/>
  <c r="M243" i="3"/>
  <c r="M268" i="3"/>
  <c r="J245" i="3"/>
  <c r="F245" i="3"/>
  <c r="J242" i="3"/>
  <c r="K246" i="3"/>
  <c r="L245" i="3"/>
  <c r="K267" i="3"/>
  <c r="J267" i="3" s="1"/>
  <c r="C246" i="3"/>
  <c r="K268" i="3"/>
  <c r="F268" i="3" s="1"/>
  <c r="L244" i="3"/>
  <c r="L282" i="3" s="1"/>
  <c r="L268" i="3"/>
  <c r="L243" i="3"/>
  <c r="L267" i="3"/>
  <c r="G245" i="3"/>
  <c r="H245" i="3"/>
  <c r="B168" i="3"/>
  <c r="B245" i="3" s="1"/>
  <c r="B242" i="3"/>
  <c r="C243" i="3"/>
  <c r="G171" i="3"/>
  <c r="C244" i="3"/>
  <c r="C245" i="3"/>
  <c r="F242" i="3"/>
  <c r="G242" i="3"/>
  <c r="H242" i="3"/>
  <c r="C174" i="3"/>
  <c r="C282" i="3" s="1"/>
  <c r="C172" i="3"/>
  <c r="C268" i="3" s="1"/>
  <c r="B167" i="3"/>
  <c r="B244" i="3" s="1"/>
  <c r="B169" i="3"/>
  <c r="B246" i="3" s="1"/>
  <c r="B172" i="3"/>
  <c r="B268" i="3" s="1"/>
  <c r="B166" i="3"/>
  <c r="B243" i="3" s="1"/>
  <c r="B171" i="3"/>
  <c r="B267" i="3" s="1"/>
  <c r="B71" i="4"/>
  <c r="B210" i="4" s="1"/>
  <c r="B72" i="4"/>
  <c r="B211" i="4" s="1"/>
  <c r="B182" i="4"/>
  <c r="B116" i="4"/>
  <c r="B214" i="4" s="1"/>
  <c r="B118" i="4"/>
  <c r="B226" i="4" s="1"/>
  <c r="B114" i="4"/>
  <c r="B194" i="4" s="1"/>
  <c r="B110" i="4"/>
  <c r="B190" i="4" s="1"/>
  <c r="B111" i="4"/>
  <c r="B191" i="4" s="1"/>
  <c r="B112" i="4"/>
  <c r="B192" i="4" s="1"/>
  <c r="B113" i="4"/>
  <c r="B193" i="4" s="1"/>
  <c r="B97" i="4"/>
  <c r="B225" i="4" s="1"/>
  <c r="B91" i="4"/>
  <c r="B187" i="4" s="1"/>
  <c r="B96" i="4"/>
  <c r="B224" i="4" s="1"/>
  <c r="B87" i="4"/>
  <c r="B183" i="4" s="1"/>
  <c r="B88" i="4"/>
  <c r="B184" i="4" s="1"/>
  <c r="B89" i="4"/>
  <c r="B185" i="4" s="1"/>
  <c r="B90" i="4"/>
  <c r="B186" i="4" s="1"/>
  <c r="B93" i="4"/>
  <c r="B212" i="4" s="1"/>
  <c r="B74" i="4"/>
  <c r="B223" i="4" s="1"/>
  <c r="B66" i="4"/>
  <c r="B177" i="4" s="1"/>
  <c r="B67" i="4"/>
  <c r="B178" i="4" s="1"/>
  <c r="B68" i="4"/>
  <c r="B179" i="4" s="1"/>
  <c r="B69" i="4"/>
  <c r="B180" i="4" s="1"/>
  <c r="B45" i="4"/>
  <c r="B172" i="4" s="1"/>
  <c r="B46" i="4"/>
  <c r="B173" i="4" s="1"/>
  <c r="B47" i="4"/>
  <c r="B174" i="4" s="1"/>
  <c r="B48" i="4"/>
  <c r="B147" i="7"/>
  <c r="B215" i="7" s="1"/>
  <c r="B149" i="7"/>
  <c r="B217" i="7" s="1"/>
  <c r="B153" i="7"/>
  <c r="B234" i="7" s="1"/>
  <c r="B247" i="7"/>
  <c r="B148" i="7"/>
  <c r="B216" i="7" s="1"/>
  <c r="B132" i="7"/>
  <c r="B232" i="7" s="1"/>
  <c r="B133" i="7"/>
  <c r="B233" i="7" s="1"/>
  <c r="B130" i="7"/>
  <c r="B212" i="7" s="1"/>
  <c r="B112" i="7"/>
  <c r="B231" i="7" s="1"/>
  <c r="B107" i="7"/>
  <c r="B203" i="7" s="1"/>
  <c r="B106" i="7"/>
  <c r="B202" i="7" s="1"/>
  <c r="B108" i="7"/>
  <c r="B204" i="7" s="1"/>
  <c r="B109" i="7"/>
  <c r="B205" i="7" s="1"/>
  <c r="B111" i="7"/>
  <c r="B230" i="7" s="1"/>
  <c r="B245" i="7"/>
  <c r="B83" i="7"/>
  <c r="B191" i="7" s="1"/>
  <c r="B84" i="7"/>
  <c r="B192" i="7" s="1"/>
  <c r="B85" i="7"/>
  <c r="B193" i="7" s="1"/>
  <c r="B86" i="7"/>
  <c r="B194" i="7" s="1"/>
  <c r="B87" i="7"/>
  <c r="B195" i="7" s="1"/>
  <c r="B82" i="7"/>
  <c r="B190" i="7" s="1"/>
  <c r="B89" i="7"/>
  <c r="B197" i="7" s="1"/>
  <c r="B88" i="7"/>
  <c r="B196" i="7" s="1"/>
  <c r="B90" i="7"/>
  <c r="B198" i="7" s="1"/>
  <c r="B92" i="7"/>
  <c r="B229" i="7" s="1"/>
  <c r="B170" i="7"/>
  <c r="B40" i="7"/>
  <c r="B172" i="7" s="1"/>
  <c r="B41" i="7"/>
  <c r="B173" i="7" s="1"/>
  <c r="B42" i="7"/>
  <c r="B174" i="7" s="1"/>
  <c r="B126" i="7"/>
  <c r="B208" i="7" s="1"/>
  <c r="B24" i="7"/>
  <c r="B168" i="7" s="1"/>
  <c r="B150" i="7"/>
  <c r="B218" i="7" s="1"/>
  <c r="B26" i="7"/>
  <c r="B226" i="7" s="1"/>
  <c r="B151" i="7"/>
  <c r="B219" i="7" s="1"/>
  <c r="B189" i="7"/>
  <c r="B242" i="7"/>
  <c r="B127" i="7"/>
  <c r="B209" i="7" s="1"/>
  <c r="B128" i="7"/>
  <c r="B210" i="7" s="1"/>
  <c r="B129" i="7"/>
  <c r="B211" i="7" s="1"/>
  <c r="B39" i="7"/>
  <c r="B171" i="7" s="1"/>
  <c r="B69" i="3"/>
  <c r="B260" i="3" s="1"/>
  <c r="B23" i="3"/>
  <c r="B188" i="3" s="1"/>
  <c r="B24" i="3"/>
  <c r="B189" i="3" s="1"/>
  <c r="B199" i="3"/>
  <c r="B71" i="3"/>
  <c r="B277" i="3" s="1"/>
  <c r="B148" i="3"/>
  <c r="B237" i="3" s="1"/>
  <c r="B228" i="3"/>
  <c r="B149" i="3"/>
  <c r="B238" i="3" s="1"/>
  <c r="B66" i="3"/>
  <c r="B207" i="3" s="1"/>
  <c r="B150" i="3"/>
  <c r="B239" i="3" s="1"/>
  <c r="B67" i="3"/>
  <c r="B208" i="3" s="1"/>
  <c r="B155" i="3"/>
  <c r="B281" i="3" s="1"/>
  <c r="B92" i="3"/>
  <c r="B261" i="3" s="1"/>
  <c r="B94" i="3"/>
  <c r="B278" i="3" s="1"/>
  <c r="B185" i="3"/>
  <c r="B21" i="3"/>
  <c r="B186" i="3" s="1"/>
  <c r="B108" i="3"/>
  <c r="B225" i="3" s="1"/>
  <c r="B85" i="3"/>
  <c r="B214" i="3" s="1"/>
  <c r="B191" i="3"/>
  <c r="B86" i="3"/>
  <c r="B215" i="3" s="1"/>
  <c r="B87" i="3"/>
  <c r="B216" i="3" s="1"/>
  <c r="B114" i="3"/>
  <c r="B279" i="3" s="1"/>
  <c r="B63" i="3"/>
  <c r="B204" i="3" s="1"/>
  <c r="B88" i="3"/>
  <c r="B217" i="3" s="1"/>
  <c r="B221" i="3"/>
  <c r="B235" i="3"/>
  <c r="B44" i="3"/>
  <c r="B197" i="3" s="1"/>
  <c r="B46" i="3"/>
  <c r="B259" i="3" s="1"/>
  <c r="B84" i="3"/>
  <c r="B213" i="3" s="1"/>
  <c r="B109" i="3"/>
  <c r="B226" i="3" s="1"/>
  <c r="B111" i="3"/>
  <c r="B262" i="3" s="1"/>
  <c r="B61" i="3"/>
  <c r="B202" i="3" s="1"/>
  <c r="B112" i="3"/>
  <c r="B263" i="3" s="1"/>
  <c r="B62" i="3"/>
  <c r="B203" i="3" s="1"/>
  <c r="B64" i="3"/>
  <c r="B205" i="3" s="1"/>
  <c r="B89" i="3"/>
  <c r="B218" i="3" s="1"/>
  <c r="B22" i="3"/>
  <c r="B187" i="3" s="1"/>
  <c r="B65" i="3"/>
  <c r="B206" i="3" s="1"/>
  <c r="B90" i="3"/>
  <c r="B219" i="3" s="1"/>
  <c r="B147" i="3"/>
  <c r="B236" i="3" s="1"/>
  <c r="B210" i="3"/>
  <c r="B43" i="3"/>
  <c r="B196" i="3" s="1"/>
  <c r="B107" i="3"/>
  <c r="B224" i="3" s="1"/>
  <c r="G258" i="3"/>
  <c r="H258" i="3"/>
  <c r="F258" i="3"/>
  <c r="B39" i="3"/>
  <c r="B192" i="3" s="1"/>
  <c r="B132" i="3"/>
  <c r="B264" i="3" s="1"/>
  <c r="B40" i="3"/>
  <c r="B193" i="3" s="1"/>
  <c r="B133" i="3"/>
  <c r="B265" i="3" s="1"/>
  <c r="B130" i="3"/>
  <c r="B41" i="3"/>
  <c r="B194" i="3" s="1"/>
  <c r="B135" i="3"/>
  <c r="B280" i="3" s="1"/>
  <c r="B42" i="3"/>
  <c r="B195" i="3" s="1"/>
  <c r="B125" i="3"/>
  <c r="B229" i="3" s="1"/>
  <c r="B126" i="3"/>
  <c r="B230" i="3" s="1"/>
  <c r="B26" i="3"/>
  <c r="B257" i="3" s="1"/>
  <c r="B127" i="3"/>
  <c r="B231" i="3" s="1"/>
  <c r="B151" i="3"/>
  <c r="B258" i="3"/>
  <c r="B59" i="3"/>
  <c r="B200" i="3" s="1"/>
  <c r="B82" i="3"/>
  <c r="B211" i="3" s="1"/>
  <c r="B105" i="3"/>
  <c r="B222" i="3" s="1"/>
  <c r="B128" i="3"/>
  <c r="B232" i="3" s="1"/>
  <c r="D29" i="5" l="1"/>
  <c r="I29" i="5" s="1"/>
  <c r="D28" i="5"/>
  <c r="I28" i="5" s="1"/>
  <c r="D27" i="5"/>
  <c r="I27" i="5" s="1"/>
  <c r="D26" i="5"/>
  <c r="I26" i="5" s="1"/>
  <c r="D25" i="5"/>
  <c r="I25" i="5" s="1"/>
  <c r="D68" i="5"/>
  <c r="I68" i="5" s="1"/>
  <c r="D67" i="5"/>
  <c r="I67" i="5" s="1"/>
  <c r="D66" i="5"/>
  <c r="I66" i="5" s="1"/>
  <c r="D65" i="5"/>
  <c r="I65" i="5" s="1"/>
  <c r="D64" i="5"/>
  <c r="I64" i="5" s="1"/>
  <c r="D62" i="5"/>
  <c r="I62" i="5" s="1"/>
  <c r="D61" i="5"/>
  <c r="I61" i="5" s="1"/>
  <c r="D60" i="5"/>
  <c r="I60" i="5" s="1"/>
  <c r="D72" i="5"/>
  <c r="I72" i="5" s="1"/>
  <c r="D59" i="5"/>
  <c r="I59" i="5" s="1"/>
  <c r="D71" i="5"/>
  <c r="I71" i="5" s="1"/>
  <c r="D58" i="5"/>
  <c r="I58" i="5" s="1"/>
  <c r="D69" i="5"/>
  <c r="I69" i="5" s="1"/>
  <c r="D70" i="5"/>
  <c r="I70" i="5" s="1"/>
  <c r="D77" i="7"/>
  <c r="D121" i="7"/>
  <c r="D16" i="7"/>
  <c r="D142" i="7"/>
  <c r="D26" i="4"/>
  <c r="I26" i="4" s="1"/>
  <c r="D25" i="4"/>
  <c r="I25" i="4" s="1"/>
  <c r="D23" i="4"/>
  <c r="I23" i="4" s="1"/>
  <c r="D24" i="4"/>
  <c r="I24" i="4" s="1"/>
  <c r="D113" i="4"/>
  <c r="I113" i="4" s="1"/>
  <c r="D114" i="4"/>
  <c r="I114" i="4" s="1"/>
  <c r="D112" i="4"/>
  <c r="I112" i="4" s="1"/>
  <c r="D111" i="4"/>
  <c r="I111" i="4" s="1"/>
  <c r="D109" i="4"/>
  <c r="I109" i="4" s="1"/>
  <c r="D110" i="4"/>
  <c r="I110" i="4" s="1"/>
  <c r="I140" i="4"/>
  <c r="D227" i="4"/>
  <c r="D45" i="4"/>
  <c r="I45" i="4" s="1"/>
  <c r="D46" i="4"/>
  <c r="I46" i="4" s="1"/>
  <c r="D47" i="4"/>
  <c r="I47" i="4" s="1"/>
  <c r="D44" i="4"/>
  <c r="I44" i="4" s="1"/>
  <c r="D69" i="4"/>
  <c r="I69" i="4" s="1"/>
  <c r="D65" i="4"/>
  <c r="I65" i="4" s="1"/>
  <c r="D68" i="4"/>
  <c r="I68" i="4" s="1"/>
  <c r="D66" i="4"/>
  <c r="I66" i="4" s="1"/>
  <c r="D67" i="4"/>
  <c r="I67" i="4" s="1"/>
  <c r="D97" i="4"/>
  <c r="I97" i="4" s="1"/>
  <c r="D96" i="4"/>
  <c r="I96" i="4" s="1"/>
  <c r="D112" i="7"/>
  <c r="D111" i="7"/>
  <c r="D135" i="4"/>
  <c r="I135" i="4" s="1"/>
  <c r="D131" i="4"/>
  <c r="D132" i="4"/>
  <c r="I132" i="4" s="1"/>
  <c r="D133" i="4"/>
  <c r="D134" i="4"/>
  <c r="D133" i="7"/>
  <c r="D132" i="7"/>
  <c r="D88" i="4"/>
  <c r="I88" i="4" s="1"/>
  <c r="D90" i="4"/>
  <c r="I90" i="4" s="1"/>
  <c r="D89" i="4"/>
  <c r="I89" i="4" s="1"/>
  <c r="D91" i="4"/>
  <c r="I91" i="4" s="1"/>
  <c r="D86" i="4"/>
  <c r="I86" i="4" s="1"/>
  <c r="D87" i="4"/>
  <c r="I87" i="4" s="1"/>
  <c r="D20" i="3"/>
  <c r="I20" i="3" s="1"/>
  <c r="D23" i="3"/>
  <c r="I23" i="3" s="1"/>
  <c r="D22" i="3"/>
  <c r="I22" i="3" s="1"/>
  <c r="D21" i="3"/>
  <c r="I21" i="3" s="1"/>
  <c r="I258" i="3"/>
  <c r="D167" i="3"/>
  <c r="I167" i="3" s="1"/>
  <c r="D166" i="3"/>
  <c r="I166" i="3" s="1"/>
  <c r="D172" i="3"/>
  <c r="D165" i="3"/>
  <c r="I165" i="3" s="1"/>
  <c r="D282" i="3"/>
  <c r="D168" i="3"/>
  <c r="I168" i="3" s="1"/>
  <c r="D267" i="3"/>
  <c r="D108" i="3"/>
  <c r="I108" i="3" s="1"/>
  <c r="D111" i="3"/>
  <c r="I111" i="3" s="1"/>
  <c r="D112" i="3"/>
  <c r="I112" i="3" s="1"/>
  <c r="D85" i="3"/>
  <c r="I85" i="3" s="1"/>
  <c r="D87" i="3"/>
  <c r="I87" i="3" s="1"/>
  <c r="D148" i="3"/>
  <c r="I148" i="3" s="1"/>
  <c r="D132" i="3"/>
  <c r="I132" i="3" s="1"/>
  <c r="D133" i="3"/>
  <c r="I133" i="3" s="1"/>
  <c r="D150" i="3"/>
  <c r="I150" i="3" s="1"/>
  <c r="D43" i="3"/>
  <c r="I43" i="3" s="1"/>
  <c r="D42" i="3"/>
  <c r="I42" i="3" s="1"/>
  <c r="D41" i="3"/>
  <c r="I41" i="3" s="1"/>
  <c r="D39" i="3"/>
  <c r="I39" i="3" s="1"/>
  <c r="D38" i="3"/>
  <c r="I38" i="3" s="1"/>
  <c r="D125" i="3"/>
  <c r="I125" i="3" s="1"/>
  <c r="D129" i="3"/>
  <c r="I129" i="3" s="1"/>
  <c r="D128" i="3"/>
  <c r="I128" i="3" s="1"/>
  <c r="D127" i="3"/>
  <c r="I127" i="3" s="1"/>
  <c r="D126" i="3"/>
  <c r="I126" i="3" s="1"/>
  <c r="D130" i="3"/>
  <c r="I130" i="3" s="1"/>
  <c r="D40" i="3"/>
  <c r="I40" i="3" s="1"/>
  <c r="D109" i="3"/>
  <c r="I109" i="3" s="1"/>
  <c r="D106" i="3"/>
  <c r="I106" i="3" s="1"/>
  <c r="D105" i="3"/>
  <c r="I105" i="3" s="1"/>
  <c r="D104" i="3"/>
  <c r="I104" i="3" s="1"/>
  <c r="D65" i="3"/>
  <c r="I65" i="3" s="1"/>
  <c r="D66" i="3"/>
  <c r="I66" i="3" s="1"/>
  <c r="D67" i="3"/>
  <c r="I67" i="3" s="1"/>
  <c r="D58" i="3"/>
  <c r="I58" i="3" s="1"/>
  <c r="D59" i="3"/>
  <c r="I59" i="3" s="1"/>
  <c r="D64" i="3"/>
  <c r="I64" i="3" s="1"/>
  <c r="D60" i="3"/>
  <c r="I60" i="3" s="1"/>
  <c r="D61" i="3"/>
  <c r="I61" i="3" s="1"/>
  <c r="D62" i="3"/>
  <c r="I62" i="3" s="1"/>
  <c r="D63" i="3"/>
  <c r="I63" i="3" s="1"/>
  <c r="D88" i="3"/>
  <c r="I88" i="3" s="1"/>
  <c r="D89" i="3"/>
  <c r="I89" i="3" s="1"/>
  <c r="D83" i="3"/>
  <c r="I83" i="3" s="1"/>
  <c r="D82" i="3"/>
  <c r="I82" i="3" s="1"/>
  <c r="D81" i="3"/>
  <c r="I81" i="3" s="1"/>
  <c r="D90" i="3"/>
  <c r="I90" i="3" s="1"/>
  <c r="D84" i="3"/>
  <c r="I84" i="3" s="1"/>
  <c r="D151" i="3"/>
  <c r="I151" i="3" s="1"/>
  <c r="D147" i="3"/>
  <c r="I147" i="3" s="1"/>
  <c r="D146" i="3"/>
  <c r="I146" i="3" s="1"/>
  <c r="J282" i="3"/>
  <c r="J244" i="3"/>
  <c r="G244" i="3"/>
  <c r="H282" i="3"/>
  <c r="G282" i="3"/>
  <c r="H197" i="4"/>
  <c r="B227" i="4"/>
  <c r="F200" i="4"/>
  <c r="G200" i="4"/>
  <c r="J200" i="4"/>
  <c r="J197" i="4"/>
  <c r="G197" i="4"/>
  <c r="F199" i="4"/>
  <c r="H199" i="4"/>
  <c r="G199" i="4"/>
  <c r="H244" i="3"/>
  <c r="F244" i="3"/>
  <c r="F243" i="3"/>
  <c r="B240" i="3"/>
  <c r="G243" i="3"/>
  <c r="J243" i="3"/>
  <c r="H243" i="3"/>
  <c r="J268" i="3"/>
  <c r="F267" i="3"/>
  <c r="H268" i="3"/>
  <c r="G268" i="3"/>
  <c r="G267" i="3"/>
  <c r="H267" i="3"/>
  <c r="J246" i="3"/>
  <c r="H246" i="3"/>
  <c r="G246" i="3"/>
  <c r="F246" i="3"/>
  <c r="F294" i="3"/>
  <c r="F295" i="3"/>
  <c r="F296" i="3"/>
  <c r="D200" i="4" l="1"/>
  <c r="D197" i="4"/>
  <c r="D199" i="4"/>
  <c r="I134" i="4"/>
  <c r="I133" i="4"/>
  <c r="D198" i="4"/>
  <c r="I131" i="4"/>
  <c r="D196" i="4"/>
  <c r="D268" i="3"/>
  <c r="I172" i="3"/>
  <c r="D225" i="4"/>
  <c r="E225" i="4"/>
  <c r="K225" i="4"/>
  <c r="L225" i="4"/>
  <c r="J225" i="4" s="1"/>
  <c r="M225" i="4"/>
  <c r="H97" i="4"/>
  <c r="H96" i="4"/>
  <c r="F97" i="4"/>
  <c r="G97" i="4"/>
  <c r="G71" i="4"/>
  <c r="G69" i="4"/>
  <c r="G26" i="4"/>
  <c r="G24" i="4"/>
  <c r="G23" i="4"/>
  <c r="H225" i="4" l="1"/>
  <c r="G225" i="4"/>
  <c r="F225" i="4"/>
  <c r="N221" i="4"/>
  <c r="A236" i="4"/>
  <c r="A237" i="4" s="1"/>
  <c r="A238" i="4" s="1"/>
  <c r="L237" i="4"/>
  <c r="M237" i="4"/>
  <c r="K237" i="4"/>
  <c r="D237" i="4"/>
  <c r="E237" i="4"/>
  <c r="N236" i="4"/>
  <c r="L236" i="4"/>
  <c r="M236" i="4"/>
  <c r="K236" i="4"/>
  <c r="D236" i="4"/>
  <c r="E236" i="4"/>
  <c r="M226" i="4"/>
  <c r="L226" i="4"/>
  <c r="J226" i="4" s="1"/>
  <c r="K226" i="4"/>
  <c r="E226" i="4"/>
  <c r="D226" i="4"/>
  <c r="M224" i="4"/>
  <c r="L224" i="4"/>
  <c r="J224" i="4" s="1"/>
  <c r="K224" i="4"/>
  <c r="E224" i="4"/>
  <c r="D224" i="4"/>
  <c r="M223" i="4"/>
  <c r="L223" i="4"/>
  <c r="J223" i="4" s="1"/>
  <c r="K223" i="4"/>
  <c r="E223" i="4"/>
  <c r="D223" i="4"/>
  <c r="M222" i="4"/>
  <c r="L222" i="4"/>
  <c r="K222" i="4"/>
  <c r="J222" i="4" s="1"/>
  <c r="E222" i="4"/>
  <c r="D222" i="4"/>
  <c r="L221" i="4"/>
  <c r="J221" i="4" s="1"/>
  <c r="M221" i="4"/>
  <c r="K221" i="4"/>
  <c r="D221" i="4"/>
  <c r="E221" i="4"/>
  <c r="A222" i="4"/>
  <c r="A223" i="4" s="1"/>
  <c r="A224" i="4" s="1"/>
  <c r="A225" i="4" s="1"/>
  <c r="A226" i="4" s="1"/>
  <c r="A227" i="4" s="1"/>
  <c r="M247" i="7"/>
  <c r="L247" i="7"/>
  <c r="K247" i="7"/>
  <c r="E247" i="7"/>
  <c r="D247" i="7"/>
  <c r="M246" i="7"/>
  <c r="L246" i="7"/>
  <c r="K246" i="7"/>
  <c r="J246" i="7" s="1"/>
  <c r="E246" i="7"/>
  <c r="D246" i="7"/>
  <c r="M245" i="7"/>
  <c r="L245" i="7"/>
  <c r="K245" i="7"/>
  <c r="E245" i="7"/>
  <c r="D245" i="7"/>
  <c r="M244" i="7"/>
  <c r="L244" i="7"/>
  <c r="K244" i="7"/>
  <c r="J244" i="7" s="1"/>
  <c r="E244" i="7"/>
  <c r="D244" i="7"/>
  <c r="M243" i="7"/>
  <c r="L243" i="7"/>
  <c r="K243" i="7"/>
  <c r="E243" i="7"/>
  <c r="D243" i="7"/>
  <c r="M242" i="7"/>
  <c r="L242" i="7"/>
  <c r="K242" i="7"/>
  <c r="J242" i="7"/>
  <c r="E242" i="7"/>
  <c r="D242" i="7"/>
  <c r="N241" i="7"/>
  <c r="M241" i="7"/>
  <c r="L241" i="7"/>
  <c r="K241" i="7"/>
  <c r="H241" i="7" s="1"/>
  <c r="J241" i="7"/>
  <c r="E241" i="7"/>
  <c r="D241" i="7"/>
  <c r="M234" i="7"/>
  <c r="L234" i="7"/>
  <c r="K234" i="7"/>
  <c r="J234" i="7" s="1"/>
  <c r="E234" i="7"/>
  <c r="M233" i="7"/>
  <c r="L233" i="7"/>
  <c r="K233" i="7"/>
  <c r="J233" i="7" s="1"/>
  <c r="E233" i="7"/>
  <c r="M232" i="7"/>
  <c r="L232" i="7"/>
  <c r="K232" i="7"/>
  <c r="E232" i="7"/>
  <c r="M231" i="7"/>
  <c r="L231" i="7"/>
  <c r="K231" i="7"/>
  <c r="G231" i="7" s="1"/>
  <c r="E231" i="7"/>
  <c r="M230" i="7"/>
  <c r="L230" i="7"/>
  <c r="K230" i="7"/>
  <c r="J230" i="7" s="1"/>
  <c r="E230" i="7"/>
  <c r="M229" i="7"/>
  <c r="L229" i="7"/>
  <c r="K229" i="7"/>
  <c r="E229" i="7"/>
  <c r="M228" i="7"/>
  <c r="L228" i="7"/>
  <c r="K228" i="7"/>
  <c r="J228" i="7" s="1"/>
  <c r="E228" i="7"/>
  <c r="M227" i="7"/>
  <c r="L227" i="7"/>
  <c r="K227" i="7"/>
  <c r="J227" i="7" s="1"/>
  <c r="E227" i="7"/>
  <c r="N226" i="7"/>
  <c r="M226" i="7"/>
  <c r="L226" i="7"/>
  <c r="K226" i="7"/>
  <c r="J226" i="7" s="1"/>
  <c r="E226" i="7"/>
  <c r="E219" i="7"/>
  <c r="E218" i="7"/>
  <c r="E217" i="7"/>
  <c r="E216" i="7"/>
  <c r="E215" i="7"/>
  <c r="M214" i="7"/>
  <c r="M216" i="7" s="1"/>
  <c r="L214" i="7"/>
  <c r="L216" i="7" s="1"/>
  <c r="K214" i="7"/>
  <c r="J214" i="7" s="1"/>
  <c r="E214" i="7"/>
  <c r="C214" i="7"/>
  <c r="E212" i="7"/>
  <c r="E211" i="7"/>
  <c r="E210" i="7"/>
  <c r="E209" i="7"/>
  <c r="E208" i="7"/>
  <c r="M207" i="7"/>
  <c r="L207" i="7"/>
  <c r="L209" i="7" s="1"/>
  <c r="K207" i="7"/>
  <c r="K210" i="7" s="1"/>
  <c r="E207" i="7"/>
  <c r="C207" i="7"/>
  <c r="E205" i="7"/>
  <c r="E204" i="7"/>
  <c r="E203" i="7"/>
  <c r="E202" i="7"/>
  <c r="E201" i="7"/>
  <c r="M200" i="7"/>
  <c r="M202" i="7" s="1"/>
  <c r="L200" i="7"/>
  <c r="L203" i="7" s="1"/>
  <c r="K200" i="7"/>
  <c r="K204" i="7" s="1"/>
  <c r="E200" i="7"/>
  <c r="C200" i="7"/>
  <c r="E198" i="7"/>
  <c r="E197" i="7"/>
  <c r="E196" i="7"/>
  <c r="E195" i="7"/>
  <c r="E194" i="7"/>
  <c r="E193" i="7"/>
  <c r="E192" i="7"/>
  <c r="E191" i="7"/>
  <c r="E190" i="7"/>
  <c r="M189" i="7"/>
  <c r="M191" i="7" s="1"/>
  <c r="M197" i="7" s="1"/>
  <c r="L189" i="7"/>
  <c r="K189" i="7"/>
  <c r="K190" i="7" s="1"/>
  <c r="J190" i="7" s="1"/>
  <c r="E189" i="7"/>
  <c r="C189" i="7"/>
  <c r="E187" i="7"/>
  <c r="E186" i="7"/>
  <c r="E185" i="7"/>
  <c r="E184" i="7"/>
  <c r="E183" i="7"/>
  <c r="E182" i="7"/>
  <c r="E181" i="7"/>
  <c r="E180" i="7"/>
  <c r="E179" i="7"/>
  <c r="M178" i="7"/>
  <c r="M182" i="7" s="1"/>
  <c r="L178" i="7"/>
  <c r="L181" i="7" s="1"/>
  <c r="L187" i="7" s="1"/>
  <c r="K178" i="7"/>
  <c r="K179" i="7" s="1"/>
  <c r="K185" i="7" s="1"/>
  <c r="E178" i="7"/>
  <c r="C178" i="7"/>
  <c r="E176" i="7"/>
  <c r="E175" i="7"/>
  <c r="E174" i="7"/>
  <c r="E173" i="7"/>
  <c r="E172" i="7"/>
  <c r="E171" i="7"/>
  <c r="M170" i="7"/>
  <c r="M175" i="7" s="1"/>
  <c r="L170" i="7"/>
  <c r="L172" i="7" s="1"/>
  <c r="K170" i="7"/>
  <c r="K172" i="7" s="1"/>
  <c r="E170" i="7"/>
  <c r="C170" i="7"/>
  <c r="E168" i="7"/>
  <c r="E167" i="7"/>
  <c r="E166" i="7"/>
  <c r="E165" i="7"/>
  <c r="N164" i="7"/>
  <c r="N167" i="7" s="1"/>
  <c r="M164" i="7"/>
  <c r="M168" i="7" s="1"/>
  <c r="L164" i="7"/>
  <c r="L167" i="7" s="1"/>
  <c r="K164" i="7"/>
  <c r="K168" i="7" s="1"/>
  <c r="E164" i="7"/>
  <c r="C164" i="7"/>
  <c r="H153" i="7"/>
  <c r="G153" i="7"/>
  <c r="F153" i="7"/>
  <c r="H151" i="7"/>
  <c r="G151" i="7"/>
  <c r="F151" i="7"/>
  <c r="H150" i="7"/>
  <c r="H149" i="7"/>
  <c r="F149" i="7"/>
  <c r="H148" i="7"/>
  <c r="F148" i="7"/>
  <c r="H147" i="7"/>
  <c r="G147" i="7"/>
  <c r="F147" i="7"/>
  <c r="C147" i="7"/>
  <c r="C215" i="7" s="1"/>
  <c r="H146" i="7"/>
  <c r="G146" i="7"/>
  <c r="F146" i="7"/>
  <c r="H133" i="7"/>
  <c r="G133" i="7"/>
  <c r="F133" i="7"/>
  <c r="H132" i="7"/>
  <c r="G132" i="7"/>
  <c r="F132" i="7"/>
  <c r="H130" i="7"/>
  <c r="G130" i="7"/>
  <c r="F130" i="7"/>
  <c r="H129" i="7"/>
  <c r="F129" i="7"/>
  <c r="H128" i="7"/>
  <c r="F128" i="7"/>
  <c r="H127" i="7"/>
  <c r="F127" i="7"/>
  <c r="H126" i="7"/>
  <c r="G126" i="7"/>
  <c r="F126" i="7"/>
  <c r="C126" i="7"/>
  <c r="H125" i="7"/>
  <c r="G125" i="7"/>
  <c r="F125" i="7"/>
  <c r="H112" i="7"/>
  <c r="F112" i="7"/>
  <c r="H111" i="7"/>
  <c r="G111" i="7"/>
  <c r="F111" i="7"/>
  <c r="H109" i="7"/>
  <c r="G109" i="7"/>
  <c r="F109" i="7"/>
  <c r="H108" i="7"/>
  <c r="G108" i="7"/>
  <c r="F108" i="7"/>
  <c r="H107" i="7"/>
  <c r="F107" i="7"/>
  <c r="H106" i="7"/>
  <c r="F106" i="7"/>
  <c r="G105" i="7"/>
  <c r="F105" i="7"/>
  <c r="C105" i="7"/>
  <c r="C201" i="7" s="1"/>
  <c r="H104" i="7"/>
  <c r="G104" i="7"/>
  <c r="F104" i="7"/>
  <c r="H92" i="7"/>
  <c r="G92" i="7"/>
  <c r="F92" i="7"/>
  <c r="H90" i="7"/>
  <c r="G90" i="7"/>
  <c r="F90" i="7"/>
  <c r="H89" i="7"/>
  <c r="G89" i="7"/>
  <c r="H88" i="7"/>
  <c r="G88" i="7"/>
  <c r="F88" i="7"/>
  <c r="H87" i="7"/>
  <c r="G87" i="7"/>
  <c r="F87" i="7"/>
  <c r="H86" i="7"/>
  <c r="H85" i="7"/>
  <c r="F85" i="7"/>
  <c r="H84" i="7"/>
  <c r="F84" i="7"/>
  <c r="H83" i="7"/>
  <c r="F83" i="7"/>
  <c r="H82" i="7"/>
  <c r="G82" i="7"/>
  <c r="F82" i="7"/>
  <c r="C82" i="7"/>
  <c r="C190" i="7" s="1"/>
  <c r="H81" i="7"/>
  <c r="G81" i="7"/>
  <c r="F81" i="7"/>
  <c r="H69" i="7"/>
  <c r="G69" i="7"/>
  <c r="F69" i="7"/>
  <c r="H67" i="7"/>
  <c r="G67" i="7"/>
  <c r="F67" i="7"/>
  <c r="H66" i="7"/>
  <c r="G66" i="7"/>
  <c r="H65" i="7"/>
  <c r="G65" i="7"/>
  <c r="F65" i="7"/>
  <c r="H64" i="7"/>
  <c r="G64" i="7"/>
  <c r="F64" i="7"/>
  <c r="H63" i="7"/>
  <c r="H62" i="7"/>
  <c r="F62" i="7"/>
  <c r="H61" i="7"/>
  <c r="F61" i="7"/>
  <c r="H60" i="7"/>
  <c r="F60" i="7"/>
  <c r="H59" i="7"/>
  <c r="G59" i="7"/>
  <c r="F59" i="7"/>
  <c r="C59" i="7"/>
  <c r="C179" i="7" s="1"/>
  <c r="H58" i="7"/>
  <c r="G58" i="7"/>
  <c r="F58" i="7"/>
  <c r="H46" i="7"/>
  <c r="G46" i="7"/>
  <c r="F46" i="7"/>
  <c r="H44" i="7"/>
  <c r="G44" i="7"/>
  <c r="F44" i="7"/>
  <c r="H43" i="7"/>
  <c r="G43" i="7"/>
  <c r="F43" i="7"/>
  <c r="H42" i="7"/>
  <c r="G42" i="7"/>
  <c r="F42" i="7"/>
  <c r="H41" i="7"/>
  <c r="F41" i="7"/>
  <c r="H40" i="7"/>
  <c r="F40" i="7"/>
  <c r="H39" i="7"/>
  <c r="G39" i="7"/>
  <c r="F39" i="7"/>
  <c r="C39" i="7"/>
  <c r="C171" i="7" s="1"/>
  <c r="H38" i="7"/>
  <c r="G38" i="7"/>
  <c r="F38" i="7"/>
  <c r="D174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C165" i="7" s="1"/>
  <c r="H20" i="7"/>
  <c r="G20" i="7"/>
  <c r="F20" i="7"/>
  <c r="E224" i="5"/>
  <c r="E216" i="5"/>
  <c r="E217" i="5"/>
  <c r="E218" i="5"/>
  <c r="E219" i="5"/>
  <c r="E220" i="5"/>
  <c r="E221" i="5"/>
  <c r="E222" i="5"/>
  <c r="E223" i="5"/>
  <c r="K170" i="5"/>
  <c r="L170" i="5"/>
  <c r="M170" i="5"/>
  <c r="M172" i="5" s="1"/>
  <c r="E215" i="5"/>
  <c r="L183" i="5"/>
  <c r="L182" i="5"/>
  <c r="L181" i="5"/>
  <c r="L180" i="5"/>
  <c r="L179" i="5"/>
  <c r="L178" i="5"/>
  <c r="L177" i="5"/>
  <c r="L176" i="5"/>
  <c r="L175" i="5"/>
  <c r="E183" i="5"/>
  <c r="E175" i="5"/>
  <c r="E176" i="5"/>
  <c r="E177" i="5"/>
  <c r="E178" i="5"/>
  <c r="E179" i="5"/>
  <c r="E180" i="5"/>
  <c r="E181" i="5"/>
  <c r="E182" i="5"/>
  <c r="H87" i="5"/>
  <c r="F87" i="5" s="1"/>
  <c r="H86" i="5"/>
  <c r="F86" i="5" s="1"/>
  <c r="H82" i="5"/>
  <c r="F82" i="5" s="1"/>
  <c r="H81" i="5"/>
  <c r="G81" i="5" s="1"/>
  <c r="H78" i="5"/>
  <c r="L77" i="5" s="1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N170" i="5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M230" i="5"/>
  <c r="L230" i="5"/>
  <c r="K230" i="5"/>
  <c r="E230" i="5"/>
  <c r="M229" i="5"/>
  <c r="L229" i="5"/>
  <c r="K229" i="5"/>
  <c r="E229" i="5"/>
  <c r="M228" i="5"/>
  <c r="L228" i="5"/>
  <c r="K228" i="5"/>
  <c r="E228" i="5"/>
  <c r="M227" i="5"/>
  <c r="L227" i="5"/>
  <c r="K227" i="5"/>
  <c r="J227" i="5" s="1"/>
  <c r="E227" i="5"/>
  <c r="M226" i="5"/>
  <c r="L226" i="5"/>
  <c r="K226" i="5"/>
  <c r="E226" i="5"/>
  <c r="M216" i="5"/>
  <c r="M218" i="5" s="1"/>
  <c r="L216" i="5"/>
  <c r="L218" i="5" s="1"/>
  <c r="K216" i="5"/>
  <c r="K222" i="5" s="1"/>
  <c r="N214" i="5"/>
  <c r="N215" i="5" s="1"/>
  <c r="M214" i="5"/>
  <c r="M215" i="5" s="1"/>
  <c r="L214" i="5"/>
  <c r="L215" i="5" s="1"/>
  <c r="K214" i="5"/>
  <c r="J214" i="5" s="1"/>
  <c r="E214" i="5"/>
  <c r="E207" i="5"/>
  <c r="E206" i="5"/>
  <c r="E205" i="5"/>
  <c r="E204" i="5"/>
  <c r="E203" i="5"/>
  <c r="M202" i="5"/>
  <c r="M205" i="5" s="1"/>
  <c r="L202" i="5"/>
  <c r="L204" i="5" s="1"/>
  <c r="K202" i="5"/>
  <c r="K206" i="5" s="1"/>
  <c r="E202" i="5"/>
  <c r="C202" i="5"/>
  <c r="E200" i="5"/>
  <c r="E199" i="5"/>
  <c r="E198" i="5"/>
  <c r="E197" i="5"/>
  <c r="E196" i="5"/>
  <c r="M195" i="5"/>
  <c r="M199" i="5" s="1"/>
  <c r="L195" i="5"/>
  <c r="L197" i="5" s="1"/>
  <c r="K195" i="5"/>
  <c r="K200" i="5" s="1"/>
  <c r="E195" i="5"/>
  <c r="C195" i="5"/>
  <c r="E193" i="5"/>
  <c r="D193" i="5"/>
  <c r="C193" i="5"/>
  <c r="E192" i="5"/>
  <c r="E191" i="5"/>
  <c r="E190" i="5"/>
  <c r="E189" i="5"/>
  <c r="M188" i="5"/>
  <c r="M189" i="5" s="1"/>
  <c r="L188" i="5"/>
  <c r="L189" i="5" s="1"/>
  <c r="K188" i="5"/>
  <c r="K190" i="5" s="1"/>
  <c r="E188" i="5"/>
  <c r="C188" i="5"/>
  <c r="E174" i="5"/>
  <c r="E173" i="5"/>
  <c r="E172" i="5"/>
  <c r="E171" i="5"/>
  <c r="E170" i="5"/>
  <c r="E168" i="5"/>
  <c r="E167" i="5"/>
  <c r="E166" i="5"/>
  <c r="E165" i="5"/>
  <c r="A165" i="5"/>
  <c r="N164" i="5"/>
  <c r="M164" i="5"/>
  <c r="L164" i="5"/>
  <c r="K164" i="5"/>
  <c r="E164" i="5"/>
  <c r="C164" i="5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C203" i="5" s="1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C197" i="5" s="1"/>
  <c r="H126" i="5"/>
  <c r="G126" i="5"/>
  <c r="F126" i="5"/>
  <c r="F121" i="5"/>
  <c r="F122" i="5" s="1"/>
  <c r="B118" i="5"/>
  <c r="H116" i="5"/>
  <c r="G116" i="5"/>
  <c r="F116" i="5"/>
  <c r="H113" i="5"/>
  <c r="H227" i="5" s="1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C189" i="5" s="1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214" i="5"/>
  <c r="D126" i="5"/>
  <c r="D129" i="5" s="1"/>
  <c r="D198" i="5" s="1"/>
  <c r="F116" i="4"/>
  <c r="F103" i="4"/>
  <c r="F104" i="4" s="1"/>
  <c r="F94" i="4"/>
  <c r="F93" i="4"/>
  <c r="F80" i="4"/>
  <c r="F81" i="4" s="1"/>
  <c r="E190" i="4"/>
  <c r="E191" i="4"/>
  <c r="E192" i="4"/>
  <c r="E193" i="4"/>
  <c r="E194" i="4"/>
  <c r="E183" i="4"/>
  <c r="E184" i="4"/>
  <c r="E185" i="4"/>
  <c r="E186" i="4"/>
  <c r="E187" i="4"/>
  <c r="E177" i="4"/>
  <c r="E178" i="4"/>
  <c r="E179" i="4"/>
  <c r="E180" i="4"/>
  <c r="E172" i="4"/>
  <c r="E173" i="4"/>
  <c r="E174" i="4"/>
  <c r="K172" i="4"/>
  <c r="L172" i="4"/>
  <c r="M172" i="4"/>
  <c r="H116" i="4"/>
  <c r="H114" i="4"/>
  <c r="G114" i="4"/>
  <c r="F114" i="4"/>
  <c r="H113" i="4"/>
  <c r="F113" i="4"/>
  <c r="H112" i="4"/>
  <c r="G112" i="4"/>
  <c r="F112" i="4"/>
  <c r="H111" i="4"/>
  <c r="G111" i="4"/>
  <c r="F111" i="4"/>
  <c r="H110" i="4"/>
  <c r="G110" i="4"/>
  <c r="F110" i="4"/>
  <c r="C110" i="4"/>
  <c r="C111" i="4" s="1"/>
  <c r="C112" i="4" s="1"/>
  <c r="C113" i="4" s="1"/>
  <c r="C114" i="4" s="1"/>
  <c r="C194" i="4" s="1"/>
  <c r="H109" i="4"/>
  <c r="G109" i="4"/>
  <c r="F109" i="4"/>
  <c r="H118" i="4"/>
  <c r="G118" i="4"/>
  <c r="F118" i="4"/>
  <c r="G96" i="4"/>
  <c r="F96" i="4"/>
  <c r="H74" i="4"/>
  <c r="G74" i="4"/>
  <c r="F74" i="4"/>
  <c r="H52" i="4"/>
  <c r="G52" i="4"/>
  <c r="F52" i="4"/>
  <c r="H31" i="4"/>
  <c r="G31" i="4"/>
  <c r="F31" i="4"/>
  <c r="H94" i="4"/>
  <c r="H93" i="4"/>
  <c r="H91" i="4"/>
  <c r="H90" i="4"/>
  <c r="H89" i="4"/>
  <c r="H88" i="4"/>
  <c r="H87" i="4"/>
  <c r="H86" i="4"/>
  <c r="G94" i="4"/>
  <c r="G93" i="4"/>
  <c r="F244" i="7" l="1"/>
  <c r="H189" i="7"/>
  <c r="F178" i="7"/>
  <c r="J189" i="7"/>
  <c r="G207" i="7"/>
  <c r="C148" i="7"/>
  <c r="C216" i="7" s="1"/>
  <c r="K184" i="7"/>
  <c r="G184" i="7" s="1"/>
  <c r="M192" i="7"/>
  <c r="M198" i="7" s="1"/>
  <c r="B85" i="5"/>
  <c r="B70" i="5"/>
  <c r="B181" i="5" s="1"/>
  <c r="B80" i="5"/>
  <c r="B222" i="5" s="1"/>
  <c r="B64" i="5"/>
  <c r="B175" i="5" s="1"/>
  <c r="B79" i="5"/>
  <c r="B221" i="5" s="1"/>
  <c r="B66" i="5"/>
  <c r="B177" i="5" s="1"/>
  <c r="B170" i="5"/>
  <c r="B78" i="5"/>
  <c r="B220" i="5" s="1"/>
  <c r="B65" i="5"/>
  <c r="B176" i="5" s="1"/>
  <c r="B77" i="5"/>
  <c r="B219" i="5" s="1"/>
  <c r="B76" i="5"/>
  <c r="B218" i="5" s="1"/>
  <c r="B62" i="5"/>
  <c r="B174" i="5" s="1"/>
  <c r="B81" i="5"/>
  <c r="B223" i="5" s="1"/>
  <c r="B75" i="5"/>
  <c r="B217" i="5" s="1"/>
  <c r="B61" i="5"/>
  <c r="B173" i="5" s="1"/>
  <c r="B82" i="5"/>
  <c r="B224" i="5" s="1"/>
  <c r="B89" i="5"/>
  <c r="B74" i="5"/>
  <c r="B216" i="5" s="1"/>
  <c r="B60" i="5"/>
  <c r="B172" i="5" s="1"/>
  <c r="B68" i="5"/>
  <c r="B179" i="5" s="1"/>
  <c r="B87" i="5"/>
  <c r="B72" i="5"/>
  <c r="B183" i="5" s="1"/>
  <c r="B59" i="5"/>
  <c r="B171" i="5" s="1"/>
  <c r="B69" i="5"/>
  <c r="B180" i="5" s="1"/>
  <c r="B67" i="5"/>
  <c r="B178" i="5" s="1"/>
  <c r="B86" i="5"/>
  <c r="B71" i="5"/>
  <c r="B182" i="5" s="1"/>
  <c r="G244" i="7"/>
  <c r="F227" i="7"/>
  <c r="H244" i="7"/>
  <c r="M184" i="7"/>
  <c r="G227" i="7"/>
  <c r="C60" i="7"/>
  <c r="C180" i="7" s="1"/>
  <c r="H200" i="7"/>
  <c r="H227" i="7"/>
  <c r="M179" i="7"/>
  <c r="M185" i="7" s="1"/>
  <c r="G230" i="7"/>
  <c r="B35" i="5"/>
  <c r="B164" i="5"/>
  <c r="B29" i="5"/>
  <c r="B28" i="5"/>
  <c r="B166" i="5" s="1"/>
  <c r="B26" i="5"/>
  <c r="B165" i="5" s="1"/>
  <c r="B34" i="5"/>
  <c r="B31" i="5"/>
  <c r="B214" i="5" s="1"/>
  <c r="B27" i="5"/>
  <c r="B32" i="5"/>
  <c r="B215" i="5" s="1"/>
  <c r="B37" i="5"/>
  <c r="H234" i="7"/>
  <c r="N165" i="7"/>
  <c r="L166" i="5"/>
  <c r="M167" i="5"/>
  <c r="K166" i="5"/>
  <c r="H166" i="5" s="1"/>
  <c r="N166" i="5"/>
  <c r="A166" i="5"/>
  <c r="L174" i="5"/>
  <c r="K175" i="5"/>
  <c r="N174" i="5"/>
  <c r="F222" i="4"/>
  <c r="F226" i="7"/>
  <c r="I237" i="4"/>
  <c r="H236" i="4"/>
  <c r="F236" i="4"/>
  <c r="I236" i="4"/>
  <c r="H221" i="4"/>
  <c r="F226" i="4"/>
  <c r="F223" i="4"/>
  <c r="G226" i="4"/>
  <c r="G224" i="4"/>
  <c r="H226" i="4"/>
  <c r="H223" i="4"/>
  <c r="G223" i="4"/>
  <c r="F221" i="4"/>
  <c r="G221" i="4"/>
  <c r="G222" i="4"/>
  <c r="H222" i="4"/>
  <c r="H224" i="4"/>
  <c r="F224" i="4"/>
  <c r="G226" i="7"/>
  <c r="K173" i="7"/>
  <c r="J173" i="7" s="1"/>
  <c r="K181" i="7"/>
  <c r="K187" i="7" s="1"/>
  <c r="F187" i="7" s="1"/>
  <c r="H178" i="7"/>
  <c r="K182" i="7"/>
  <c r="F182" i="7" s="1"/>
  <c r="G178" i="7"/>
  <c r="J178" i="7"/>
  <c r="K180" i="7"/>
  <c r="H180" i="7" s="1"/>
  <c r="G189" i="7"/>
  <c r="G233" i="7"/>
  <c r="F190" i="7"/>
  <c r="F214" i="7"/>
  <c r="H226" i="7"/>
  <c r="F228" i="7"/>
  <c r="H214" i="7"/>
  <c r="G228" i="7"/>
  <c r="F234" i="7"/>
  <c r="J170" i="7"/>
  <c r="H228" i="7"/>
  <c r="G234" i="7"/>
  <c r="F172" i="7"/>
  <c r="H182" i="7"/>
  <c r="K217" i="7"/>
  <c r="J217" i="7" s="1"/>
  <c r="F246" i="7"/>
  <c r="K183" i="7"/>
  <c r="J183" i="7" s="1"/>
  <c r="L218" i="7"/>
  <c r="G246" i="7"/>
  <c r="L165" i="7"/>
  <c r="G200" i="7"/>
  <c r="H246" i="7"/>
  <c r="C149" i="7"/>
  <c r="C217" i="7" s="1"/>
  <c r="F230" i="7"/>
  <c r="K166" i="7"/>
  <c r="H166" i="7" s="1"/>
  <c r="L176" i="7"/>
  <c r="M218" i="7"/>
  <c r="G229" i="7"/>
  <c r="C106" i="7"/>
  <c r="C202" i="7" s="1"/>
  <c r="M171" i="7"/>
  <c r="M176" i="7"/>
  <c r="L210" i="7"/>
  <c r="H230" i="7"/>
  <c r="M194" i="7"/>
  <c r="K215" i="7"/>
  <c r="G215" i="7" s="1"/>
  <c r="L219" i="7"/>
  <c r="G179" i="7"/>
  <c r="L168" i="7"/>
  <c r="M172" i="7"/>
  <c r="K201" i="7"/>
  <c r="J201" i="7" s="1"/>
  <c r="L211" i="7"/>
  <c r="M215" i="7"/>
  <c r="I228" i="7"/>
  <c r="K202" i="7"/>
  <c r="H202" i="7" s="1"/>
  <c r="L212" i="7"/>
  <c r="G245" i="7"/>
  <c r="M173" i="7"/>
  <c r="M174" i="7"/>
  <c r="L208" i="7"/>
  <c r="M217" i="7"/>
  <c r="D189" i="7"/>
  <c r="D190" i="7"/>
  <c r="D192" i="7"/>
  <c r="D191" i="7"/>
  <c r="D197" i="7"/>
  <c r="D195" i="7"/>
  <c r="D198" i="7"/>
  <c r="D196" i="7"/>
  <c r="D193" i="7"/>
  <c r="D194" i="7"/>
  <c r="D232" i="7"/>
  <c r="D233" i="7"/>
  <c r="N243" i="7"/>
  <c r="N228" i="7"/>
  <c r="N178" i="7"/>
  <c r="D175" i="7"/>
  <c r="C22" i="7"/>
  <c r="I241" i="7"/>
  <c r="I247" i="7"/>
  <c r="I246" i="7"/>
  <c r="I244" i="7"/>
  <c r="C40" i="7"/>
  <c r="C83" i="7"/>
  <c r="D170" i="7"/>
  <c r="D171" i="7"/>
  <c r="D173" i="7"/>
  <c r="D172" i="7"/>
  <c r="N227" i="7"/>
  <c r="N242" i="7"/>
  <c r="N170" i="7"/>
  <c r="D234" i="7"/>
  <c r="D228" i="7"/>
  <c r="D226" i="7"/>
  <c r="D229" i="7"/>
  <c r="I245" i="7"/>
  <c r="J168" i="7"/>
  <c r="H168" i="7"/>
  <c r="G168" i="7"/>
  <c r="F168" i="7"/>
  <c r="D227" i="7"/>
  <c r="C208" i="7"/>
  <c r="C127" i="7"/>
  <c r="F185" i="7"/>
  <c r="J185" i="7"/>
  <c r="H185" i="7"/>
  <c r="G185" i="7"/>
  <c r="D176" i="7"/>
  <c r="I242" i="7"/>
  <c r="I233" i="7"/>
  <c r="J172" i="7"/>
  <c r="H172" i="7"/>
  <c r="G172" i="7"/>
  <c r="F164" i="7"/>
  <c r="L166" i="7"/>
  <c r="F170" i="7"/>
  <c r="L174" i="7"/>
  <c r="J182" i="7"/>
  <c r="G164" i="7"/>
  <c r="M166" i="7"/>
  <c r="H170" i="7"/>
  <c r="H164" i="7"/>
  <c r="K165" i="7"/>
  <c r="N166" i="7"/>
  <c r="J164" i="7"/>
  <c r="M165" i="7"/>
  <c r="G170" i="7"/>
  <c r="K174" i="7"/>
  <c r="H184" i="7"/>
  <c r="K167" i="7"/>
  <c r="L173" i="7"/>
  <c r="L175" i="7"/>
  <c r="L171" i="7"/>
  <c r="K175" i="7"/>
  <c r="L183" i="7"/>
  <c r="L179" i="7"/>
  <c r="L185" i="7" s="1"/>
  <c r="L182" i="7"/>
  <c r="L184" i="7"/>
  <c r="L180" i="7"/>
  <c r="L186" i="7" s="1"/>
  <c r="M183" i="7"/>
  <c r="M181" i="7"/>
  <c r="M187" i="7" s="1"/>
  <c r="M180" i="7"/>
  <c r="M186" i="7" s="1"/>
  <c r="J179" i="7"/>
  <c r="H179" i="7"/>
  <c r="F179" i="7"/>
  <c r="G180" i="7"/>
  <c r="M167" i="7"/>
  <c r="F189" i="7"/>
  <c r="N168" i="7"/>
  <c r="L194" i="7"/>
  <c r="L192" i="7"/>
  <c r="L198" i="7" s="1"/>
  <c r="L195" i="7"/>
  <c r="L191" i="7"/>
  <c r="L197" i="7" s="1"/>
  <c r="L190" i="7"/>
  <c r="L196" i="7" s="1"/>
  <c r="L193" i="7"/>
  <c r="J180" i="7"/>
  <c r="K186" i="7"/>
  <c r="K171" i="7"/>
  <c r="K176" i="7"/>
  <c r="M193" i="7"/>
  <c r="M195" i="7"/>
  <c r="M190" i="7"/>
  <c r="M196" i="7" s="1"/>
  <c r="G190" i="7"/>
  <c r="K194" i="7"/>
  <c r="L202" i="7"/>
  <c r="L204" i="7"/>
  <c r="L205" i="7"/>
  <c r="L201" i="7"/>
  <c r="H210" i="7"/>
  <c r="J210" i="7"/>
  <c r="G210" i="7"/>
  <c r="F210" i="7"/>
  <c r="M205" i="7"/>
  <c r="M201" i="7"/>
  <c r="M203" i="7"/>
  <c r="M204" i="7"/>
  <c r="H190" i="7"/>
  <c r="G242" i="7"/>
  <c r="H242" i="7"/>
  <c r="F242" i="7"/>
  <c r="K192" i="7"/>
  <c r="K196" i="7"/>
  <c r="J204" i="7"/>
  <c r="F204" i="7"/>
  <c r="H204" i="7"/>
  <c r="G204" i="7"/>
  <c r="J243" i="7"/>
  <c r="F243" i="7"/>
  <c r="H243" i="7"/>
  <c r="G243" i="7"/>
  <c r="I243" i="7"/>
  <c r="G241" i="7"/>
  <c r="M212" i="7"/>
  <c r="M210" i="7"/>
  <c r="M211" i="7"/>
  <c r="M209" i="7"/>
  <c r="M208" i="7"/>
  <c r="K195" i="7"/>
  <c r="K191" i="7"/>
  <c r="K193" i="7"/>
  <c r="K205" i="7"/>
  <c r="J200" i="7"/>
  <c r="K203" i="7"/>
  <c r="F200" i="7"/>
  <c r="K212" i="7"/>
  <c r="F207" i="7"/>
  <c r="K211" i="7"/>
  <c r="K209" i="7"/>
  <c r="J207" i="7"/>
  <c r="K208" i="7"/>
  <c r="H207" i="7"/>
  <c r="H229" i="7"/>
  <c r="F229" i="7"/>
  <c r="J229" i="7"/>
  <c r="L217" i="7"/>
  <c r="L215" i="7"/>
  <c r="F232" i="7"/>
  <c r="G247" i="7"/>
  <c r="G232" i="7"/>
  <c r="J232" i="7"/>
  <c r="H232" i="7"/>
  <c r="F245" i="7"/>
  <c r="J245" i="7"/>
  <c r="H245" i="7"/>
  <c r="J231" i="7"/>
  <c r="H231" i="7"/>
  <c r="F231" i="7"/>
  <c r="F241" i="7"/>
  <c r="K216" i="7"/>
  <c r="G214" i="7"/>
  <c r="K219" i="7"/>
  <c r="H247" i="7"/>
  <c r="F247" i="7"/>
  <c r="J247" i="7"/>
  <c r="K218" i="7"/>
  <c r="M219" i="7"/>
  <c r="H233" i="7"/>
  <c r="F233" i="7"/>
  <c r="F216" i="5"/>
  <c r="K217" i="5"/>
  <c r="K218" i="5"/>
  <c r="F218" i="5" s="1"/>
  <c r="K219" i="5"/>
  <c r="H219" i="5" s="1"/>
  <c r="K220" i="5"/>
  <c r="J220" i="5" s="1"/>
  <c r="K223" i="5"/>
  <c r="H223" i="5" s="1"/>
  <c r="K224" i="5"/>
  <c r="J224" i="5" s="1"/>
  <c r="A215" i="5"/>
  <c r="A216" i="5" s="1"/>
  <c r="A217" i="5" s="1"/>
  <c r="A218" i="5" s="1"/>
  <c r="A219" i="5" s="1"/>
  <c r="A220" i="5" s="1"/>
  <c r="A221" i="5" s="1"/>
  <c r="A222" i="5" s="1"/>
  <c r="A223" i="5" s="1"/>
  <c r="A224" i="5" s="1"/>
  <c r="B226" i="5" s="1"/>
  <c r="B227" i="5" s="1"/>
  <c r="B228" i="5" s="1"/>
  <c r="B229" i="5" s="1"/>
  <c r="B230" i="5" s="1"/>
  <c r="F222" i="5"/>
  <c r="G222" i="5"/>
  <c r="M221" i="5"/>
  <c r="M217" i="5"/>
  <c r="L221" i="5"/>
  <c r="L217" i="5"/>
  <c r="M224" i="5"/>
  <c r="M220" i="5"/>
  <c r="L224" i="5"/>
  <c r="L220" i="5"/>
  <c r="J216" i="5"/>
  <c r="K221" i="5"/>
  <c r="J221" i="5" s="1"/>
  <c r="M223" i="5"/>
  <c r="M219" i="5"/>
  <c r="L223" i="5"/>
  <c r="L219" i="5"/>
  <c r="H216" i="5"/>
  <c r="M222" i="5"/>
  <c r="L222" i="5"/>
  <c r="J222" i="5"/>
  <c r="H222" i="5"/>
  <c r="J170" i="5"/>
  <c r="F164" i="5"/>
  <c r="H170" i="5"/>
  <c r="M200" i="5"/>
  <c r="G170" i="5"/>
  <c r="F170" i="5"/>
  <c r="F229" i="5"/>
  <c r="H229" i="5"/>
  <c r="L205" i="5"/>
  <c r="F67" i="5"/>
  <c r="D146" i="5"/>
  <c r="D151" i="5" s="1"/>
  <c r="D207" i="5" s="1"/>
  <c r="K167" i="5"/>
  <c r="J164" i="5"/>
  <c r="K173" i="5"/>
  <c r="L203" i="5"/>
  <c r="C165" i="5"/>
  <c r="K165" i="5"/>
  <c r="F75" i="5"/>
  <c r="G82" i="5"/>
  <c r="G75" i="5"/>
  <c r="G86" i="5"/>
  <c r="C148" i="5"/>
  <c r="C149" i="5" s="1"/>
  <c r="C205" i="5" s="1"/>
  <c r="G76" i="5"/>
  <c r="F76" i="5"/>
  <c r="D153" i="5"/>
  <c r="D154" i="5" s="1"/>
  <c r="G87" i="5"/>
  <c r="K215" i="5"/>
  <c r="G34" i="5"/>
  <c r="M182" i="5"/>
  <c r="I126" i="5"/>
  <c r="I195" i="5" s="1"/>
  <c r="D215" i="5"/>
  <c r="G35" i="5"/>
  <c r="K177" i="5"/>
  <c r="M183" i="5"/>
  <c r="M181" i="5"/>
  <c r="K176" i="5"/>
  <c r="F68" i="5"/>
  <c r="K178" i="5"/>
  <c r="I153" i="5"/>
  <c r="I230" i="5" s="1"/>
  <c r="F69" i="5"/>
  <c r="G78" i="5"/>
  <c r="K179" i="5"/>
  <c r="F81" i="5"/>
  <c r="K180" i="5"/>
  <c r="K181" i="5"/>
  <c r="M175" i="5"/>
  <c r="K182" i="5"/>
  <c r="M176" i="5"/>
  <c r="C196" i="5"/>
  <c r="K183" i="5"/>
  <c r="M177" i="5"/>
  <c r="G32" i="5"/>
  <c r="M178" i="5"/>
  <c r="M179" i="5"/>
  <c r="M180" i="5"/>
  <c r="H175" i="5"/>
  <c r="C129" i="5"/>
  <c r="C198" i="5" s="1"/>
  <c r="L191" i="5"/>
  <c r="G229" i="5"/>
  <c r="K203" i="5"/>
  <c r="J203" i="5" s="1"/>
  <c r="G227" i="5"/>
  <c r="F188" i="5"/>
  <c r="F227" i="5"/>
  <c r="G188" i="5"/>
  <c r="L193" i="5"/>
  <c r="G202" i="5"/>
  <c r="F85" i="5"/>
  <c r="F77" i="5"/>
  <c r="F78" i="5"/>
  <c r="F71" i="5"/>
  <c r="G70" i="5"/>
  <c r="G66" i="5"/>
  <c r="G65" i="5"/>
  <c r="G74" i="5"/>
  <c r="G216" i="5" s="1"/>
  <c r="L73" i="5"/>
  <c r="F72" i="5"/>
  <c r="G64" i="5"/>
  <c r="F64" i="5"/>
  <c r="C53" i="5"/>
  <c r="C61" i="5"/>
  <c r="C62" i="5" s="1"/>
  <c r="C172" i="5"/>
  <c r="D171" i="5"/>
  <c r="M173" i="5"/>
  <c r="D172" i="5"/>
  <c r="H164" i="5"/>
  <c r="G31" i="5"/>
  <c r="G214" i="5" s="1"/>
  <c r="M165" i="5"/>
  <c r="C29" i="5"/>
  <c r="C168" i="5" s="1"/>
  <c r="G190" i="5"/>
  <c r="H190" i="5"/>
  <c r="D133" i="5"/>
  <c r="L190" i="5"/>
  <c r="D112" i="5"/>
  <c r="D226" i="5" s="1"/>
  <c r="C166" i="5"/>
  <c r="L192" i="5"/>
  <c r="J229" i="5"/>
  <c r="D106" i="5"/>
  <c r="D108" i="5" s="1"/>
  <c r="D190" i="5" s="1"/>
  <c r="C108" i="5"/>
  <c r="C170" i="5"/>
  <c r="M196" i="5"/>
  <c r="K171" i="5"/>
  <c r="M171" i="5"/>
  <c r="L207" i="5"/>
  <c r="M197" i="5"/>
  <c r="M198" i="5"/>
  <c r="H200" i="5"/>
  <c r="F200" i="5"/>
  <c r="G200" i="5"/>
  <c r="J200" i="5"/>
  <c r="J206" i="5"/>
  <c r="F206" i="5"/>
  <c r="H206" i="5"/>
  <c r="G206" i="5"/>
  <c r="D127" i="5"/>
  <c r="D196" i="5" s="1"/>
  <c r="L173" i="5"/>
  <c r="L171" i="5"/>
  <c r="H188" i="5"/>
  <c r="K189" i="5"/>
  <c r="K191" i="5"/>
  <c r="K193" i="5"/>
  <c r="J188" i="5"/>
  <c r="F195" i="5"/>
  <c r="M203" i="5"/>
  <c r="M207" i="5"/>
  <c r="M206" i="5"/>
  <c r="H195" i="5"/>
  <c r="G226" i="5"/>
  <c r="L168" i="5"/>
  <c r="M191" i="5"/>
  <c r="M193" i="5"/>
  <c r="M190" i="5"/>
  <c r="J195" i="5"/>
  <c r="K197" i="5"/>
  <c r="K199" i="5"/>
  <c r="G195" i="5"/>
  <c r="K196" i="5"/>
  <c r="J226" i="5"/>
  <c r="H226" i="5"/>
  <c r="F226" i="5"/>
  <c r="D130" i="5"/>
  <c r="D199" i="5" s="1"/>
  <c r="D128" i="5"/>
  <c r="D197" i="5" s="1"/>
  <c r="D195" i="5"/>
  <c r="J98" i="5"/>
  <c r="I116" i="5"/>
  <c r="L167" i="5"/>
  <c r="L165" i="5"/>
  <c r="L200" i="5"/>
  <c r="L196" i="5"/>
  <c r="L198" i="5"/>
  <c r="D131" i="5"/>
  <c r="D200" i="5" s="1"/>
  <c r="M166" i="5"/>
  <c r="M168" i="5"/>
  <c r="K192" i="5"/>
  <c r="L199" i="5"/>
  <c r="I156" i="5"/>
  <c r="N165" i="5"/>
  <c r="N167" i="5"/>
  <c r="M204" i="5"/>
  <c r="F230" i="5"/>
  <c r="J230" i="5"/>
  <c r="H230" i="5"/>
  <c r="G230" i="5"/>
  <c r="L172" i="5"/>
  <c r="M192" i="5"/>
  <c r="K198" i="5"/>
  <c r="H214" i="5"/>
  <c r="F214" i="5"/>
  <c r="N216" i="5"/>
  <c r="C103" i="5"/>
  <c r="I101" i="5"/>
  <c r="I102" i="5" s="1"/>
  <c r="J190" i="5"/>
  <c r="F190" i="5"/>
  <c r="F202" i="5"/>
  <c r="K205" i="5"/>
  <c r="K207" i="5"/>
  <c r="J202" i="5"/>
  <c r="K204" i="5"/>
  <c r="H202" i="5"/>
  <c r="N168" i="5"/>
  <c r="M30" i="5"/>
  <c r="K172" i="5"/>
  <c r="K174" i="5"/>
  <c r="J228" i="5"/>
  <c r="H228" i="5"/>
  <c r="G228" i="5"/>
  <c r="F228" i="5"/>
  <c r="L206" i="5"/>
  <c r="G164" i="5"/>
  <c r="K168" i="5"/>
  <c r="M174" i="5"/>
  <c r="C191" i="4"/>
  <c r="J172" i="4"/>
  <c r="C192" i="4"/>
  <c r="C193" i="4"/>
  <c r="C190" i="4"/>
  <c r="F87" i="4"/>
  <c r="G87" i="4"/>
  <c r="F89" i="4"/>
  <c r="G89" i="4"/>
  <c r="G111" i="3"/>
  <c r="F69" i="4"/>
  <c r="H72" i="4"/>
  <c r="H71" i="4"/>
  <c r="H69" i="4"/>
  <c r="H68" i="4"/>
  <c r="H67" i="4"/>
  <c r="H65" i="4"/>
  <c r="H66" i="4"/>
  <c r="G66" i="4"/>
  <c r="F66" i="4"/>
  <c r="C66" i="4"/>
  <c r="E58" i="4"/>
  <c r="C59" i="4"/>
  <c r="C60" i="4" s="1"/>
  <c r="F58" i="4"/>
  <c r="F59" i="4" s="1"/>
  <c r="D58" i="4"/>
  <c r="C58" i="4"/>
  <c r="H50" i="4"/>
  <c r="H237" i="4" s="1"/>
  <c r="G50" i="4"/>
  <c r="G237" i="4" s="1"/>
  <c r="H49" i="4"/>
  <c r="H47" i="4"/>
  <c r="H46" i="4"/>
  <c r="H45" i="4"/>
  <c r="H172" i="4" s="1"/>
  <c r="H44" i="4"/>
  <c r="H28" i="4"/>
  <c r="H26" i="4"/>
  <c r="H25" i="4"/>
  <c r="H24" i="4"/>
  <c r="H23" i="4"/>
  <c r="F184" i="7" l="1"/>
  <c r="J184" i="7"/>
  <c r="G175" i="5"/>
  <c r="F175" i="5"/>
  <c r="J175" i="5"/>
  <c r="F166" i="5"/>
  <c r="G166" i="5"/>
  <c r="C150" i="7"/>
  <c r="C151" i="7" s="1"/>
  <c r="G182" i="7"/>
  <c r="C61" i="7"/>
  <c r="C62" i="7" s="1"/>
  <c r="G202" i="7"/>
  <c r="F202" i="7"/>
  <c r="J202" i="7"/>
  <c r="H217" i="7"/>
  <c r="G217" i="7"/>
  <c r="F166" i="7"/>
  <c r="H201" i="7"/>
  <c r="H181" i="7"/>
  <c r="F173" i="7"/>
  <c r="F180" i="7"/>
  <c r="H173" i="7"/>
  <c r="I231" i="7"/>
  <c r="B167" i="5"/>
  <c r="B168" i="5"/>
  <c r="F220" i="5"/>
  <c r="G173" i="5"/>
  <c r="G183" i="5"/>
  <c r="G167" i="5"/>
  <c r="A167" i="5"/>
  <c r="J165" i="5"/>
  <c r="J171" i="5"/>
  <c r="G179" i="5"/>
  <c r="J166" i="5"/>
  <c r="H181" i="5"/>
  <c r="H177" i="5"/>
  <c r="D194" i="4"/>
  <c r="F217" i="5"/>
  <c r="G218" i="5"/>
  <c r="H217" i="5"/>
  <c r="H220" i="5"/>
  <c r="G220" i="5"/>
  <c r="F219" i="5"/>
  <c r="G217" i="5"/>
  <c r="G224" i="5"/>
  <c r="J217" i="5"/>
  <c r="G173" i="7"/>
  <c r="H187" i="7"/>
  <c r="J187" i="7"/>
  <c r="J181" i="7"/>
  <c r="G187" i="7"/>
  <c r="G183" i="7"/>
  <c r="G181" i="7"/>
  <c r="F183" i="7"/>
  <c r="F181" i="7"/>
  <c r="H183" i="7"/>
  <c r="I226" i="7"/>
  <c r="F217" i="7"/>
  <c r="G166" i="7"/>
  <c r="J166" i="7"/>
  <c r="J215" i="7"/>
  <c r="F215" i="7"/>
  <c r="I227" i="7"/>
  <c r="I232" i="7"/>
  <c r="F201" i="7"/>
  <c r="H215" i="7"/>
  <c r="I230" i="7"/>
  <c r="G201" i="7"/>
  <c r="I234" i="7"/>
  <c r="C107" i="7"/>
  <c r="C203" i="7" s="1"/>
  <c r="I229" i="7"/>
  <c r="J176" i="7"/>
  <c r="H176" i="7"/>
  <c r="G176" i="7"/>
  <c r="F176" i="7"/>
  <c r="D164" i="7"/>
  <c r="D168" i="7"/>
  <c r="D165" i="7"/>
  <c r="D166" i="7"/>
  <c r="D167" i="7"/>
  <c r="C218" i="7"/>
  <c r="J218" i="7"/>
  <c r="H218" i="7"/>
  <c r="G218" i="7"/>
  <c r="F218" i="7"/>
  <c r="G191" i="7"/>
  <c r="K197" i="7"/>
  <c r="H191" i="7"/>
  <c r="F191" i="7"/>
  <c r="J191" i="7"/>
  <c r="F171" i="7"/>
  <c r="J171" i="7"/>
  <c r="H171" i="7"/>
  <c r="G171" i="7"/>
  <c r="J167" i="7"/>
  <c r="H167" i="7"/>
  <c r="G167" i="7"/>
  <c r="F167" i="7"/>
  <c r="C191" i="7"/>
  <c r="C84" i="7"/>
  <c r="C166" i="7"/>
  <c r="C23" i="7"/>
  <c r="N229" i="7"/>
  <c r="N244" i="7"/>
  <c r="N189" i="7"/>
  <c r="G216" i="7"/>
  <c r="J216" i="7"/>
  <c r="H216" i="7"/>
  <c r="F216" i="7"/>
  <c r="J193" i="7"/>
  <c r="F193" i="7"/>
  <c r="H193" i="7"/>
  <c r="G193" i="7"/>
  <c r="G195" i="7"/>
  <c r="F195" i="7"/>
  <c r="J195" i="7"/>
  <c r="H195" i="7"/>
  <c r="N180" i="7"/>
  <c r="N184" i="7" s="1"/>
  <c r="N179" i="7"/>
  <c r="N183" i="7" s="1"/>
  <c r="N187" i="7" s="1"/>
  <c r="N182" i="7"/>
  <c r="N186" i="7" s="1"/>
  <c r="N181" i="7"/>
  <c r="N185" i="7" s="1"/>
  <c r="G203" i="7"/>
  <c r="F203" i="7"/>
  <c r="J203" i="7"/>
  <c r="H203" i="7"/>
  <c r="J196" i="7"/>
  <c r="H196" i="7"/>
  <c r="F196" i="7"/>
  <c r="G196" i="7"/>
  <c r="H194" i="7"/>
  <c r="G194" i="7"/>
  <c r="F194" i="7"/>
  <c r="J194" i="7"/>
  <c r="G186" i="7"/>
  <c r="J186" i="7"/>
  <c r="H186" i="7"/>
  <c r="F186" i="7"/>
  <c r="D230" i="7"/>
  <c r="D231" i="7"/>
  <c r="H219" i="7"/>
  <c r="F219" i="7"/>
  <c r="G219" i="7"/>
  <c r="J219" i="7"/>
  <c r="H208" i="7"/>
  <c r="G208" i="7"/>
  <c r="J208" i="7"/>
  <c r="F208" i="7"/>
  <c r="J192" i="7"/>
  <c r="H192" i="7"/>
  <c r="G192" i="7"/>
  <c r="K198" i="7"/>
  <c r="F192" i="7"/>
  <c r="G165" i="7"/>
  <c r="F165" i="7"/>
  <c r="J165" i="7"/>
  <c r="H165" i="7"/>
  <c r="C209" i="7"/>
  <c r="C128" i="7"/>
  <c r="C172" i="7"/>
  <c r="C41" i="7"/>
  <c r="G205" i="7"/>
  <c r="J205" i="7"/>
  <c r="H205" i="7"/>
  <c r="F205" i="7"/>
  <c r="F175" i="7"/>
  <c r="J175" i="7"/>
  <c r="H175" i="7"/>
  <c r="G175" i="7"/>
  <c r="D178" i="7"/>
  <c r="D187" i="7"/>
  <c r="D185" i="7"/>
  <c r="D186" i="7"/>
  <c r="D184" i="7"/>
  <c r="D183" i="7"/>
  <c r="D180" i="7"/>
  <c r="D179" i="7"/>
  <c r="D181" i="7"/>
  <c r="D182" i="7"/>
  <c r="D214" i="7"/>
  <c r="D217" i="7"/>
  <c r="D219" i="7"/>
  <c r="D218" i="7"/>
  <c r="D216" i="7"/>
  <c r="D215" i="7"/>
  <c r="J209" i="7"/>
  <c r="H209" i="7"/>
  <c r="G209" i="7"/>
  <c r="F209" i="7"/>
  <c r="J211" i="7"/>
  <c r="H211" i="7"/>
  <c r="G211" i="7"/>
  <c r="F211" i="7"/>
  <c r="D200" i="7"/>
  <c r="D204" i="7"/>
  <c r="D203" i="7"/>
  <c r="D205" i="7"/>
  <c r="D201" i="7"/>
  <c r="D202" i="7"/>
  <c r="D207" i="7"/>
  <c r="D208" i="7"/>
  <c r="D209" i="7"/>
  <c r="D211" i="7"/>
  <c r="D212" i="7"/>
  <c r="D210" i="7"/>
  <c r="H174" i="7"/>
  <c r="G174" i="7"/>
  <c r="F174" i="7"/>
  <c r="J174" i="7"/>
  <c r="F212" i="7"/>
  <c r="J212" i="7"/>
  <c r="H212" i="7"/>
  <c r="G212" i="7"/>
  <c r="N171" i="7"/>
  <c r="N175" i="7" s="1"/>
  <c r="N173" i="7"/>
  <c r="N172" i="7"/>
  <c r="N176" i="7" s="1"/>
  <c r="N174" i="7"/>
  <c r="C181" i="7"/>
  <c r="J223" i="5"/>
  <c r="G223" i="5"/>
  <c r="F223" i="5"/>
  <c r="D113" i="5"/>
  <c r="D227" i="5" s="1"/>
  <c r="F224" i="5"/>
  <c r="H224" i="5"/>
  <c r="G219" i="5"/>
  <c r="J219" i="5"/>
  <c r="J218" i="5"/>
  <c r="H218" i="5"/>
  <c r="N218" i="5"/>
  <c r="N222" i="5"/>
  <c r="N221" i="5"/>
  <c r="N219" i="5"/>
  <c r="N223" i="5"/>
  <c r="N220" i="5"/>
  <c r="N224" i="5"/>
  <c r="N217" i="5"/>
  <c r="F221" i="5"/>
  <c r="G221" i="5"/>
  <c r="H221" i="5"/>
  <c r="F215" i="5"/>
  <c r="J215" i="5"/>
  <c r="D175" i="5"/>
  <c r="D180" i="5"/>
  <c r="D177" i="5"/>
  <c r="C64" i="5"/>
  <c r="C65" i="5" s="1"/>
  <c r="D183" i="5"/>
  <c r="D178" i="5"/>
  <c r="D176" i="5"/>
  <c r="D174" i="5"/>
  <c r="D182" i="5"/>
  <c r="D224" i="5"/>
  <c r="D216" i="5"/>
  <c r="D179" i="5"/>
  <c r="D181" i="5"/>
  <c r="F173" i="5"/>
  <c r="H173" i="5"/>
  <c r="J167" i="5"/>
  <c r="F167" i="5"/>
  <c r="H167" i="5"/>
  <c r="D149" i="5"/>
  <c r="D205" i="5" s="1"/>
  <c r="D150" i="5"/>
  <c r="D206" i="5" s="1"/>
  <c r="G171" i="5"/>
  <c r="F178" i="5"/>
  <c r="D202" i="5"/>
  <c r="C204" i="5"/>
  <c r="D148" i="5"/>
  <c r="D204" i="5" s="1"/>
  <c r="C150" i="5"/>
  <c r="C151" i="5" s="1"/>
  <c r="D147" i="5"/>
  <c r="D203" i="5" s="1"/>
  <c r="J177" i="5"/>
  <c r="F183" i="5"/>
  <c r="D230" i="5"/>
  <c r="F177" i="5"/>
  <c r="G165" i="5"/>
  <c r="D221" i="5"/>
  <c r="F165" i="5"/>
  <c r="J173" i="5"/>
  <c r="H215" i="5"/>
  <c r="H165" i="5"/>
  <c r="G215" i="5"/>
  <c r="H203" i="5"/>
  <c r="F181" i="5"/>
  <c r="G181" i="5"/>
  <c r="D218" i="5"/>
  <c r="D223" i="5"/>
  <c r="D220" i="5"/>
  <c r="I146" i="5"/>
  <c r="I147" i="5" s="1"/>
  <c r="I203" i="5" s="1"/>
  <c r="F203" i="5"/>
  <c r="H171" i="5"/>
  <c r="I166" i="5"/>
  <c r="J183" i="5"/>
  <c r="J181" i="5"/>
  <c r="D222" i="5"/>
  <c r="D219" i="5"/>
  <c r="D217" i="5"/>
  <c r="H183" i="5"/>
  <c r="J176" i="5"/>
  <c r="G176" i="5"/>
  <c r="H176" i="5"/>
  <c r="F176" i="5"/>
  <c r="G203" i="5"/>
  <c r="C130" i="5"/>
  <c r="C131" i="5" s="1"/>
  <c r="I112" i="5"/>
  <c r="I113" i="5" s="1"/>
  <c r="I227" i="5" s="1"/>
  <c r="G177" i="5"/>
  <c r="I133" i="5"/>
  <c r="I216" i="5"/>
  <c r="I106" i="5"/>
  <c r="G178" i="5"/>
  <c r="J178" i="5"/>
  <c r="H178" i="5"/>
  <c r="H179" i="5"/>
  <c r="F179" i="5"/>
  <c r="J179" i="5"/>
  <c r="J180" i="5"/>
  <c r="F180" i="5"/>
  <c r="G180" i="5"/>
  <c r="H180" i="5"/>
  <c r="H182" i="5"/>
  <c r="J182" i="5"/>
  <c r="F182" i="5"/>
  <c r="G182" i="5"/>
  <c r="C167" i="5"/>
  <c r="C31" i="5"/>
  <c r="C171" i="5"/>
  <c r="F171" i="5"/>
  <c r="D170" i="5"/>
  <c r="C109" i="5"/>
  <c r="C190" i="5"/>
  <c r="D173" i="5"/>
  <c r="D228" i="5"/>
  <c r="D134" i="5"/>
  <c r="D229" i="5" s="1"/>
  <c r="D166" i="5"/>
  <c r="D165" i="5"/>
  <c r="D164" i="5"/>
  <c r="D188" i="5"/>
  <c r="D107" i="5"/>
  <c r="D189" i="5" s="1"/>
  <c r="D109" i="5"/>
  <c r="D191" i="5" s="1"/>
  <c r="D110" i="5"/>
  <c r="D192" i="5" s="1"/>
  <c r="N226" i="5"/>
  <c r="N188" i="5"/>
  <c r="J118" i="5"/>
  <c r="N227" i="5"/>
  <c r="I128" i="5"/>
  <c r="I197" i="5" s="1"/>
  <c r="I129" i="5"/>
  <c r="I198" i="5" s="1"/>
  <c r="I127" i="5"/>
  <c r="I196" i="5" s="1"/>
  <c r="I131" i="5"/>
  <c r="I200" i="5" s="1"/>
  <c r="I130" i="5"/>
  <c r="I199" i="5" s="1"/>
  <c r="J198" i="5"/>
  <c r="F198" i="5"/>
  <c r="H198" i="5"/>
  <c r="G198" i="5"/>
  <c r="H199" i="5"/>
  <c r="G199" i="5"/>
  <c r="J199" i="5"/>
  <c r="F199" i="5"/>
  <c r="G197" i="5"/>
  <c r="F197" i="5"/>
  <c r="J197" i="5"/>
  <c r="H197" i="5"/>
  <c r="G174" i="5"/>
  <c r="J174" i="5"/>
  <c r="H174" i="5"/>
  <c r="F174" i="5"/>
  <c r="H204" i="5"/>
  <c r="J204" i="5"/>
  <c r="G204" i="5"/>
  <c r="F204" i="5"/>
  <c r="H192" i="5"/>
  <c r="F192" i="5"/>
  <c r="J192" i="5"/>
  <c r="G192" i="5"/>
  <c r="G193" i="5"/>
  <c r="J193" i="5"/>
  <c r="I193" i="5"/>
  <c r="H193" i="5"/>
  <c r="F193" i="5"/>
  <c r="G172" i="5"/>
  <c r="J172" i="5"/>
  <c r="H172" i="5"/>
  <c r="F172" i="5"/>
  <c r="H191" i="5"/>
  <c r="G191" i="5"/>
  <c r="J191" i="5"/>
  <c r="F191" i="5"/>
  <c r="G168" i="5"/>
  <c r="H168" i="5"/>
  <c r="F168" i="5"/>
  <c r="J168" i="5"/>
  <c r="H207" i="5"/>
  <c r="G207" i="5"/>
  <c r="J207" i="5"/>
  <c r="F207" i="5"/>
  <c r="G189" i="5"/>
  <c r="J189" i="5"/>
  <c r="H189" i="5"/>
  <c r="F189" i="5"/>
  <c r="G205" i="5"/>
  <c r="F205" i="5"/>
  <c r="J205" i="5"/>
  <c r="H205" i="5"/>
  <c r="H196" i="5"/>
  <c r="J196" i="5"/>
  <c r="G196" i="5"/>
  <c r="F196" i="5"/>
  <c r="N171" i="5"/>
  <c r="N173" i="5"/>
  <c r="N172" i="5"/>
  <c r="C67" i="4"/>
  <c r="C177" i="4"/>
  <c r="I58" i="4"/>
  <c r="I59" i="4" s="1"/>
  <c r="C175" i="5" l="1"/>
  <c r="D192" i="4"/>
  <c r="D191" i="4"/>
  <c r="D193" i="4"/>
  <c r="D190" i="4"/>
  <c r="A168" i="5"/>
  <c r="C108" i="7"/>
  <c r="C204" i="7" s="1"/>
  <c r="I210" i="7"/>
  <c r="I208" i="7"/>
  <c r="I212" i="7"/>
  <c r="I209" i="7"/>
  <c r="I211" i="7"/>
  <c r="I207" i="7"/>
  <c r="H198" i="7"/>
  <c r="G198" i="7"/>
  <c r="F198" i="7"/>
  <c r="J198" i="7"/>
  <c r="N231" i="7"/>
  <c r="N245" i="7"/>
  <c r="N230" i="7"/>
  <c r="N200" i="7"/>
  <c r="N192" i="7"/>
  <c r="N196" i="7" s="1"/>
  <c r="N191" i="7"/>
  <c r="N195" i="7" s="1"/>
  <c r="N190" i="7"/>
  <c r="N194" i="7" s="1"/>
  <c r="N198" i="7" s="1"/>
  <c r="N193" i="7"/>
  <c r="N197" i="7" s="1"/>
  <c r="I179" i="7"/>
  <c r="I178" i="7"/>
  <c r="I182" i="7"/>
  <c r="I181" i="7"/>
  <c r="I185" i="7"/>
  <c r="I184" i="7"/>
  <c r="I180" i="7"/>
  <c r="I186" i="7"/>
  <c r="I187" i="7"/>
  <c r="I183" i="7"/>
  <c r="C182" i="7"/>
  <c r="C63" i="7"/>
  <c r="I176" i="7"/>
  <c r="I174" i="7"/>
  <c r="I175" i="7"/>
  <c r="I172" i="7"/>
  <c r="I171" i="7"/>
  <c r="I173" i="7"/>
  <c r="I170" i="7"/>
  <c r="C167" i="7"/>
  <c r="C24" i="7"/>
  <c r="I166" i="7"/>
  <c r="I167" i="7"/>
  <c r="I165" i="7"/>
  <c r="I168" i="7"/>
  <c r="I164" i="7"/>
  <c r="C109" i="7"/>
  <c r="I200" i="7"/>
  <c r="I201" i="7"/>
  <c r="I202" i="7"/>
  <c r="I203" i="7"/>
  <c r="I204" i="7"/>
  <c r="I205" i="7"/>
  <c r="C173" i="7"/>
  <c r="C42" i="7"/>
  <c r="C192" i="7"/>
  <c r="C85" i="7"/>
  <c r="I214" i="7"/>
  <c r="I218" i="7"/>
  <c r="I217" i="7"/>
  <c r="I216" i="7"/>
  <c r="I219" i="7"/>
  <c r="I215" i="7"/>
  <c r="H197" i="7"/>
  <c r="J197" i="7"/>
  <c r="G197" i="7"/>
  <c r="F197" i="7"/>
  <c r="C210" i="7"/>
  <c r="C129" i="7"/>
  <c r="C219" i="7"/>
  <c r="C153" i="7"/>
  <c r="I194" i="7"/>
  <c r="I191" i="7"/>
  <c r="I190" i="7"/>
  <c r="I198" i="7"/>
  <c r="I196" i="7"/>
  <c r="I192" i="7"/>
  <c r="I193" i="7"/>
  <c r="I197" i="7"/>
  <c r="I195" i="7"/>
  <c r="I189" i="7"/>
  <c r="D114" i="5"/>
  <c r="I215" i="5"/>
  <c r="I214" i="5"/>
  <c r="C206" i="5"/>
  <c r="I148" i="5"/>
  <c r="I204" i="5" s="1"/>
  <c r="I170" i="5"/>
  <c r="I150" i="5"/>
  <c r="I206" i="5" s="1"/>
  <c r="I149" i="5"/>
  <c r="I205" i="5" s="1"/>
  <c r="I167" i="5"/>
  <c r="I202" i="5"/>
  <c r="I165" i="5"/>
  <c r="I164" i="5"/>
  <c r="I151" i="5"/>
  <c r="I207" i="5" s="1"/>
  <c r="I226" i="5"/>
  <c r="C214" i="5"/>
  <c r="C32" i="5"/>
  <c r="I224" i="5"/>
  <c r="I223" i="5"/>
  <c r="I222" i="5"/>
  <c r="I221" i="5"/>
  <c r="I220" i="5"/>
  <c r="I219" i="5"/>
  <c r="I218" i="5"/>
  <c r="I217" i="5"/>
  <c r="I228" i="5"/>
  <c r="I134" i="5"/>
  <c r="I229" i="5" s="1"/>
  <c r="I109" i="5"/>
  <c r="I191" i="5" s="1"/>
  <c r="I108" i="5"/>
  <c r="I190" i="5" s="1"/>
  <c r="I107" i="5"/>
  <c r="I189" i="5" s="1"/>
  <c r="I110" i="5"/>
  <c r="I192" i="5" s="1"/>
  <c r="I188" i="5"/>
  <c r="C199" i="5"/>
  <c r="C66" i="5"/>
  <c r="C176" i="5"/>
  <c r="N183" i="5"/>
  <c r="N182" i="5"/>
  <c r="N181" i="5"/>
  <c r="N180" i="5"/>
  <c r="N179" i="5"/>
  <c r="N178" i="5"/>
  <c r="N177" i="5"/>
  <c r="N176" i="5"/>
  <c r="N175" i="5"/>
  <c r="I174" i="5"/>
  <c r="I171" i="5"/>
  <c r="I172" i="5"/>
  <c r="I176" i="5"/>
  <c r="I183" i="5"/>
  <c r="I182" i="5"/>
  <c r="I181" i="5"/>
  <c r="I180" i="5"/>
  <c r="I177" i="5"/>
  <c r="I179" i="5"/>
  <c r="I178" i="5"/>
  <c r="I175" i="5"/>
  <c r="C110" i="5"/>
  <c r="C191" i="5"/>
  <c r="D167" i="5"/>
  <c r="D168" i="5"/>
  <c r="C207" i="5"/>
  <c r="C153" i="5"/>
  <c r="N190" i="5"/>
  <c r="N192" i="5"/>
  <c r="N191" i="5"/>
  <c r="N189" i="5"/>
  <c r="N193" i="5" s="1"/>
  <c r="C173" i="5"/>
  <c r="C200" i="5"/>
  <c r="C133" i="5"/>
  <c r="J138" i="5"/>
  <c r="N229" i="5"/>
  <c r="N195" i="5"/>
  <c r="N228" i="5"/>
  <c r="C68" i="4"/>
  <c r="C179" i="4" s="1"/>
  <c r="C178" i="4"/>
  <c r="H155" i="3"/>
  <c r="H153" i="3"/>
  <c r="H151" i="3"/>
  <c r="H150" i="3"/>
  <c r="H149" i="3"/>
  <c r="H148" i="3"/>
  <c r="H147" i="3"/>
  <c r="H146" i="3"/>
  <c r="H135" i="3"/>
  <c r="H128" i="3"/>
  <c r="H127" i="3"/>
  <c r="H126" i="3"/>
  <c r="H133" i="3"/>
  <c r="H132" i="3"/>
  <c r="H130" i="3"/>
  <c r="H129" i="3"/>
  <c r="H125" i="3"/>
  <c r="H114" i="3"/>
  <c r="H112" i="3"/>
  <c r="H111" i="3"/>
  <c r="H108" i="3"/>
  <c r="H109" i="3"/>
  <c r="H107" i="3"/>
  <c r="H106" i="3"/>
  <c r="H104" i="3"/>
  <c r="H94" i="3"/>
  <c r="H92" i="3"/>
  <c r="H90" i="3"/>
  <c r="H89" i="3"/>
  <c r="H88" i="3"/>
  <c r="H87" i="3"/>
  <c r="H86" i="3"/>
  <c r="H85" i="3"/>
  <c r="H84" i="3"/>
  <c r="H83" i="3"/>
  <c r="H82" i="3"/>
  <c r="H81" i="3"/>
  <c r="H71" i="3"/>
  <c r="H69" i="3"/>
  <c r="H67" i="3"/>
  <c r="H66" i="3"/>
  <c r="H65" i="3"/>
  <c r="H64" i="3"/>
  <c r="H63" i="3"/>
  <c r="H62" i="3"/>
  <c r="H61" i="3"/>
  <c r="H60" i="3"/>
  <c r="H59" i="3"/>
  <c r="H58" i="3"/>
  <c r="H48" i="3"/>
  <c r="H46" i="3"/>
  <c r="H44" i="3"/>
  <c r="H43" i="3"/>
  <c r="H42" i="3"/>
  <c r="H41" i="3"/>
  <c r="H40" i="3"/>
  <c r="H39" i="3"/>
  <c r="H38" i="3"/>
  <c r="H23" i="3"/>
  <c r="H28" i="3"/>
  <c r="H26" i="3"/>
  <c r="H24" i="3"/>
  <c r="H22" i="3"/>
  <c r="H20" i="3"/>
  <c r="H21" i="3"/>
  <c r="I196" i="4" l="1"/>
  <c r="I198" i="4"/>
  <c r="I200" i="4"/>
  <c r="A170" i="5"/>
  <c r="C234" i="7"/>
  <c r="C247" i="7"/>
  <c r="C193" i="7"/>
  <c r="C86" i="7"/>
  <c r="C183" i="7"/>
  <c r="C64" i="7"/>
  <c r="C168" i="7"/>
  <c r="C26" i="7"/>
  <c r="N232" i="7"/>
  <c r="N246" i="7"/>
  <c r="N233" i="7"/>
  <c r="N207" i="7"/>
  <c r="C205" i="7"/>
  <c r="C111" i="7"/>
  <c r="N204" i="7"/>
  <c r="N203" i="7"/>
  <c r="N201" i="7"/>
  <c r="N205" i="7" s="1"/>
  <c r="N202" i="7"/>
  <c r="C174" i="7"/>
  <c r="C43" i="7"/>
  <c r="C211" i="7"/>
  <c r="C130" i="7"/>
  <c r="I168" i="5"/>
  <c r="C34" i="5"/>
  <c r="C35" i="5" s="1"/>
  <c r="C37" i="5" s="1"/>
  <c r="C215" i="5"/>
  <c r="I173" i="5"/>
  <c r="C67" i="5"/>
  <c r="C177" i="5"/>
  <c r="C112" i="5"/>
  <c r="C192" i="5"/>
  <c r="C230" i="5"/>
  <c r="C154" i="5"/>
  <c r="C156" i="5" s="1"/>
  <c r="N230" i="5"/>
  <c r="N202" i="5"/>
  <c r="C134" i="5"/>
  <c r="C228" i="5"/>
  <c r="N196" i="5"/>
  <c r="N200" i="5" s="1"/>
  <c r="N198" i="5"/>
  <c r="N199" i="5"/>
  <c r="N197" i="5"/>
  <c r="C174" i="5"/>
  <c r="I221" i="4"/>
  <c r="I226" i="4"/>
  <c r="I225" i="4"/>
  <c r="I222" i="4"/>
  <c r="I223" i="4"/>
  <c r="F135" i="3"/>
  <c r="F155" i="3"/>
  <c r="M281" i="3"/>
  <c r="L281" i="3"/>
  <c r="K281" i="3"/>
  <c r="J281" i="3" s="1"/>
  <c r="E281" i="3"/>
  <c r="D281" i="3"/>
  <c r="M280" i="3"/>
  <c r="L280" i="3"/>
  <c r="K280" i="3"/>
  <c r="J280" i="3" s="1"/>
  <c r="E280" i="3"/>
  <c r="D280" i="3"/>
  <c r="M279" i="3"/>
  <c r="L279" i="3"/>
  <c r="K279" i="3"/>
  <c r="H279" i="3" s="1"/>
  <c r="E279" i="3"/>
  <c r="D279" i="3"/>
  <c r="M278" i="3"/>
  <c r="L278" i="3"/>
  <c r="K278" i="3"/>
  <c r="J278" i="3" s="1"/>
  <c r="E278" i="3"/>
  <c r="D278" i="3"/>
  <c r="M277" i="3"/>
  <c r="L277" i="3"/>
  <c r="K277" i="3"/>
  <c r="J277" i="3" s="1"/>
  <c r="E277" i="3"/>
  <c r="D277" i="3"/>
  <c r="M276" i="3"/>
  <c r="L276" i="3"/>
  <c r="K276" i="3"/>
  <c r="H276" i="3" s="1"/>
  <c r="J276" i="3"/>
  <c r="E276" i="3"/>
  <c r="D276" i="3"/>
  <c r="N275" i="3"/>
  <c r="L275" i="3"/>
  <c r="M275" i="3"/>
  <c r="K275" i="3"/>
  <c r="H275" i="3" s="1"/>
  <c r="J275" i="3"/>
  <c r="D275" i="3"/>
  <c r="E275" i="3"/>
  <c r="A275" i="3"/>
  <c r="A276" i="3" s="1"/>
  <c r="A277" i="3" s="1"/>
  <c r="G155" i="3"/>
  <c r="G135" i="3"/>
  <c r="G114" i="3"/>
  <c r="F114" i="3"/>
  <c r="G94" i="3"/>
  <c r="F94" i="3"/>
  <c r="G71" i="3"/>
  <c r="F71" i="3"/>
  <c r="G48" i="3"/>
  <c r="F48" i="3"/>
  <c r="I227" i="4" l="1"/>
  <c r="I197" i="4"/>
  <c r="I199" i="4"/>
  <c r="I215" i="4"/>
  <c r="I282" i="3"/>
  <c r="A171" i="5"/>
  <c r="G279" i="3"/>
  <c r="J279" i="3"/>
  <c r="I224" i="4"/>
  <c r="I276" i="3"/>
  <c r="C212" i="7"/>
  <c r="C132" i="7"/>
  <c r="C230" i="7"/>
  <c r="C112" i="7"/>
  <c r="C175" i="7"/>
  <c r="C44" i="7"/>
  <c r="C226" i="7"/>
  <c r="C241" i="7"/>
  <c r="N247" i="7"/>
  <c r="N234" i="7"/>
  <c r="N214" i="7"/>
  <c r="N211" i="7"/>
  <c r="N208" i="7"/>
  <c r="N212" i="7" s="1"/>
  <c r="N210" i="7"/>
  <c r="N209" i="7"/>
  <c r="C194" i="7"/>
  <c r="C87" i="7"/>
  <c r="C184" i="7"/>
  <c r="C65" i="7"/>
  <c r="C68" i="5"/>
  <c r="C178" i="5"/>
  <c r="C226" i="5"/>
  <c r="C113" i="5"/>
  <c r="C229" i="5"/>
  <c r="C136" i="5"/>
  <c r="N204" i="5"/>
  <c r="N206" i="5"/>
  <c r="N203" i="5"/>
  <c r="N207" i="5" s="1"/>
  <c r="N205" i="5"/>
  <c r="F281" i="3"/>
  <c r="G281" i="3"/>
  <c r="H281" i="3"/>
  <c r="F280" i="3"/>
  <c r="G280" i="3"/>
  <c r="H280" i="3"/>
  <c r="F277" i="3"/>
  <c r="F279" i="3"/>
  <c r="H277" i="3"/>
  <c r="G277" i="3"/>
  <c r="F278" i="3"/>
  <c r="G278" i="3"/>
  <c r="H278" i="3"/>
  <c r="G276" i="3"/>
  <c r="F276" i="3"/>
  <c r="G275" i="3"/>
  <c r="A278" i="3"/>
  <c r="A279" i="3" s="1"/>
  <c r="A280" i="3" s="1"/>
  <c r="A281" i="3" s="1"/>
  <c r="A282" i="3" s="1"/>
  <c r="A283" i="3" s="1"/>
  <c r="I278" i="3"/>
  <c r="F275" i="3"/>
  <c r="I281" i="3"/>
  <c r="I279" i="3"/>
  <c r="I280" i="3"/>
  <c r="I277" i="3"/>
  <c r="I275" i="3"/>
  <c r="A172" i="5" l="1"/>
  <c r="C176" i="7"/>
  <c r="C46" i="7"/>
  <c r="N217" i="7"/>
  <c r="N218" i="7"/>
  <c r="N215" i="7"/>
  <c r="N219" i="7" s="1"/>
  <c r="N216" i="7"/>
  <c r="C195" i="7"/>
  <c r="C88" i="7"/>
  <c r="C231" i="7"/>
  <c r="C245" i="7"/>
  <c r="C185" i="7"/>
  <c r="C66" i="7"/>
  <c r="C232" i="7"/>
  <c r="C133" i="7"/>
  <c r="C69" i="5"/>
  <c r="C179" i="5"/>
  <c r="C227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G236" i="4" s="1"/>
  <c r="G47" i="4"/>
  <c r="F47" i="4"/>
  <c r="G45" i="4"/>
  <c r="F45" i="4"/>
  <c r="C45" i="4"/>
  <c r="E167" i="4"/>
  <c r="G25" i="4"/>
  <c r="F25" i="4"/>
  <c r="F24" i="4"/>
  <c r="M214" i="4"/>
  <c r="L214" i="4"/>
  <c r="K214" i="4"/>
  <c r="E214" i="4"/>
  <c r="M213" i="4"/>
  <c r="L213" i="4"/>
  <c r="K213" i="4"/>
  <c r="H213" i="4" s="1"/>
  <c r="E213" i="4"/>
  <c r="M212" i="4"/>
  <c r="L212" i="4"/>
  <c r="K212" i="4"/>
  <c r="J212" i="4" s="1"/>
  <c r="E212" i="4"/>
  <c r="M211" i="4"/>
  <c r="L211" i="4"/>
  <c r="K211" i="4"/>
  <c r="J211" i="4" s="1"/>
  <c r="E211" i="4"/>
  <c r="M210" i="4"/>
  <c r="L210" i="4"/>
  <c r="K210" i="4"/>
  <c r="J210" i="4" s="1"/>
  <c r="E210" i="4"/>
  <c r="M209" i="4"/>
  <c r="L209" i="4"/>
  <c r="K209" i="4"/>
  <c r="E209" i="4"/>
  <c r="N208" i="4"/>
  <c r="M208" i="4"/>
  <c r="L208" i="4"/>
  <c r="K208" i="4"/>
  <c r="E208" i="4"/>
  <c r="A209" i="4"/>
  <c r="M189" i="4"/>
  <c r="L189" i="4"/>
  <c r="K189" i="4"/>
  <c r="E189" i="4"/>
  <c r="C189" i="4"/>
  <c r="M182" i="4"/>
  <c r="L182" i="4"/>
  <c r="K182" i="4"/>
  <c r="E182" i="4"/>
  <c r="C182" i="4"/>
  <c r="M176" i="4"/>
  <c r="L176" i="4"/>
  <c r="K176" i="4"/>
  <c r="E176" i="4"/>
  <c r="C176" i="4"/>
  <c r="M171" i="4"/>
  <c r="L171" i="4"/>
  <c r="K171" i="4"/>
  <c r="E171" i="4"/>
  <c r="C171" i="4"/>
  <c r="E168" i="4"/>
  <c r="E166" i="4"/>
  <c r="E165" i="4"/>
  <c r="A165" i="4"/>
  <c r="N164" i="4"/>
  <c r="M164" i="4"/>
  <c r="L164" i="4"/>
  <c r="K164" i="4"/>
  <c r="E164" i="4"/>
  <c r="C164" i="4"/>
  <c r="G116" i="4"/>
  <c r="G91" i="4"/>
  <c r="F91" i="4"/>
  <c r="F90" i="4"/>
  <c r="G88" i="4"/>
  <c r="F88" i="4"/>
  <c r="C87" i="4"/>
  <c r="G86" i="4"/>
  <c r="F86" i="4"/>
  <c r="F72" i="4"/>
  <c r="F71" i="4"/>
  <c r="G68" i="4"/>
  <c r="F68" i="4"/>
  <c r="G67" i="4"/>
  <c r="F67" i="4"/>
  <c r="G65" i="4"/>
  <c r="F65" i="4"/>
  <c r="G49" i="4"/>
  <c r="G46" i="4"/>
  <c r="F46" i="4"/>
  <c r="G44" i="4"/>
  <c r="F44" i="4"/>
  <c r="N237" i="4"/>
  <c r="F26" i="4"/>
  <c r="C24" i="4"/>
  <c r="C165" i="4" s="1"/>
  <c r="F23" i="4"/>
  <c r="B23" i="4"/>
  <c r="B164" i="4" s="1"/>
  <c r="E266" i="3"/>
  <c r="K266" i="3"/>
  <c r="J266" i="3" s="1"/>
  <c r="L266" i="3"/>
  <c r="M266" i="3"/>
  <c r="E264" i="3"/>
  <c r="K264" i="3"/>
  <c r="L264" i="3"/>
  <c r="M264" i="3"/>
  <c r="M265" i="3"/>
  <c r="L265" i="3"/>
  <c r="K265" i="3"/>
  <c r="J265" i="3" s="1"/>
  <c r="E265" i="3"/>
  <c r="L263" i="3"/>
  <c r="M263" i="3"/>
  <c r="K263" i="3"/>
  <c r="J263" i="3" s="1"/>
  <c r="E263" i="3"/>
  <c r="L262" i="3"/>
  <c r="M262" i="3"/>
  <c r="K262" i="3"/>
  <c r="J262" i="3" s="1"/>
  <c r="E262" i="3"/>
  <c r="M261" i="3"/>
  <c r="L261" i="3"/>
  <c r="K261" i="3"/>
  <c r="J261" i="3" s="1"/>
  <c r="E261" i="3"/>
  <c r="L260" i="3"/>
  <c r="M260" i="3"/>
  <c r="K260" i="3"/>
  <c r="J260" i="3" s="1"/>
  <c r="E260" i="3"/>
  <c r="L259" i="3"/>
  <c r="M259" i="3"/>
  <c r="K259" i="3"/>
  <c r="J259" i="3" s="1"/>
  <c r="E259" i="3"/>
  <c r="A257" i="3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N257" i="3"/>
  <c r="L257" i="3"/>
  <c r="M257" i="3"/>
  <c r="K257" i="3"/>
  <c r="J257" i="3" s="1"/>
  <c r="E257" i="3"/>
  <c r="E240" i="3"/>
  <c r="E239" i="3"/>
  <c r="E238" i="3"/>
  <c r="E237" i="3"/>
  <c r="E236" i="3"/>
  <c r="M235" i="3"/>
  <c r="L235" i="3"/>
  <c r="K235" i="3"/>
  <c r="E235" i="3"/>
  <c r="C235" i="3"/>
  <c r="L228" i="3"/>
  <c r="M228" i="3"/>
  <c r="K228" i="3"/>
  <c r="E229" i="3"/>
  <c r="E230" i="3"/>
  <c r="E231" i="3"/>
  <c r="E232" i="3"/>
  <c r="E233" i="3"/>
  <c r="E228" i="3"/>
  <c r="C228" i="3"/>
  <c r="L221" i="3"/>
  <c r="M221" i="3"/>
  <c r="K221" i="3"/>
  <c r="E222" i="3"/>
  <c r="E223" i="3"/>
  <c r="E224" i="3"/>
  <c r="E225" i="3"/>
  <c r="E226" i="3"/>
  <c r="E221" i="3"/>
  <c r="C221" i="3"/>
  <c r="L210" i="3"/>
  <c r="M210" i="3"/>
  <c r="K210" i="3"/>
  <c r="E211" i="3"/>
  <c r="E212" i="3"/>
  <c r="E213" i="3"/>
  <c r="E214" i="3"/>
  <c r="E215" i="3"/>
  <c r="E216" i="3"/>
  <c r="E217" i="3"/>
  <c r="E218" i="3"/>
  <c r="E219" i="3"/>
  <c r="E210" i="3"/>
  <c r="C210" i="3"/>
  <c r="A186" i="3"/>
  <c r="A173" i="5" l="1"/>
  <c r="J182" i="4"/>
  <c r="M183" i="4"/>
  <c r="K168" i="4"/>
  <c r="F168" i="4" s="1"/>
  <c r="L167" i="4"/>
  <c r="K191" i="4"/>
  <c r="M168" i="4"/>
  <c r="N166" i="4"/>
  <c r="K178" i="4"/>
  <c r="F178" i="4" s="1"/>
  <c r="M191" i="4"/>
  <c r="M179" i="4"/>
  <c r="L177" i="4"/>
  <c r="B31" i="4"/>
  <c r="B221" i="4" s="1"/>
  <c r="B28" i="4"/>
  <c r="B208" i="4" s="1"/>
  <c r="B26" i="4"/>
  <c r="B29" i="4"/>
  <c r="B236" i="4" s="1"/>
  <c r="B25" i="4"/>
  <c r="B166" i="4" s="1"/>
  <c r="B24" i="4"/>
  <c r="B165" i="4" s="1"/>
  <c r="A166" i="4"/>
  <c r="M225" i="3"/>
  <c r="K231" i="3"/>
  <c r="J231" i="3" s="1"/>
  <c r="M232" i="3"/>
  <c r="H221" i="3"/>
  <c r="L232" i="3"/>
  <c r="K211" i="3"/>
  <c r="J211" i="3" s="1"/>
  <c r="M214" i="3"/>
  <c r="K238" i="3"/>
  <c r="L212" i="3"/>
  <c r="L240" i="3"/>
  <c r="M240" i="3"/>
  <c r="A187" i="3"/>
  <c r="N172" i="4"/>
  <c r="N222" i="4"/>
  <c r="F172" i="4"/>
  <c r="G172" i="4"/>
  <c r="C183" i="4"/>
  <c r="I208" i="4"/>
  <c r="J208" i="4"/>
  <c r="C186" i="7"/>
  <c r="C67" i="7"/>
  <c r="C196" i="7"/>
  <c r="C89" i="7"/>
  <c r="C227" i="7"/>
  <c r="C242" i="7"/>
  <c r="C233" i="7"/>
  <c r="C246" i="7"/>
  <c r="C70" i="5"/>
  <c r="C180" i="5"/>
  <c r="H16" i="4"/>
  <c r="H17" i="4" s="1"/>
  <c r="A210" i="4"/>
  <c r="A211" i="4" s="1"/>
  <c r="A212" i="4" s="1"/>
  <c r="A213" i="4" s="1"/>
  <c r="A214" i="4" s="1"/>
  <c r="A215" i="4" s="1"/>
  <c r="H171" i="4"/>
  <c r="K173" i="4"/>
  <c r="K174" i="4"/>
  <c r="L173" i="4"/>
  <c r="L174" i="4"/>
  <c r="M173" i="4"/>
  <c r="M174" i="4"/>
  <c r="C46" i="4"/>
  <c r="C173" i="4" s="1"/>
  <c r="C172" i="4"/>
  <c r="G189" i="4"/>
  <c r="N223" i="4"/>
  <c r="M165" i="4"/>
  <c r="C39" i="4"/>
  <c r="F50" i="4"/>
  <c r="F237" i="4" s="1"/>
  <c r="F49" i="4"/>
  <c r="F209" i="4" s="1"/>
  <c r="C18" i="4"/>
  <c r="I37" i="4"/>
  <c r="I38" i="4" s="1"/>
  <c r="G28" i="4"/>
  <c r="G208" i="4" s="1"/>
  <c r="H189" i="4"/>
  <c r="J189" i="4"/>
  <c r="G210" i="4"/>
  <c r="M184" i="4"/>
  <c r="K190" i="4"/>
  <c r="F189" i="4"/>
  <c r="L166" i="4"/>
  <c r="C25" i="4"/>
  <c r="C26" i="4" s="1"/>
  <c r="C167" i="4" s="1"/>
  <c r="J171" i="4"/>
  <c r="H212" i="4"/>
  <c r="F212" i="4"/>
  <c r="K179" i="4"/>
  <c r="F176" i="4"/>
  <c r="H176" i="4"/>
  <c r="J164" i="4"/>
  <c r="M166" i="4"/>
  <c r="G164" i="4"/>
  <c r="H210" i="4"/>
  <c r="F164" i="4"/>
  <c r="H208" i="4"/>
  <c r="H164" i="4"/>
  <c r="K165" i="4"/>
  <c r="K167" i="4"/>
  <c r="M190" i="4"/>
  <c r="L165" i="4"/>
  <c r="L168" i="4"/>
  <c r="G213" i="4"/>
  <c r="K166" i="4"/>
  <c r="G211" i="4"/>
  <c r="H211" i="4"/>
  <c r="C88" i="4"/>
  <c r="C184" i="4" s="1"/>
  <c r="N209" i="4"/>
  <c r="N171" i="4"/>
  <c r="N168" i="4"/>
  <c r="N167" i="4"/>
  <c r="N165" i="4"/>
  <c r="G171" i="4"/>
  <c r="F171" i="4"/>
  <c r="M167" i="4"/>
  <c r="L179" i="4"/>
  <c r="L180" i="4"/>
  <c r="L178" i="4"/>
  <c r="L185" i="4"/>
  <c r="L186" i="4"/>
  <c r="L183" i="4"/>
  <c r="L187" i="4"/>
  <c r="L184" i="4"/>
  <c r="K186" i="4"/>
  <c r="K184" i="4"/>
  <c r="H182" i="4"/>
  <c r="G182" i="4"/>
  <c r="K185" i="4"/>
  <c r="F182" i="4"/>
  <c r="K187" i="4"/>
  <c r="K183" i="4"/>
  <c r="G209" i="4"/>
  <c r="J209" i="4"/>
  <c r="H209" i="4"/>
  <c r="J176" i="4"/>
  <c r="G176" i="4"/>
  <c r="K180" i="4"/>
  <c r="M180" i="4"/>
  <c r="M177" i="4"/>
  <c r="M178" i="4"/>
  <c r="K177" i="4"/>
  <c r="M185" i="4"/>
  <c r="M187" i="4"/>
  <c r="M186" i="4"/>
  <c r="F214" i="4"/>
  <c r="J214" i="4"/>
  <c r="H214" i="4"/>
  <c r="G214" i="4"/>
  <c r="F210" i="4"/>
  <c r="G212" i="4"/>
  <c r="K194" i="4"/>
  <c r="F208" i="4"/>
  <c r="K193" i="4"/>
  <c r="M194" i="4"/>
  <c r="F213" i="4"/>
  <c r="J213" i="4"/>
  <c r="K192" i="4"/>
  <c r="M193" i="4"/>
  <c r="L192" i="4"/>
  <c r="L193" i="4"/>
  <c r="L194" i="4"/>
  <c r="L190" i="4"/>
  <c r="M192" i="4"/>
  <c r="F211" i="4"/>
  <c r="L191" i="4"/>
  <c r="G263" i="3"/>
  <c r="D265" i="3"/>
  <c r="M238" i="3"/>
  <c r="H266" i="3"/>
  <c r="J264" i="3"/>
  <c r="H264" i="3"/>
  <c r="H265" i="3"/>
  <c r="H263" i="3"/>
  <c r="L233" i="3"/>
  <c r="D218" i="3"/>
  <c r="J235" i="3"/>
  <c r="M224" i="3"/>
  <c r="H235" i="3"/>
  <c r="H210" i="3"/>
  <c r="J210" i="3"/>
  <c r="K212" i="3"/>
  <c r="J221" i="3"/>
  <c r="J228" i="3"/>
  <c r="H228" i="3"/>
  <c r="K239" i="3"/>
  <c r="K233" i="3"/>
  <c r="I265" i="3"/>
  <c r="K240" i="3"/>
  <c r="D258" i="3"/>
  <c r="K232" i="3"/>
  <c r="I260" i="3"/>
  <c r="D260" i="3"/>
  <c r="K229" i="3"/>
  <c r="I261" i="3"/>
  <c r="K236" i="3"/>
  <c r="I266" i="3"/>
  <c r="K230" i="3"/>
  <c r="L236" i="3"/>
  <c r="M236" i="3"/>
  <c r="K237" i="3"/>
  <c r="L238" i="3"/>
  <c r="L237" i="3"/>
  <c r="L239" i="3"/>
  <c r="M239" i="3"/>
  <c r="M237" i="3"/>
  <c r="K216" i="3"/>
  <c r="K213" i="3"/>
  <c r="K214" i="3"/>
  <c r="K215" i="3"/>
  <c r="L213" i="3"/>
  <c r="L229" i="3"/>
  <c r="M233" i="3"/>
  <c r="M230" i="3"/>
  <c r="L231" i="3"/>
  <c r="M231" i="3"/>
  <c r="M229" i="3"/>
  <c r="L230" i="3"/>
  <c r="M226" i="3"/>
  <c r="M223" i="3"/>
  <c r="M222" i="3"/>
  <c r="L216" i="3"/>
  <c r="L215" i="3"/>
  <c r="L211" i="3"/>
  <c r="M211" i="3"/>
  <c r="M215" i="3"/>
  <c r="L214" i="3"/>
  <c r="M212" i="3"/>
  <c r="M216" i="3"/>
  <c r="M213" i="3"/>
  <c r="K185" i="3"/>
  <c r="M199" i="3"/>
  <c r="L199" i="3"/>
  <c r="K199" i="3"/>
  <c r="E199" i="3"/>
  <c r="E200" i="3"/>
  <c r="E201" i="3"/>
  <c r="E202" i="3"/>
  <c r="E203" i="3"/>
  <c r="E204" i="3"/>
  <c r="E205" i="3"/>
  <c r="E206" i="3"/>
  <c r="E207" i="3"/>
  <c r="E208" i="3"/>
  <c r="C199" i="3"/>
  <c r="E197" i="3"/>
  <c r="E196" i="3"/>
  <c r="E195" i="3"/>
  <c r="E194" i="3"/>
  <c r="E193" i="3"/>
  <c r="E192" i="3"/>
  <c r="M191" i="3"/>
  <c r="L191" i="3"/>
  <c r="K191" i="3"/>
  <c r="E191" i="3"/>
  <c r="C191" i="3"/>
  <c r="E189" i="3"/>
  <c r="E188" i="3"/>
  <c r="E187" i="3"/>
  <c r="E186" i="3"/>
  <c r="N185" i="3"/>
  <c r="M185" i="3"/>
  <c r="L185" i="3"/>
  <c r="E185" i="3"/>
  <c r="C185" i="3"/>
  <c r="F153" i="3"/>
  <c r="G153" i="3"/>
  <c r="G266" i="3" s="1"/>
  <c r="F151" i="3"/>
  <c r="G151" i="3"/>
  <c r="F149" i="3"/>
  <c r="F148" i="3"/>
  <c r="F147" i="3"/>
  <c r="G147" i="3"/>
  <c r="C147" i="3"/>
  <c r="F146" i="3"/>
  <c r="G146" i="3"/>
  <c r="G235" i="3" s="1"/>
  <c r="F133" i="3"/>
  <c r="F265" i="3" s="1"/>
  <c r="G133" i="3"/>
  <c r="G265" i="3" s="1"/>
  <c r="F132" i="3"/>
  <c r="F264" i="3" s="1"/>
  <c r="G132" i="3"/>
  <c r="G264" i="3" s="1"/>
  <c r="F130" i="3"/>
  <c r="G130" i="3"/>
  <c r="F129" i="3"/>
  <c r="F128" i="3"/>
  <c r="F127" i="3"/>
  <c r="F126" i="3"/>
  <c r="G126" i="3"/>
  <c r="C126" i="3"/>
  <c r="F125" i="3"/>
  <c r="G125" i="3"/>
  <c r="G228" i="3" s="1"/>
  <c r="F112" i="3"/>
  <c r="F263" i="3" s="1"/>
  <c r="F111" i="3"/>
  <c r="F262" i="3" s="1"/>
  <c r="G262" i="3"/>
  <c r="H262" i="3"/>
  <c r="F109" i="3"/>
  <c r="G109" i="3"/>
  <c r="F108" i="3"/>
  <c r="G108" i="3"/>
  <c r="F107" i="3"/>
  <c r="F106" i="3"/>
  <c r="F105" i="3"/>
  <c r="G105" i="3"/>
  <c r="C105" i="3"/>
  <c r="F104" i="3"/>
  <c r="F221" i="3" s="1"/>
  <c r="G104" i="3"/>
  <c r="G221" i="3" s="1"/>
  <c r="F92" i="3"/>
  <c r="F261" i="3" s="1"/>
  <c r="G92" i="3"/>
  <c r="G261" i="3" s="1"/>
  <c r="H261" i="3"/>
  <c r="F90" i="3"/>
  <c r="G90" i="3"/>
  <c r="F89" i="3"/>
  <c r="G89" i="3"/>
  <c r="F88" i="3"/>
  <c r="G88" i="3"/>
  <c r="F87" i="3"/>
  <c r="G87" i="3"/>
  <c r="F86" i="3"/>
  <c r="F85" i="3"/>
  <c r="F84" i="3"/>
  <c r="F83" i="3"/>
  <c r="F82" i="3"/>
  <c r="G82" i="3"/>
  <c r="C82" i="3"/>
  <c r="F81" i="3"/>
  <c r="F210" i="3" s="1"/>
  <c r="G81" i="3"/>
  <c r="G210" i="3" s="1"/>
  <c r="F69" i="3"/>
  <c r="F260" i="3" s="1"/>
  <c r="G69" i="3"/>
  <c r="G260" i="3" s="1"/>
  <c r="H260" i="3"/>
  <c r="F67" i="3"/>
  <c r="G67" i="3"/>
  <c r="F66" i="3"/>
  <c r="G66" i="3"/>
  <c r="F65" i="3"/>
  <c r="G65" i="3"/>
  <c r="F64" i="3"/>
  <c r="G64" i="3"/>
  <c r="F63" i="3"/>
  <c r="F62" i="3"/>
  <c r="F61" i="3"/>
  <c r="F60" i="3"/>
  <c r="F59" i="3"/>
  <c r="G59" i="3"/>
  <c r="C59" i="3"/>
  <c r="C60" i="3" s="1"/>
  <c r="C61" i="3" s="1"/>
  <c r="C62" i="3" s="1"/>
  <c r="C63" i="3" s="1"/>
  <c r="F58" i="3"/>
  <c r="G58" i="3"/>
  <c r="F46" i="3"/>
  <c r="G46" i="3"/>
  <c r="F44" i="3"/>
  <c r="G44" i="3"/>
  <c r="F43" i="3"/>
  <c r="G43" i="3"/>
  <c r="F42" i="3"/>
  <c r="G42" i="3"/>
  <c r="F41" i="3"/>
  <c r="F40" i="3"/>
  <c r="F39" i="3"/>
  <c r="G39" i="3"/>
  <c r="C39" i="3"/>
  <c r="C192" i="3" s="1"/>
  <c r="G38" i="3"/>
  <c r="N276" i="3"/>
  <c r="C21" i="3"/>
  <c r="C22" i="3" s="1"/>
  <c r="G231" i="3" l="1"/>
  <c r="H231" i="3"/>
  <c r="F231" i="3"/>
  <c r="H211" i="3"/>
  <c r="G211" i="3"/>
  <c r="H168" i="4"/>
  <c r="F191" i="4"/>
  <c r="D208" i="3"/>
  <c r="D188" i="3"/>
  <c r="G238" i="3"/>
  <c r="H238" i="3"/>
  <c r="G168" i="4"/>
  <c r="H191" i="4"/>
  <c r="J178" i="4"/>
  <c r="G178" i="4"/>
  <c r="J191" i="4"/>
  <c r="I191" i="4"/>
  <c r="G191" i="4"/>
  <c r="H178" i="4"/>
  <c r="I268" i="3"/>
  <c r="I267" i="3"/>
  <c r="F266" i="3"/>
  <c r="F293" i="3" s="1"/>
  <c r="I242" i="3"/>
  <c r="A174" i="5"/>
  <c r="F235" i="3"/>
  <c r="B168" i="4"/>
  <c r="B167" i="4"/>
  <c r="J168" i="4"/>
  <c r="J166" i="4"/>
  <c r="F165" i="4"/>
  <c r="A167" i="4"/>
  <c r="J238" i="3"/>
  <c r="F238" i="3"/>
  <c r="L217" i="3"/>
  <c r="L203" i="3"/>
  <c r="K217" i="3"/>
  <c r="G217" i="3" s="1"/>
  <c r="M217" i="3"/>
  <c r="F289" i="3"/>
  <c r="F287" i="3"/>
  <c r="F290" i="3"/>
  <c r="F291" i="3"/>
  <c r="M203" i="3"/>
  <c r="M219" i="3"/>
  <c r="M197" i="3"/>
  <c r="M218" i="3"/>
  <c r="F292" i="3"/>
  <c r="N189" i="3"/>
  <c r="M189" i="3"/>
  <c r="L218" i="3"/>
  <c r="F288" i="3"/>
  <c r="L219" i="3"/>
  <c r="A188" i="3"/>
  <c r="C197" i="7"/>
  <c r="C90" i="7"/>
  <c r="C187" i="7"/>
  <c r="C69" i="7"/>
  <c r="C71" i="5"/>
  <c r="C181" i="5"/>
  <c r="G194" i="4"/>
  <c r="H194" i="4"/>
  <c r="I194" i="4"/>
  <c r="J194" i="4"/>
  <c r="F194" i="4"/>
  <c r="H186" i="4"/>
  <c r="J186" i="4"/>
  <c r="F186" i="4"/>
  <c r="G186" i="4"/>
  <c r="G177" i="4"/>
  <c r="H177" i="4"/>
  <c r="J177" i="4"/>
  <c r="F177" i="4"/>
  <c r="N173" i="4"/>
  <c r="N174" i="4"/>
  <c r="F179" i="4"/>
  <c r="G179" i="4"/>
  <c r="H179" i="4"/>
  <c r="J179" i="4"/>
  <c r="F190" i="4"/>
  <c r="G190" i="4"/>
  <c r="H190" i="4"/>
  <c r="I190" i="4"/>
  <c r="J190" i="4"/>
  <c r="F184" i="4"/>
  <c r="G184" i="4"/>
  <c r="H184" i="4"/>
  <c r="J184" i="4"/>
  <c r="F173" i="4"/>
  <c r="G173" i="4"/>
  <c r="H173" i="4"/>
  <c r="J173" i="4"/>
  <c r="J183" i="4"/>
  <c r="H183" i="4"/>
  <c r="F183" i="4"/>
  <c r="G183" i="4"/>
  <c r="J192" i="4"/>
  <c r="I192" i="4"/>
  <c r="H192" i="4"/>
  <c r="F192" i="4"/>
  <c r="G192" i="4"/>
  <c r="F187" i="4"/>
  <c r="G187" i="4"/>
  <c r="H187" i="4"/>
  <c r="J187" i="4"/>
  <c r="C47" i="4"/>
  <c r="G185" i="4"/>
  <c r="H185" i="4"/>
  <c r="J185" i="4"/>
  <c r="F185" i="4"/>
  <c r="J174" i="4"/>
  <c r="F174" i="4"/>
  <c r="G174" i="4"/>
  <c r="H174" i="4"/>
  <c r="G180" i="4"/>
  <c r="H180" i="4"/>
  <c r="J180" i="4"/>
  <c r="F180" i="4"/>
  <c r="I193" i="4"/>
  <c r="F193" i="4"/>
  <c r="G193" i="4"/>
  <c r="H193" i="4"/>
  <c r="J193" i="4"/>
  <c r="G166" i="4"/>
  <c r="I262" i="3"/>
  <c r="F259" i="3"/>
  <c r="D239" i="3"/>
  <c r="I259" i="3"/>
  <c r="C64" i="3"/>
  <c r="C65" i="3" s="1"/>
  <c r="C66" i="3" s="1"/>
  <c r="C67" i="3" s="1"/>
  <c r="C69" i="3" s="1"/>
  <c r="C71" i="3" s="1"/>
  <c r="C277" i="3" s="1"/>
  <c r="D259" i="3"/>
  <c r="I214" i="4"/>
  <c r="I209" i="4"/>
  <c r="I213" i="4"/>
  <c r="G165" i="4"/>
  <c r="F166" i="4"/>
  <c r="H166" i="4"/>
  <c r="C166" i="4"/>
  <c r="F167" i="4"/>
  <c r="G167" i="4"/>
  <c r="J167" i="4"/>
  <c r="H167" i="4"/>
  <c r="J165" i="4"/>
  <c r="H165" i="4"/>
  <c r="D214" i="4"/>
  <c r="C89" i="4"/>
  <c r="D209" i="4"/>
  <c r="C168" i="4"/>
  <c r="C28" i="4"/>
  <c r="C29" i="4" s="1"/>
  <c r="C236" i="4" s="1"/>
  <c r="D208" i="4"/>
  <c r="D212" i="4"/>
  <c r="D213" i="4"/>
  <c r="D210" i="4"/>
  <c r="I264" i="3"/>
  <c r="D185" i="3"/>
  <c r="I239" i="3"/>
  <c r="I221" i="3"/>
  <c r="I210" i="3"/>
  <c r="I233" i="3"/>
  <c r="D264" i="3"/>
  <c r="D235" i="3"/>
  <c r="D213" i="3"/>
  <c r="D214" i="3"/>
  <c r="D217" i="3"/>
  <c r="D210" i="3"/>
  <c r="I263" i="3"/>
  <c r="D262" i="3"/>
  <c r="D199" i="3"/>
  <c r="D266" i="3"/>
  <c r="H257" i="3"/>
  <c r="G257" i="3"/>
  <c r="D219" i="3"/>
  <c r="D212" i="3"/>
  <c r="D211" i="3"/>
  <c r="D216" i="3"/>
  <c r="D261" i="3"/>
  <c r="G259" i="3"/>
  <c r="H259" i="3"/>
  <c r="F211" i="3"/>
  <c r="I257" i="3"/>
  <c r="F257" i="3"/>
  <c r="J237" i="3"/>
  <c r="G237" i="3"/>
  <c r="H237" i="3"/>
  <c r="F237" i="3"/>
  <c r="F239" i="3"/>
  <c r="G239" i="3"/>
  <c r="H239" i="3"/>
  <c r="J239" i="3"/>
  <c r="F236" i="3"/>
  <c r="G236" i="3"/>
  <c r="H236" i="3"/>
  <c r="J236" i="3"/>
  <c r="F240" i="3"/>
  <c r="G240" i="3"/>
  <c r="J240" i="3"/>
  <c r="H240" i="3"/>
  <c r="F228" i="3"/>
  <c r="K187" i="3"/>
  <c r="J185" i="3"/>
  <c r="G185" i="3"/>
  <c r="H185" i="3"/>
  <c r="K197" i="3"/>
  <c r="J191" i="3"/>
  <c r="K204" i="3"/>
  <c r="J199" i="3"/>
  <c r="F199" i="3"/>
  <c r="G199" i="3"/>
  <c r="H199" i="3"/>
  <c r="J215" i="3"/>
  <c r="G215" i="3"/>
  <c r="F215" i="3"/>
  <c r="H215" i="3"/>
  <c r="G214" i="3"/>
  <c r="F214" i="3"/>
  <c r="H214" i="3"/>
  <c r="J214" i="3"/>
  <c r="K219" i="3"/>
  <c r="H213" i="3"/>
  <c r="J213" i="3"/>
  <c r="F213" i="3"/>
  <c r="G213" i="3"/>
  <c r="F216" i="3"/>
  <c r="G216" i="3"/>
  <c r="H216" i="3"/>
  <c r="J216" i="3"/>
  <c r="K218" i="3"/>
  <c r="F212" i="3"/>
  <c r="G212" i="3"/>
  <c r="H212" i="3"/>
  <c r="J212" i="3"/>
  <c r="F233" i="3"/>
  <c r="G233" i="3"/>
  <c r="H233" i="3"/>
  <c r="J233" i="3"/>
  <c r="G230" i="3"/>
  <c r="J230" i="3"/>
  <c r="F230" i="3"/>
  <c r="H230" i="3"/>
  <c r="J229" i="3"/>
  <c r="F229" i="3"/>
  <c r="G229" i="3"/>
  <c r="H229" i="3"/>
  <c r="G232" i="3"/>
  <c r="H232" i="3"/>
  <c r="J232" i="3"/>
  <c r="F232" i="3"/>
  <c r="D221" i="3"/>
  <c r="L188" i="3"/>
  <c r="C148" i="3"/>
  <c r="C236" i="3"/>
  <c r="N259" i="3"/>
  <c r="L194" i="3"/>
  <c r="C127" i="3"/>
  <c r="C229" i="3"/>
  <c r="D191" i="3"/>
  <c r="D257" i="3"/>
  <c r="D233" i="3"/>
  <c r="D230" i="3"/>
  <c r="D229" i="3"/>
  <c r="D228" i="3"/>
  <c r="L204" i="3"/>
  <c r="L196" i="3"/>
  <c r="L187" i="3"/>
  <c r="C83" i="3"/>
  <c r="C211" i="3"/>
  <c r="C106" i="3"/>
  <c r="C222" i="3"/>
  <c r="F191" i="3"/>
  <c r="C203" i="3"/>
  <c r="C202" i="3"/>
  <c r="C201" i="3"/>
  <c r="C204" i="3"/>
  <c r="C200" i="3"/>
  <c r="H191" i="3"/>
  <c r="M204" i="3"/>
  <c r="L205" i="3"/>
  <c r="M201" i="3"/>
  <c r="M205" i="3"/>
  <c r="L202" i="3"/>
  <c r="M202" i="3"/>
  <c r="K205" i="3"/>
  <c r="K201" i="3"/>
  <c r="M200" i="3"/>
  <c r="L201" i="3"/>
  <c r="K202" i="3"/>
  <c r="K200" i="3"/>
  <c r="L200" i="3"/>
  <c r="K203" i="3"/>
  <c r="G191" i="3"/>
  <c r="K195" i="3"/>
  <c r="K192" i="3"/>
  <c r="K196" i="3"/>
  <c r="K193" i="3"/>
  <c r="L197" i="3"/>
  <c r="M194" i="3"/>
  <c r="M196" i="3"/>
  <c r="F185" i="3"/>
  <c r="K186" i="3"/>
  <c r="K188" i="3"/>
  <c r="K194" i="3"/>
  <c r="M188" i="3"/>
  <c r="N186" i="3"/>
  <c r="L195" i="3"/>
  <c r="M186" i="3"/>
  <c r="N188" i="3"/>
  <c r="M193" i="3"/>
  <c r="M195" i="3"/>
  <c r="K189" i="3"/>
  <c r="M187" i="3"/>
  <c r="N187" i="3"/>
  <c r="C186" i="3"/>
  <c r="C23" i="3"/>
  <c r="C187" i="3"/>
  <c r="L189" i="3"/>
  <c r="L193" i="3"/>
  <c r="L192" i="3"/>
  <c r="N191" i="3"/>
  <c r="M192" i="3"/>
  <c r="C40" i="3"/>
  <c r="L186" i="3"/>
  <c r="D237" i="3" l="1"/>
  <c r="I237" i="3"/>
  <c r="D240" i="3"/>
  <c r="I240" i="3"/>
  <c r="D236" i="3"/>
  <c r="I236" i="3"/>
  <c r="D223" i="3"/>
  <c r="D224" i="3"/>
  <c r="D225" i="3"/>
  <c r="D222" i="3"/>
  <c r="D207" i="3"/>
  <c r="D203" i="3"/>
  <c r="I203" i="3"/>
  <c r="D202" i="3"/>
  <c r="I202" i="3"/>
  <c r="D205" i="3"/>
  <c r="I205" i="3"/>
  <c r="D200" i="3"/>
  <c r="I200" i="3"/>
  <c r="D206" i="3"/>
  <c r="D201" i="3"/>
  <c r="D192" i="3"/>
  <c r="D193" i="3"/>
  <c r="D194" i="3"/>
  <c r="D196" i="3"/>
  <c r="D195" i="3"/>
  <c r="D197" i="3"/>
  <c r="D186" i="3"/>
  <c r="I186" i="3"/>
  <c r="D189" i="3"/>
  <c r="D187" i="3"/>
  <c r="D242" i="3"/>
  <c r="C206" i="3"/>
  <c r="C205" i="3"/>
  <c r="C207" i="3"/>
  <c r="A188" i="5"/>
  <c r="A189" i="5" s="1"/>
  <c r="A190" i="5" s="1"/>
  <c r="A191" i="5" s="1"/>
  <c r="A192" i="5" s="1"/>
  <c r="A193" i="5" s="1"/>
  <c r="A195" i="5" s="1"/>
  <c r="A196" i="5" s="1"/>
  <c r="A197" i="5" s="1"/>
  <c r="A198" i="5" s="1"/>
  <c r="A199" i="5" s="1"/>
  <c r="A200" i="5" s="1"/>
  <c r="A202" i="5" s="1"/>
  <c r="A203" i="5" s="1"/>
  <c r="A204" i="5" s="1"/>
  <c r="A205" i="5" s="1"/>
  <c r="A206" i="5" s="1"/>
  <c r="A207" i="5" s="1"/>
  <c r="A175" i="5"/>
  <c r="A168" i="4"/>
  <c r="L206" i="3"/>
  <c r="F286" i="3"/>
  <c r="J217" i="3"/>
  <c r="H217" i="3"/>
  <c r="M206" i="3"/>
  <c r="M208" i="3"/>
  <c r="F217" i="3"/>
  <c r="L208" i="3"/>
  <c r="L207" i="3"/>
  <c r="M207" i="3"/>
  <c r="A189" i="3"/>
  <c r="C260" i="3"/>
  <c r="C208" i="3"/>
  <c r="D183" i="4"/>
  <c r="I211" i="4"/>
  <c r="C31" i="4"/>
  <c r="C221" i="4" s="1"/>
  <c r="D172" i="4"/>
  <c r="C228" i="7"/>
  <c r="C243" i="7"/>
  <c r="C198" i="7"/>
  <c r="C92" i="7"/>
  <c r="C72" i="5"/>
  <c r="C182" i="5"/>
  <c r="C90" i="4"/>
  <c r="C186" i="4" s="1"/>
  <c r="C185" i="4"/>
  <c r="C49" i="4"/>
  <c r="C174" i="4"/>
  <c r="D176" i="4"/>
  <c r="D177" i="4"/>
  <c r="N199" i="3"/>
  <c r="N277" i="3"/>
  <c r="I210" i="4"/>
  <c r="D238" i="3"/>
  <c r="D232" i="3"/>
  <c r="D231" i="3"/>
  <c r="D215" i="3"/>
  <c r="D226" i="3"/>
  <c r="D204" i="3"/>
  <c r="I191" i="3"/>
  <c r="I212" i="4"/>
  <c r="D179" i="4"/>
  <c r="D180" i="4"/>
  <c r="D173" i="4"/>
  <c r="D186" i="4"/>
  <c r="D182" i="4"/>
  <c r="D171" i="4"/>
  <c r="D166" i="4"/>
  <c r="D165" i="4"/>
  <c r="D164" i="4"/>
  <c r="D189" i="4"/>
  <c r="D187" i="4"/>
  <c r="D184" i="4"/>
  <c r="D174" i="4"/>
  <c r="D185" i="4"/>
  <c r="I189" i="3"/>
  <c r="I188" i="3"/>
  <c r="D211" i="4"/>
  <c r="C69" i="4"/>
  <c r="C180" i="4" s="1"/>
  <c r="N210" i="4"/>
  <c r="N211" i="4"/>
  <c r="N176" i="4"/>
  <c r="I189" i="4"/>
  <c r="C208" i="4"/>
  <c r="I214" i="3"/>
  <c r="I215" i="3"/>
  <c r="I185" i="3"/>
  <c r="I216" i="3"/>
  <c r="I194" i="3"/>
  <c r="I195" i="3"/>
  <c r="I197" i="3"/>
  <c r="I218" i="3"/>
  <c r="I213" i="3"/>
  <c r="I219" i="3"/>
  <c r="I217" i="3"/>
  <c r="I235" i="3"/>
  <c r="I211" i="3"/>
  <c r="I212" i="3"/>
  <c r="I238" i="3"/>
  <c r="I201" i="3"/>
  <c r="I199" i="3"/>
  <c r="I232" i="3"/>
  <c r="I229" i="3"/>
  <c r="I231" i="3"/>
  <c r="I228" i="3"/>
  <c r="I196" i="3"/>
  <c r="I204" i="3"/>
  <c r="I230" i="3"/>
  <c r="D263" i="3"/>
  <c r="N260" i="3"/>
  <c r="J188" i="3"/>
  <c r="F188" i="3"/>
  <c r="G188" i="3"/>
  <c r="H188" i="3"/>
  <c r="G186" i="3"/>
  <c r="J186" i="3"/>
  <c r="H186" i="3"/>
  <c r="F186" i="3"/>
  <c r="F189" i="3"/>
  <c r="G189" i="3"/>
  <c r="H189" i="3"/>
  <c r="J189" i="3"/>
  <c r="H187" i="3"/>
  <c r="J187" i="3"/>
  <c r="I187" i="3"/>
  <c r="F187" i="3"/>
  <c r="G187" i="3"/>
  <c r="F195" i="3"/>
  <c r="H195" i="3"/>
  <c r="G195" i="3"/>
  <c r="J195" i="3"/>
  <c r="H197" i="3"/>
  <c r="J197" i="3"/>
  <c r="F197" i="3"/>
  <c r="G197" i="3"/>
  <c r="H194" i="3"/>
  <c r="F194" i="3"/>
  <c r="G194" i="3"/>
  <c r="J194" i="3"/>
  <c r="F193" i="3"/>
  <c r="G193" i="3"/>
  <c r="H193" i="3"/>
  <c r="J193" i="3"/>
  <c r="G196" i="3"/>
  <c r="F196" i="3"/>
  <c r="H196" i="3"/>
  <c r="J196" i="3"/>
  <c r="J192" i="3"/>
  <c r="H192" i="3"/>
  <c r="G192" i="3"/>
  <c r="F192" i="3"/>
  <c r="K207" i="3"/>
  <c r="F201" i="3"/>
  <c r="G201" i="3"/>
  <c r="H201" i="3"/>
  <c r="J201" i="3"/>
  <c r="K206" i="3"/>
  <c r="G200" i="3"/>
  <c r="H200" i="3"/>
  <c r="J200" i="3"/>
  <c r="F200" i="3"/>
  <c r="K208" i="3"/>
  <c r="J202" i="3"/>
  <c r="H202" i="3"/>
  <c r="F202" i="3"/>
  <c r="G202" i="3"/>
  <c r="F205" i="3"/>
  <c r="G205" i="3"/>
  <c r="H205" i="3"/>
  <c r="J205" i="3"/>
  <c r="F203" i="3"/>
  <c r="G203" i="3"/>
  <c r="H203" i="3"/>
  <c r="J203" i="3"/>
  <c r="J204" i="3"/>
  <c r="F204" i="3"/>
  <c r="G204" i="3"/>
  <c r="H204" i="3"/>
  <c r="G218" i="3"/>
  <c r="H218" i="3"/>
  <c r="J218" i="3"/>
  <c r="F218" i="3"/>
  <c r="F219" i="3"/>
  <c r="J219" i="3"/>
  <c r="G219" i="3"/>
  <c r="H219" i="3"/>
  <c r="C149" i="3"/>
  <c r="C237" i="3"/>
  <c r="C128" i="3"/>
  <c r="C230" i="3"/>
  <c r="K225" i="3"/>
  <c r="K224" i="3"/>
  <c r="K226" i="3"/>
  <c r="K222" i="3"/>
  <c r="K223" i="3"/>
  <c r="C107" i="3"/>
  <c r="C223" i="3"/>
  <c r="C84" i="3"/>
  <c r="C212" i="3"/>
  <c r="L225" i="3"/>
  <c r="L224" i="3"/>
  <c r="L222" i="3"/>
  <c r="L223" i="3"/>
  <c r="L226" i="3"/>
  <c r="C193" i="3"/>
  <c r="C41" i="3"/>
  <c r="C24" i="3"/>
  <c r="C188" i="3"/>
  <c r="N192" i="3"/>
  <c r="N193" i="3"/>
  <c r="N194" i="3"/>
  <c r="N195" i="3"/>
  <c r="D246" i="3" l="1"/>
  <c r="I246" i="3"/>
  <c r="D244" i="3"/>
  <c r="I244" i="3"/>
  <c r="D243" i="3"/>
  <c r="I243" i="3"/>
  <c r="D245" i="3"/>
  <c r="I245" i="3"/>
  <c r="A176" i="5"/>
  <c r="A171" i="4"/>
  <c r="N196" i="3"/>
  <c r="N197" i="3"/>
  <c r="N203" i="3"/>
  <c r="A191" i="3"/>
  <c r="N224" i="4"/>
  <c r="N225" i="4"/>
  <c r="D178" i="4"/>
  <c r="C229" i="7"/>
  <c r="C244" i="7"/>
  <c r="C74" i="5"/>
  <c r="C183" i="5"/>
  <c r="I176" i="4"/>
  <c r="I177" i="4"/>
  <c r="N200" i="3"/>
  <c r="N202" i="3"/>
  <c r="N201" i="3"/>
  <c r="N210" i="3"/>
  <c r="N212" i="3" s="1"/>
  <c r="N278" i="3"/>
  <c r="I193" i="3"/>
  <c r="I192" i="3"/>
  <c r="D168" i="4"/>
  <c r="D167" i="4"/>
  <c r="I182" i="4"/>
  <c r="I164" i="4"/>
  <c r="I165" i="4"/>
  <c r="I166" i="4"/>
  <c r="I171" i="4"/>
  <c r="C71" i="4"/>
  <c r="C91" i="4"/>
  <c r="C187" i="4" s="1"/>
  <c r="C116" i="4"/>
  <c r="C118" i="4" s="1"/>
  <c r="N213" i="4"/>
  <c r="N212" i="4"/>
  <c r="N182" i="4"/>
  <c r="N215" i="4"/>
  <c r="N180" i="4"/>
  <c r="N177" i="4"/>
  <c r="N178" i="4"/>
  <c r="N179" i="4"/>
  <c r="N279" i="3"/>
  <c r="N261" i="3"/>
  <c r="H207" i="3"/>
  <c r="I207" i="3"/>
  <c r="J207" i="3"/>
  <c r="F207" i="3"/>
  <c r="G207" i="3"/>
  <c r="F208" i="3"/>
  <c r="G208" i="3"/>
  <c r="H208" i="3"/>
  <c r="I208" i="3"/>
  <c r="J208" i="3"/>
  <c r="F206" i="3"/>
  <c r="G206" i="3"/>
  <c r="H206" i="3"/>
  <c r="I206" i="3"/>
  <c r="J206" i="3"/>
  <c r="H225" i="3"/>
  <c r="I225" i="3"/>
  <c r="F225" i="3"/>
  <c r="G225" i="3"/>
  <c r="J225" i="3"/>
  <c r="F226" i="3"/>
  <c r="G226" i="3"/>
  <c r="H226" i="3"/>
  <c r="I226" i="3"/>
  <c r="J226" i="3"/>
  <c r="F224" i="3"/>
  <c r="G224" i="3"/>
  <c r="J224" i="3"/>
  <c r="H224" i="3"/>
  <c r="I224" i="3"/>
  <c r="F223" i="3"/>
  <c r="J223" i="3"/>
  <c r="G223" i="3"/>
  <c r="H223" i="3"/>
  <c r="I223" i="3"/>
  <c r="I222" i="3"/>
  <c r="F222" i="3"/>
  <c r="G222" i="3"/>
  <c r="H222" i="3"/>
  <c r="J222" i="3"/>
  <c r="C129" i="3"/>
  <c r="C231" i="3"/>
  <c r="C150" i="3"/>
  <c r="C238" i="3"/>
  <c r="C85" i="3"/>
  <c r="C213" i="3"/>
  <c r="C108" i="3"/>
  <c r="C224" i="3"/>
  <c r="C189" i="3"/>
  <c r="C26" i="3"/>
  <c r="C194" i="3"/>
  <c r="C42" i="3"/>
  <c r="N227" i="4" l="1"/>
  <c r="N238" i="4"/>
  <c r="N196" i="4"/>
  <c r="N213" i="3"/>
  <c r="A177" i="5"/>
  <c r="A172" i="4"/>
  <c r="N206" i="3"/>
  <c r="N204" i="3"/>
  <c r="N207" i="3"/>
  <c r="N216" i="3"/>
  <c r="N211" i="3"/>
  <c r="N205" i="3"/>
  <c r="A192" i="3"/>
  <c r="N226" i="4"/>
  <c r="I183" i="4"/>
  <c r="C75" i="5"/>
  <c r="C216" i="5"/>
  <c r="I178" i="4"/>
  <c r="I185" i="4"/>
  <c r="I180" i="4"/>
  <c r="I174" i="4"/>
  <c r="I184" i="4"/>
  <c r="I179" i="4"/>
  <c r="I173" i="4"/>
  <c r="I172" i="4"/>
  <c r="I187" i="4"/>
  <c r="I186" i="4"/>
  <c r="N214" i="3"/>
  <c r="I168" i="4"/>
  <c r="I167" i="4"/>
  <c r="C93" i="4"/>
  <c r="N185" i="4"/>
  <c r="N186" i="4"/>
  <c r="N183" i="4"/>
  <c r="N184" i="4"/>
  <c r="C210" i="4"/>
  <c r="C72" i="4"/>
  <c r="C74" i="4" s="1"/>
  <c r="C214" i="4"/>
  <c r="N214" i="4"/>
  <c r="N189" i="4"/>
  <c r="N262" i="3"/>
  <c r="N263" i="3"/>
  <c r="N280" i="3"/>
  <c r="N221" i="3"/>
  <c r="C28" i="3"/>
  <c r="C275" i="3" s="1"/>
  <c r="C257" i="3"/>
  <c r="C151" i="3"/>
  <c r="C239" i="3"/>
  <c r="C130" i="3"/>
  <c r="C232" i="3"/>
  <c r="C109" i="3"/>
  <c r="C225" i="3"/>
  <c r="C86" i="3"/>
  <c r="C214" i="3"/>
  <c r="C195" i="3"/>
  <c r="C43" i="3"/>
  <c r="N197" i="4" l="1"/>
  <c r="N198" i="4"/>
  <c r="N199" i="4"/>
  <c r="N200" i="4"/>
  <c r="N217" i="3"/>
  <c r="A178" i="5"/>
  <c r="N187" i="4"/>
  <c r="A173" i="4"/>
  <c r="N218" i="3"/>
  <c r="N215" i="3"/>
  <c r="N208" i="3"/>
  <c r="A193" i="3"/>
  <c r="C226" i="4"/>
  <c r="C76" i="5"/>
  <c r="C217" i="5"/>
  <c r="N192" i="4"/>
  <c r="N193" i="4"/>
  <c r="N190" i="4"/>
  <c r="N191" i="4"/>
  <c r="C212" i="4"/>
  <c r="C94" i="4"/>
  <c r="C96" i="4" s="1"/>
  <c r="C211" i="4"/>
  <c r="C223" i="4"/>
  <c r="N265" i="3"/>
  <c r="N264" i="3"/>
  <c r="N225" i="3"/>
  <c r="N223" i="3"/>
  <c r="N222" i="3"/>
  <c r="N224" i="3"/>
  <c r="N228" i="3"/>
  <c r="C153" i="3"/>
  <c r="C155" i="3" s="1"/>
  <c r="C281" i="3" s="1"/>
  <c r="C240" i="3"/>
  <c r="C132" i="3"/>
  <c r="C233" i="3"/>
  <c r="C87" i="3"/>
  <c r="C215" i="3"/>
  <c r="C111" i="3"/>
  <c r="C226" i="3"/>
  <c r="C44" i="3"/>
  <c r="C196" i="3"/>
  <c r="N242" i="3" l="1"/>
  <c r="A179" i="5"/>
  <c r="N194" i="4"/>
  <c r="A174" i="4"/>
  <c r="N226" i="3"/>
  <c r="N219" i="3"/>
  <c r="A194" i="3"/>
  <c r="C224" i="4"/>
  <c r="C97" i="4"/>
  <c r="C225" i="4" s="1"/>
  <c r="C77" i="5"/>
  <c r="C218" i="5"/>
  <c r="N281" i="3"/>
  <c r="C213" i="4"/>
  <c r="C209" i="4"/>
  <c r="C50" i="4"/>
  <c r="C237" i="4" s="1"/>
  <c r="C133" i="3"/>
  <c r="C135" i="3" s="1"/>
  <c r="C280" i="3" s="1"/>
  <c r="C264" i="3"/>
  <c r="C266" i="3"/>
  <c r="N235" i="3"/>
  <c r="N266" i="3"/>
  <c r="C112" i="3"/>
  <c r="C114" i="3" s="1"/>
  <c r="C279" i="3" s="1"/>
  <c r="C262" i="3"/>
  <c r="N229" i="3"/>
  <c r="N232" i="3"/>
  <c r="N230" i="3"/>
  <c r="N231" i="3"/>
  <c r="C88" i="3"/>
  <c r="C216" i="3"/>
  <c r="C46" i="3"/>
  <c r="C197" i="3"/>
  <c r="N244" i="3" l="1"/>
  <c r="N282" i="3" s="1"/>
  <c r="N246" i="3"/>
  <c r="N267" i="3"/>
  <c r="N268" i="3"/>
  <c r="N243" i="3"/>
  <c r="N245" i="3"/>
  <c r="A180" i="5"/>
  <c r="A176" i="4"/>
  <c r="N233" i="3"/>
  <c r="N238" i="3"/>
  <c r="A195" i="3"/>
  <c r="C78" i="5"/>
  <c r="C219" i="5"/>
  <c r="C52" i="4"/>
  <c r="C222" i="4" s="1"/>
  <c r="C48" i="3"/>
  <c r="C276" i="3" s="1"/>
  <c r="C263" i="3"/>
  <c r="N236" i="3"/>
  <c r="N239" i="3"/>
  <c r="N237" i="3"/>
  <c r="C265" i="3"/>
  <c r="C259" i="3"/>
  <c r="C89" i="3"/>
  <c r="C217" i="3"/>
  <c r="A181" i="5" l="1"/>
  <c r="A177" i="4"/>
  <c r="N240" i="3"/>
  <c r="A196" i="3"/>
  <c r="C79" i="5"/>
  <c r="C220" i="5"/>
  <c r="C90" i="3"/>
  <c r="C218" i="3"/>
  <c r="A182" i="5" l="1"/>
  <c r="A178" i="4"/>
  <c r="A197" i="3"/>
  <c r="C80" i="5"/>
  <c r="C221" i="5"/>
  <c r="C92" i="3"/>
  <c r="C94" i="3" s="1"/>
  <c r="C278" i="3" s="1"/>
  <c r="C219" i="3"/>
  <c r="A183" i="5" l="1"/>
  <c r="A179" i="4"/>
  <c r="A199" i="3"/>
  <c r="C81" i="5"/>
  <c r="C222" i="5"/>
  <c r="C261" i="3"/>
  <c r="A180" i="4" l="1"/>
  <c r="A200" i="3"/>
  <c r="C223" i="5"/>
  <c r="C82" i="5"/>
  <c r="C224" i="5" s="1"/>
  <c r="C85" i="5"/>
  <c r="C86" i="5" s="1"/>
  <c r="A182" i="4" l="1"/>
  <c r="A201" i="3"/>
  <c r="C89" i="5"/>
  <c r="C87" i="5"/>
  <c r="A183" i="4" l="1"/>
  <c r="A202" i="3"/>
  <c r="A184" i="4" l="1"/>
  <c r="A203" i="3"/>
  <c r="A185" i="4" l="1"/>
  <c r="A204" i="3"/>
  <c r="A186" i="4" l="1"/>
  <c r="A205" i="3"/>
  <c r="A187" i="4" l="1"/>
  <c r="A206" i="3"/>
  <c r="A189" i="4" l="1"/>
  <c r="A207" i="3"/>
  <c r="A190" i="4" l="1"/>
  <c r="A208" i="3"/>
  <c r="A191" i="4" l="1"/>
  <c r="A210" i="3"/>
  <c r="A192" i="4" l="1"/>
  <c r="A211" i="3"/>
  <c r="A193" i="4" l="1"/>
  <c r="A212" i="3"/>
  <c r="A194" i="4" l="1"/>
  <c r="A196" i="4" s="1"/>
  <c r="A197" i="4" s="1"/>
  <c r="A198" i="4" s="1"/>
  <c r="A199" i="4" s="1"/>
  <c r="A200" i="4" s="1"/>
  <c r="A213" i="3"/>
  <c r="A214" i="3" l="1"/>
  <c r="A215" i="3" l="1"/>
  <c r="A216" i="3" l="1"/>
  <c r="A217" i="3" l="1"/>
  <c r="A218" i="3" l="1"/>
  <c r="A219" i="3" l="1"/>
  <c r="A221" i="3" l="1"/>
  <c r="A222" i="3" l="1"/>
  <c r="A223" i="3" l="1"/>
  <c r="A224" i="3" l="1"/>
  <c r="A225" i="3" l="1"/>
  <c r="A226" i="3" l="1"/>
  <c r="A228" i="3" l="1"/>
  <c r="A229" i="3" l="1"/>
  <c r="A230" i="3" l="1"/>
  <c r="A231" i="3" l="1"/>
  <c r="A232" i="3" l="1"/>
  <c r="A233" i="3" l="1"/>
  <c r="A235" i="3" l="1"/>
  <c r="A236" i="3" l="1"/>
  <c r="A237" i="3" l="1"/>
  <c r="A238" i="3" l="1"/>
  <c r="A239" i="3" l="1"/>
  <c r="A240" i="3" l="1"/>
  <c r="A242" i="3" s="1"/>
  <c r="A243" i="3" s="1"/>
  <c r="A244" i="3" s="1"/>
  <c r="A245" i="3" s="1"/>
  <c r="A24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<sst xmlns="http://schemas.openxmlformats.org/spreadsheetml/2006/main" count="1864" uniqueCount="157">
  <si>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</si>
  <si>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</si>
  <si>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</si>
  <si>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</si>
  <si>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</si>
  <si>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</si>
  <si>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</si>
  <si>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</si>
  <si>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</si>
  <si>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</si>
  <si>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</si>
  <si>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</si>
  <si>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</si>
  <si>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</si>
  <si>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</si>
  <si>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</si>
  <si>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</si>
  <si>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</si>
  <si>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</si>
  <si>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</si>
  <si>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وحدة سفلية   درجين / 3 أدراج</t>
  </si>
  <si>
    <t>عدد الأدراج</t>
  </si>
  <si>
    <t>مجرى درج</t>
  </si>
  <si>
    <t>HPL</t>
  </si>
  <si>
    <t>وش درج داخلى</t>
  </si>
  <si>
    <t>جنب درج داخلى</t>
  </si>
  <si>
    <t>ظهر درج داخلى</t>
  </si>
  <si>
    <t>وش درج خارجى</t>
  </si>
  <si>
    <t>وحدة سفلية   3 أدراج - 3/2</t>
  </si>
  <si>
    <t>درج داخلى</t>
  </si>
  <si>
    <t>وش درج داخلى صغير</t>
  </si>
  <si>
    <t>جنب درج داخلى صغير</t>
  </si>
  <si>
    <t>ظهر درج داخلى صغير</t>
  </si>
  <si>
    <t>وحدة سفلية   درجين - 2/4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</si>
  <si>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</si>
  <si>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</si>
  <si>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</si>
  <si>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</si>
  <si>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</si>
  <si>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</si>
  <si>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</si>
  <si>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</si>
  <si>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</si>
  <si>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</si>
  <si>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</si>
  <si>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</si>
  <si>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</si>
  <si>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</si>
  <si>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</si>
  <si>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</si>
  <si>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</si>
  <si>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</si>
  <si>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</si>
  <si>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</si>
  <si>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</si>
  <si>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</si>
  <si>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</si>
  <si>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</si>
  <si>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</si>
  <si>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</si>
  <si>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</si>
  <si>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</si>
  <si>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</si>
  <si>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</si>
  <si>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</si>
  <si>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</si>
  <si>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</si>
  <si>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</si>
  <si>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</si>
  <si>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</si>
  <si>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</si>
  <si>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</si>
  <si>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</si>
  <si>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</si>
  <si>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</si>
  <si>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</si>
  <si>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</si>
  <si>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</si>
  <si>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</si>
  <si>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</si>
  <si>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</si>
  <si>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</si>
  <si>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</si>
  <si>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</si>
  <si>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</si>
  <si>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</si>
  <si>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</si>
  <si>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</si>
  <si>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</si>
  <si>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</si>
  <si>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</si>
  <si>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</si>
  <si>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</si>
  <si>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</si>
  <si>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</si>
  <si>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</si>
  <si>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</si>
  <si>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</si>
  <si>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</si>
  <si>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</si>
  <si>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</si>
  <si>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</si>
  <si>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</si>
  <si>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</si>
  <si>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</si>
  <si>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</si>
  <si>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</si>
  <si>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</si>
  <si>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</si>
  <si>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</si>
  <si>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</si>
  <si>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</si>
  <si>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</si>
  <si>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</si>
  <si>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</si>
  <si>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</si>
  <si>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</si>
  <si>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</si>
  <si>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</si>
  <si>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</si>
  <si>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</si>
  <si>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</si>
  <si>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</si>
  <si>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Column1</t>
  </si>
  <si>
    <t>Column2</t>
  </si>
  <si>
    <t>اختر الخامات</t>
  </si>
  <si>
    <t>الخامات</t>
  </si>
  <si>
    <t>خامات</t>
  </si>
  <si>
    <t>عمق</t>
  </si>
  <si>
    <t>متكرر الوحدات السفلية</t>
  </si>
  <si>
    <t>خامات البورديوم</t>
  </si>
  <si>
    <t>متكرر البورديوم</t>
  </si>
  <si>
    <t>يوجد ظهر؟</t>
  </si>
  <si>
    <t>مقبض مخفي</t>
  </si>
  <si>
    <t>متكرر الوحدات العلوية</t>
  </si>
  <si>
    <t>وحدة سفلية دلفة /دلفتين (بورديوم)</t>
  </si>
  <si>
    <t>وحدة سفلية   درجين / 3 أدراج (بورديوم)</t>
  </si>
  <si>
    <t>وحدة سفلية   3 أدراج - 3/2 (بورديوم)</t>
  </si>
  <si>
    <t>وحدة سفلية   درجين - 2/4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</si>
  <si>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</si>
  <si>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</si>
  <si>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</si>
  <si>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</si>
  <si>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متكرر تجاليد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</si>
  <si>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</si>
  <si>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</si>
  <si>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</si>
  <si>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</si>
  <si>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</si>
  <si>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</si>
  <si>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END</t>
  </si>
  <si>
    <t>INPUT</t>
  </si>
  <si>
    <t>OTITLES</t>
  </si>
  <si>
    <t>OVISIBLE</t>
  </si>
  <si>
    <t>OBACK</t>
  </si>
  <si>
    <t>NULL</t>
  </si>
  <si>
    <t>ONORMAL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</si>
</sst>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0" borderId="7" xfId="0" applyFont="1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8" fillId="12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0" fillId="11" borderId="13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14" fillId="12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4" fillId="12" borderId="1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8" fillId="12" borderId="5" xfId="0" applyFont="1" applyFill="1" applyBorder="1" applyAlignment="1">
      <alignment horizontal="center" vertical="center" wrapText="1"/>
    </xf>
    <xf numFmtId="0" fontId="2" fillId="12" borderId="5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11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2" borderId="4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 wrapText="1"/>
    </xf>
    <xf numFmtId="0" fontId="5" fillId="12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36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845820</xdr:colOff>
          <xdr:row>25</xdr:row>
          <xdr:rowOff>0</xdr:rowOff>
        </xdr:from>
        <xdr:to>
          <xdr:col>5</xdr:col>
          <xdr:colOff>845820</xdr:colOff>
          <xdr:row>26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اعكس القيمة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8CF57F-8225-4319-A2DC-B84BACFB5B92}" name="materials" displayName="materials" ref="N6:Y8" headerRowCount="0" totalsRowShown="0" headerRowDxfId="364" dataDxfId="362" headerRowBorderDxfId="363" tableBorderDxfId="361" totalsRowBorderDxfId="360">
  <tableColumns count="12">
    <tableColumn id="1" xr3:uid="{0D9D4977-866C-4D05-95A3-876E5601342B}" name="Column1" headerRowDxfId="359" dataDxfId="358"/>
    <tableColumn id="2" xr3:uid="{08E03127-8CDA-4D5F-A100-5AC675DEB994}" name="Column2" headerRowDxfId="357" dataDxfId="356"/>
    <tableColumn id="3" xr3:uid="{AB41240F-9CCF-401A-B86C-19D3B959887E}" name="Column3" headerRowDxfId="355" dataDxfId="354"/>
    <tableColumn id="4" xr3:uid="{F4BB83F5-F846-434E-9285-7F4B08231712}" name="Column4" headerRowDxfId="353" dataDxfId="352"/>
    <tableColumn id="5" xr3:uid="{E5DC1F21-89C4-4C57-AEFE-5A4A68F3876A}" name="Column5" headerRowDxfId="351" dataDxfId="350"/>
    <tableColumn id="6" xr3:uid="{F81DBFC6-982A-4DD0-9283-54AAEBBB5A8A}" name="Column6" headerRowDxfId="349" dataDxfId="348"/>
    <tableColumn id="7" xr3:uid="{E6DC5C63-C796-43FA-A281-DAD26BCC07C6}" name="Column7" headerRowDxfId="347" dataDxfId="346"/>
    <tableColumn id="8" xr3:uid="{C8AC9914-4CBA-4D73-84D5-2217D16B22CE}" name="Column8" headerRowDxfId="345" dataDxfId="344"/>
    <tableColumn id="9" xr3:uid="{86F596CA-C001-4987-B243-4A8F89CC5830}" name="Column9" headerRowDxfId="343" dataDxfId="342"/>
    <tableColumn id="10" xr3:uid="{395BECA3-6B99-41FF-910B-407B7CF44962}" name="Column10" headerRowDxfId="341" dataDxfId="340"/>
    <tableColumn id="11" xr3:uid="{8846CA82-6E10-4D54-88BD-7A7DD313327F}" name="Column11" headerRowDxfId="339" dataDxfId="338"/>
    <tableColumn id="12" xr3:uid="{C25BD2B5-5DD9-414C-9119-9DF117FCA140}" name="Column12" headerRowDxfId="337" dataDxfId="3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C571F2-D881-47EA-9EA0-30FA826DE76D}" name="lowerCommon" displayName="lowerCommon" ref="G16:H19" headerRowCount="0" totalsRowShown="0" headerRowDxfId="335" headerRowBorderDxfId="334" tableBorderDxfId="333" totalsRowBorderDxfId="332">
  <tableColumns count="2">
    <tableColumn id="1" xr3:uid="{19FE0DBE-B4BD-4B3A-A5EF-DF0FC3E1545C}" name="Column1" headerRowDxfId="331" dataDxfId="330"/>
    <tableColumn id="2" xr3:uid="{E4FA4C5B-D06B-4D09-862C-6BEC9E0BAFBB}" name="Column2" headerRowDxfId="329" dataDxfId="32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2A5E3E-DD5B-4718-A35C-D4F7C3B248AC}" name="choosenMaterials" displayName="choosenMaterials" ref="G6:H8" headerRowCount="0" totalsRowShown="0" headerRowDxfId="327" headerRowBorderDxfId="326" tableBorderDxfId="325" totalsRowBorderDxfId="324">
  <tableColumns count="2">
    <tableColumn id="1" xr3:uid="{B054354C-399D-41E2-90BE-69B782E6B55A}" name="Column1" headerRowDxfId="323"/>
    <tableColumn id="2" xr3:uid="{5941A4E9-B60D-46C2-8FAC-EF4BE44F4DEB}" name="Column2" headerRowDxfId="32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42D2DC1-0C7E-43C6-B527-03EE8C2A4128}" name="bordiumChoosenMaterials" displayName="bordiumChoosenMaterials" ref="G11:H13" headerRowCount="0" totalsRowShown="0" headerRowDxfId="321" headerRowBorderDxfId="320" tableBorderDxfId="319" totalsRowBorderDxfId="318">
  <tableColumns count="2">
    <tableColumn id="1" xr3:uid="{6FFD2EB0-C0C1-486B-AB98-CC08C8C165DF}" name="Column1" headerRowDxfId="317"/>
    <tableColumn id="2" xr3:uid="{7A162204-3FB3-4BF8-ACC4-12AAEF149EF1}" name="Column2" headerRowDxfId="31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31AF5-6E85-4895-8B35-0658B5FE4001}" name="bordiumCommon" displayName="bordiumCommon" ref="G22:H26" headerRowCount="0" totalsRowShown="0" headerRowDxfId="315" headerRowBorderDxfId="314" tableBorderDxfId="313" totalsRowBorderDxfId="312">
  <tableColumns count="2">
    <tableColumn id="1" xr3:uid="{291115BF-67B9-4581-BDCD-1BEE84AE7406}" name="Column1" headerRowDxfId="311" dataDxfId="310"/>
    <tableColumn id="2" xr3:uid="{40FF5C74-4A2C-49CE-9D56-3A5FBCFF28F5}" name="Column2" headerRowDxfId="309" dataDxfId="30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94815E-A67D-40DA-BB56-82F68A91488A}" name="upperCommon" displayName="upperCommon" ref="G29:H32" headerRowCount="0" totalsRowShown="0" headerRowDxfId="307" headerRowBorderDxfId="306" tableBorderDxfId="305" totalsRowBorderDxfId="304">
  <tableColumns count="2">
    <tableColumn id="1" xr3:uid="{B532F40F-992C-4A0A-BFFA-6CEF76D057F7}" name="Column1" headerRowDxfId="303" dataDxfId="302"/>
    <tableColumn id="2" xr3:uid="{19493D23-D8AF-4F2A-BA0E-ADF08FE3B4BD}" name="Column2" headerRowDxfId="301" dataDxfId="30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BA7003F-5189-4879-97FC-06C025BA5C92}" name="segmantsCommon" displayName="segmantsCommon" ref="G35:H35" headerRowCount="0" totalsRowShown="0" headerRowDxfId="299" dataDxfId="297" headerRowBorderDxfId="298" tableBorderDxfId="296" totalsRowBorderDxfId="295">
  <tableColumns count="2">
    <tableColumn id="1" xr3:uid="{FE456BBF-2B2D-4FA9-96C2-517246789672}" name="Column1" headerRowDxfId="294" dataDxfId="293">
      <calculatedColumnFormula>INDEX(choosenMaterials[[#All],[Column1]],MATCH(H12,choosenMaterials[[#All],[Column2]],0))</calculatedColumnFormula>
    </tableColumn>
    <tableColumn id="2" xr3:uid="{BD56D5CA-FAF1-4BC9-B413-FFA330A915EF}" name="Column2" headerRowDxfId="292" dataDxfId="291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4BFE6C7-1E9A-4BF1-BD57-73F522C5DA59}" name="blocksFamilies" displayName="blocksFamilies" ref="R3:V4" totalsRowShown="0" headerRowDxfId="290" dataDxfId="288" headerRowBorderDxfId="289" tableBorderDxfId="287" totalsRowBorderDxfId="286">
  <autoFilter ref="R3:V4" xr:uid="{E4BFE6C7-1E9A-4BF1-BD57-73F522C5DA5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810BFCB-450E-499C-906D-574806E5DFEC}" name="وحدات سفلية" dataDxfId="285"/>
    <tableColumn id="2" xr3:uid="{D8380198-2DA8-4B91-9BA6-F34452C8A6A1}" name="بورديوم" dataDxfId="284"/>
    <tableColumn id="3" xr3:uid="{A33FE76B-85F7-4517-90E6-A8DB70F740CE}" name="وحدات علوية" dataDxfId="283"/>
    <tableColumn id="4" xr3:uid="{B39FD246-B572-402F-A8CB-40709C83CEDB}" name="دواليب" dataDxfId="282"/>
    <tableColumn id="5" xr3:uid="{E48A841C-7338-499E-8AAC-99B9E960FD09}" name="تجاليد" dataDxfId="281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83:N246" totalsRowShown="0" headerRowDxfId="280" dataDxfId="279">
  <autoFilter ref="A183:N246" xr:uid="{00000000-0009-0000-0100-000002000000}"/>
  <tableColumns count="14">
    <tableColumn id="1" xr3:uid="{00000000-0010-0000-0000-000001000000}" name="Column1" dataDxfId="278">
      <calculatedColumnFormula>A183+1</calculatedColumnFormula>
    </tableColumn>
    <tableColumn id="2" xr3:uid="{00000000-0010-0000-0000-000002000000}" name="Column2" dataDxfId="277">
      <calculatedColumnFormula>B91</calculatedColumnFormula>
    </tableColumn>
    <tableColumn id="3" xr3:uid="{00000000-0010-0000-0000-000003000000}" name="م" dataDxfId="276">
      <calculatedColumnFormula>C92</calculatedColumnFormula>
    </tableColumn>
    <tableColumn id="4" xr3:uid="{00000000-0010-0000-0000-000004000000}" name="خامة" dataDxfId="275">
      <calculatedColumnFormula>D92</calculatedColumnFormula>
    </tableColumn>
    <tableColumn id="5" xr3:uid="{00000000-0010-0000-0000-000005000000}" name="وصف" dataDxfId="274">
      <calculatedColumnFormula>E92</calculatedColumnFormula>
    </tableColumn>
    <tableColumn id="6" xr3:uid="{00000000-0010-0000-0000-000006000000}" name="طول " dataDxfId="273">
      <calculatedColumnFormula>IF(K184=0, "",F92)</calculatedColumnFormula>
    </tableColumn>
    <tableColumn id="7" xr3:uid="{00000000-0010-0000-0000-000007000000}" name="عرض" dataDxfId="272">
      <calculatedColumnFormula>IF(K184=0, "",G92)</calculatedColumnFormula>
    </tableColumn>
    <tableColumn id="8" xr3:uid="{00000000-0010-0000-0000-000008000000}" name="عدد" dataDxfId="271">
      <calculatedColumnFormula>IF(K184=0, "",H92)</calculatedColumnFormula>
    </tableColumn>
    <tableColumn id="9" xr3:uid="{00000000-0010-0000-0000-000009000000}" name="مواد" dataDxfId="270">
      <calculatedColumnFormula>IF(K184=0, "",I92)</calculatedColumnFormula>
    </tableColumn>
    <tableColumn id="10" xr3:uid="{00000000-0010-0000-0000-00000A000000}" name="اتجاه القشرة" dataDxfId="269">
      <calculatedColumnFormula>IF(K184=0, "",J92)</calculatedColumnFormula>
    </tableColumn>
    <tableColumn id="11" xr3:uid="{00000000-0010-0000-0000-00000B000000}" name="طول" dataDxfId="268"/>
    <tableColumn id="12" xr3:uid="{00000000-0010-0000-0000-00000C000000}" name="ارتفاع" dataDxfId="267"/>
    <tableColumn id="13" xr3:uid="{00000000-0010-0000-0000-00000D000000}" name="عمق " dataDxfId="266"/>
    <tableColumn id="14" xr3:uid="{00000000-0010-0000-0000-00000E000000}" name="رقم الوحدة" dataDxfId="265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e7" displayName="Table7" ref="A255:N268" totalsRowShown="0" headerRowDxfId="264" dataDxfId="263">
  <autoFilter ref="A255:N268" xr:uid="{00000000-0009-0000-0100-000007000000}"/>
  <tableColumns count="14">
    <tableColumn id="1" xr3:uid="{00000000-0010-0000-0500-000001000000}" name="Column1" dataDxfId="262"/>
    <tableColumn id="2" xr3:uid="{00000000-0010-0000-0500-000002000000}" name="Column2" dataDxfId="261"/>
    <tableColumn id="3" xr3:uid="{00000000-0010-0000-0500-000003000000}" name="م" dataDxfId="260"/>
    <tableColumn id="4" xr3:uid="{00000000-0010-0000-0500-000004000000}" name="خامة" dataDxfId="259"/>
    <tableColumn id="5" xr3:uid="{00000000-0010-0000-0500-000005000000}" name="وصف" dataDxfId="258"/>
    <tableColumn id="6" xr3:uid="{00000000-0010-0000-0500-000006000000}" name="طول " dataDxfId="257"/>
    <tableColumn id="7" xr3:uid="{00000000-0010-0000-0500-000007000000}" name="عرض" dataDxfId="256"/>
    <tableColumn id="8" xr3:uid="{00000000-0010-0000-0500-000008000000}" name="عدد" dataDxfId="255"/>
    <tableColumn id="9" xr3:uid="{00000000-0010-0000-0500-000009000000}" name="مواد" dataDxfId="254"/>
    <tableColumn id="10" xr3:uid="{00000000-0010-0000-0500-00000A000000}" name="اتجاه القشرة" dataDxfId="253"/>
    <tableColumn id="11" xr3:uid="{00000000-0010-0000-0500-00000B000000}" name="طول" dataDxfId="252"/>
    <tableColumn id="12" xr3:uid="{00000000-0010-0000-0500-00000C000000}" name="ارتفاع" dataDxfId="251"/>
    <tableColumn id="13" xr3:uid="{00000000-0010-0000-0500-00000D000000}" name="عمق " dataDxfId="250"/>
    <tableColumn id="14" xr3:uid="{00000000-0010-0000-0500-00000E000000}" name="رقم الوحدة" dataDxfId="24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e12" displayName="Table12" ref="A273:N283" totalsRowShown="0" headerRowDxfId="248" dataDxfId="247">
  <autoFilter ref="A273:N283" xr:uid="{00000000-0009-0000-0100-00000C000000}"/>
  <tableColumns count="14">
    <tableColumn id="1" xr3:uid="{00000000-0010-0000-0A00-000001000000}" name="Column1" dataDxfId="246">
      <calculatedColumnFormula>A273+1</calculatedColumnFormula>
    </tableColumn>
    <tableColumn id="2" xr3:uid="{00000000-0010-0000-0A00-000002000000}" name="Column2" dataDxfId="245"/>
    <tableColumn id="3" xr3:uid="{00000000-0010-0000-0A00-000003000000}" name="م" dataDxfId="244"/>
    <tableColumn id="4" xr3:uid="{00000000-0010-0000-0A00-000004000000}" name="خامة" dataDxfId="243"/>
    <tableColumn id="5" xr3:uid="{00000000-0010-0000-0A00-000005000000}" name="وصف" dataDxfId="242"/>
    <tableColumn id="6" xr3:uid="{00000000-0010-0000-0A00-000006000000}" name="طول " dataDxfId="241"/>
    <tableColumn id="7" xr3:uid="{00000000-0010-0000-0A00-000007000000}" name="عرض" dataDxfId="240"/>
    <tableColumn id="8" xr3:uid="{00000000-0010-0000-0A00-000008000000}" name="عدد" dataDxfId="239"/>
    <tableColumn id="9" xr3:uid="{00000000-0010-0000-0A00-000009000000}" name="مواد" dataDxfId="238"/>
    <tableColumn id="10" xr3:uid="{00000000-0010-0000-0A00-00000A000000}" name="اتجاه القشرة" dataDxfId="237"/>
    <tableColumn id="11" xr3:uid="{00000000-0010-0000-0A00-00000B000000}" name="طول" dataDxfId="236"/>
    <tableColumn id="12" xr3:uid="{00000000-0010-0000-0A00-00000C000000}" name="ارتفاع" dataDxfId="235"/>
    <tableColumn id="13" xr3:uid="{00000000-0010-0000-0A00-00000D000000}" name="عمق " dataDxfId="234"/>
    <tableColumn id="14" xr3:uid="{00000000-0010-0000-0A00-00000E000000}" name="رقم الوحدة" dataDxfId="233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152E5B-4981-4281-BE61-8DF8A47CA069}" name="lowerBlockTypes" displayName="lowerBlockTypes" ref="R3:Y4" totalsRowShown="0" headerRowDxfId="232" dataDxfId="230" headerRowBorderDxfId="231" tableBorderDxfId="229" totalsRowBorderDxfId="228">
  <autoFilter ref="R3:Y4" xr:uid="{F3152E5B-4981-4281-BE61-8DF8A47CA0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5DB2651-DD24-4F1A-92A6-C4D9D72592AE}" name="وحدة سفلية دلفة /دلفتين " dataDxfId="227"/>
    <tableColumn id="2" xr3:uid="{F3D4CDFC-DAB1-4F06-8C61-44EE86D750E3}" name="وحدة سفلية   درجين / 3 أدراج" dataDxfId="226">
      <calculatedColumnFormula>lowerBlockTypes[[#This Row],[وحدة سفلية دلفة /دلفتين ]]+1</calculatedColumnFormula>
    </tableColumn>
    <tableColumn id="3" xr3:uid="{F50DCF25-603E-41DE-92AE-0FC4ADD0296B}" name="وحدة سفلية   3 أدراج - 3/2" dataDxfId="225">
      <calculatedColumnFormula>lowerBlockTypes[[#This Row],[وحدة سفلية   درجين / 3 أدراج]]+1</calculatedColumnFormula>
    </tableColumn>
    <tableColumn id="4" xr3:uid="{67A9D0EC-7EFA-45A2-9AC6-3B15649A4779}" name="وحدة سفلية   درجين - 2/4" dataDxfId="224">
      <calculatedColumnFormula>lowerBlockTypes[[#This Row],[وحدة سفلية   3 أدراج - 3/2]]+1</calculatedColumnFormula>
    </tableColumn>
    <tableColumn id="5" xr3:uid="{A6DFB59C-973D-4438-B4F0-1A3B6D41C23C}" name="وحدة سفلية  تلبيسة دلفة /دلفتين " dataDxfId="223">
      <calculatedColumnFormula>lowerBlockTypes[[#This Row],[وحدة سفلية   درجين - 2/4]]+1</calculatedColumnFormula>
    </tableColumn>
    <tableColumn id="6" xr3:uid="{228AD97A-53F0-4ADA-AC63-4065255461E5}" name="وحدة سفلية  زاوية 90" dataDxfId="222">
      <calculatedColumnFormula>lowerBlockTypes[[#This Row],[وحدة سفلية  تلبيسة دلفة /دلفتين ]]+1</calculatedColumnFormula>
    </tableColumn>
    <tableColumn id="7" xr3:uid="{65F7DBD2-5073-458E-B447-52A9C0AA3442}" name="وحدة سفلية  ركنة 45" dataDxfId="221">
      <calculatedColumnFormula>lowerBlockTypes[[#This Row],[وحدة سفلية  زاوية 90]]+1</calculatedColumnFormula>
    </tableColumn>
    <tableColumn id="8" xr3:uid="{2FC90FBF-B938-4002-B055-B5A9A22EE5BC}" name="وحدة سفلية  فرن " dataDxfId="220">
      <calculatedColumnFormula>lowerBlockTypes[[#This Row],[وحدة سفلية  ركنة 45]]+1</calculatedColumnFormula>
    </tableColumn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Table17" displayName="Table17" ref="A239:N249" totalsRowShown="0" headerRowDxfId="219" dataDxfId="218">
  <autoFilter ref="A239:N249" xr:uid="{00000000-0009-0000-0100-000011000000}"/>
  <tableColumns count="14">
    <tableColumn id="1" xr3:uid="{00000000-0010-0000-0F00-000001000000}" name="Column1" dataDxfId="217">
      <calculatedColumnFormula>A239+1</calculatedColumnFormula>
    </tableColumn>
    <tableColumn id="2" xr3:uid="{00000000-0010-0000-0F00-000002000000}" name="Column2" dataDxfId="216"/>
    <tableColumn id="3" xr3:uid="{00000000-0010-0000-0F00-000003000000}" name="م" dataDxfId="215"/>
    <tableColumn id="4" xr3:uid="{00000000-0010-0000-0F00-000004000000}" name="خامة" dataDxfId="214"/>
    <tableColumn id="5" xr3:uid="{00000000-0010-0000-0F00-000005000000}" name="وصف" dataDxfId="213"/>
    <tableColumn id="6" xr3:uid="{00000000-0010-0000-0F00-000006000000}" name="طول " dataDxfId="212"/>
    <tableColumn id="7" xr3:uid="{00000000-0010-0000-0F00-000007000000}" name="عرض" dataDxfId="211"/>
    <tableColumn id="8" xr3:uid="{00000000-0010-0000-0F00-000008000000}" name="عدد" dataDxfId="210"/>
    <tableColumn id="9" xr3:uid="{00000000-0010-0000-0F00-000009000000}" name="مواد" dataDxfId="209"/>
    <tableColumn id="10" xr3:uid="{00000000-0010-0000-0F00-00000A000000}" name="اتجاه القشرة" dataDxfId="208"/>
    <tableColumn id="11" xr3:uid="{00000000-0010-0000-0F00-00000B000000}" name="طول" dataDxfId="207"/>
    <tableColumn id="12" xr3:uid="{00000000-0010-0000-0F00-00000C000000}" name="ارتفاع" dataDxfId="206"/>
    <tableColumn id="13" xr3:uid="{00000000-0010-0000-0F00-00000D000000}" name="عمق " dataDxfId="205"/>
    <tableColumn id="14" xr3:uid="{00000000-0010-0000-0F00-00000E000000}" name="رقم الوحدة" dataDxfId="204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le18" displayName="Table18" ref="A224:N234" totalsRowShown="0" headerRowDxfId="203" dataDxfId="202">
  <autoFilter ref="A224:N234" xr:uid="{00000000-0009-0000-0100-000012000000}"/>
  <tableColumns count="14">
    <tableColumn id="1" xr3:uid="{00000000-0010-0000-1000-000001000000}" name="Column1" dataDxfId="201">
      <calculatedColumnFormula>A224+1</calculatedColumnFormula>
    </tableColumn>
    <tableColumn id="2" xr3:uid="{00000000-0010-0000-1000-000002000000}" name="Column2" dataDxfId="200"/>
    <tableColumn id="3" xr3:uid="{00000000-0010-0000-1000-000003000000}" name="م" dataDxfId="199"/>
    <tableColumn id="4" xr3:uid="{00000000-0010-0000-1000-000004000000}" name="خامة" dataDxfId="198"/>
    <tableColumn id="5" xr3:uid="{00000000-0010-0000-1000-000005000000}" name="وصف" dataDxfId="197"/>
    <tableColumn id="6" xr3:uid="{00000000-0010-0000-1000-000006000000}" name="طول " dataDxfId="196"/>
    <tableColumn id="7" xr3:uid="{00000000-0010-0000-1000-000007000000}" name="عرض" dataDxfId="195"/>
    <tableColumn id="8" xr3:uid="{00000000-0010-0000-1000-000008000000}" name="عدد" dataDxfId="194"/>
    <tableColumn id="9" xr3:uid="{00000000-0010-0000-1000-000009000000}" name="مواد" dataDxfId="193"/>
    <tableColumn id="10" xr3:uid="{00000000-0010-0000-1000-00000A000000}" name="اتجاه القشرة" dataDxfId="192"/>
    <tableColumn id="11" xr3:uid="{00000000-0010-0000-1000-00000B000000}" name="طول" dataDxfId="191"/>
    <tableColumn id="12" xr3:uid="{00000000-0010-0000-1000-00000C000000}" name="ارتفاع" dataDxfId="190"/>
    <tableColumn id="13" xr3:uid="{00000000-0010-0000-1000-00000D000000}" name="عمق " dataDxfId="189"/>
    <tableColumn id="14" xr3:uid="{00000000-0010-0000-1000-00000E000000}" name="رقم الوحدة" dataDxfId="18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Table19" displayName="Table19" ref="A162:N219" totalsRowShown="0" headerRowDxfId="187" dataDxfId="186">
  <autoFilter ref="A162:N219" xr:uid="{00000000-0009-0000-0100-000013000000}"/>
  <tableColumns count="14">
    <tableColumn id="1" xr3:uid="{00000000-0010-0000-1100-000001000000}" name="Column1" dataDxfId="185">
      <calculatedColumnFormula>A162+1</calculatedColumnFormula>
    </tableColumn>
    <tableColumn id="2" xr3:uid="{00000000-0010-0000-1100-000002000000}" name="Column2" dataDxfId="184">
      <calculatedColumnFormula>B92</calculatedColumnFormula>
    </tableColumn>
    <tableColumn id="3" xr3:uid="{00000000-0010-0000-1100-000003000000}" name="م" dataDxfId="183">
      <calculatedColumnFormula>C92</calculatedColumnFormula>
    </tableColumn>
    <tableColumn id="4" xr3:uid="{00000000-0010-0000-1100-000004000000}" name="خامة" dataDxfId="182">
      <calculatedColumnFormula>D92</calculatedColumnFormula>
    </tableColumn>
    <tableColumn id="5" xr3:uid="{00000000-0010-0000-1100-000005000000}" name="وصف" dataDxfId="181">
      <calculatedColumnFormula>E92</calculatedColumnFormula>
    </tableColumn>
    <tableColumn id="6" xr3:uid="{00000000-0010-0000-1100-000006000000}" name="طول " dataDxfId="180">
      <calculatedColumnFormula>IF(K163=0, "",F92)</calculatedColumnFormula>
    </tableColumn>
    <tableColumn id="7" xr3:uid="{00000000-0010-0000-1100-000007000000}" name="عرض" dataDxfId="179">
      <calculatedColumnFormula>IF(K163=0, "",G92)</calculatedColumnFormula>
    </tableColumn>
    <tableColumn id="8" xr3:uid="{00000000-0010-0000-1100-000008000000}" name="عدد" dataDxfId="178">
      <calculatedColumnFormula>IF(K163=0, "",H92)</calculatedColumnFormula>
    </tableColumn>
    <tableColumn id="9" xr3:uid="{00000000-0010-0000-1100-000009000000}" name="مواد" dataDxfId="177">
      <calculatedColumnFormula>IF(K163=0, "",I92)</calculatedColumnFormula>
    </tableColumn>
    <tableColumn id="10" xr3:uid="{00000000-0010-0000-1100-00000A000000}" name="اتجاه القشرة" dataDxfId="176">
      <calculatedColumnFormula>IF(K163=0, "",J92)</calculatedColumnFormula>
    </tableColumn>
    <tableColumn id="11" xr3:uid="{00000000-0010-0000-1100-00000B000000}" name="طول" dataDxfId="175"/>
    <tableColumn id="12" xr3:uid="{00000000-0010-0000-1100-00000C000000}" name="ارتفاع" dataDxfId="174"/>
    <tableColumn id="13" xr3:uid="{00000000-0010-0000-1100-00000D000000}" name="عمق " dataDxfId="173"/>
    <tableColumn id="14" xr3:uid="{00000000-0010-0000-1100-00000E000000}" name="رقم الوحدة" dataDxfId="172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33B1049-3A60-4FDA-B8B6-6B7B8E6A1618}" name="bordiumBlockTypes" displayName="bordiumBlockTypes" ref="R3:X4" totalsRowShown="0" headerRowDxfId="171" dataDxfId="169" headerRowBorderDxfId="170" tableBorderDxfId="168" totalsRowBorderDxfId="167">
  <autoFilter ref="R3:X4" xr:uid="{633B1049-3A60-4FDA-B8B6-6B7B8E6A161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417F417F-641F-4434-9812-659B57248744}" name="وحدة سفلية دلفة /دلفتين (بورديوم)" dataDxfId="166"/>
    <tableColumn id="2" xr3:uid="{FA96B6A7-697C-4FD6-8F50-3CC5CB97D7E9}" name="وحدة سفلية   درجين / 3 أدراج (بورديوم)" dataDxfId="165">
      <calculatedColumnFormula>bordiumBlockTypes[[#This Row],[وحدة سفلية دلفة /دلفتين (بورديوم)]]+1</calculatedColumnFormula>
    </tableColumn>
    <tableColumn id="3" xr3:uid="{3F84A232-000A-4B65-9A05-CCF605A28FA5}" name="وحدة سفلية   3 أدراج - 3/2 (بورديوم)" dataDxfId="164">
      <calculatedColumnFormula>bordiumBlockTypes[[#This Row],[وحدة سفلية   درجين / 3 أدراج (بورديوم)]]+1</calculatedColumnFormula>
    </tableColumn>
    <tableColumn id="4" xr3:uid="{32CEF767-0E4C-48C1-8155-76103963DE25}" name="وحدة سفلية   درجين - 2/4 (بورديوم)" dataDxfId="163">
      <calculatedColumnFormula>bordiumBlockTypes[[#This Row],[وحدة سفلية   3 أدراج - 3/2 (بورديوم)]]+1</calculatedColumnFormula>
    </tableColumn>
    <tableColumn id="5" xr3:uid="{CF76D580-C666-4C40-9964-A3FA57B300AD}" name="وحدة سفلية  تلبيسة دلفة /دلفتين (بورديوم)" dataDxfId="162">
      <calculatedColumnFormula>bordiumBlockTypes[[#This Row],[وحدة سفلية   درجين - 2/4 (بورديوم)]]+1</calculatedColumnFormula>
    </tableColumn>
    <tableColumn id="6" xr3:uid="{F35D67F2-2558-4E51-9F7C-31378D17CF92}" name="وحدة سفلية  زاوية 90 (بورديوم)" dataDxfId="161">
      <calculatedColumnFormula>bordiumBlockTypes[[#This Row],[وحدة سفلية  تلبيسة دلفة /دلفتين (بورديوم)]]+1</calculatedColumnFormula>
    </tableColumn>
    <tableColumn id="7" xr3:uid="{EABCA046-8674-4D22-A5C9-C828AF6F26B2}" name="وحدة سفلية  ركنة 45 (بورديوم)" dataDxfId="160">
      <calculatedColumnFormula>bordiumBlockTypes[[#This Row],[وحدة سفلية  زاوية 90 (بورديوم)]]+1</calculatedColumnFormula>
    </tableColumn>
  </tableColumns>
  <tableStyleInfo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2000000}" name="Table20" displayName="Table20" ref="A162:N200" totalsRowShown="0" headerRowDxfId="137" dataDxfId="136">
  <autoFilter ref="A162:N200" xr:uid="{00000000-0009-0000-0100-000014000000}"/>
  <tableColumns count="14">
    <tableColumn id="1" xr3:uid="{00000000-0010-0000-1200-000001000000}" name="Column1" dataDxfId="135">
      <calculatedColumnFormula>A162+1</calculatedColumnFormula>
    </tableColumn>
    <tableColumn id="2" xr3:uid="{00000000-0010-0000-1200-000002000000}" name="Column2" dataDxfId="134">
      <calculatedColumnFormula>B96</calculatedColumnFormula>
    </tableColumn>
    <tableColumn id="3" xr3:uid="{00000000-0010-0000-1200-000003000000}" name="م" dataDxfId="133">
      <calculatedColumnFormula>C96</calculatedColumnFormula>
    </tableColumn>
    <tableColumn id="4" xr3:uid="{00000000-0010-0000-1200-000004000000}" name="خامة" dataDxfId="132">
      <calculatedColumnFormula>D96</calculatedColumnFormula>
    </tableColumn>
    <tableColumn id="5" xr3:uid="{00000000-0010-0000-1200-000005000000}" name="وصف" dataDxfId="131">
      <calculatedColumnFormula>E96</calculatedColumnFormula>
    </tableColumn>
    <tableColumn id="6" xr3:uid="{00000000-0010-0000-1200-000006000000}" name="طول " dataDxfId="130">
      <calculatedColumnFormula>IF(K163=0, "",F96)</calculatedColumnFormula>
    </tableColumn>
    <tableColumn id="7" xr3:uid="{00000000-0010-0000-1200-000007000000}" name="عرض" dataDxfId="129">
      <calculatedColumnFormula>IF(K163=0, "",G96)</calculatedColumnFormula>
    </tableColumn>
    <tableColumn id="8" xr3:uid="{00000000-0010-0000-1200-000008000000}" name="عدد" dataDxfId="128">
      <calculatedColumnFormula>IF(K163=0, "",H96)</calculatedColumnFormula>
    </tableColumn>
    <tableColumn id="9" xr3:uid="{00000000-0010-0000-1200-000009000000}" name="مواد" dataDxfId="127">
      <calculatedColumnFormula>IF(K163=0, "",I96)</calculatedColumnFormula>
    </tableColumn>
    <tableColumn id="10" xr3:uid="{00000000-0010-0000-1200-00000A000000}" name="اتجاه القشرة" dataDxfId="126">
      <calculatedColumnFormula>IF(K163=0, "",J96)</calculatedColumnFormula>
    </tableColumn>
    <tableColumn id="11" xr3:uid="{00000000-0010-0000-1200-00000B000000}" name="طول" dataDxfId="125"/>
    <tableColumn id="12" xr3:uid="{00000000-0010-0000-1200-00000C000000}" name="ارتفاع" dataDxfId="124"/>
    <tableColumn id="13" xr3:uid="{00000000-0010-0000-1200-00000D000000}" name="عمق " dataDxfId="123"/>
    <tableColumn id="14" xr3:uid="{00000000-0010-0000-1200-00000E000000}" name="رقم الوحدة" dataDxfId="122"/>
  </tableColumns>
  <tableStyleInfo name="TableStyleMedium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3000000}" name="Table21" displayName="Table21" ref="A206:N215" totalsRowShown="0" headerRowDxfId="121" dataDxfId="120">
  <autoFilter ref="A206:N215" xr:uid="{00000000-0009-0000-0100-000015000000}"/>
  <tableColumns count="14">
    <tableColumn id="1" xr3:uid="{00000000-0010-0000-1300-000001000000}" name="Column1" dataDxfId="119">
      <calculatedColumnFormula>A206+1</calculatedColumnFormula>
    </tableColumn>
    <tableColumn id="2" xr3:uid="{00000000-0010-0000-1300-000002000000}" name="Column2" dataDxfId="118"/>
    <tableColumn id="3" xr3:uid="{00000000-0010-0000-1300-000003000000}" name="م" dataDxfId="117"/>
    <tableColumn id="4" xr3:uid="{00000000-0010-0000-1300-000004000000}" name="خامة" dataDxfId="116"/>
    <tableColumn id="5" xr3:uid="{00000000-0010-0000-1300-000005000000}" name="وصف" dataDxfId="115"/>
    <tableColumn id="6" xr3:uid="{00000000-0010-0000-1300-000006000000}" name="طول " dataDxfId="114"/>
    <tableColumn id="7" xr3:uid="{00000000-0010-0000-1300-000007000000}" name="عرض" dataDxfId="113"/>
    <tableColumn id="8" xr3:uid="{00000000-0010-0000-1300-000008000000}" name="عدد" dataDxfId="112"/>
    <tableColumn id="9" xr3:uid="{00000000-0010-0000-1300-000009000000}" name="مواد" dataDxfId="111"/>
    <tableColumn id="10" xr3:uid="{00000000-0010-0000-1300-00000A000000}" name="اتجاه القشرة" dataDxfId="110"/>
    <tableColumn id="11" xr3:uid="{00000000-0010-0000-1300-00000B000000}" name="طول" dataDxfId="109"/>
    <tableColumn id="12" xr3:uid="{00000000-0010-0000-1300-00000C000000}" name="ارتفاع" dataDxfId="108"/>
    <tableColumn id="13" xr3:uid="{00000000-0010-0000-1300-00000D000000}" name="عمق " dataDxfId="107"/>
    <tableColumn id="14" xr3:uid="{00000000-0010-0000-1300-00000E000000}" name="رقم الوحدة" dataDxfId="10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Table22" displayName="Table22" ref="A219:N227" totalsRowShown="0" headerRowDxfId="105" dataDxfId="104">
  <autoFilter ref="A219:N227" xr:uid="{00000000-0009-0000-0100-000016000000}"/>
  <tableColumns count="14">
    <tableColumn id="1" xr3:uid="{00000000-0010-0000-1400-000001000000}" name="Column1" dataDxfId="103">
      <calculatedColumnFormula>A219+1</calculatedColumnFormula>
    </tableColumn>
    <tableColumn id="2" xr3:uid="{00000000-0010-0000-1400-000002000000}" name="Column2" dataDxfId="102"/>
    <tableColumn id="3" xr3:uid="{00000000-0010-0000-1400-000003000000}" name="م" dataDxfId="101"/>
    <tableColumn id="4" xr3:uid="{00000000-0010-0000-1400-000004000000}" name="خامة" dataDxfId="100"/>
    <tableColumn id="5" xr3:uid="{00000000-0010-0000-1400-000005000000}" name="وصف" dataDxfId="99"/>
    <tableColumn id="6" xr3:uid="{00000000-0010-0000-1400-000006000000}" name="طول " dataDxfId="98"/>
    <tableColumn id="7" xr3:uid="{00000000-0010-0000-1400-000007000000}" name="عرض" dataDxfId="97"/>
    <tableColumn id="8" xr3:uid="{00000000-0010-0000-1400-000008000000}" name="عدد" dataDxfId="96"/>
    <tableColumn id="9" xr3:uid="{00000000-0010-0000-1400-000009000000}" name="مواد" dataDxfId="95"/>
    <tableColumn id="10" xr3:uid="{00000000-0010-0000-1400-00000A000000}" name="اتجاه القشرة" dataDxfId="94"/>
    <tableColumn id="11" xr3:uid="{00000000-0010-0000-1400-00000B000000}" name="طول" dataDxfId="93"/>
    <tableColumn id="12" xr3:uid="{00000000-0010-0000-1400-00000C000000}" name="ارتفاع" dataDxfId="92"/>
    <tableColumn id="13" xr3:uid="{00000000-0010-0000-1400-00000D000000}" name="عمق " dataDxfId="91"/>
    <tableColumn id="14" xr3:uid="{00000000-0010-0000-1400-00000E000000}" name="رقم الوحدة" dataDxfId="90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Table23" displayName="Table23" ref="A234:N238" totalsRowShown="0" headerRowDxfId="89" dataDxfId="88">
  <autoFilter ref="A234:N238" xr:uid="{00000000-0009-0000-0100-000017000000}"/>
  <tableColumns count="14">
    <tableColumn id="1" xr3:uid="{00000000-0010-0000-1500-000001000000}" name="Column1" dataDxfId="87"/>
    <tableColumn id="2" xr3:uid="{00000000-0010-0000-1500-000002000000}" name="Column2" dataDxfId="86"/>
    <tableColumn id="3" xr3:uid="{00000000-0010-0000-1500-000003000000}" name="م" dataDxfId="85"/>
    <tableColumn id="4" xr3:uid="{00000000-0010-0000-1500-000004000000}" name="خامة" dataDxfId="84"/>
    <tableColumn id="5" xr3:uid="{00000000-0010-0000-1500-000005000000}" name="وصف" dataDxfId="83"/>
    <tableColumn id="6" xr3:uid="{00000000-0010-0000-1500-000006000000}" name="طول " dataDxfId="82"/>
    <tableColumn id="7" xr3:uid="{00000000-0010-0000-1500-000007000000}" name="عرض" dataDxfId="81"/>
    <tableColumn id="8" xr3:uid="{00000000-0010-0000-1500-000008000000}" name="عدد" dataDxfId="80"/>
    <tableColumn id="9" xr3:uid="{00000000-0010-0000-1500-000009000000}" name="مواد" dataDxfId="79"/>
    <tableColumn id="10" xr3:uid="{00000000-0010-0000-1500-00000A000000}" name="اتجاه القشرة" dataDxfId="78"/>
    <tableColumn id="11" xr3:uid="{00000000-0010-0000-1500-00000B000000}" name="طول" dataDxfId="77"/>
    <tableColumn id="12" xr3:uid="{00000000-0010-0000-1500-00000C000000}" name="ارتفاع" dataDxfId="76"/>
    <tableColumn id="13" xr3:uid="{00000000-0010-0000-1500-00000D000000}" name="عمق " dataDxfId="75"/>
    <tableColumn id="14" xr3:uid="{00000000-0010-0000-1500-00000E000000}" name="رقم الوحدة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0BD8150-4263-4892-900A-BC1ADA2E1D70}" name="upperBlockTypes" displayName="upperBlockTypes" ref="R3:W4" totalsRowShown="0" headerRowDxfId="73" dataDxfId="71" headerRowBorderDxfId="72" tableBorderDxfId="70" totalsRowBorderDxfId="69">
  <autoFilter ref="R3:W4" xr:uid="{40BD8150-4263-4892-900A-BC1ADA2E1D7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5CD8AEE-37A1-422A-B07E-909837A0C65B}" name="وحدة علوية دلفة /دلفتين " dataDxfId="68"/>
    <tableColumn id="2" xr3:uid="{810DEE90-920B-43EB-8841-F7FA25521AD7}" name="وحدة علوية  قلاب / 2 قلاب" dataDxfId="67">
      <calculatedColumnFormula>upperBlockTypes[[#This Row],[وحدة علوية دلفة /دلفتين ]]+1</calculatedColumnFormula>
    </tableColumn>
    <tableColumn id="3" xr3:uid="{7016E28B-CA28-4029-B00F-5068D0ED15F9}" name="وحدة علوية  تلبيسة دلفة /دلفتين " dataDxfId="66">
      <calculatedColumnFormula>upperBlockTypes[[#This Row],[وحدة علوية  قلاب / 2 قلاب]]+1</calculatedColumnFormula>
    </tableColumn>
    <tableColumn id="4" xr3:uid="{ED4EF26A-595F-48E3-B319-82A1A62319DA}" name="وحدة علوية  زاوية 90" dataDxfId="65">
      <calculatedColumnFormula>upperBlockTypes[[#This Row],[وحدة علوية  تلبيسة دلفة /دلفتين ]]+1</calculatedColumnFormula>
    </tableColumn>
    <tableColumn id="5" xr3:uid="{63C452E3-9E99-401E-9BFC-DF4CC7289AFB}" name="وحدة علوية  ركنة 45" dataDxfId="64">
      <calculatedColumnFormula>upperBlockTypes[[#This Row],[وحدة علوية  زاوية 90]]+1</calculatedColumnFormula>
    </tableColumn>
    <tableColumn id="6" xr3:uid="{AE4A729F-D2C5-4733-BB35-751C4288DCBF}" name="وحدة علوية ميكروويف دلفة /دلفتين " dataDxfId="63">
      <calculatedColumnFormula>upperBlockTypes[[#This Row],[وحدة علوية  ركنة 45]]+1</calculatedColumnFormula>
    </tableColumn>
  </tableColumns>
  <tableStyleInfo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6000000}" name="Table24" displayName="Table24" ref="A162:N183" totalsRowShown="0" headerRowDxfId="46" dataDxfId="45">
  <autoFilter ref="A162:N183" xr:uid="{00000000-0009-0000-0100-000018000000}"/>
  <tableColumns count="14">
    <tableColumn id="1" xr3:uid="{00000000-0010-0000-1600-000001000000}" name="Column1" dataDxfId="44">
      <calculatedColumnFormula>A162+1</calculatedColumnFormula>
    </tableColumn>
    <tableColumn id="2" xr3:uid="{00000000-0010-0000-1600-000002000000}" name="Column2" dataDxfId="43">
      <calculatedColumnFormula>B50</calculatedColumnFormula>
    </tableColumn>
    <tableColumn id="3" xr3:uid="{00000000-0010-0000-1600-000003000000}" name="م" dataDxfId="42">
      <calculatedColumnFormula>C50</calculatedColumnFormula>
    </tableColumn>
    <tableColumn id="4" xr3:uid="{00000000-0010-0000-1600-000004000000}" name="خامة" dataDxfId="41">
      <calculatedColumnFormula>D50</calculatedColumnFormula>
    </tableColumn>
    <tableColumn id="5" xr3:uid="{00000000-0010-0000-1600-000005000000}" name="وصف" dataDxfId="40">
      <calculatedColumnFormula>E50</calculatedColumnFormula>
    </tableColumn>
    <tableColumn id="6" xr3:uid="{00000000-0010-0000-1600-000006000000}" name="طول " dataDxfId="39">
      <calculatedColumnFormula>IF(K163=0, "",F50)</calculatedColumnFormula>
    </tableColumn>
    <tableColumn id="7" xr3:uid="{00000000-0010-0000-1600-000007000000}" name="عرض" dataDxfId="38">
      <calculatedColumnFormula>IF(K163=0, "",G50)</calculatedColumnFormula>
    </tableColumn>
    <tableColumn id="8" xr3:uid="{00000000-0010-0000-1600-000008000000}" name="عدد" dataDxfId="37">
      <calculatedColumnFormula>IF(K163=0, "",H50)</calculatedColumnFormula>
    </tableColumn>
    <tableColumn id="9" xr3:uid="{00000000-0010-0000-1600-000009000000}" name="مواد" dataDxfId="36">
      <calculatedColumnFormula>IF(K163=0, "",I50)</calculatedColumnFormula>
    </tableColumn>
    <tableColumn id="10" xr3:uid="{00000000-0010-0000-1600-00000A000000}" name="اتجاه القشرة" dataDxfId="35">
      <calculatedColumnFormula>IF(K163=0, "",J50)</calculatedColumnFormula>
    </tableColumn>
    <tableColumn id="11" xr3:uid="{00000000-0010-0000-1600-00000B000000}" name="طول" dataDxfId="34"/>
    <tableColumn id="12" xr3:uid="{00000000-0010-0000-1600-00000C000000}" name="ارتفاع" dataDxfId="33"/>
    <tableColumn id="13" xr3:uid="{00000000-0010-0000-1600-00000D000000}" name="عمق " dataDxfId="32"/>
    <tableColumn id="14" xr3:uid="{00000000-0010-0000-1600-00000E000000}" name="رقم الوحدة" dataDxfId="31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7000000}" name="Table25" displayName="Table25" ref="A212:N225" totalsRowShown="0" headerRowDxfId="30" dataDxfId="29">
  <autoFilter ref="A212:N225" xr:uid="{00000000-0009-0000-0100-000019000000}"/>
  <tableColumns count="14">
    <tableColumn id="1" xr3:uid="{00000000-0010-0000-1700-000001000000}" name="Column1" dataDxfId="28"/>
    <tableColumn id="2" xr3:uid="{00000000-0010-0000-1700-000002000000}" name="Column2" dataDxfId="27"/>
    <tableColumn id="3" xr3:uid="{00000000-0010-0000-1700-000003000000}" name="م" dataDxfId="26"/>
    <tableColumn id="4" xr3:uid="{00000000-0010-0000-1700-000004000000}" name="خامة" dataDxfId="25"/>
    <tableColumn id="5" xr3:uid="{00000000-0010-0000-1700-000005000000}" name="وصف" dataDxfId="24"/>
    <tableColumn id="6" xr3:uid="{00000000-0010-0000-1700-000006000000}" name="طول " dataDxfId="23"/>
    <tableColumn id="7" xr3:uid="{00000000-0010-0000-1700-000007000000}" name="عرض" dataDxfId="22"/>
    <tableColumn id="8" xr3:uid="{00000000-0010-0000-1700-000008000000}" name="عدد" dataDxfId="21"/>
    <tableColumn id="9" xr3:uid="{00000000-0010-0000-1700-000009000000}" name="مواد" dataDxfId="20"/>
    <tableColumn id="10" xr3:uid="{00000000-0010-0000-1700-00000A000000}" name="اتجاه القشرة" dataDxfId="19"/>
    <tableColumn id="11" xr3:uid="{00000000-0010-0000-1700-00000B000000}" name="طول" dataDxfId="18"/>
    <tableColumn id="12" xr3:uid="{00000000-0010-0000-1700-00000C000000}" name="ارتفاع" dataDxfId="17"/>
    <tableColumn id="13" xr3:uid="{00000000-0010-0000-1700-00000D000000}" name="عمق " dataDxfId="16"/>
    <tableColumn id="14" xr3:uid="{00000000-0010-0000-1700-00000E000000}" name="رقم الوحدة" dataDxfId="15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29EE651-BAE0-460E-8E0E-E88D6ACA3DF8}" name="drawersBlockTypes" displayName="drawersBlockTypes" ref="R3:S4" totalsRowShown="0" headerRowDxfId="14" dataDxfId="12" headerRowBorderDxfId="13" tableBorderDxfId="11" totalsRowBorderDxfId="10">
  <autoFilter ref="R3:S4" xr:uid="{729EE651-BAE0-460E-8E0E-E88D6ACA3DF8}">
    <filterColumn colId="0" hiddenButton="1"/>
    <filterColumn colId="1" hiddenButton="1"/>
  </autoFilter>
  <tableColumns count="2">
    <tableColumn id="1" xr3:uid="{4834B7BD-4C53-46CD-860B-5155313F7481}" name="دواليب دلفة /دلفتين " dataDxfId="9"/>
    <tableColumn id="2" xr3:uid="{BF3854AB-1188-457E-A4A5-9B54E04B0BDE}" name="دواليب منوع /فرن /أدراج" dataDxfId="8">
      <calculatedColumnFormula>drawersBlockTypes[[#This Row],[دواليب دلفة /دلفتين ]]+1</calculatedColumnFormula>
    </tableColumn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4E55C2DA-5087-426F-BBA3-A0CEB0258CE7}" name="segmantsBlockTypes" displayName="segmantsBlockTypes" ref="R3:R4" totalsRowShown="0" headerRowDxfId="7" dataDxfId="5" headerRowBorderDxfId="6" tableBorderDxfId="4" totalsRowBorderDxfId="3">
  <autoFilter ref="R3:R4" xr:uid="{4E55C2DA-5087-426F-BBA3-A0CEB0258CE7}">
    <filterColumn colId="0" hiddenButton="1"/>
  </autoFilter>
  <tableColumns count="1">
    <tableColumn id="1" xr3:uid="{69AD652C-4D7D-414A-93AC-85BB12E7240B}" name="تجليدة" dataDxfId="2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92F87-AE74-4FDF-8184-80315DF13007}">
  <sheetPr codeName="Sheet1"/>
  <dimension ref="B3:Z58"/>
  <sheetViews>
    <sheetView topLeftCell="A3" zoomScale="70" zoomScaleNormal="70" workbookViewId="0">
      <selection activeCell="N16" sqref="N16"/>
    </sheetView>
  </sheetViews>
  <sheetFormatPr defaultRowHeight="21" customHeight="1" x14ac:dyDescent="0.3"/>
  <cols>
    <col min="1" max="4" width="8.88671875" style="1"/>
    <col min="5" max="7" width="12.5546875" style="1" customWidth="1"/>
    <col min="8" max="8" width="19.6640625" style="1" customWidth="1"/>
    <col min="9" max="13" width="10.77734375" style="1" customWidth="1"/>
    <col min="14" max="16" width="11.88671875" style="1" customWidth="1"/>
    <col min="17" max="20" width="8.88671875" style="1"/>
    <col min="21" max="21" width="13.33203125" style="1" customWidth="1"/>
    <col min="22" max="16384" width="8.88671875" style="1"/>
  </cols>
  <sheetData>
    <row r="3" spans="2:26" ht="21" customHeight="1" x14ac:dyDescent="0.3">
      <c r="R3"/>
      <c r="S3"/>
      <c r="T3"/>
      <c r="U3"/>
      <c r="V3"/>
    </row>
    <row r="5" spans="2:26" ht="21" customHeight="1" x14ac:dyDescent="0.3">
      <c r="N5" s="101" t="s">
        <v>126</v>
      </c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3"/>
    </row>
    <row r="6" spans="2:26" ht="21" customHeight="1" x14ac:dyDescent="0.3">
      <c r="B6" s="3"/>
      <c r="C6" s="3"/>
      <c r="D6" s="3"/>
      <c r="G6" s="17" t="str">
        <f>V6</f>
        <v>HPL</v>
      </c>
      <c r="H6" s="59" t="s">
        <v>43</v>
      </c>
      <c r="I6" s="100" t="s">
        <v>125</v>
      </c>
      <c r="J6" s="100"/>
      <c r="K6" s="100"/>
      <c r="N6" s="46"/>
      <c r="O6" s="7" t="s">
        <v>52</v>
      </c>
      <c r="P6" s="7" t="s">
        <v>50</v>
      </c>
      <c r="Q6" s="7" t="s">
        <v>49</v>
      </c>
      <c r="R6" s="7" t="s">
        <v>48</v>
      </c>
      <c r="S6" s="7" t="s">
        <v>46</v>
      </c>
      <c r="T6" s="7" t="s">
        <v>116</v>
      </c>
      <c r="U6" s="7" t="s">
        <v>47</v>
      </c>
      <c r="V6" s="7" t="s">
        <v>23</v>
      </c>
      <c r="W6" s="7" t="s">
        <v>51</v>
      </c>
      <c r="X6" s="7" t="s">
        <v>70</v>
      </c>
      <c r="Y6" s="47"/>
    </row>
    <row r="7" spans="2:26" ht="21" customHeight="1" x14ac:dyDescent="0.3">
      <c r="B7" s="25"/>
      <c r="C7" s="25"/>
      <c r="D7" s="25"/>
      <c r="G7" s="8" t="str">
        <f>S6</f>
        <v>يوفيلاك</v>
      </c>
      <c r="H7" s="60" t="s">
        <v>44</v>
      </c>
      <c r="I7" s="100"/>
      <c r="J7" s="100"/>
      <c r="K7" s="100"/>
      <c r="N7" s="46"/>
      <c r="O7" s="7">
        <v>4</v>
      </c>
      <c r="P7" s="7">
        <v>4</v>
      </c>
      <c r="Q7" s="7">
        <v>4</v>
      </c>
      <c r="R7" s="7">
        <v>4</v>
      </c>
      <c r="S7" s="7">
        <v>6</v>
      </c>
      <c r="T7" s="7">
        <v>2</v>
      </c>
      <c r="U7" s="7">
        <v>2</v>
      </c>
      <c r="V7" s="7">
        <v>2</v>
      </c>
      <c r="W7" s="7">
        <v>2</v>
      </c>
      <c r="X7" s="7">
        <v>2</v>
      </c>
      <c r="Y7" s="47" t="s">
        <v>72</v>
      </c>
    </row>
    <row r="8" spans="2:26" ht="21" customHeight="1" x14ac:dyDescent="0.3">
      <c r="B8" s="25"/>
      <c r="C8" s="25"/>
      <c r="D8" s="25"/>
      <c r="G8" s="61" t="str">
        <f>X6</f>
        <v>ظهر</v>
      </c>
      <c r="H8" s="62" t="s">
        <v>70</v>
      </c>
      <c r="I8" s="100"/>
      <c r="J8" s="100"/>
      <c r="K8" s="100"/>
      <c r="M8" s="3"/>
      <c r="N8" s="48"/>
      <c r="O8" s="49">
        <v>3</v>
      </c>
      <c r="P8" s="49">
        <v>3</v>
      </c>
      <c r="Q8" s="49">
        <v>3</v>
      </c>
      <c r="R8" s="49">
        <v>3</v>
      </c>
      <c r="S8" s="49">
        <v>5</v>
      </c>
      <c r="T8" s="49">
        <v>1</v>
      </c>
      <c r="U8" s="49">
        <v>1</v>
      </c>
      <c r="V8" s="49">
        <v>1</v>
      </c>
      <c r="W8" s="49">
        <v>1</v>
      </c>
      <c r="X8" s="49">
        <v>1</v>
      </c>
      <c r="Y8" s="50" t="s">
        <v>73</v>
      </c>
    </row>
    <row r="9" spans="2:26" ht="21" customHeight="1" x14ac:dyDescent="0.3">
      <c r="B9" s="5"/>
      <c r="C9" s="5"/>
      <c r="D9" s="5"/>
      <c r="L9" s="45"/>
      <c r="M9" s="45"/>
    </row>
    <row r="10" spans="2:26" ht="21" customHeight="1" x14ac:dyDescent="0.3">
      <c r="B10" s="3"/>
      <c r="C10" s="3"/>
      <c r="D10" s="3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2:26" ht="21" customHeight="1" x14ac:dyDescent="0.3">
      <c r="F11"/>
      <c r="G11" s="17" t="str">
        <f>T6</f>
        <v>بورديوم</v>
      </c>
      <c r="H11" s="59" t="s">
        <v>43</v>
      </c>
      <c r="I11" s="100" t="s">
        <v>130</v>
      </c>
      <c r="J11" s="100"/>
      <c r="K11" s="100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2:26" ht="21" customHeight="1" x14ac:dyDescent="0.3">
      <c r="F12"/>
      <c r="G12" s="8" t="str">
        <f>INDEX(choosenMaterials[[#All],[Column1]],MATCH(H12,choosenMaterials[[#All],[Column2]],0))</f>
        <v>يوفيلاك</v>
      </c>
      <c r="H12" s="60" t="s">
        <v>44</v>
      </c>
      <c r="I12" s="100"/>
      <c r="J12" s="100"/>
      <c r="K12" s="100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2:26" ht="21" customHeight="1" x14ac:dyDescent="0.3">
      <c r="E13" s="51"/>
      <c r="F13"/>
      <c r="G13" s="64" t="str">
        <f>INDEX(choosenMaterials[[#All],[Column1]],MATCH(H13,choosenMaterials[[#All],[Column2]],0))</f>
        <v>ظهر</v>
      </c>
      <c r="H13" s="65" t="s">
        <v>70</v>
      </c>
      <c r="I13" s="100"/>
      <c r="J13" s="100"/>
      <c r="K13" s="100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2:26" ht="21" customHeight="1" x14ac:dyDescent="0.3">
      <c r="E14" s="51"/>
      <c r="F14"/>
      <c r="G14"/>
      <c r="H14"/>
      <c r="I14"/>
      <c r="J14" s="45"/>
      <c r="K14" s="45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2:26" ht="21" customHeight="1" x14ac:dyDescent="0.3">
      <c r="F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2:26" ht="21" customHeight="1" x14ac:dyDescent="0.3">
      <c r="G16" s="55">
        <v>56</v>
      </c>
      <c r="H16" s="56" t="s">
        <v>128</v>
      </c>
      <c r="I16" s="100" t="s">
        <v>129</v>
      </c>
      <c r="J16" s="100"/>
      <c r="K16" s="100"/>
    </row>
    <row r="17" spans="5:11" ht="21" customHeight="1" x14ac:dyDescent="0.3">
      <c r="G17" s="53">
        <v>78</v>
      </c>
      <c r="H17" s="54" t="s">
        <v>3</v>
      </c>
      <c r="I17" s="100"/>
      <c r="J17" s="100"/>
      <c r="K17" s="100"/>
    </row>
    <row r="18" spans="5:11" ht="21" customHeight="1" x14ac:dyDescent="0.3">
      <c r="E18" s="51"/>
      <c r="F18" s="51"/>
      <c r="G18" s="57">
        <v>3.5</v>
      </c>
      <c r="H18" s="58" t="s">
        <v>17</v>
      </c>
      <c r="I18" s="100"/>
      <c r="J18" s="100"/>
      <c r="K18" s="100"/>
    </row>
    <row r="19" spans="5:11" ht="21" customHeight="1" x14ac:dyDescent="0.3">
      <c r="E19" s="51"/>
      <c r="F19" s="51"/>
      <c r="G19" s="57">
        <v>45</v>
      </c>
      <c r="H19" s="58" t="s">
        <v>22</v>
      </c>
      <c r="I19" s="100"/>
      <c r="J19" s="100"/>
      <c r="K19" s="100"/>
    </row>
    <row r="20" spans="5:11" ht="21" customHeight="1" x14ac:dyDescent="0.3">
      <c r="E20" s="51"/>
      <c r="F20" s="51"/>
    </row>
    <row r="21" spans="5:11" ht="21" customHeight="1" x14ac:dyDescent="0.3">
      <c r="E21" s="51"/>
      <c r="F21" s="51"/>
    </row>
    <row r="22" spans="5:11" ht="21" customHeight="1" x14ac:dyDescent="0.3">
      <c r="E22" s="51"/>
      <c r="F22" s="51"/>
      <c r="G22" s="55">
        <f>INDEX(lowerCommon[[#All],[Column1]],MATCH(H22,lowerCommon[[#All],[Column2]],0))</f>
        <v>56</v>
      </c>
      <c r="H22" s="56" t="s">
        <v>128</v>
      </c>
      <c r="I22" s="100" t="s">
        <v>131</v>
      </c>
      <c r="J22" s="100"/>
      <c r="K22" s="100"/>
    </row>
    <row r="23" spans="5:11" ht="21" customHeight="1" x14ac:dyDescent="0.3">
      <c r="E23" s="51"/>
      <c r="F23" s="51"/>
      <c r="G23" s="55">
        <f>INDEX(lowerCommon[[#All],[Column1]],MATCH(H23,lowerCommon[[#All],[Column2]],0))</f>
        <v>78</v>
      </c>
      <c r="H23" s="54" t="s">
        <v>3</v>
      </c>
      <c r="I23" s="100"/>
      <c r="J23" s="100"/>
      <c r="K23" s="100"/>
    </row>
    <row r="24" spans="5:11" ht="21" customHeight="1" x14ac:dyDescent="0.3">
      <c r="E24" s="51"/>
      <c r="F24" s="51"/>
      <c r="G24" s="55">
        <f>INDEX(lowerCommon[[#All],[Column1]],MATCH(H24,lowerCommon[[#All],[Column2]],0))</f>
        <v>3.5</v>
      </c>
      <c r="H24" s="58" t="s">
        <v>17</v>
      </c>
      <c r="I24" s="100"/>
      <c r="J24" s="100"/>
      <c r="K24" s="100"/>
    </row>
    <row r="25" spans="5:11" ht="21" customHeight="1" x14ac:dyDescent="0.3">
      <c r="E25" s="51"/>
      <c r="F25" s="51"/>
      <c r="G25" s="55">
        <f>INDEX(lowerCommon[[#All],[Column1]],MATCH(H25,lowerCommon[[#All],[Column2]],0))</f>
        <v>45</v>
      </c>
      <c r="H25" s="58" t="s">
        <v>22</v>
      </c>
      <c r="I25" s="100"/>
      <c r="J25" s="100"/>
      <c r="K25" s="100"/>
    </row>
    <row r="26" spans="5:11" ht="21" customHeight="1" x14ac:dyDescent="0.3">
      <c r="E26" s="51"/>
      <c r="F26" s="51"/>
      <c r="G26" s="57" t="b">
        <v>0</v>
      </c>
      <c r="H26" s="58" t="s">
        <v>132</v>
      </c>
      <c r="I26" s="100"/>
      <c r="J26" s="100"/>
      <c r="K26" s="100"/>
    </row>
    <row r="27" spans="5:11" ht="21" customHeight="1" x14ac:dyDescent="0.3">
      <c r="E27" s="51"/>
      <c r="F27" s="51"/>
      <c r="G27" s="52"/>
      <c r="H27" s="52"/>
    </row>
    <row r="28" spans="5:11" ht="21" customHeight="1" x14ac:dyDescent="0.3">
      <c r="E28" s="51"/>
      <c r="F28" s="51"/>
      <c r="G28" s="52"/>
      <c r="H28" s="52"/>
    </row>
    <row r="29" spans="5:11" ht="21" customHeight="1" x14ac:dyDescent="0.3">
      <c r="E29" s="51"/>
      <c r="F29" s="51"/>
      <c r="G29" s="55">
        <v>30</v>
      </c>
      <c r="H29" s="56" t="s">
        <v>128</v>
      </c>
      <c r="I29" s="100" t="s">
        <v>134</v>
      </c>
      <c r="J29" s="100"/>
      <c r="K29" s="100"/>
    </row>
    <row r="30" spans="5:11" ht="21" customHeight="1" x14ac:dyDescent="0.3">
      <c r="E30" s="51"/>
      <c r="F30" s="51"/>
      <c r="G30" s="53">
        <v>70</v>
      </c>
      <c r="H30" s="54" t="s">
        <v>3</v>
      </c>
      <c r="I30" s="100"/>
      <c r="J30" s="100"/>
      <c r="K30" s="100"/>
    </row>
    <row r="31" spans="5:11" ht="21" customHeight="1" x14ac:dyDescent="0.3">
      <c r="E31" s="51"/>
      <c r="F31" s="51"/>
      <c r="G31" s="57">
        <v>3.5</v>
      </c>
      <c r="H31" s="58" t="s">
        <v>17</v>
      </c>
      <c r="I31" s="100"/>
      <c r="J31" s="100"/>
      <c r="K31" s="100"/>
    </row>
    <row r="32" spans="5:11" ht="21" customHeight="1" x14ac:dyDescent="0.3">
      <c r="E32" s="51"/>
      <c r="F32" s="51"/>
      <c r="G32" s="57">
        <v>0</v>
      </c>
      <c r="H32" s="58" t="s">
        <v>133</v>
      </c>
      <c r="I32" s="100"/>
      <c r="J32" s="100"/>
      <c r="K32" s="100"/>
    </row>
    <row r="33" spans="5:12" ht="21" customHeight="1" x14ac:dyDescent="0.3">
      <c r="E33" s="51"/>
      <c r="F33" s="51"/>
      <c r="G33" s="52"/>
      <c r="H33" s="52"/>
    </row>
    <row r="34" spans="5:12" ht="21" customHeight="1" x14ac:dyDescent="0.3">
      <c r="E34" s="51"/>
      <c r="F34"/>
      <c r="G34"/>
      <c r="H34"/>
      <c r="I34"/>
      <c r="J34"/>
      <c r="K34"/>
      <c r="L34"/>
    </row>
    <row r="35" spans="5:12" ht="21" customHeight="1" x14ac:dyDescent="0.3">
      <c r="E35" s="51"/>
      <c r="F35"/>
      <c r="G35" s="8" t="str">
        <f>INDEX(choosenMaterials[[#All],[Column1]],MATCH(H12,choosenMaterials[[#All],[Column2]],0))</f>
        <v>يوفيلاك</v>
      </c>
      <c r="H35" s="60" t="s">
        <v>9</v>
      </c>
      <c r="I35" s="97" t="s">
        <v>143</v>
      </c>
      <c r="J35" s="98"/>
      <c r="K35" s="99"/>
      <c r="L35"/>
    </row>
    <row r="36" spans="5:12" ht="21" customHeight="1" x14ac:dyDescent="0.3">
      <c r="E36" s="51"/>
      <c r="F36"/>
      <c r="G36"/>
      <c r="H36"/>
      <c r="I36"/>
      <c r="J36"/>
      <c r="K36"/>
      <c r="L36"/>
    </row>
    <row r="37" spans="5:12" ht="21" customHeight="1" x14ac:dyDescent="0.3">
      <c r="E37" s="51"/>
      <c r="F37"/>
      <c r="G37"/>
      <c r="H37"/>
      <c r="I37"/>
      <c r="J37"/>
      <c r="K37"/>
      <c r="L37"/>
    </row>
    <row r="38" spans="5:12" ht="21" customHeight="1" x14ac:dyDescent="0.3">
      <c r="E38" s="51"/>
      <c r="F38"/>
      <c r="G38"/>
      <c r="H38"/>
      <c r="I38"/>
      <c r="J38"/>
      <c r="K38"/>
      <c r="L38"/>
    </row>
    <row r="39" spans="5:12" ht="21" customHeight="1" x14ac:dyDescent="0.3">
      <c r="E39" s="51"/>
      <c r="F39"/>
      <c r="G39"/>
      <c r="H39"/>
      <c r="I39"/>
      <c r="J39"/>
      <c r="K39"/>
      <c r="L39"/>
    </row>
    <row r="40" spans="5:12" ht="21" customHeight="1" x14ac:dyDescent="0.3">
      <c r="E40" s="51"/>
      <c r="F40" s="51"/>
      <c r="G40" s="52"/>
      <c r="H40" s="52"/>
    </row>
    <row r="41" spans="5:12" ht="21" customHeight="1" x14ac:dyDescent="0.3">
      <c r="E41" s="51"/>
      <c r="F41" s="51"/>
      <c r="G41" s="52"/>
      <c r="H41" s="52"/>
    </row>
    <row r="42" spans="5:12" ht="21" customHeight="1" x14ac:dyDescent="0.3">
      <c r="E42" s="51"/>
      <c r="F42" s="51"/>
      <c r="G42" s="52"/>
      <c r="H42" s="52"/>
    </row>
    <row r="43" spans="5:12" ht="21" customHeight="1" x14ac:dyDescent="0.3">
      <c r="E43" s="51"/>
      <c r="F43" s="51"/>
      <c r="G43" s="52"/>
      <c r="H43" s="52"/>
    </row>
    <row r="44" spans="5:12" ht="21" customHeight="1" x14ac:dyDescent="0.3">
      <c r="E44" s="51"/>
      <c r="F44" s="51"/>
      <c r="G44" s="52"/>
      <c r="H44" s="52"/>
    </row>
    <row r="45" spans="5:12" ht="21" customHeight="1" x14ac:dyDescent="0.3">
      <c r="E45" s="51"/>
      <c r="F45" s="51"/>
      <c r="G45" s="51"/>
      <c r="H45" s="51"/>
    </row>
    <row r="46" spans="5:12" ht="21" customHeight="1" x14ac:dyDescent="0.3">
      <c r="E46" s="51"/>
      <c r="F46" s="51"/>
      <c r="G46" s="51"/>
      <c r="H46" s="51"/>
    </row>
    <row r="47" spans="5:12" ht="21" customHeight="1" x14ac:dyDescent="0.3">
      <c r="E47" s="51"/>
      <c r="F47" s="51"/>
      <c r="G47" s="51"/>
      <c r="H47" s="51"/>
    </row>
    <row r="48" spans="5:12" ht="21" customHeight="1" x14ac:dyDescent="0.3">
      <c r="E48" s="51"/>
      <c r="F48" s="51"/>
      <c r="G48" s="51"/>
      <c r="H48" s="51"/>
    </row>
    <row r="49" spans="5:8" ht="21" customHeight="1" x14ac:dyDescent="0.3">
      <c r="E49" s="51"/>
      <c r="F49" s="51"/>
      <c r="G49" s="51"/>
      <c r="H49" s="51"/>
    </row>
    <row r="50" spans="5:8" ht="21" customHeight="1" x14ac:dyDescent="0.3">
      <c r="E50" s="51"/>
      <c r="F50" s="51"/>
      <c r="G50" s="51"/>
      <c r="H50" s="51"/>
    </row>
    <row r="51" spans="5:8" ht="21" customHeight="1" x14ac:dyDescent="0.3">
      <c r="E51" s="51"/>
      <c r="F51" s="51"/>
      <c r="G51" s="51"/>
      <c r="H51" s="51"/>
    </row>
    <row r="52" spans="5:8" ht="21" customHeight="1" x14ac:dyDescent="0.3">
      <c r="E52" s="51"/>
      <c r="F52" s="51"/>
      <c r="G52" s="51"/>
      <c r="H52" s="51"/>
    </row>
    <row r="53" spans="5:8" ht="21" customHeight="1" x14ac:dyDescent="0.3">
      <c r="E53" s="51"/>
      <c r="F53" s="51"/>
      <c r="G53" s="51"/>
      <c r="H53" s="51"/>
    </row>
    <row r="54" spans="5:8" ht="21" customHeight="1" x14ac:dyDescent="0.3">
      <c r="E54" s="51"/>
      <c r="F54" s="51"/>
      <c r="G54" s="51"/>
      <c r="H54" s="51"/>
    </row>
    <row r="55" spans="5:8" ht="21" customHeight="1" x14ac:dyDescent="0.3">
      <c r="E55" s="51"/>
      <c r="F55" s="51"/>
      <c r="G55" s="51"/>
      <c r="H55" s="51"/>
    </row>
    <row r="56" spans="5:8" ht="21" customHeight="1" x14ac:dyDescent="0.3">
      <c r="E56" s="51"/>
      <c r="F56" s="51"/>
      <c r="G56" s="51"/>
      <c r="H56" s="51"/>
    </row>
    <row r="57" spans="5:8" ht="21" customHeight="1" x14ac:dyDescent="0.3">
      <c r="E57" s="51"/>
      <c r="F57" s="51"/>
      <c r="G57" s="51"/>
      <c r="H57" s="51"/>
    </row>
    <row r="58" spans="5:8" ht="21" customHeight="1" x14ac:dyDescent="0.3">
      <c r="G58" s="51"/>
      <c r="H58" s="51"/>
    </row>
  </sheetData>
  <mergeCells count="7">
    <mergeCell ref="I35:K35"/>
    <mergeCell ref="I29:K32"/>
    <mergeCell ref="I11:K13"/>
    <mergeCell ref="I16:K19"/>
    <mergeCell ref="N5:Y5"/>
    <mergeCell ref="I6:K8"/>
    <mergeCell ref="I22:K26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oggleBackExists">
                <anchor moveWithCells="1" sizeWithCells="1">
                  <from>
                    <xdr:col>4</xdr:col>
                    <xdr:colOff>845820</xdr:colOff>
                    <xdr:row>25</xdr:row>
                    <xdr:rowOff>0</xdr:rowOff>
                  </from>
                  <to>
                    <xdr:col>5</xdr:col>
                    <xdr:colOff>845820</xdr:colOff>
                    <xdr:row>26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C2FB-4E3E-4385-9D8E-A3A4988615BE}">
  <sheetPr codeName="Sheet3"/>
  <dimension ref="A1:BS99"/>
  <sheetViews>
    <sheetView tabSelected="1" topLeftCell="B1" zoomScale="70" zoomScaleNormal="70" workbookViewId="0">
      <pane ySplit="8" topLeftCell="A9" activePane="bottomLeft" state="frozen"/>
      <selection pane="bottomLeft" activeCell="BB10" sqref="BB10"/>
    </sheetView>
  </sheetViews>
  <sheetFormatPr defaultRowHeight="14.4" x14ac:dyDescent="0.3"/>
  <cols>
    <col min="1" max="1" width="10.77734375" style="78" hidden="1" customWidth="1"/>
    <col min="2" max="2" width="34.44140625" style="79" customWidth="1"/>
    <col min="3" max="3" width="8.88671875" style="79" customWidth="1"/>
    <col min="4" max="4" width="11.6640625" style="79" customWidth="1"/>
    <col min="5" max="5" width="17.21875" style="79" customWidth="1"/>
    <col min="6" max="6" width="8.88671875" style="79" customWidth="1"/>
    <col min="7" max="7" width="12.5546875" style="79" customWidth="1"/>
    <col min="8" max="8" width="8.88671875" style="79" customWidth="1"/>
    <col min="9" max="9" width="13.109375" style="79" customWidth="1"/>
    <col min="10" max="10" width="11.21875" style="79" customWidth="1"/>
    <col min="11" max="11" width="8.88671875" style="79"/>
    <col min="12" max="12" width="12.33203125" style="79" customWidth="1"/>
    <col min="13" max="13" width="10.21875" style="79" customWidth="1"/>
    <col min="14" max="14" width="8.88671875" style="79" customWidth="1"/>
    <col min="15" max="17" width="8.88671875" style="79"/>
    <col min="18" max="22" width="10.6640625" style="79" hidden="1" customWidth="1"/>
    <col min="23" max="52" width="0" style="79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17.10937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79"/>
  </cols>
  <sheetData>
    <row r="1" spans="1:71" s="78" customFormat="1" x14ac:dyDescent="0.3">
      <c r="A1" s="78">
        <v>5</v>
      </c>
      <c r="B1" s="80">
        <v>5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</row>
    <row r="2" spans="1:71" s="78" customFormat="1" ht="21" x14ac:dyDescent="0.4">
      <c r="B2" s="80"/>
      <c r="E2" s="104" t="s">
        <v>127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R2" s="84" t="s">
        <v>149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</row>
    <row r="3" spans="1:71" s="78" customFormat="1" x14ac:dyDescent="0.3">
      <c r="B3" s="80"/>
      <c r="E3" s="78" cm="1">
        <f t="array" ref="E3:P5">materials[]</f>
        <v>0</v>
      </c>
      <c r="F3" s="78" t="str">
        <v>بوليلاك</v>
      </c>
      <c r="G3" s="78" t="str">
        <v>Lumber J</v>
      </c>
      <c r="H3" s="78" t="str">
        <v>بولى بلس</v>
      </c>
      <c r="I3" s="78" t="str">
        <v>PVC</v>
      </c>
      <c r="J3" s="78" t="str">
        <v>يوفيلاك</v>
      </c>
      <c r="K3" s="78" t="str">
        <v>بورديوم</v>
      </c>
      <c r="L3" s="78" t="str">
        <v>كونتر ميلامين</v>
      </c>
      <c r="M3" s="78" t="str">
        <v>HPL</v>
      </c>
      <c r="N3" s="78" t="str">
        <v>CPL</v>
      </c>
      <c r="O3" s="78" t="str">
        <v>ظهر</v>
      </c>
      <c r="P3" s="78">
        <v>0</v>
      </c>
      <c r="R3" s="78" t="s">
        <v>0</v>
      </c>
      <c r="S3" s="78" t="s">
        <v>116</v>
      </c>
      <c r="T3" s="78" t="s">
        <v>55</v>
      </c>
      <c r="U3" s="78" t="s">
        <v>76</v>
      </c>
      <c r="V3" s="81" t="s">
        <v>115</v>
      </c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</row>
    <row r="4" spans="1:71" s="78" customFormat="1" x14ac:dyDescent="0.3">
      <c r="B4" s="80"/>
      <c r="E4" s="78">
        <v>0</v>
      </c>
      <c r="F4" s="78">
        <v>4</v>
      </c>
      <c r="G4" s="78">
        <v>4</v>
      </c>
      <c r="H4" s="78">
        <v>4</v>
      </c>
      <c r="I4" s="78">
        <v>4</v>
      </c>
      <c r="J4" s="78">
        <v>6</v>
      </c>
      <c r="K4" s="78">
        <v>2</v>
      </c>
      <c r="L4" s="78">
        <v>2</v>
      </c>
      <c r="M4" s="78">
        <v>2</v>
      </c>
      <c r="N4" s="78">
        <v>2</v>
      </c>
      <c r="O4" s="78">
        <v>2</v>
      </c>
      <c r="P4" s="78" t="str">
        <v xml:space="preserve">خشبى </v>
      </c>
      <c r="R4" s="78">
        <v>1</v>
      </c>
      <c r="S4" s="78">
        <v>2</v>
      </c>
      <c r="T4" s="78">
        <v>3</v>
      </c>
      <c r="U4" s="78">
        <v>4</v>
      </c>
      <c r="V4" s="78">
        <v>5</v>
      </c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</row>
    <row r="5" spans="1:71" s="78" customFormat="1" x14ac:dyDescent="0.3">
      <c r="B5" s="80"/>
      <c r="E5" s="78">
        <v>0</v>
      </c>
      <c r="F5" s="78">
        <v>3</v>
      </c>
      <c r="G5" s="78">
        <v>3</v>
      </c>
      <c r="H5" s="78">
        <v>3</v>
      </c>
      <c r="I5" s="78">
        <v>3</v>
      </c>
      <c r="J5" s="78">
        <v>5</v>
      </c>
      <c r="K5" s="78">
        <v>1</v>
      </c>
      <c r="L5" s="78">
        <v>1</v>
      </c>
      <c r="M5" s="78">
        <v>1</v>
      </c>
      <c r="N5" s="78">
        <v>1</v>
      </c>
      <c r="O5" s="78">
        <v>1</v>
      </c>
      <c r="P5" s="78" t="str">
        <v>سادة</v>
      </c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</row>
    <row r="6" spans="1:71" s="78" customFormat="1" x14ac:dyDescent="0.3">
      <c r="B6" s="8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</row>
    <row r="7" spans="1:71" s="78" customFormat="1" x14ac:dyDescent="0.3">
      <c r="B7" s="8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</row>
    <row r="8" spans="1:71" s="78" customFormat="1" x14ac:dyDescent="0.3">
      <c r="B8" s="8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</row>
    <row r="9" spans="1:71" x14ac:dyDescent="0.3">
      <c r="BD9"/>
    </row>
    <row r="10" spans="1:71" x14ac:dyDescent="0.3">
      <c r="BD10"/>
    </row>
    <row r="11" spans="1:71" x14ac:dyDescent="0.3">
      <c r="BD11"/>
    </row>
    <row r="12" spans="1:71" x14ac:dyDescent="0.3">
      <c r="BD12"/>
      <c r="BJ12"/>
      <c r="BK12"/>
      <c r="BL12"/>
      <c r="BM12"/>
      <c r="BN12"/>
      <c r="BO12"/>
      <c r="BP12"/>
      <c r="BQ12"/>
      <c r="BR12"/>
      <c r="BS12"/>
    </row>
    <row r="13" spans="1:71" ht="18" hidden="1" x14ac:dyDescent="0.3">
      <c r="A13" s="93">
        <v>1</v>
      </c>
      <c r="B13" s="19"/>
      <c r="C13" s="16">
        <v>1</v>
      </c>
      <c r="D13" s="30" t="s">
        <v>71</v>
      </c>
      <c r="E13" s="110" t="str">
        <f>lowerBlockTypes[[#Headers],[وحدة سفلية دلفة /دلفتين ]]</f>
        <v xml:space="preserve">وحدة سفلية دلفة /دلفتين </v>
      </c>
      <c r="F13" s="111"/>
      <c r="G13" s="111"/>
      <c r="H13" s="112"/>
      <c r="I13" s="2" t="s">
        <v>42</v>
      </c>
      <c r="J13" s="2">
        <f>A13</f>
        <v>1</v>
      </c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</row>
    <row r="14" spans="1:71" ht="31.2" hidden="1" x14ac:dyDescent="0.3">
      <c r="A14" s="88" t="s">
        <v>151</v>
      </c>
      <c r="B14" s="19"/>
      <c r="C14" s="9" t="s">
        <v>12</v>
      </c>
      <c r="D14" s="23" t="s">
        <v>19</v>
      </c>
      <c r="E14" s="9" t="s">
        <v>17</v>
      </c>
      <c r="F14" s="105"/>
      <c r="G14" s="105"/>
      <c r="H14" s="9" t="s">
        <v>34</v>
      </c>
      <c r="I14" s="9" t="s">
        <v>3</v>
      </c>
      <c r="J14" s="9" t="s">
        <v>128</v>
      </c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</row>
    <row r="15" spans="1:71" ht="15.6" hidden="1" x14ac:dyDescent="0.3">
      <c r="A15" s="88" t="s">
        <v>151</v>
      </c>
      <c r="B15" s="19"/>
      <c r="C15" s="10">
        <v>2</v>
      </c>
      <c r="D15" s="10">
        <v>1</v>
      </c>
      <c r="E15" s="43">
        <f>INDEX(lowerCommon[[#All],[Column1]],MATCH(E14,lowerCommon[[#All],[Column2]],0))</f>
        <v>3.5</v>
      </c>
      <c r="F15" s="105"/>
      <c r="G15" s="105"/>
      <c r="H15" s="10">
        <v>80</v>
      </c>
      <c r="I15" s="43">
        <f>INDEX(lowerCommon[[#All],[Column1]],MATCH(I14,lowerCommon[[#All],[Column2]],0))</f>
        <v>78</v>
      </c>
      <c r="J15" s="43">
        <f>INDEX(lowerCommon[[#All],[Column1]],MATCH(J14,lowerCommon[[#All],[Column2]],0))</f>
        <v>56</v>
      </c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</row>
    <row r="16" spans="1:71" ht="21" hidden="1" x14ac:dyDescent="0.3">
      <c r="A16" s="88" t="s">
        <v>151</v>
      </c>
      <c r="B16" s="19"/>
      <c r="C16" s="10"/>
      <c r="D16" s="43" t="str">
        <f>INDEX(choosenMaterials[[#All],[Column1]],MATCH(E16,choosenMaterials[[#All],[Column2]],0))</f>
        <v>ظهر</v>
      </c>
      <c r="E16" s="9" t="s">
        <v>70</v>
      </c>
      <c r="F16" s="43" t="str">
        <f>INDEX(choosenMaterials[[#All],[Column1]],MATCH(G16,choosenMaterials[[#All],[Column2]],0))</f>
        <v>يوفيلاك</v>
      </c>
      <c r="G16" s="9" t="s">
        <v>44</v>
      </c>
      <c r="H16" s="43" t="str">
        <f>INDEX(choosenMaterials[[#All],[Column1]],MATCH(I16,choosenMaterials[[#All],[Column2]],0))</f>
        <v>HPL</v>
      </c>
      <c r="I16" s="9" t="s">
        <v>43</v>
      </c>
      <c r="J16" s="34" t="s">
        <v>126</v>
      </c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</row>
    <row r="17" spans="1:71" ht="15.6" hidden="1" x14ac:dyDescent="0.3">
      <c r="A17" s="88" t="s">
        <v>155</v>
      </c>
      <c r="B17" s="19"/>
      <c r="C17" s="3"/>
      <c r="D17" s="3"/>
      <c r="E17" s="3"/>
      <c r="F17" s="3"/>
      <c r="G17" s="3"/>
      <c r="H17" s="3"/>
      <c r="I17" s="3"/>
      <c r="J17" s="3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</row>
    <row r="18" spans="1:71" ht="15.6" x14ac:dyDescent="0.3">
      <c r="A18" s="88" t="s">
        <v>152</v>
      </c>
      <c r="B18" s="19"/>
      <c r="C18" s="7" t="s">
        <v>4</v>
      </c>
      <c r="D18" s="7" t="s">
        <v>9</v>
      </c>
      <c r="E18" s="7" t="s">
        <v>5</v>
      </c>
      <c r="F18" s="7" t="s">
        <v>7</v>
      </c>
      <c r="G18" s="7" t="s">
        <v>1</v>
      </c>
      <c r="H18" s="7" t="s">
        <v>6</v>
      </c>
      <c r="I18" s="7" t="s">
        <v>45</v>
      </c>
      <c r="J18" s="7" t="s">
        <v>8</v>
      </c>
      <c r="BB18" s="19"/>
      <c r="BC18" s="7" t="s">
        <v>4</v>
      </c>
      <c r="BD18" s="7" t="s">
        <v>9</v>
      </c>
      <c r="BE18" s="7" t="s">
        <v>5</v>
      </c>
      <c r="BF18" s="7" t="s">
        <v>7</v>
      </c>
      <c r="BG18" s="7" t="s">
        <v>1</v>
      </c>
      <c r="BH18" s="7" t="s">
        <v>6</v>
      </c>
      <c r="BI18" s="7" t="s">
        <v>45</v>
      </c>
      <c r="BJ18" s="7" t="s">
        <v>8</v>
      </c>
      <c r="BK18"/>
      <c r="BL18"/>
      <c r="BM18"/>
      <c r="BN18"/>
      <c r="BO18"/>
      <c r="BP18"/>
      <c r="BQ18"/>
      <c r="BR18"/>
      <c r="BS18"/>
    </row>
    <row r="19" spans="1:71" ht="15.6" hidden="1" x14ac:dyDescent="0.3">
      <c r="A19" s="88" t="s">
        <v>155</v>
      </c>
      <c r="B19" s="19"/>
      <c r="C19" s="7"/>
      <c r="D19" s="7"/>
      <c r="E19" s="7"/>
      <c r="F19" s="7"/>
      <c r="G19" s="7"/>
      <c r="H19" s="7"/>
      <c r="I19" s="7"/>
      <c r="J19" s="7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</row>
    <row r="20" spans="1:71" ht="15.6" x14ac:dyDescent="0.3">
      <c r="A20" s="88" t="s">
        <v>156</v>
      </c>
      <c r="B20" s="19" t="str">
        <f>E13</f>
        <v xml:space="preserve">وحدة سفلية دلفة /دلفتين </v>
      </c>
      <c r="C20" s="7">
        <v>1</v>
      </c>
      <c r="D20" s="7" t="str">
        <f>H16</f>
        <v>HPL</v>
      </c>
      <c r="E20" s="7" t="s">
        <v>10</v>
      </c>
      <c r="F20" s="7">
        <f>H15-3.6</f>
        <v>76.400000000000006</v>
      </c>
      <c r="G20" s="7">
        <f>J15</f>
        <v>56</v>
      </c>
      <c r="H20" s="7">
        <f>1*C13</f>
        <v>1</v>
      </c>
      <c r="I20" s="7">
        <f>HLOOKUP(D20, materials[], 2,FALSE)</f>
        <v>2</v>
      </c>
      <c r="J20" s="7"/>
      <c r="BB20" s="19" t="s">
        <v>16</v>
      </c>
      <c r="BC20" s="7">
        <v>1</v>
      </c>
      <c r="BD20" s="7" t="s">
        <v>23</v>
      </c>
      <c r="BE20" s="7" t="s">
        <v>10</v>
      </c>
      <c r="BF20" s="7">
        <v>76.400000000000006</v>
      </c>
      <c r="BG20" s="7">
        <v>56</v>
      </c>
      <c r="BH20" s="7">
        <v>1</v>
      </c>
      <c r="BI20" s="7">
        <v>2</v>
      </c>
      <c r="BJ20" s="7"/>
      <c r="BK20"/>
      <c r="BL20"/>
      <c r="BM20"/>
      <c r="BN20"/>
      <c r="BO20"/>
      <c r="BP20"/>
      <c r="BQ20"/>
      <c r="BR20"/>
      <c r="BS20"/>
    </row>
    <row r="21" spans="1:71" ht="15.6" x14ac:dyDescent="0.3">
      <c r="A21" s="88" t="s">
        <v>156</v>
      </c>
      <c r="B21" s="19" t="str">
        <f>B20</f>
        <v xml:space="preserve">وحدة سفلية دلفة /دلفتين </v>
      </c>
      <c r="C21" s="7">
        <f>C20+1</f>
        <v>2</v>
      </c>
      <c r="D21" s="7" t="str">
        <f>H16</f>
        <v>HPL</v>
      </c>
      <c r="E21" s="7" t="s">
        <v>11</v>
      </c>
      <c r="F21" s="7">
        <f>I15</f>
        <v>78</v>
      </c>
      <c r="G21" s="7">
        <f>J15</f>
        <v>56</v>
      </c>
      <c r="H21" s="7">
        <f>2*C13</f>
        <v>2</v>
      </c>
      <c r="I21" s="7">
        <f>HLOOKUP(D21, materials[], 2,FALSE)</f>
        <v>2</v>
      </c>
      <c r="J21" s="7"/>
      <c r="BB21" s="19" t="s">
        <v>16</v>
      </c>
      <c r="BC21" s="7">
        <v>2</v>
      </c>
      <c r="BD21" s="7" t="s">
        <v>23</v>
      </c>
      <c r="BE21" s="7" t="s">
        <v>11</v>
      </c>
      <c r="BF21" s="7">
        <v>78</v>
      </c>
      <c r="BG21" s="7">
        <v>56</v>
      </c>
      <c r="BH21" s="7">
        <v>2</v>
      </c>
      <c r="BI21" s="7">
        <v>2</v>
      </c>
      <c r="BJ21" s="7"/>
      <c r="BK21"/>
      <c r="BL21"/>
      <c r="BM21"/>
      <c r="BN21"/>
      <c r="BO21"/>
      <c r="BP21"/>
      <c r="BQ21"/>
      <c r="BR21"/>
      <c r="BS21"/>
    </row>
    <row r="22" spans="1:71" ht="15.6" x14ac:dyDescent="0.3">
      <c r="A22" s="88" t="s">
        <v>156</v>
      </c>
      <c r="B22" s="19" t="str">
        <f>B20</f>
        <v xml:space="preserve">وحدة سفلية دلفة /دلفتين </v>
      </c>
      <c r="C22" s="7">
        <f t="shared" ref="C22:C24" si="0">C21+1</f>
        <v>3</v>
      </c>
      <c r="D22" s="7" t="str">
        <f>H16</f>
        <v>HPL</v>
      </c>
      <c r="E22" s="7" t="s">
        <v>13</v>
      </c>
      <c r="F22" s="7">
        <f>H15-3.6</f>
        <v>76.400000000000006</v>
      </c>
      <c r="G22" s="7">
        <f>10</f>
        <v>10</v>
      </c>
      <c r="H22" s="7">
        <f>1*C13</f>
        <v>1</v>
      </c>
      <c r="I22" s="7">
        <f>HLOOKUP(D22, materials[], 2,FALSE)</f>
        <v>2</v>
      </c>
      <c r="J22" s="7"/>
      <c r="BB22" s="19" t="s">
        <v>16</v>
      </c>
      <c r="BC22" s="7">
        <v>3</v>
      </c>
      <c r="BD22" s="7" t="s">
        <v>23</v>
      </c>
      <c r="BE22" s="7" t="s">
        <v>13</v>
      </c>
      <c r="BF22" s="7">
        <v>76.400000000000006</v>
      </c>
      <c r="BG22" s="7">
        <v>10</v>
      </c>
      <c r="BH22" s="7">
        <v>1</v>
      </c>
      <c r="BI22" s="7">
        <v>2</v>
      </c>
      <c r="BJ22" s="7"/>
      <c r="BK22"/>
      <c r="BL22"/>
      <c r="BM22"/>
      <c r="BN22"/>
      <c r="BO22"/>
      <c r="BP22"/>
      <c r="BQ22"/>
      <c r="BR22"/>
      <c r="BS22"/>
    </row>
    <row r="23" spans="1:71" ht="15.6" x14ac:dyDescent="0.3">
      <c r="A23" s="88" t="s">
        <v>156</v>
      </c>
      <c r="B23" s="19" t="str">
        <f>B20</f>
        <v xml:space="preserve">وحدة سفلية دلفة /دلفتين </v>
      </c>
      <c r="C23" s="7">
        <f t="shared" si="0"/>
        <v>4</v>
      </c>
      <c r="D23" s="7" t="str">
        <f>H16</f>
        <v>HPL</v>
      </c>
      <c r="E23" s="7" t="s">
        <v>14</v>
      </c>
      <c r="F23" s="7">
        <f>H15-3.6</f>
        <v>76.400000000000006</v>
      </c>
      <c r="G23" s="7">
        <f>7</f>
        <v>7</v>
      </c>
      <c r="H23" s="7">
        <f>1*C13</f>
        <v>1</v>
      </c>
      <c r="I23" s="7">
        <f>HLOOKUP(D23, materials[], 2,FALSE)</f>
        <v>2</v>
      </c>
      <c r="J23" s="7"/>
      <c r="BB23" s="19" t="s">
        <v>16</v>
      </c>
      <c r="BC23" s="7">
        <v>4</v>
      </c>
      <c r="BD23" s="7" t="s">
        <v>23</v>
      </c>
      <c r="BE23" s="7" t="s">
        <v>14</v>
      </c>
      <c r="BF23" s="7">
        <v>76.400000000000006</v>
      </c>
      <c r="BG23" s="7">
        <v>7</v>
      </c>
      <c r="BH23" s="7">
        <v>1</v>
      </c>
      <c r="BI23" s="7">
        <v>2</v>
      </c>
      <c r="BJ23" s="7"/>
      <c r="BK23"/>
      <c r="BL23"/>
      <c r="BM23"/>
      <c r="BN23"/>
      <c r="BO23"/>
      <c r="BP23"/>
      <c r="BQ23"/>
      <c r="BR23"/>
      <c r="BS23"/>
    </row>
    <row r="24" spans="1:71" ht="15.6" x14ac:dyDescent="0.3">
      <c r="A24" s="88" t="s">
        <v>156</v>
      </c>
      <c r="B24" s="19" t="str">
        <f>B20</f>
        <v xml:space="preserve">وحدة سفلية دلفة /دلفتين </v>
      </c>
      <c r="C24" s="7">
        <f t="shared" si="0"/>
        <v>5</v>
      </c>
      <c r="D24" s="7" t="str">
        <f>H16</f>
        <v>HPL</v>
      </c>
      <c r="E24" s="7" t="s">
        <v>18</v>
      </c>
      <c r="F24" s="7">
        <f>H15-3.8</f>
        <v>76.2</v>
      </c>
      <c r="G24" s="7">
        <f>J15-6</f>
        <v>50</v>
      </c>
      <c r="H24" s="7">
        <f>D15*C13</f>
        <v>1</v>
      </c>
      <c r="I24" s="7">
        <f>HLOOKUP(D24, materials[], 2,FALSE)</f>
        <v>2</v>
      </c>
      <c r="J24" s="7"/>
      <c r="BB24" s="19" t="s">
        <v>16</v>
      </c>
      <c r="BC24" s="7">
        <v>5</v>
      </c>
      <c r="BD24" s="7" t="s">
        <v>23</v>
      </c>
      <c r="BE24" s="7" t="s">
        <v>18</v>
      </c>
      <c r="BF24" s="7">
        <v>76.2</v>
      </c>
      <c r="BG24" s="7">
        <v>50</v>
      </c>
      <c r="BH24" s="7">
        <v>1</v>
      </c>
      <c r="BI24" s="7">
        <v>2</v>
      </c>
      <c r="BJ24" s="7"/>
      <c r="BK24"/>
      <c r="BL24"/>
      <c r="BM24"/>
      <c r="BN24"/>
      <c r="BO24"/>
      <c r="BP24"/>
      <c r="BQ24"/>
      <c r="BR24"/>
      <c r="BS24"/>
    </row>
    <row r="25" spans="1:71" ht="15.6" hidden="1" x14ac:dyDescent="0.3">
      <c r="A25" s="88" t="s">
        <v>155</v>
      </c>
      <c r="B25" s="19"/>
      <c r="C25" s="7"/>
      <c r="D25" s="7"/>
      <c r="E25" s="7"/>
      <c r="F25" s="7"/>
      <c r="G25" s="7"/>
      <c r="H25" s="7"/>
      <c r="I25" s="7"/>
      <c r="J25" s="7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</row>
    <row r="26" spans="1:71" ht="15.6" hidden="1" x14ac:dyDescent="0.3">
      <c r="A26" s="88" t="s">
        <v>153</v>
      </c>
      <c r="B26" s="19" t="str">
        <f>B20</f>
        <v xml:space="preserve">وحدة سفلية دلفة /دلفتين </v>
      </c>
      <c r="C26" s="11">
        <f>C24+1</f>
        <v>6</v>
      </c>
      <c r="D26" s="11" t="str">
        <f>F16</f>
        <v>يوفيلاك</v>
      </c>
      <c r="E26" s="11" t="s">
        <v>15</v>
      </c>
      <c r="F26" s="11">
        <f>I15-0.5-E15</f>
        <v>74</v>
      </c>
      <c r="G26" s="11">
        <f>(H15/C15)-0.5</f>
        <v>39.5</v>
      </c>
      <c r="H26" s="11">
        <f>C15*C13</f>
        <v>2</v>
      </c>
      <c r="I26" s="11">
        <f>HLOOKUP(D26, materials[], 2,FALSE)</f>
        <v>6</v>
      </c>
      <c r="J26" s="11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</row>
    <row r="27" spans="1:71" ht="15.6" hidden="1" x14ac:dyDescent="0.3">
      <c r="A27" s="88" t="s">
        <v>155</v>
      </c>
      <c r="B27" s="19"/>
      <c r="C27" s="7"/>
      <c r="D27" s="7"/>
      <c r="E27" s="7"/>
      <c r="F27" s="7"/>
      <c r="G27" s="7"/>
      <c r="H27" s="7"/>
      <c r="I27" s="7"/>
      <c r="J27" s="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</row>
    <row r="28" spans="1:71" ht="15.6" hidden="1" x14ac:dyDescent="0.3">
      <c r="A28" s="88" t="s">
        <v>154</v>
      </c>
      <c r="B28" s="19" t="str">
        <f>B20</f>
        <v xml:space="preserve">وحدة سفلية دلفة /دلفتين </v>
      </c>
      <c r="C28" s="24">
        <f>C26+1</f>
        <v>7</v>
      </c>
      <c r="D28" s="24" t="str">
        <f>D16</f>
        <v>ظهر</v>
      </c>
      <c r="E28" s="24" t="s">
        <v>70</v>
      </c>
      <c r="F28" s="24">
        <f>I15-2</f>
        <v>76</v>
      </c>
      <c r="G28" s="24">
        <f>H15-2</f>
        <v>78</v>
      </c>
      <c r="H28" s="24">
        <f>1*C13</f>
        <v>1</v>
      </c>
      <c r="I28" s="24">
        <f>HLOOKUP(D28, materials[], 2,FALSE)</f>
        <v>2</v>
      </c>
      <c r="J28" s="24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</row>
    <row r="29" spans="1:71" ht="15.6" hidden="1" x14ac:dyDescent="0.3">
      <c r="A29" s="88" t="s">
        <v>150</v>
      </c>
      <c r="B29" s="19"/>
      <c r="C29" s="3"/>
      <c r="D29" s="3"/>
      <c r="E29" s="3"/>
      <c r="F29" s="3"/>
      <c r="G29" s="3"/>
      <c r="H29" s="3"/>
      <c r="I29" s="3"/>
      <c r="J29" s="3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</row>
    <row r="30" spans="1:71" ht="15.6" hidden="1" x14ac:dyDescent="0.3">
      <c r="A30" s="88" t="s">
        <v>150</v>
      </c>
      <c r="B30" s="19"/>
      <c r="C30" s="3"/>
      <c r="D30" s="3"/>
      <c r="E30" s="3"/>
      <c r="F30" s="3"/>
      <c r="G30" s="3"/>
      <c r="H30" s="3"/>
      <c r="I30" s="3"/>
      <c r="J30" s="3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</row>
    <row r="31" spans="1:71" ht="18" hidden="1" x14ac:dyDescent="0.3">
      <c r="A31" s="88">
        <v>2</v>
      </c>
      <c r="B31" s="19"/>
      <c r="C31" s="16">
        <v>1</v>
      </c>
      <c r="D31" s="30" t="s">
        <v>71</v>
      </c>
      <c r="E31" s="110" t="str">
        <f>bordiumBlockTypes[[#Headers],[وحدة سفلية   درجين / 3 أدراج (بورديوم)]]</f>
        <v>وحدة سفلية   درجين / 3 أدراج (بورديوم)</v>
      </c>
      <c r="F31" s="111"/>
      <c r="G31" s="111"/>
      <c r="H31" s="112"/>
      <c r="I31" s="2" t="s">
        <v>42</v>
      </c>
      <c r="J31" s="2">
        <f>A31</f>
        <v>2</v>
      </c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</row>
    <row r="32" spans="1:71" ht="31.2" hidden="1" x14ac:dyDescent="0.3">
      <c r="A32" s="71" t="s">
        <v>151</v>
      </c>
      <c r="B32" s="19"/>
      <c r="C32" s="9" t="s">
        <v>21</v>
      </c>
      <c r="D32" s="9"/>
      <c r="E32" s="9" t="s">
        <v>17</v>
      </c>
      <c r="F32" s="63" t="s">
        <v>132</v>
      </c>
      <c r="G32" s="20" t="s">
        <v>22</v>
      </c>
      <c r="H32" s="9" t="s">
        <v>34</v>
      </c>
      <c r="I32" s="9" t="s">
        <v>3</v>
      </c>
      <c r="J32" s="9" t="s">
        <v>128</v>
      </c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</row>
    <row r="33" spans="1:62" ht="15.6" hidden="1" x14ac:dyDescent="0.3">
      <c r="A33" s="71" t="s">
        <v>151</v>
      </c>
      <c r="B33" s="19"/>
      <c r="C33" s="10">
        <v>3</v>
      </c>
      <c r="D33" s="9"/>
      <c r="E33" s="43">
        <f>INDEX(bordiumCommon[[#All],[Column1]],MATCH(E32,bordiumCommon[[#All],[Column2]],0))</f>
        <v>3.5</v>
      </c>
      <c r="F33" s="10" t="b">
        <v>1</v>
      </c>
      <c r="G33" s="11">
        <f>INDEX(bordiumCommon[[#All],[Column1]],MATCH(G32,bordiumCommon[[#All],[Column2]],0))</f>
        <v>45</v>
      </c>
      <c r="H33" s="10">
        <v>80</v>
      </c>
      <c r="I33" s="43">
        <f>INDEX(bordiumCommon[[#All],[Column1]],MATCH(I32,bordiumCommon[[#All],[Column2]],0))</f>
        <v>78</v>
      </c>
      <c r="J33" s="43">
        <f>INDEX(bordiumCommon[[#All],[Column1]],MATCH(J32,bordiumCommon[[#All],[Column2]],0))</f>
        <v>56</v>
      </c>
      <c r="BB33"/>
      <c r="BC33"/>
      <c r="BD33"/>
      <c r="BE33"/>
      <c r="BF33"/>
      <c r="BG33"/>
      <c r="BH33"/>
      <c r="BI33"/>
      <c r="BJ33"/>
    </row>
    <row r="34" spans="1:62" ht="21" hidden="1" x14ac:dyDescent="0.3">
      <c r="A34" s="71" t="s">
        <v>151</v>
      </c>
      <c r="B34" s="19"/>
      <c r="C34" s="10"/>
      <c r="D34" s="43" t="str">
        <f>INDEX(bordiumChoosenMaterials[[#All],[Column1]],MATCH(E34,bordiumChoosenMaterials[[#All],[Column2]],0))</f>
        <v>ظهر</v>
      </c>
      <c r="E34" s="9" t="s">
        <v>70</v>
      </c>
      <c r="F34" s="43" t="str">
        <f>INDEX(bordiumChoosenMaterials[[#All],[Column1]],MATCH(G34,bordiumChoosenMaterials[[#All],[Column2]],0))</f>
        <v>يوفيلاك</v>
      </c>
      <c r="G34" s="9" t="s">
        <v>44</v>
      </c>
      <c r="H34" s="43" t="str">
        <f>INDEX(bordiumChoosenMaterials[[#All],[Column1]],MATCH(I34,bordiumChoosenMaterials[[#All],[Column2]],0))</f>
        <v>بورديوم</v>
      </c>
      <c r="I34" s="9" t="s">
        <v>43</v>
      </c>
      <c r="J34" s="34" t="s">
        <v>126</v>
      </c>
      <c r="BB34"/>
      <c r="BC34"/>
      <c r="BD34"/>
      <c r="BE34"/>
      <c r="BF34"/>
      <c r="BG34"/>
      <c r="BH34"/>
      <c r="BI34"/>
      <c r="BJ34"/>
    </row>
    <row r="35" spans="1:62" ht="15.6" hidden="1" x14ac:dyDescent="0.3">
      <c r="A35" s="71" t="s">
        <v>155</v>
      </c>
      <c r="B35" s="19"/>
      <c r="C35" s="3"/>
      <c r="D35" s="3"/>
      <c r="E35" s="3"/>
      <c r="F35" s="3"/>
      <c r="G35" s="3"/>
      <c r="H35" s="3"/>
      <c r="I35" s="3"/>
      <c r="J35" s="3"/>
      <c r="BB35"/>
      <c r="BC35"/>
      <c r="BD35"/>
      <c r="BE35"/>
      <c r="BF35"/>
      <c r="BG35"/>
      <c r="BH35"/>
      <c r="BI35"/>
      <c r="BJ35"/>
    </row>
    <row r="36" spans="1:62" ht="15.6" hidden="1" x14ac:dyDescent="0.3">
      <c r="A36" s="88" t="s">
        <v>152</v>
      </c>
      <c r="B36" s="19"/>
      <c r="C36" s="7" t="s">
        <v>4</v>
      </c>
      <c r="D36" s="7" t="s">
        <v>9</v>
      </c>
      <c r="E36" s="7" t="s">
        <v>5</v>
      </c>
      <c r="F36" s="7" t="s">
        <v>7</v>
      </c>
      <c r="G36" s="7" t="s">
        <v>1</v>
      </c>
      <c r="H36" s="7" t="s">
        <v>6</v>
      </c>
      <c r="I36" s="7" t="s">
        <v>45</v>
      </c>
      <c r="J36" s="7" t="s">
        <v>8</v>
      </c>
      <c r="BB36"/>
      <c r="BC36"/>
      <c r="BD36"/>
      <c r="BE36"/>
      <c r="BF36"/>
      <c r="BG36"/>
      <c r="BH36"/>
      <c r="BI36"/>
      <c r="BJ36"/>
    </row>
    <row r="37" spans="1:62" ht="15.6" hidden="1" x14ac:dyDescent="0.3">
      <c r="A37" s="88" t="s">
        <v>155</v>
      </c>
      <c r="B37" s="19"/>
      <c r="C37" s="7"/>
      <c r="D37" s="7"/>
      <c r="E37" s="7"/>
      <c r="F37" s="7"/>
      <c r="G37" s="7"/>
      <c r="H37" s="7"/>
      <c r="I37" s="7"/>
      <c r="J37" s="7"/>
      <c r="BB37"/>
      <c r="BC37"/>
      <c r="BD37"/>
      <c r="BE37"/>
      <c r="BF37"/>
      <c r="BG37"/>
      <c r="BH37"/>
      <c r="BI37"/>
      <c r="BJ37"/>
    </row>
    <row r="38" spans="1:62" ht="31.2" x14ac:dyDescent="0.3">
      <c r="A38" s="88" t="s">
        <v>156</v>
      </c>
      <c r="B38" s="19" t="str">
        <f>E31</f>
        <v>وحدة سفلية   درجين / 3 أدراج (بورديوم)</v>
      </c>
      <c r="C38" s="7">
        <v>1</v>
      </c>
      <c r="D38" s="7" t="str">
        <f>H34</f>
        <v>بورديوم</v>
      </c>
      <c r="E38" s="7" t="s">
        <v>10</v>
      </c>
      <c r="F38" s="7">
        <f>H33-3.6</f>
        <v>76.400000000000006</v>
      </c>
      <c r="G38" s="7">
        <f>J33</f>
        <v>56</v>
      </c>
      <c r="H38" s="7">
        <f>1*C31</f>
        <v>1</v>
      </c>
      <c r="I38" s="7">
        <f>HLOOKUP(D38, materials[], 2,FALSE)</f>
        <v>2</v>
      </c>
      <c r="J38" s="7"/>
      <c r="BB38" s="3" t="s">
        <v>62</v>
      </c>
      <c r="BC38" s="7">
        <v>1</v>
      </c>
      <c r="BD38" s="7" t="s">
        <v>23</v>
      </c>
      <c r="BE38" s="7" t="s">
        <v>61</v>
      </c>
      <c r="BF38" s="7">
        <v>76.400000000000006</v>
      </c>
      <c r="BG38" s="7">
        <v>30</v>
      </c>
      <c r="BH38" s="7">
        <v>1</v>
      </c>
      <c r="BI38" s="7">
        <v>2</v>
      </c>
      <c r="BJ38" s="7"/>
    </row>
    <row r="39" spans="1:62" ht="31.2" x14ac:dyDescent="0.3">
      <c r="A39" s="88" t="s">
        <v>156</v>
      </c>
      <c r="B39" s="19" t="str">
        <f>B38</f>
        <v>وحدة سفلية   درجين / 3 أدراج (بورديوم)</v>
      </c>
      <c r="C39" s="7">
        <f>C38+1</f>
        <v>2</v>
      </c>
      <c r="D39" s="7" t="str">
        <f>H34</f>
        <v>بورديوم</v>
      </c>
      <c r="E39" s="7" t="s">
        <v>11</v>
      </c>
      <c r="F39" s="7">
        <f>I33</f>
        <v>78</v>
      </c>
      <c r="G39" s="7">
        <f>J33</f>
        <v>56</v>
      </c>
      <c r="H39" s="7">
        <f>2*C31</f>
        <v>2</v>
      </c>
      <c r="I39" s="7">
        <f>HLOOKUP(D39, materials[], 2,FALSE)</f>
        <v>2</v>
      </c>
      <c r="J39" s="7"/>
      <c r="BB39" s="3" t="s">
        <v>62</v>
      </c>
      <c r="BC39" s="7">
        <v>2</v>
      </c>
      <c r="BD39" s="7" t="s">
        <v>23</v>
      </c>
      <c r="BE39" s="7" t="s">
        <v>10</v>
      </c>
      <c r="BF39" s="7">
        <v>76.400000000000006</v>
      </c>
      <c r="BG39" s="7">
        <v>30</v>
      </c>
      <c r="BH39" s="7">
        <v>1</v>
      </c>
      <c r="BI39" s="7">
        <v>2</v>
      </c>
      <c r="BJ39" s="7"/>
    </row>
    <row r="40" spans="1:62" ht="31.2" x14ac:dyDescent="0.3">
      <c r="A40" s="88" t="s">
        <v>156</v>
      </c>
      <c r="B40" s="19" t="str">
        <f>B38</f>
        <v>وحدة سفلية   درجين / 3 أدراج (بورديوم)</v>
      </c>
      <c r="C40" s="7">
        <f t="shared" ref="C40:C44" si="1">C39+1</f>
        <v>3</v>
      </c>
      <c r="D40" s="7" t="str">
        <f>H34</f>
        <v>بورديوم</v>
      </c>
      <c r="E40" s="7" t="s">
        <v>13</v>
      </c>
      <c r="F40" s="7">
        <f>H33-3.6</f>
        <v>76.400000000000006</v>
      </c>
      <c r="G40" s="7">
        <v>10</v>
      </c>
      <c r="H40" s="7">
        <f>1*C31</f>
        <v>1</v>
      </c>
      <c r="I40" s="7">
        <f>HLOOKUP(D40, materials[], 2,FALSE)</f>
        <v>2</v>
      </c>
      <c r="J40" s="7"/>
      <c r="BB40" s="3" t="s">
        <v>62</v>
      </c>
      <c r="BC40" s="7">
        <v>3</v>
      </c>
      <c r="BD40" s="7" t="s">
        <v>23</v>
      </c>
      <c r="BE40" s="7" t="s">
        <v>11</v>
      </c>
      <c r="BF40" s="7">
        <v>70</v>
      </c>
      <c r="BG40" s="7">
        <v>30</v>
      </c>
      <c r="BH40" s="7">
        <v>2</v>
      </c>
      <c r="BI40" s="7">
        <v>2</v>
      </c>
      <c r="BJ40" s="7"/>
    </row>
    <row r="41" spans="1:62" ht="31.2" x14ac:dyDescent="0.3">
      <c r="A41" s="88" t="s">
        <v>156</v>
      </c>
      <c r="B41" s="19" t="str">
        <f>B38</f>
        <v>وحدة سفلية   درجين / 3 أدراج (بورديوم)</v>
      </c>
      <c r="C41" s="7">
        <f t="shared" si="1"/>
        <v>4</v>
      </c>
      <c r="D41" s="7" t="str">
        <f>H34</f>
        <v>بورديوم</v>
      </c>
      <c r="E41" s="7" t="s">
        <v>14</v>
      </c>
      <c r="F41" s="7">
        <f>H33-3.6</f>
        <v>76.400000000000006</v>
      </c>
      <c r="G41" s="7">
        <v>7</v>
      </c>
      <c r="H41" s="7">
        <f>1*C31</f>
        <v>1</v>
      </c>
      <c r="I41" s="7">
        <f>HLOOKUP(D41, materials[], 2,FALSE)</f>
        <v>2</v>
      </c>
      <c r="J41" s="7"/>
      <c r="BB41" s="3" t="s">
        <v>62</v>
      </c>
      <c r="BC41" s="7">
        <v>4</v>
      </c>
      <c r="BD41" s="7" t="s">
        <v>23</v>
      </c>
      <c r="BE41" s="7" t="s">
        <v>63</v>
      </c>
      <c r="BF41" s="7">
        <v>76.400000000000006</v>
      </c>
      <c r="BG41" s="7">
        <v>27.5</v>
      </c>
      <c r="BH41" s="7">
        <v>1</v>
      </c>
      <c r="BI41" s="7">
        <v>2</v>
      </c>
      <c r="BJ41" s="7"/>
    </row>
    <row r="42" spans="1:62" ht="31.2" x14ac:dyDescent="0.3">
      <c r="A42" s="88" t="s">
        <v>156</v>
      </c>
      <c r="B42" s="19" t="str">
        <f>B38</f>
        <v>وحدة سفلية   درجين / 3 أدراج (بورديوم)</v>
      </c>
      <c r="C42" s="12">
        <f t="shared" si="1"/>
        <v>5</v>
      </c>
      <c r="D42" s="12" t="str">
        <f>H34</f>
        <v>بورديوم</v>
      </c>
      <c r="E42" s="12" t="s">
        <v>24</v>
      </c>
      <c r="F42" s="12">
        <f>H33-3.6-3.6-2.5</f>
        <v>70.300000000000011</v>
      </c>
      <c r="G42" s="12">
        <f>60/C33</f>
        <v>20</v>
      </c>
      <c r="H42" s="12">
        <f>C33*C31</f>
        <v>3</v>
      </c>
      <c r="I42" s="12">
        <f>HLOOKUP(D42, materials[], 2,FALSE)</f>
        <v>2</v>
      </c>
      <c r="J42" s="12"/>
      <c r="BB42" s="19" t="s">
        <v>20</v>
      </c>
      <c r="BC42" s="7">
        <v>1</v>
      </c>
      <c r="BD42" s="7" t="s">
        <v>23</v>
      </c>
      <c r="BE42" s="7" t="s">
        <v>10</v>
      </c>
      <c r="BF42" s="7">
        <v>76.400000000000006</v>
      </c>
      <c r="BG42" s="7">
        <v>56</v>
      </c>
      <c r="BH42" s="7">
        <v>1</v>
      </c>
      <c r="BI42" s="7">
        <v>2</v>
      </c>
      <c r="BJ42" s="7"/>
    </row>
    <row r="43" spans="1:62" ht="31.2" x14ac:dyDescent="0.3">
      <c r="A43" s="88" t="s">
        <v>156</v>
      </c>
      <c r="B43" s="19" t="str">
        <f>B38</f>
        <v>وحدة سفلية   درجين / 3 أدراج (بورديوم)</v>
      </c>
      <c r="C43" s="12">
        <f t="shared" si="1"/>
        <v>6</v>
      </c>
      <c r="D43" s="12" t="str">
        <f>H34</f>
        <v>بورديوم</v>
      </c>
      <c r="E43" s="12" t="s">
        <v>25</v>
      </c>
      <c r="F43" s="12">
        <f>G33</f>
        <v>45</v>
      </c>
      <c r="G43" s="12">
        <f>60/C33</f>
        <v>20</v>
      </c>
      <c r="H43" s="12">
        <f>C33*2*C31</f>
        <v>6</v>
      </c>
      <c r="I43" s="12">
        <f>HLOOKUP(D43, materials[], 2,FALSE)</f>
        <v>2</v>
      </c>
      <c r="J43" s="12"/>
      <c r="BB43" s="19" t="s">
        <v>20</v>
      </c>
      <c r="BC43" s="7">
        <v>2</v>
      </c>
      <c r="BD43" s="7" t="s">
        <v>23</v>
      </c>
      <c r="BE43" s="7" t="s">
        <v>11</v>
      </c>
      <c r="BF43" s="7">
        <v>78</v>
      </c>
      <c r="BG43" s="7">
        <v>56</v>
      </c>
      <c r="BH43" s="7">
        <v>2</v>
      </c>
      <c r="BI43" s="7">
        <v>2</v>
      </c>
      <c r="BJ43" s="7"/>
    </row>
    <row r="44" spans="1:62" ht="31.2" x14ac:dyDescent="0.3">
      <c r="A44" s="88" t="s">
        <v>156</v>
      </c>
      <c r="B44" s="19" t="str">
        <f>B38</f>
        <v>وحدة سفلية   درجين / 3 أدراج (بورديوم)</v>
      </c>
      <c r="C44" s="12">
        <f t="shared" si="1"/>
        <v>7</v>
      </c>
      <c r="D44" s="12" t="str">
        <f>H34</f>
        <v>بورديوم</v>
      </c>
      <c r="E44" s="12" t="s">
        <v>26</v>
      </c>
      <c r="F44" s="12">
        <f>H33-3.6-3.6-2.5</f>
        <v>70.300000000000011</v>
      </c>
      <c r="G44" s="12">
        <f>60/C33-3</f>
        <v>17</v>
      </c>
      <c r="H44" s="12">
        <f>C33*C31</f>
        <v>3</v>
      </c>
      <c r="I44" s="12">
        <f>HLOOKUP(D44, materials[], 2,FALSE)</f>
        <v>2</v>
      </c>
      <c r="J44" s="12"/>
      <c r="BB44" s="19" t="s">
        <v>20</v>
      </c>
      <c r="BC44" s="7">
        <v>3</v>
      </c>
      <c r="BD44" s="7" t="s">
        <v>23</v>
      </c>
      <c r="BE44" s="7" t="s">
        <v>13</v>
      </c>
      <c r="BF44" s="7">
        <v>76.400000000000006</v>
      </c>
      <c r="BG44" s="7">
        <v>10</v>
      </c>
      <c r="BH44" s="7">
        <v>1</v>
      </c>
      <c r="BI44" s="7">
        <v>2</v>
      </c>
      <c r="BJ44" s="7"/>
    </row>
    <row r="45" spans="1:62" ht="15.6" hidden="1" x14ac:dyDescent="0.3">
      <c r="A45" s="88" t="s">
        <v>155</v>
      </c>
      <c r="B45" s="19"/>
      <c r="C45" s="7"/>
      <c r="D45" s="7"/>
      <c r="E45" s="7"/>
      <c r="F45" s="7"/>
      <c r="G45" s="7"/>
      <c r="H45" s="7"/>
      <c r="I45" s="7"/>
      <c r="J45" s="7"/>
      <c r="BB45"/>
      <c r="BC45"/>
      <c r="BD45"/>
      <c r="BE45"/>
      <c r="BF45"/>
      <c r="BG45"/>
      <c r="BH45"/>
      <c r="BI45"/>
      <c r="BJ45"/>
    </row>
    <row r="46" spans="1:62" ht="15.6" hidden="1" x14ac:dyDescent="0.3">
      <c r="A46" s="88" t="s">
        <v>153</v>
      </c>
      <c r="B46" s="19" t="str">
        <f>B38</f>
        <v>وحدة سفلية   درجين / 3 أدراج (بورديوم)</v>
      </c>
      <c r="C46" s="11">
        <f>C44+1</f>
        <v>8</v>
      </c>
      <c r="D46" s="11" t="str">
        <f>F34</f>
        <v>يوفيلاك</v>
      </c>
      <c r="E46" s="11" t="s">
        <v>27</v>
      </c>
      <c r="F46" s="11">
        <f>(I33/C33)-0.5-E33</f>
        <v>22</v>
      </c>
      <c r="G46" s="11">
        <f>H33-0.5</f>
        <v>79.5</v>
      </c>
      <c r="H46" s="11">
        <f>C33*C31</f>
        <v>3</v>
      </c>
      <c r="I46" s="11">
        <f>HLOOKUP(D46, materials[], 2,FALSE)</f>
        <v>6</v>
      </c>
      <c r="J46" s="11"/>
      <c r="BB46"/>
      <c r="BC46"/>
      <c r="BD46"/>
      <c r="BE46"/>
      <c r="BF46"/>
      <c r="BG46"/>
      <c r="BH46"/>
      <c r="BI46"/>
      <c r="BJ46"/>
    </row>
    <row r="47" spans="1:62" hidden="1" x14ac:dyDescent="0.3">
      <c r="A47" s="88" t="s">
        <v>155</v>
      </c>
      <c r="B47" s="3"/>
      <c r="C47" s="7"/>
      <c r="D47" s="7"/>
      <c r="E47" s="7"/>
      <c r="F47" s="7"/>
      <c r="G47" s="7"/>
      <c r="H47" s="7"/>
      <c r="I47" s="7"/>
      <c r="J47" s="7"/>
      <c r="BB47"/>
      <c r="BC47"/>
      <c r="BD47"/>
      <c r="BE47"/>
      <c r="BF47"/>
      <c r="BG47"/>
      <c r="BH47"/>
      <c r="BI47"/>
      <c r="BJ47"/>
    </row>
    <row r="48" spans="1:62" ht="15.6" hidden="1" x14ac:dyDescent="0.3">
      <c r="A48" s="88" t="s">
        <v>154</v>
      </c>
      <c r="B48" s="19" t="str">
        <f>IF(F33,B38, "")</f>
        <v>وحدة سفلية   درجين / 3 أدراج (بورديوم)</v>
      </c>
      <c r="C48" s="24">
        <f>IF(F33,C46+1, "")</f>
        <v>9</v>
      </c>
      <c r="D48" s="24" t="str">
        <f>IF(F33,D34, "")</f>
        <v>ظهر</v>
      </c>
      <c r="E48" s="24" t="str">
        <f>IF(F33,"ظهر", "")</f>
        <v>ظهر</v>
      </c>
      <c r="F48" s="24">
        <f>IF(F33,I33-2, "")</f>
        <v>76</v>
      </c>
      <c r="G48" s="24">
        <f>IF(F33,H33-2, "")</f>
        <v>78</v>
      </c>
      <c r="H48" s="24">
        <f>IF(F33,1*C31, "")</f>
        <v>1</v>
      </c>
      <c r="I48" s="24">
        <f>IF(F33,HLOOKUP(D48, materials[], 2,FALSE), "")</f>
        <v>2</v>
      </c>
      <c r="J48" s="24"/>
      <c r="BB48"/>
      <c r="BC48"/>
      <c r="BD48"/>
      <c r="BE48"/>
      <c r="BF48"/>
      <c r="BG48"/>
      <c r="BH48"/>
      <c r="BI48"/>
      <c r="BJ48"/>
    </row>
    <row r="49" spans="1:62" hidden="1" x14ac:dyDescent="0.3">
      <c r="A49" s="71" t="s">
        <v>150</v>
      </c>
      <c r="B49" s="3"/>
      <c r="C49" s="3"/>
      <c r="D49" s="3"/>
      <c r="E49" s="3"/>
      <c r="F49" s="3"/>
      <c r="G49" s="3"/>
      <c r="H49" s="3"/>
      <c r="I49" s="3"/>
      <c r="J49" s="3"/>
      <c r="BB49"/>
      <c r="BC49"/>
      <c r="BD49"/>
      <c r="BE49"/>
      <c r="BF49"/>
      <c r="BG49"/>
      <c r="BH49"/>
      <c r="BI49"/>
      <c r="BJ49"/>
    </row>
    <row r="50" spans="1:62" ht="15.6" hidden="1" x14ac:dyDescent="0.3">
      <c r="A50" s="71" t="s">
        <v>150</v>
      </c>
      <c r="B50" s="19"/>
      <c r="C50" s="3"/>
      <c r="D50" s="3"/>
      <c r="E50" s="3"/>
      <c r="F50" s="3"/>
      <c r="G50" s="3"/>
      <c r="H50" s="3"/>
      <c r="I50" s="3"/>
      <c r="J50" s="3"/>
      <c r="BB50"/>
      <c r="BC50"/>
      <c r="BD50"/>
      <c r="BE50"/>
      <c r="BF50"/>
      <c r="BG50"/>
      <c r="BH50"/>
      <c r="BI50"/>
      <c r="BJ50"/>
    </row>
    <row r="51" spans="1:62" ht="18" hidden="1" x14ac:dyDescent="0.3">
      <c r="A51" s="71">
        <v>3</v>
      </c>
      <c r="B51" s="3"/>
      <c r="C51" s="16">
        <v>1</v>
      </c>
      <c r="D51" s="30" t="s">
        <v>71</v>
      </c>
      <c r="E51" s="110" t="str">
        <f>upperBlockTypes[[#Headers],[وحدة علوية  قلاب / 2 قلاب]]</f>
        <v>وحدة علوية  قلاب / 2 قلاب</v>
      </c>
      <c r="F51" s="111"/>
      <c r="G51" s="111"/>
      <c r="H51" s="112"/>
      <c r="I51" s="2" t="s">
        <v>42</v>
      </c>
      <c r="J51" s="2">
        <f>A51</f>
        <v>3</v>
      </c>
      <c r="BB51"/>
      <c r="BC51"/>
      <c r="BD51"/>
      <c r="BE51"/>
      <c r="BF51"/>
      <c r="BG51"/>
      <c r="BH51"/>
      <c r="BI51"/>
      <c r="BJ51"/>
    </row>
    <row r="52" spans="1:62" ht="31.2" hidden="1" x14ac:dyDescent="0.3">
      <c r="A52" s="71" t="s">
        <v>151</v>
      </c>
      <c r="B52" s="3"/>
      <c r="C52" s="9" t="s">
        <v>66</v>
      </c>
      <c r="D52" s="9" t="s">
        <v>67</v>
      </c>
      <c r="E52" s="9" t="s">
        <v>63</v>
      </c>
      <c r="F52" s="9" t="s">
        <v>17</v>
      </c>
      <c r="G52" s="9" t="s">
        <v>133</v>
      </c>
      <c r="H52" s="9" t="s">
        <v>34</v>
      </c>
      <c r="I52" s="9" t="s">
        <v>3</v>
      </c>
      <c r="J52" s="9" t="s">
        <v>128</v>
      </c>
      <c r="BB52"/>
      <c r="BC52"/>
      <c r="BD52"/>
      <c r="BE52"/>
      <c r="BF52"/>
      <c r="BG52"/>
      <c r="BH52"/>
      <c r="BI52"/>
      <c r="BJ52"/>
    </row>
    <row r="53" spans="1:62" ht="15.6" hidden="1" x14ac:dyDescent="0.3">
      <c r="A53" s="71" t="s">
        <v>151</v>
      </c>
      <c r="B53" s="3"/>
      <c r="C53" s="10"/>
      <c r="D53" s="10">
        <v>2</v>
      </c>
      <c r="E53" s="9">
        <v>1</v>
      </c>
      <c r="F53" s="43">
        <f>INDEX(upperCommon[[#All],[Column1]],MATCH(F52,upperCommon[[#All],[Column2]],0))</f>
        <v>3.5</v>
      </c>
      <c r="G53" s="43">
        <f>INDEX(upperCommon[[#All],[Column1]],MATCH(G52,upperCommon[[#All],[Column2]],0))</f>
        <v>0</v>
      </c>
      <c r="H53" s="10">
        <v>80</v>
      </c>
      <c r="I53" s="43">
        <f>INDEX(upperCommon[[#All],[Column1]],MATCH(I52,upperCommon[[#All],[Column2]],0))</f>
        <v>70</v>
      </c>
      <c r="J53" s="43">
        <f>INDEX(upperCommon[[#All],[Column1]],MATCH(J52,upperCommon[[#All],[Column2]],0))</f>
        <v>30</v>
      </c>
      <c r="BB53"/>
      <c r="BC53"/>
      <c r="BD53"/>
      <c r="BE53"/>
      <c r="BF53"/>
      <c r="BG53"/>
      <c r="BH53"/>
      <c r="BI53"/>
      <c r="BJ53"/>
    </row>
    <row r="54" spans="1:62" hidden="1" x14ac:dyDescent="0.3">
      <c r="A54" s="71" t="s">
        <v>151</v>
      </c>
      <c r="B54" s="3"/>
      <c r="C54" s="11" t="b">
        <f>C53=0</f>
        <v>1</v>
      </c>
      <c r="D54" s="11" t="b">
        <f>D53=0</f>
        <v>0</v>
      </c>
      <c r="E54" s="83"/>
      <c r="F54" s="121" t="b">
        <f>NOT(AND(F53&gt;0,G53&gt;0))</f>
        <v>1</v>
      </c>
      <c r="G54" s="121"/>
      <c r="H54" s="10"/>
      <c r="I54" s="3" t="b">
        <f>_xlfn.XOR(I53&lt;=50,C55=2)</f>
        <v>1</v>
      </c>
      <c r="J54" s="10"/>
      <c r="BB54"/>
      <c r="BC54"/>
      <c r="BD54"/>
      <c r="BE54"/>
      <c r="BF54"/>
      <c r="BG54"/>
      <c r="BH54"/>
      <c r="BI54"/>
      <c r="BJ54"/>
    </row>
    <row r="55" spans="1:62" hidden="1" x14ac:dyDescent="0.3">
      <c r="A55" s="71" t="s">
        <v>151</v>
      </c>
      <c r="B55" s="3"/>
      <c r="C55" s="118">
        <f>C53+D53</f>
        <v>2</v>
      </c>
      <c r="D55" s="118"/>
      <c r="E55" s="66"/>
      <c r="F55" s="122" t="str">
        <f>IF(F54,"المقابض مظبوطة","مينفعش مقبض مخفي مع بيلت ان")</f>
        <v>المقابض مظبوطة</v>
      </c>
      <c r="G55" s="122"/>
      <c r="H55" s="66"/>
      <c r="I55" s="68" t="str">
        <f>IF(I54,"عدد الدلف صحيح","عدد الدلف غير صحيح")</f>
        <v>عدد الدلف صحيح</v>
      </c>
      <c r="J55" s="10"/>
      <c r="BB55"/>
      <c r="BC55"/>
      <c r="BD55"/>
      <c r="BE55"/>
      <c r="BF55"/>
      <c r="BG55"/>
      <c r="BH55"/>
      <c r="BI55"/>
      <c r="BJ55"/>
    </row>
    <row r="56" spans="1:62" hidden="1" x14ac:dyDescent="0.3">
      <c r="A56" s="71" t="s">
        <v>151</v>
      </c>
      <c r="B56" s="3"/>
      <c r="C56" s="119" t="b">
        <f>C55&lt;=2</f>
        <v>1</v>
      </c>
      <c r="D56" s="119"/>
      <c r="E56" s="83"/>
      <c r="F56" s="10"/>
      <c r="G56" s="10"/>
      <c r="H56" s="10"/>
      <c r="I56" s="10"/>
      <c r="J56" s="10"/>
      <c r="BB56"/>
      <c r="BC56"/>
      <c r="BD56"/>
      <c r="BE56"/>
      <c r="BF56"/>
      <c r="BG56"/>
      <c r="BH56"/>
      <c r="BI56"/>
      <c r="BJ56"/>
    </row>
    <row r="57" spans="1:62" ht="21" hidden="1" x14ac:dyDescent="0.3">
      <c r="A57" s="71" t="s">
        <v>151</v>
      </c>
      <c r="B57" s="3"/>
      <c r="C57" s="10"/>
      <c r="D57" s="43" t="str">
        <f>INDEX(choosenMaterials[[#All],[Column1]],MATCH(E57,choosenMaterials[[#All],[Column2]],0))</f>
        <v>ظهر</v>
      </c>
      <c r="E57" s="9" t="s">
        <v>70</v>
      </c>
      <c r="F57" s="43" t="str">
        <f>INDEX(choosenMaterials[[#All],[Column1]],MATCH(G57,choosenMaterials[[#All],[Column2]],0))</f>
        <v>يوفيلاك</v>
      </c>
      <c r="G57" s="9" t="s">
        <v>44</v>
      </c>
      <c r="H57" s="43" t="str">
        <f>INDEX(choosenMaterials[[#All],[Column1]],MATCH(I57,choosenMaterials[[#All],[Column2]],0))</f>
        <v>HPL</v>
      </c>
      <c r="I57" s="9" t="s">
        <v>43</v>
      </c>
      <c r="J57" s="34" t="s">
        <v>126</v>
      </c>
      <c r="BB57"/>
      <c r="BC57"/>
      <c r="BD57"/>
      <c r="BE57"/>
      <c r="BF57"/>
      <c r="BG57"/>
      <c r="BH57"/>
      <c r="BI57"/>
      <c r="BJ57"/>
    </row>
    <row r="58" spans="1:62" hidden="1" x14ac:dyDescent="0.3">
      <c r="A58" s="71" t="s">
        <v>155</v>
      </c>
      <c r="B58" s="3"/>
      <c r="C58" s="1"/>
      <c r="D58" s="1"/>
      <c r="E58" s="1"/>
      <c r="F58" s="3"/>
      <c r="G58" s="3"/>
      <c r="H58" s="3"/>
      <c r="I58" s="3"/>
      <c r="J58" s="3"/>
      <c r="BB58"/>
      <c r="BC58"/>
      <c r="BD58"/>
      <c r="BE58"/>
      <c r="BF58"/>
      <c r="BG58"/>
      <c r="BH58"/>
      <c r="BI58"/>
      <c r="BJ58"/>
    </row>
    <row r="59" spans="1:62" hidden="1" x14ac:dyDescent="0.3">
      <c r="A59" s="71" t="s">
        <v>152</v>
      </c>
      <c r="B59" s="3"/>
      <c r="C59" s="7" t="s">
        <v>4</v>
      </c>
      <c r="D59" s="7" t="s">
        <v>9</v>
      </c>
      <c r="E59" s="7" t="s">
        <v>5</v>
      </c>
      <c r="F59" s="7" t="s">
        <v>7</v>
      </c>
      <c r="G59" s="7" t="s">
        <v>1</v>
      </c>
      <c r="H59" s="7" t="s">
        <v>6</v>
      </c>
      <c r="I59" s="7" t="s">
        <v>45</v>
      </c>
      <c r="J59" s="7" t="s">
        <v>8</v>
      </c>
      <c r="BB59"/>
      <c r="BC59"/>
      <c r="BD59"/>
      <c r="BE59"/>
      <c r="BF59"/>
      <c r="BG59"/>
      <c r="BH59"/>
      <c r="BI59"/>
      <c r="BJ59"/>
    </row>
    <row r="60" spans="1:62" hidden="1" x14ac:dyDescent="0.3">
      <c r="A60" s="71" t="s">
        <v>155</v>
      </c>
      <c r="B60" s="3"/>
      <c r="C60" s="7"/>
      <c r="D60" s="7"/>
      <c r="E60" s="7"/>
      <c r="F60" s="7"/>
      <c r="G60" s="7"/>
      <c r="H60" s="7"/>
      <c r="I60" s="7"/>
      <c r="J60" s="7"/>
      <c r="BB60"/>
      <c r="BC60"/>
      <c r="BD60"/>
      <c r="BE60"/>
      <c r="BF60"/>
      <c r="BG60"/>
      <c r="BH60"/>
      <c r="BI60"/>
      <c r="BJ60"/>
    </row>
    <row r="61" spans="1:62" x14ac:dyDescent="0.3">
      <c r="A61" s="71" t="s">
        <v>156</v>
      </c>
      <c r="B61" s="3" t="str">
        <f>E51</f>
        <v>وحدة علوية  قلاب / 2 قلاب</v>
      </c>
      <c r="C61" s="7">
        <v>1</v>
      </c>
      <c r="D61" s="7" t="str">
        <f>H57</f>
        <v>HPL</v>
      </c>
      <c r="E61" s="7" t="s">
        <v>61</v>
      </c>
      <c r="F61" s="7">
        <f>H53-3.6</f>
        <v>76.400000000000006</v>
      </c>
      <c r="G61" s="7">
        <f>J53</f>
        <v>30</v>
      </c>
      <c r="H61" s="7">
        <f>1*C51</f>
        <v>1</v>
      </c>
      <c r="I61" s="7">
        <f>HLOOKUP(D61, materials[], 2,FALSE)</f>
        <v>2</v>
      </c>
      <c r="J61" s="7"/>
      <c r="BB61" s="19" t="s">
        <v>20</v>
      </c>
      <c r="BC61" s="7">
        <v>4</v>
      </c>
      <c r="BD61" s="7" t="s">
        <v>23</v>
      </c>
      <c r="BE61" s="7" t="s">
        <v>14</v>
      </c>
      <c r="BF61" s="7">
        <v>76.400000000000006</v>
      </c>
      <c r="BG61" s="7">
        <v>7</v>
      </c>
      <c r="BH61" s="7">
        <v>1</v>
      </c>
      <c r="BI61" s="7">
        <v>2</v>
      </c>
      <c r="BJ61" s="7"/>
    </row>
    <row r="62" spans="1:62" x14ac:dyDescent="0.3">
      <c r="A62" s="71" t="s">
        <v>156</v>
      </c>
      <c r="B62" s="3" t="str">
        <f>B61</f>
        <v>وحدة علوية  قلاب / 2 قلاب</v>
      </c>
      <c r="C62" s="7">
        <f>C61+1</f>
        <v>2</v>
      </c>
      <c r="D62" s="7" t="str">
        <f>H57</f>
        <v>HPL</v>
      </c>
      <c r="E62" s="7" t="s">
        <v>10</v>
      </c>
      <c r="F62" s="7">
        <f>H53-3.6</f>
        <v>76.400000000000006</v>
      </c>
      <c r="G62" s="7">
        <f>J53-G53</f>
        <v>30</v>
      </c>
      <c r="H62" s="7">
        <f>1*C51</f>
        <v>1</v>
      </c>
      <c r="I62" s="7">
        <f>HLOOKUP(D62, materials[], 2,FALSE)</f>
        <v>2</v>
      </c>
      <c r="J62" s="7"/>
      <c r="BB62" s="19" t="s">
        <v>20</v>
      </c>
      <c r="BC62" s="12">
        <v>5</v>
      </c>
      <c r="BD62" s="12" t="s">
        <v>23</v>
      </c>
      <c r="BE62" s="12" t="s">
        <v>24</v>
      </c>
      <c r="BF62" s="12">
        <v>70.300000000000011</v>
      </c>
      <c r="BG62" s="12">
        <v>20</v>
      </c>
      <c r="BH62" s="12">
        <v>3</v>
      </c>
      <c r="BI62" s="12">
        <v>2</v>
      </c>
      <c r="BJ62" s="12"/>
    </row>
    <row r="63" spans="1:62" x14ac:dyDescent="0.3">
      <c r="A63" s="71" t="s">
        <v>156</v>
      </c>
      <c r="B63" s="3" t="str">
        <f>B61</f>
        <v>وحدة علوية  قلاب / 2 قلاب</v>
      </c>
      <c r="C63" s="7">
        <f t="shared" ref="C63:C64" si="2">C62+1</f>
        <v>3</v>
      </c>
      <c r="D63" s="7" t="str">
        <f>H57</f>
        <v>HPL</v>
      </c>
      <c r="E63" s="7" t="s">
        <v>11</v>
      </c>
      <c r="F63" s="7">
        <f>I53</f>
        <v>70</v>
      </c>
      <c r="G63" s="7">
        <f>J53</f>
        <v>30</v>
      </c>
      <c r="H63" s="7">
        <f>2*C51</f>
        <v>2</v>
      </c>
      <c r="I63" s="7">
        <f>HLOOKUP(D63, materials[], 2,FALSE)</f>
        <v>2</v>
      </c>
      <c r="J63" s="7"/>
      <c r="BB63" s="19" t="s">
        <v>20</v>
      </c>
      <c r="BC63" s="12">
        <v>6</v>
      </c>
      <c r="BD63" s="12" t="s">
        <v>23</v>
      </c>
      <c r="BE63" s="12" t="s">
        <v>25</v>
      </c>
      <c r="BF63" s="12">
        <v>45</v>
      </c>
      <c r="BG63" s="12">
        <v>20</v>
      </c>
      <c r="BH63" s="12">
        <v>6</v>
      </c>
      <c r="BI63" s="12">
        <v>2</v>
      </c>
      <c r="BJ63" s="12"/>
    </row>
    <row r="64" spans="1:62" x14ac:dyDescent="0.3">
      <c r="A64" s="71" t="s">
        <v>156</v>
      </c>
      <c r="B64" s="3" t="str">
        <f>B61</f>
        <v>وحدة علوية  قلاب / 2 قلاب</v>
      </c>
      <c r="C64" s="7">
        <f t="shared" si="2"/>
        <v>4</v>
      </c>
      <c r="D64" s="7" t="str">
        <f>H57</f>
        <v>HPL</v>
      </c>
      <c r="E64" s="7" t="s">
        <v>63</v>
      </c>
      <c r="F64" s="7">
        <f>(H53-3.6)*E53</f>
        <v>76.400000000000006</v>
      </c>
      <c r="G64" s="7">
        <f>(J53-2.5)*E53</f>
        <v>27.5</v>
      </c>
      <c r="H64" s="7">
        <f>E53*C51</f>
        <v>1</v>
      </c>
      <c r="I64" s="7">
        <f>HLOOKUP(D64, materials[], 2,FALSE)</f>
        <v>2</v>
      </c>
      <c r="J64" s="7"/>
      <c r="BB64" s="19" t="s">
        <v>20</v>
      </c>
      <c r="BC64" s="12">
        <v>7</v>
      </c>
      <c r="BD64" s="12" t="s">
        <v>23</v>
      </c>
      <c r="BE64" s="12" t="s">
        <v>26</v>
      </c>
      <c r="BF64" s="12">
        <v>70.300000000000011</v>
      </c>
      <c r="BG64" s="12">
        <v>17</v>
      </c>
      <c r="BH64" s="12">
        <v>3</v>
      </c>
      <c r="BI64" s="12">
        <v>2</v>
      </c>
      <c r="BJ64" s="12"/>
    </row>
    <row r="65" spans="1:62" hidden="1" x14ac:dyDescent="0.3">
      <c r="A65" s="71" t="s">
        <v>155</v>
      </c>
      <c r="B65" s="3" t="str">
        <f>B61</f>
        <v>وحدة علوية  قلاب / 2 قلاب</v>
      </c>
      <c r="C65" s="7"/>
      <c r="D65" s="7"/>
      <c r="E65" s="7"/>
      <c r="F65" s="7"/>
      <c r="G65" s="7"/>
      <c r="H65" s="7"/>
      <c r="I65" s="7"/>
      <c r="J65" s="7"/>
      <c r="BB65"/>
      <c r="BC65"/>
      <c r="BD65"/>
      <c r="BE65"/>
      <c r="BF65"/>
      <c r="BG65"/>
      <c r="BH65"/>
      <c r="BI65"/>
      <c r="BJ65"/>
    </row>
    <row r="66" spans="1:62" hidden="1" x14ac:dyDescent="0.3">
      <c r="A66" s="71" t="s">
        <v>153</v>
      </c>
      <c r="B66" s="3" t="str">
        <f>B61</f>
        <v>وحدة علوية  قلاب / 2 قلاب</v>
      </c>
      <c r="C66" s="11">
        <f>C64+1</f>
        <v>5</v>
      </c>
      <c r="D66" s="11" t="str">
        <f>F57</f>
        <v>يوفيلاك</v>
      </c>
      <c r="E66" s="11" t="s">
        <v>68</v>
      </c>
      <c r="F66" s="11">
        <f>(I53/C55)-0.5-F53</f>
        <v>31</v>
      </c>
      <c r="G66" s="11">
        <f>H53-0.5</f>
        <v>79.5</v>
      </c>
      <c r="H66" s="11">
        <f>C53*C51</f>
        <v>0</v>
      </c>
      <c r="I66" s="11">
        <f>HLOOKUP(D66, materials[], 2,FALSE)</f>
        <v>6</v>
      </c>
      <c r="J66" s="11"/>
      <c r="BB66"/>
      <c r="BC66"/>
      <c r="BD66"/>
      <c r="BE66"/>
      <c r="BF66"/>
      <c r="BG66"/>
      <c r="BH66"/>
      <c r="BI66"/>
      <c r="BJ66"/>
    </row>
    <row r="67" spans="1:62" hidden="1" x14ac:dyDescent="0.3">
      <c r="A67" s="71" t="s">
        <v>153</v>
      </c>
      <c r="B67" s="3" t="str">
        <f>B61</f>
        <v>وحدة علوية  قلاب / 2 قلاب</v>
      </c>
      <c r="C67" s="11">
        <f>C66+1</f>
        <v>6</v>
      </c>
      <c r="D67" s="11" t="s">
        <v>65</v>
      </c>
      <c r="E67" s="11" t="s">
        <v>69</v>
      </c>
      <c r="F67" s="11">
        <f>(I53/C55)-0.5</f>
        <v>34.5</v>
      </c>
      <c r="G67" s="11">
        <f>H53-0.5</f>
        <v>79.5</v>
      </c>
      <c r="H67" s="11">
        <f>C51*D53</f>
        <v>2</v>
      </c>
      <c r="I67" s="11"/>
      <c r="J67" s="11"/>
      <c r="BB67"/>
      <c r="BC67"/>
      <c r="BD67"/>
      <c r="BE67"/>
      <c r="BF67"/>
      <c r="BG67"/>
      <c r="BH67"/>
      <c r="BI67"/>
      <c r="BJ67"/>
    </row>
    <row r="68" spans="1:62" hidden="1" x14ac:dyDescent="0.3">
      <c r="A68" s="71" t="s">
        <v>155</v>
      </c>
      <c r="B68" s="3"/>
      <c r="C68" s="7"/>
      <c r="D68" s="7"/>
      <c r="E68" s="7"/>
      <c r="F68" s="7"/>
      <c r="G68" s="7"/>
      <c r="H68" s="7"/>
      <c r="I68" s="7"/>
      <c r="J68" s="7"/>
      <c r="BB68"/>
      <c r="BC68"/>
      <c r="BD68"/>
      <c r="BE68"/>
      <c r="BF68"/>
      <c r="BG68"/>
      <c r="BH68"/>
      <c r="BI68"/>
      <c r="BJ68"/>
    </row>
    <row r="69" spans="1:62" hidden="1" x14ac:dyDescent="0.3">
      <c r="A69" s="71" t="s">
        <v>154</v>
      </c>
      <c r="B69" s="3" t="str">
        <f>B61</f>
        <v>وحدة علوية  قلاب / 2 قلاب</v>
      </c>
      <c r="C69" s="24">
        <f>C67+1</f>
        <v>7</v>
      </c>
      <c r="D69" s="24" t="str">
        <f>D57</f>
        <v>ظهر</v>
      </c>
      <c r="E69" s="24" t="s">
        <v>70</v>
      </c>
      <c r="F69" s="24">
        <f>I53-2</f>
        <v>68</v>
      </c>
      <c r="G69" s="24">
        <f>H53-2</f>
        <v>78</v>
      </c>
      <c r="H69" s="24">
        <f>1*C51</f>
        <v>1</v>
      </c>
      <c r="I69" s="24">
        <f>HLOOKUP(D69, materials[], 2,FALSE)</f>
        <v>2</v>
      </c>
      <c r="J69" s="24"/>
      <c r="BB69"/>
      <c r="BC69"/>
      <c r="BD69"/>
      <c r="BE69"/>
      <c r="BF69"/>
      <c r="BG69"/>
      <c r="BH69"/>
      <c r="BI69"/>
      <c r="BJ69"/>
    </row>
    <row r="70" spans="1:62" hidden="1" x14ac:dyDescent="0.3">
      <c r="A70" s="71" t="s">
        <v>150</v>
      </c>
      <c r="B70" s="3"/>
      <c r="C70" s="3"/>
      <c r="D70" s="3"/>
      <c r="E70" s="3"/>
      <c r="F70" s="3"/>
      <c r="G70" s="3"/>
      <c r="H70" s="3"/>
      <c r="I70" s="3"/>
      <c r="J70" s="3"/>
      <c r="BB70"/>
      <c r="BC70"/>
      <c r="BD70"/>
      <c r="BE70"/>
      <c r="BF70"/>
      <c r="BG70"/>
      <c r="BH70"/>
      <c r="BI70"/>
      <c r="BJ70"/>
    </row>
    <row r="71" spans="1:62" hidden="1" x14ac:dyDescent="0.3">
      <c r="A71" s="71" t="s">
        <v>150</v>
      </c>
      <c r="B71" s="3"/>
      <c r="C71" s="3"/>
      <c r="D71" s="3"/>
      <c r="E71" s="3"/>
      <c r="F71" s="3"/>
      <c r="G71" s="3"/>
      <c r="H71" s="3"/>
      <c r="I71" s="3"/>
      <c r="J71" s="3"/>
      <c r="BB71"/>
      <c r="BC71"/>
      <c r="BD71"/>
      <c r="BE71"/>
      <c r="BF71"/>
      <c r="BG71"/>
      <c r="BH71"/>
      <c r="BI71"/>
      <c r="BJ71"/>
    </row>
    <row r="72" spans="1:62" ht="18" hidden="1" x14ac:dyDescent="0.3">
      <c r="A72" s="88">
        <v>4</v>
      </c>
      <c r="B72" s="19"/>
      <c r="C72" s="16">
        <v>1</v>
      </c>
      <c r="D72" s="30" t="s">
        <v>71</v>
      </c>
      <c r="E72" s="110" t="str">
        <f>lowerBlockTypes[[#Headers],[وحدة سفلية   درجين / 3 أدراج]]</f>
        <v>وحدة سفلية   درجين / 3 أدراج</v>
      </c>
      <c r="F72" s="111"/>
      <c r="G72" s="111"/>
      <c r="H72" s="112"/>
      <c r="I72" s="2" t="s">
        <v>42</v>
      </c>
      <c r="J72" s="2">
        <f>A72</f>
        <v>4</v>
      </c>
      <c r="BB72"/>
      <c r="BC72"/>
      <c r="BD72"/>
      <c r="BE72"/>
      <c r="BF72"/>
      <c r="BG72"/>
      <c r="BH72"/>
      <c r="BI72"/>
      <c r="BJ72"/>
    </row>
    <row r="73" spans="1:62" ht="31.2" hidden="1" x14ac:dyDescent="0.3">
      <c r="A73" s="88" t="s">
        <v>151</v>
      </c>
      <c r="B73" s="19"/>
      <c r="C73" s="9" t="s">
        <v>21</v>
      </c>
      <c r="D73" s="9"/>
      <c r="E73" s="9" t="s">
        <v>17</v>
      </c>
      <c r="F73" s="20" t="s">
        <v>22</v>
      </c>
      <c r="G73" s="9"/>
      <c r="H73" s="9" t="s">
        <v>34</v>
      </c>
      <c r="I73" s="9" t="s">
        <v>3</v>
      </c>
      <c r="J73" s="9" t="s">
        <v>128</v>
      </c>
      <c r="BB73"/>
      <c r="BC73"/>
      <c r="BD73"/>
      <c r="BE73"/>
      <c r="BF73"/>
      <c r="BG73"/>
      <c r="BH73"/>
      <c r="BI73"/>
      <c r="BJ73"/>
    </row>
    <row r="74" spans="1:62" ht="15.6" hidden="1" x14ac:dyDescent="0.3">
      <c r="A74" s="88" t="s">
        <v>151</v>
      </c>
      <c r="B74" s="19"/>
      <c r="C74" s="10">
        <v>3</v>
      </c>
      <c r="D74" s="9"/>
      <c r="E74" s="43">
        <f>INDEX(lowerCommon[[#All],[Column1]],MATCH(E73,lowerCommon[[#All],[Column2]],0))</f>
        <v>3.5</v>
      </c>
      <c r="F74" s="11">
        <f>INDEX(lowerCommon[[#All],[Column1]],MATCH(F73,lowerCommon[[#All],[Column2]],0))</f>
        <v>45</v>
      </c>
      <c r="G74" s="9"/>
      <c r="H74" s="10">
        <v>80</v>
      </c>
      <c r="I74" s="43">
        <f>INDEX(lowerCommon[[#All],[Column1]],MATCH(I73,lowerCommon[[#All],[Column2]],0))</f>
        <v>78</v>
      </c>
      <c r="J74" s="43">
        <f>INDEX(lowerCommon[[#All],[Column1]],MATCH(J73,lowerCommon[[#All],[Column2]],0))</f>
        <v>56</v>
      </c>
      <c r="BB74"/>
      <c r="BC74"/>
      <c r="BD74"/>
      <c r="BE74"/>
      <c r="BF74"/>
      <c r="BG74"/>
      <c r="BH74"/>
      <c r="BI74"/>
      <c r="BJ74"/>
    </row>
    <row r="75" spans="1:62" ht="21" hidden="1" x14ac:dyDescent="0.3">
      <c r="A75" s="88" t="s">
        <v>151</v>
      </c>
      <c r="B75" s="19"/>
      <c r="C75" s="10"/>
      <c r="D75" s="43" t="str">
        <f>INDEX(choosenMaterials[[#All],[Column1]],MATCH(E75,choosenMaterials[[#All],[Column2]],0))</f>
        <v>ظهر</v>
      </c>
      <c r="E75" s="9" t="s">
        <v>70</v>
      </c>
      <c r="F75" s="43" t="str">
        <f>INDEX(choosenMaterials[[#All],[Column1]],MATCH(G75,choosenMaterials[[#All],[Column2]],0))</f>
        <v>يوفيلاك</v>
      </c>
      <c r="G75" s="9" t="s">
        <v>44</v>
      </c>
      <c r="H75" s="43" t="str">
        <f>INDEX(choosenMaterials[[#All],[Column1]],MATCH(I75,choosenMaterials[[#All],[Column2]],0))</f>
        <v>HPL</v>
      </c>
      <c r="I75" s="9" t="s">
        <v>43</v>
      </c>
      <c r="J75" s="34" t="s">
        <v>126</v>
      </c>
      <c r="BB75"/>
      <c r="BC75"/>
      <c r="BD75"/>
      <c r="BE75"/>
      <c r="BF75"/>
      <c r="BG75"/>
      <c r="BH75"/>
      <c r="BI75"/>
      <c r="BJ75"/>
    </row>
    <row r="76" spans="1:62" ht="15.6" hidden="1" x14ac:dyDescent="0.3">
      <c r="A76" s="88" t="s">
        <v>155</v>
      </c>
      <c r="B76" s="19"/>
      <c r="C76" s="3"/>
      <c r="D76" s="3"/>
      <c r="E76" s="3"/>
      <c r="F76" s="3"/>
      <c r="G76" s="3"/>
      <c r="H76" s="3"/>
      <c r="I76" s="3"/>
      <c r="J76" s="3"/>
      <c r="BB76"/>
      <c r="BC76"/>
      <c r="BD76"/>
      <c r="BE76"/>
      <c r="BF76"/>
      <c r="BG76"/>
      <c r="BH76"/>
      <c r="BI76"/>
      <c r="BJ76"/>
    </row>
    <row r="77" spans="1:62" ht="15.6" hidden="1" x14ac:dyDescent="0.3">
      <c r="A77" s="88" t="s">
        <v>152</v>
      </c>
      <c r="B77" s="19"/>
      <c r="C77" s="7" t="s">
        <v>4</v>
      </c>
      <c r="D77" s="7" t="s">
        <v>9</v>
      </c>
      <c r="E77" s="7" t="s">
        <v>5</v>
      </c>
      <c r="F77" s="7" t="s">
        <v>7</v>
      </c>
      <c r="G77" s="7" t="s">
        <v>1</v>
      </c>
      <c r="H77" s="7" t="s">
        <v>6</v>
      </c>
      <c r="I77" s="7" t="s">
        <v>45</v>
      </c>
      <c r="J77" s="7" t="s">
        <v>8</v>
      </c>
      <c r="BB77"/>
      <c r="BC77"/>
      <c r="BD77"/>
      <c r="BE77"/>
      <c r="BF77"/>
      <c r="BG77"/>
      <c r="BH77"/>
      <c r="BI77"/>
      <c r="BJ77"/>
    </row>
    <row r="78" spans="1:62" ht="15.6" hidden="1" x14ac:dyDescent="0.3">
      <c r="A78" s="88" t="s">
        <v>155</v>
      </c>
      <c r="B78" s="19"/>
      <c r="C78" s="7"/>
      <c r="D78" s="7"/>
      <c r="E78" s="7"/>
      <c r="F78" s="7"/>
      <c r="G78" s="7"/>
      <c r="H78" s="7"/>
      <c r="I78" s="7"/>
      <c r="J78" s="7"/>
      <c r="BB78"/>
      <c r="BC78"/>
      <c r="BD78"/>
      <c r="BE78"/>
      <c r="BF78"/>
      <c r="BG78"/>
      <c r="BH78"/>
      <c r="BI78"/>
      <c r="BJ78"/>
    </row>
    <row r="79" spans="1:62" ht="15.6" x14ac:dyDescent="0.3">
      <c r="A79" s="88" t="s">
        <v>156</v>
      </c>
      <c r="B79" s="19" t="str">
        <f>E72</f>
        <v>وحدة سفلية   درجين / 3 أدراج</v>
      </c>
      <c r="C79" s="7">
        <v>1</v>
      </c>
      <c r="D79" s="7" t="str">
        <f>H75</f>
        <v>HPL</v>
      </c>
      <c r="E79" s="7" t="s">
        <v>10</v>
      </c>
      <c r="F79" s="7">
        <f>H74-3.6</f>
        <v>76.400000000000006</v>
      </c>
      <c r="G79" s="7">
        <f>J74</f>
        <v>56</v>
      </c>
      <c r="H79" s="7">
        <f>1*C72</f>
        <v>1</v>
      </c>
      <c r="I79" s="7">
        <f>HLOOKUP(D79, materials[], 2,FALSE)</f>
        <v>2</v>
      </c>
      <c r="J79" s="7"/>
      <c r="BB79" s="19" t="s">
        <v>136</v>
      </c>
      <c r="BC79" s="7">
        <v>1</v>
      </c>
      <c r="BD79" s="7" t="s">
        <v>116</v>
      </c>
      <c r="BE79" s="7" t="s">
        <v>10</v>
      </c>
      <c r="BF79" s="7">
        <v>76.400000000000006</v>
      </c>
      <c r="BG79" s="7">
        <v>56</v>
      </c>
      <c r="BH79" s="7">
        <v>1</v>
      </c>
      <c r="BI79" s="7">
        <v>2</v>
      </c>
      <c r="BJ79" s="7"/>
    </row>
    <row r="80" spans="1:62" ht="15.6" x14ac:dyDescent="0.3">
      <c r="A80" s="88" t="s">
        <v>156</v>
      </c>
      <c r="B80" s="19" t="str">
        <f>B79</f>
        <v>وحدة سفلية   درجين / 3 أدراج</v>
      </c>
      <c r="C80" s="7">
        <f>C79+1</f>
        <v>2</v>
      </c>
      <c r="D80" s="7" t="str">
        <f>H75</f>
        <v>HPL</v>
      </c>
      <c r="E80" s="7" t="s">
        <v>11</v>
      </c>
      <c r="F80" s="7">
        <f>I74</f>
        <v>78</v>
      </c>
      <c r="G80" s="7">
        <f>J74</f>
        <v>56</v>
      </c>
      <c r="H80" s="7">
        <f>2*C72</f>
        <v>2</v>
      </c>
      <c r="I80" s="7">
        <f>HLOOKUP(D80, materials[], 2,FALSE)</f>
        <v>2</v>
      </c>
      <c r="J80" s="7"/>
      <c r="BB80" s="19" t="s">
        <v>136</v>
      </c>
      <c r="BC80" s="7">
        <v>2</v>
      </c>
      <c r="BD80" s="7" t="s">
        <v>116</v>
      </c>
      <c r="BE80" s="7" t="s">
        <v>11</v>
      </c>
      <c r="BF80" s="7">
        <v>78</v>
      </c>
      <c r="BG80" s="7">
        <v>56</v>
      </c>
      <c r="BH80" s="7">
        <v>2</v>
      </c>
      <c r="BI80" s="7">
        <v>2</v>
      </c>
      <c r="BJ80" s="7"/>
    </row>
    <row r="81" spans="1:62" ht="15.6" x14ac:dyDescent="0.3">
      <c r="A81" s="88" t="s">
        <v>156</v>
      </c>
      <c r="B81" s="19" t="str">
        <f>B79</f>
        <v>وحدة سفلية   درجين / 3 أدراج</v>
      </c>
      <c r="C81" s="7">
        <f t="shared" ref="C81:C85" si="3">C80+1</f>
        <v>3</v>
      </c>
      <c r="D81" s="7" t="str">
        <f>H75</f>
        <v>HPL</v>
      </c>
      <c r="E81" s="7" t="s">
        <v>13</v>
      </c>
      <c r="F81" s="7">
        <f>H74-3.6</f>
        <v>76.400000000000006</v>
      </c>
      <c r="G81" s="7">
        <v>10</v>
      </c>
      <c r="H81" s="7">
        <f>1*C72</f>
        <v>1</v>
      </c>
      <c r="I81" s="7">
        <f>HLOOKUP(D81, materials[], 2,FALSE)</f>
        <v>2</v>
      </c>
      <c r="J81" s="7"/>
      <c r="BB81" s="19" t="s">
        <v>136</v>
      </c>
      <c r="BC81" s="7">
        <v>3</v>
      </c>
      <c r="BD81" s="7" t="s">
        <v>116</v>
      </c>
      <c r="BE81" s="7" t="s">
        <v>13</v>
      </c>
      <c r="BF81" s="7">
        <v>76.400000000000006</v>
      </c>
      <c r="BG81" s="7">
        <v>10</v>
      </c>
      <c r="BH81" s="7">
        <v>1</v>
      </c>
      <c r="BI81" s="7">
        <v>2</v>
      </c>
      <c r="BJ81" s="7"/>
    </row>
    <row r="82" spans="1:62" ht="15.6" x14ac:dyDescent="0.3">
      <c r="A82" s="88" t="s">
        <v>156</v>
      </c>
      <c r="B82" s="19" t="str">
        <f>B79</f>
        <v>وحدة سفلية   درجين / 3 أدراج</v>
      </c>
      <c r="C82" s="7">
        <f t="shared" si="3"/>
        <v>4</v>
      </c>
      <c r="D82" s="7" t="str">
        <f>H75</f>
        <v>HPL</v>
      </c>
      <c r="E82" s="7" t="s">
        <v>14</v>
      </c>
      <c r="F82" s="7">
        <f>H74-3.6</f>
        <v>76.400000000000006</v>
      </c>
      <c r="G82" s="7">
        <v>7</v>
      </c>
      <c r="H82" s="7">
        <f>1*C72</f>
        <v>1</v>
      </c>
      <c r="I82" s="7">
        <f>HLOOKUP(D82, materials[], 2,FALSE)</f>
        <v>2</v>
      </c>
      <c r="J82" s="7"/>
      <c r="BB82" s="19" t="s">
        <v>136</v>
      </c>
      <c r="BC82" s="7">
        <v>4</v>
      </c>
      <c r="BD82" s="7" t="s">
        <v>116</v>
      </c>
      <c r="BE82" s="7" t="s">
        <v>14</v>
      </c>
      <c r="BF82" s="7">
        <v>76.400000000000006</v>
      </c>
      <c r="BG82" s="7">
        <v>7</v>
      </c>
      <c r="BH82" s="7">
        <v>1</v>
      </c>
      <c r="BI82" s="7">
        <v>2</v>
      </c>
      <c r="BJ82" s="7"/>
    </row>
    <row r="83" spans="1:62" ht="15.6" x14ac:dyDescent="0.3">
      <c r="A83" s="88" t="s">
        <v>156</v>
      </c>
      <c r="B83" s="19" t="str">
        <f>B79</f>
        <v>وحدة سفلية   درجين / 3 أدراج</v>
      </c>
      <c r="C83" s="12">
        <f t="shared" si="3"/>
        <v>5</v>
      </c>
      <c r="D83" s="12" t="str">
        <f>H75</f>
        <v>HPL</v>
      </c>
      <c r="E83" s="12" t="s">
        <v>24</v>
      </c>
      <c r="F83" s="12">
        <f>H74-3.6-3.6-2.5</f>
        <v>70.300000000000011</v>
      </c>
      <c r="G83" s="12">
        <f>60/C74</f>
        <v>20</v>
      </c>
      <c r="H83" s="12">
        <f>C74*C72</f>
        <v>3</v>
      </c>
      <c r="I83" s="12">
        <f>HLOOKUP(D83, materials[], 2,FALSE)</f>
        <v>2</v>
      </c>
      <c r="J83" s="12"/>
      <c r="BB83" s="19" t="s">
        <v>136</v>
      </c>
      <c r="BC83" s="12">
        <v>5</v>
      </c>
      <c r="BD83" s="12" t="s">
        <v>116</v>
      </c>
      <c r="BE83" s="12" t="s">
        <v>24</v>
      </c>
      <c r="BF83" s="12">
        <v>70.300000000000011</v>
      </c>
      <c r="BG83" s="12">
        <v>20</v>
      </c>
      <c r="BH83" s="12">
        <v>3</v>
      </c>
      <c r="BI83" s="12">
        <v>2</v>
      </c>
      <c r="BJ83" s="12"/>
    </row>
    <row r="84" spans="1:62" ht="15.6" x14ac:dyDescent="0.3">
      <c r="A84" s="88" t="s">
        <v>156</v>
      </c>
      <c r="B84" s="19" t="str">
        <f>B79</f>
        <v>وحدة سفلية   درجين / 3 أدراج</v>
      </c>
      <c r="C84" s="12">
        <f t="shared" si="3"/>
        <v>6</v>
      </c>
      <c r="D84" s="12" t="str">
        <f>H75</f>
        <v>HPL</v>
      </c>
      <c r="E84" s="12" t="s">
        <v>25</v>
      </c>
      <c r="F84" s="12">
        <f>F74</f>
        <v>45</v>
      </c>
      <c r="G84" s="12">
        <f>60/C74</f>
        <v>20</v>
      </c>
      <c r="H84" s="12">
        <f>C74*2*C72</f>
        <v>6</v>
      </c>
      <c r="I84" s="12">
        <f>HLOOKUP(D84, materials[], 2,FALSE)</f>
        <v>2</v>
      </c>
      <c r="J84" s="12"/>
      <c r="BB84" s="19" t="s">
        <v>136</v>
      </c>
      <c r="BC84" s="12">
        <v>6</v>
      </c>
      <c r="BD84" s="12" t="s">
        <v>116</v>
      </c>
      <c r="BE84" s="12" t="s">
        <v>25</v>
      </c>
      <c r="BF84" s="12">
        <v>45</v>
      </c>
      <c r="BG84" s="12">
        <v>20</v>
      </c>
      <c r="BH84" s="12">
        <v>6</v>
      </c>
      <c r="BI84" s="12">
        <v>2</v>
      </c>
      <c r="BJ84" s="12"/>
    </row>
    <row r="85" spans="1:62" ht="15.6" x14ac:dyDescent="0.3">
      <c r="A85" s="88" t="s">
        <v>156</v>
      </c>
      <c r="B85" s="19" t="str">
        <f>B79</f>
        <v>وحدة سفلية   درجين / 3 أدراج</v>
      </c>
      <c r="C85" s="12">
        <f t="shared" si="3"/>
        <v>7</v>
      </c>
      <c r="D85" s="12" t="str">
        <f>H75</f>
        <v>HPL</v>
      </c>
      <c r="E85" s="12" t="s">
        <v>26</v>
      </c>
      <c r="F85" s="12">
        <f>H74-3.6-3.6-2.5</f>
        <v>70.300000000000011</v>
      </c>
      <c r="G85" s="12">
        <f>60/C74-3</f>
        <v>17</v>
      </c>
      <c r="H85" s="12">
        <f>C74*C72</f>
        <v>3</v>
      </c>
      <c r="I85" s="12">
        <f>HLOOKUP(D85, materials[], 2,FALSE)</f>
        <v>2</v>
      </c>
      <c r="J85" s="12"/>
      <c r="BB85" s="19" t="s">
        <v>136</v>
      </c>
      <c r="BC85" s="12">
        <v>7</v>
      </c>
      <c r="BD85" s="12" t="s">
        <v>116</v>
      </c>
      <c r="BE85" s="12" t="s">
        <v>26</v>
      </c>
      <c r="BF85" s="12">
        <v>70.300000000000011</v>
      </c>
      <c r="BG85" s="12">
        <v>17</v>
      </c>
      <c r="BH85" s="12">
        <v>3</v>
      </c>
      <c r="BI85" s="12">
        <v>2</v>
      </c>
      <c r="BJ85" s="12"/>
    </row>
    <row r="86" spans="1:62" ht="15.6" hidden="1" x14ac:dyDescent="0.3">
      <c r="A86" s="88" t="s">
        <v>155</v>
      </c>
      <c r="B86" s="19"/>
      <c r="C86" s="7"/>
      <c r="D86" s="7"/>
      <c r="E86" s="7"/>
      <c r="F86" s="7"/>
      <c r="G86" s="7"/>
      <c r="H86" s="7"/>
      <c r="I86" s="7"/>
      <c r="J86" s="7"/>
      <c r="BB86"/>
      <c r="BC86"/>
      <c r="BD86"/>
      <c r="BE86"/>
      <c r="BF86"/>
      <c r="BG86"/>
      <c r="BH86"/>
      <c r="BI86"/>
      <c r="BJ86"/>
    </row>
    <row r="87" spans="1:62" ht="15.6" hidden="1" x14ac:dyDescent="0.3">
      <c r="A87" s="88" t="s">
        <v>153</v>
      </c>
      <c r="B87" s="19" t="str">
        <f>B79</f>
        <v>وحدة سفلية   درجين / 3 أدراج</v>
      </c>
      <c r="C87" s="11">
        <f>C85+1</f>
        <v>8</v>
      </c>
      <c r="D87" s="11" t="str">
        <f>F75</f>
        <v>يوفيلاك</v>
      </c>
      <c r="E87" s="11" t="s">
        <v>27</v>
      </c>
      <c r="F87" s="11">
        <f>(I74/C74)-0.5-E74</f>
        <v>22</v>
      </c>
      <c r="G87" s="11">
        <f>H74-0.5</f>
        <v>79.5</v>
      </c>
      <c r="H87" s="11">
        <f>C74*C72</f>
        <v>3</v>
      </c>
      <c r="I87" s="11">
        <f>HLOOKUP(D87, materials[], 2,FALSE)</f>
        <v>6</v>
      </c>
      <c r="J87" s="11"/>
      <c r="BB87"/>
      <c r="BC87"/>
      <c r="BD87"/>
      <c r="BE87"/>
      <c r="BF87"/>
      <c r="BG87"/>
      <c r="BH87"/>
      <c r="BI87"/>
      <c r="BJ87"/>
    </row>
    <row r="88" spans="1:62" ht="15.6" hidden="1" x14ac:dyDescent="0.3">
      <c r="A88" s="88" t="s">
        <v>155</v>
      </c>
      <c r="B88" s="19"/>
      <c r="C88" s="7"/>
      <c r="D88" s="7"/>
      <c r="E88" s="7"/>
      <c r="F88" s="7"/>
      <c r="G88" s="7"/>
      <c r="H88" s="7"/>
      <c r="I88" s="7"/>
      <c r="J88" s="7"/>
      <c r="BB88"/>
      <c r="BC88"/>
      <c r="BD88"/>
      <c r="BE88"/>
      <c r="BF88"/>
      <c r="BG88"/>
      <c r="BH88"/>
      <c r="BI88"/>
      <c r="BJ88"/>
    </row>
    <row r="89" spans="1:62" ht="15.6" hidden="1" x14ac:dyDescent="0.3">
      <c r="A89" s="88" t="s">
        <v>154</v>
      </c>
      <c r="B89" s="19" t="str">
        <f>B79</f>
        <v>وحدة سفلية   درجين / 3 أدراج</v>
      </c>
      <c r="C89" s="24">
        <f>C87+1</f>
        <v>9</v>
      </c>
      <c r="D89" s="24" t="str">
        <f>D75</f>
        <v>ظهر</v>
      </c>
      <c r="E89" s="24" t="s">
        <v>70</v>
      </c>
      <c r="F89" s="24">
        <f>I74-2</f>
        <v>76</v>
      </c>
      <c r="G89" s="24">
        <f>H74-2</f>
        <v>78</v>
      </c>
      <c r="H89" s="24">
        <f>1*C72</f>
        <v>1</v>
      </c>
      <c r="I89" s="24">
        <f>HLOOKUP(D89, materials[], 2,FALSE)</f>
        <v>2</v>
      </c>
      <c r="J89" s="24"/>
      <c r="BB89"/>
      <c r="BC89"/>
      <c r="BD89"/>
      <c r="BE89"/>
      <c r="BF89"/>
      <c r="BG89"/>
      <c r="BH89"/>
      <c r="BI89"/>
      <c r="BJ89"/>
    </row>
    <row r="90" spans="1:62" ht="15.6" hidden="1" x14ac:dyDescent="0.3">
      <c r="A90" s="88" t="s">
        <v>150</v>
      </c>
      <c r="B90" s="19"/>
      <c r="C90" s="3"/>
      <c r="D90" s="3"/>
      <c r="E90" s="3"/>
      <c r="F90" s="3"/>
      <c r="G90" s="3"/>
      <c r="H90" s="3"/>
      <c r="I90" s="3"/>
      <c r="J90" s="3"/>
      <c r="BB90"/>
      <c r="BC90"/>
      <c r="BD90"/>
      <c r="BE90"/>
      <c r="BF90"/>
      <c r="BG90"/>
      <c r="BH90"/>
      <c r="BI90"/>
      <c r="BJ90"/>
    </row>
    <row r="91" spans="1:62" ht="15.6" hidden="1" x14ac:dyDescent="0.3">
      <c r="A91" s="88" t="s">
        <v>150</v>
      </c>
      <c r="B91" s="19"/>
      <c r="C91" s="3"/>
      <c r="D91" s="3"/>
      <c r="E91" s="3"/>
      <c r="F91" s="3"/>
      <c r="G91" s="3"/>
      <c r="H91" s="3"/>
      <c r="I91" s="3"/>
      <c r="J91" s="3"/>
      <c r="BB91"/>
      <c r="BC91"/>
      <c r="BD91"/>
      <c r="BE91"/>
      <c r="BF91"/>
      <c r="BG91"/>
      <c r="BH91"/>
      <c r="BI91"/>
      <c r="BJ91"/>
    </row>
    <row r="92" spans="1:62" ht="18" hidden="1" x14ac:dyDescent="0.3">
      <c r="A92" s="72">
        <v>5</v>
      </c>
      <c r="B92" s="19"/>
      <c r="C92" s="16">
        <v>1</v>
      </c>
      <c r="D92" s="30" t="s">
        <v>71</v>
      </c>
      <c r="E92" s="110" t="str">
        <f>segmantsBlockTypes[[#Headers],[تجليدة]]</f>
        <v>تجليدة</v>
      </c>
      <c r="F92" s="111"/>
      <c r="G92" s="111"/>
      <c r="H92" s="112"/>
      <c r="I92" s="2" t="s">
        <v>42</v>
      </c>
      <c r="J92" s="2">
        <f>A92</f>
        <v>5</v>
      </c>
      <c r="BB92"/>
      <c r="BC92"/>
      <c r="BD92"/>
      <c r="BE92"/>
      <c r="BF92"/>
      <c r="BG92"/>
      <c r="BH92"/>
      <c r="BI92"/>
      <c r="BJ92"/>
    </row>
    <row r="93" spans="1:62" ht="15.6" hidden="1" x14ac:dyDescent="0.3">
      <c r="A93" s="72" t="s">
        <v>151</v>
      </c>
      <c r="B93" s="19"/>
      <c r="C93" s="9"/>
      <c r="D93" s="23"/>
      <c r="E93" s="43" t="str">
        <f>INDEX(segmantsCommon[[#All],[Column1]],MATCH(F93,segmantsCommon[[#All],[Column2]],0))</f>
        <v>يوفيلاك</v>
      </c>
      <c r="F93" s="9" t="s">
        <v>9</v>
      </c>
      <c r="G93" s="9">
        <v>50</v>
      </c>
      <c r="H93" s="9" t="s">
        <v>1</v>
      </c>
      <c r="I93" s="10">
        <v>80</v>
      </c>
      <c r="J93" s="9" t="s">
        <v>34</v>
      </c>
      <c r="BB93"/>
      <c r="BC93"/>
      <c r="BD93"/>
      <c r="BE93"/>
      <c r="BF93"/>
      <c r="BG93"/>
      <c r="BH93"/>
      <c r="BI93"/>
      <c r="BJ93"/>
    </row>
    <row r="94" spans="1:62" ht="15.6" hidden="1" x14ac:dyDescent="0.3">
      <c r="A94" s="72" t="s">
        <v>155</v>
      </c>
      <c r="B94" s="19"/>
      <c r="C94" s="3"/>
      <c r="D94" s="3"/>
      <c r="E94" s="3"/>
      <c r="F94" s="3"/>
      <c r="G94" s="3"/>
      <c r="H94" s="3"/>
      <c r="I94" s="3"/>
      <c r="J94" s="3"/>
      <c r="BB94"/>
      <c r="BC94"/>
      <c r="BD94"/>
      <c r="BE94"/>
      <c r="BF94"/>
      <c r="BG94"/>
      <c r="BH94"/>
      <c r="BI94"/>
      <c r="BJ94"/>
    </row>
    <row r="95" spans="1:62" ht="15.6" hidden="1" x14ac:dyDescent="0.3">
      <c r="A95" s="72" t="s">
        <v>152</v>
      </c>
      <c r="B95" s="19"/>
      <c r="C95" s="7" t="s">
        <v>4</v>
      </c>
      <c r="D95" s="7" t="s">
        <v>9</v>
      </c>
      <c r="E95" s="7" t="s">
        <v>5</v>
      </c>
      <c r="F95" s="7" t="s">
        <v>7</v>
      </c>
      <c r="G95" s="7" t="s">
        <v>1</v>
      </c>
      <c r="H95" s="7" t="s">
        <v>6</v>
      </c>
      <c r="I95" s="7" t="s">
        <v>45</v>
      </c>
      <c r="J95" s="7" t="s">
        <v>8</v>
      </c>
      <c r="BB95"/>
      <c r="BC95"/>
      <c r="BD95"/>
      <c r="BE95"/>
      <c r="BF95"/>
      <c r="BG95"/>
      <c r="BH95"/>
      <c r="BI95"/>
      <c r="BJ95"/>
    </row>
    <row r="96" spans="1:62" ht="15.6" hidden="1" x14ac:dyDescent="0.3">
      <c r="A96" s="72" t="s">
        <v>155</v>
      </c>
      <c r="B96" s="19"/>
      <c r="C96" s="7"/>
      <c r="D96" s="7"/>
      <c r="E96" s="7"/>
      <c r="F96" s="7"/>
      <c r="G96" s="7"/>
      <c r="H96" s="7"/>
      <c r="I96" s="7"/>
      <c r="J96" s="7"/>
      <c r="BB96"/>
      <c r="BC96"/>
      <c r="BD96"/>
      <c r="BE96"/>
      <c r="BF96"/>
      <c r="BG96"/>
      <c r="BH96"/>
      <c r="BI96"/>
      <c r="BJ96"/>
    </row>
    <row r="97" spans="1:62" ht="15.6" hidden="1" x14ac:dyDescent="0.3">
      <c r="A97" s="71" t="s">
        <v>153</v>
      </c>
      <c r="B97" s="19" t="str">
        <f>E92</f>
        <v>تجليدة</v>
      </c>
      <c r="C97" s="11">
        <v>1</v>
      </c>
      <c r="D97" s="11" t="str">
        <f>E93</f>
        <v>يوفيلاك</v>
      </c>
      <c r="E97" s="11" t="s">
        <v>142</v>
      </c>
      <c r="F97" s="11">
        <f>I93</f>
        <v>80</v>
      </c>
      <c r="G97" s="11">
        <f>G93</f>
        <v>50</v>
      </c>
      <c r="H97" s="11">
        <f>C92</f>
        <v>1</v>
      </c>
      <c r="I97" s="11">
        <f>HLOOKUP(D97, materials[], 2,FALSE)</f>
        <v>6</v>
      </c>
      <c r="J97" s="11"/>
      <c r="BB97"/>
      <c r="BC97"/>
      <c r="BD97"/>
      <c r="BE97"/>
      <c r="BF97"/>
      <c r="BG97"/>
      <c r="BH97"/>
      <c r="BI97"/>
      <c r="BJ97"/>
    </row>
    <row r="98" spans="1:62" hidden="1" x14ac:dyDescent="0.3">
      <c r="A98" s="82" t="s">
        <v>150</v>
      </c>
      <c r="B98"/>
      <c r="C98"/>
      <c r="D98"/>
      <c r="E98"/>
      <c r="F98"/>
      <c r="G98"/>
      <c r="H98"/>
      <c r="I98"/>
      <c r="J98"/>
      <c r="BB98"/>
      <c r="BC98"/>
      <c r="BD98"/>
      <c r="BE98"/>
      <c r="BF98"/>
      <c r="BG98"/>
      <c r="BH98"/>
      <c r="BI98"/>
      <c r="BJ98"/>
    </row>
    <row r="99" spans="1:62" hidden="1" x14ac:dyDescent="0.3">
      <c r="A99" s="82" t="s">
        <v>150</v>
      </c>
      <c r="B99"/>
      <c r="C99"/>
      <c r="D99"/>
      <c r="E99"/>
      <c r="F99"/>
      <c r="G99"/>
      <c r="H99"/>
      <c r="I99"/>
      <c r="J99"/>
      <c r="BB99"/>
      <c r="BC99"/>
      <c r="BD99"/>
      <c r="BE99"/>
      <c r="BF99"/>
      <c r="BG99"/>
      <c r="BH99"/>
      <c r="BI99"/>
      <c r="BJ99"/>
    </row>
  </sheetData>
  <sortState xmlns:xlrd2="http://schemas.microsoft.com/office/spreadsheetml/2017/richdata2" ref="BB20:BJ85">
    <sortCondition ref="BD20"/>
  </sortState>
  <mergeCells count="12">
    <mergeCell ref="E72:H72"/>
    <mergeCell ref="E92:H92"/>
    <mergeCell ref="E51:H51"/>
    <mergeCell ref="F54:G54"/>
    <mergeCell ref="C55:D55"/>
    <mergeCell ref="F55:G55"/>
    <mergeCell ref="C56:D56"/>
    <mergeCell ref="E2:P2"/>
    <mergeCell ref="E13:H13"/>
    <mergeCell ref="F14:F15"/>
    <mergeCell ref="G14:G15"/>
    <mergeCell ref="E31:H31"/>
  </mergeCells>
  <conditionalFormatting sqref="F54 I54 C56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show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ow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owONormal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show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show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showONormal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A297"/>
  <sheetViews>
    <sheetView topLeftCell="B1" zoomScale="76" zoomScaleNormal="55" workbookViewId="0"/>
  </sheetViews>
  <sheetFormatPr defaultRowHeight="15.6" x14ac:dyDescent="0.3"/>
  <cols>
    <col min="1" max="1" width="16" style="88" hidden="1" customWidth="1"/>
    <col min="2" max="2" width="26.88671875" style="19" customWidth="1"/>
    <col min="3" max="3" width="8.109375" style="3" bestFit="1" customWidth="1"/>
    <col min="4" max="4" width="10.21875" style="3" customWidth="1"/>
    <col min="5" max="5" width="16.33203125" style="3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1" width="8.88671875" style="3" customWidth="1"/>
    <col min="12" max="17" width="8.88671875" style="3" hidden="1" customWidth="1"/>
    <col min="18" max="18" width="19.33203125" style="3" hidden="1" customWidth="1"/>
    <col min="19" max="19" width="21.6640625" style="3" hidden="1" customWidth="1"/>
    <col min="20" max="20" width="20.33203125" style="3" hidden="1" customWidth="1"/>
    <col min="21" max="21" width="19.109375" style="3" hidden="1" customWidth="1"/>
    <col min="22" max="22" width="23.77734375" style="3" hidden="1" customWidth="1"/>
    <col min="23" max="23" width="15.5546875" style="3" hidden="1" customWidth="1"/>
    <col min="24" max="24" width="15.21875" style="3" hidden="1" customWidth="1"/>
    <col min="25" max="25" width="12.88671875" style="3" hidden="1" customWidth="1"/>
    <col min="26" max="26" width="9.33203125" style="3" hidden="1" customWidth="1"/>
    <col min="27" max="27" width="12.88671875" style="3" hidden="1" customWidth="1"/>
    <col min="28" max="28" width="10.6640625" style="3" hidden="1" customWidth="1"/>
    <col min="29" max="29" width="18.21875" style="3" hidden="1" customWidth="1"/>
    <col min="30" max="30" width="0" style="3" hidden="1" customWidth="1"/>
    <col min="31" max="31" width="16" style="3" hidden="1" customWidth="1"/>
    <col min="32" max="32" width="31.6640625" style="3" hidden="1" customWidth="1"/>
    <col min="33" max="33" width="0" style="3" hidden="1" customWidth="1"/>
    <col min="34" max="34" width="10.21875" style="3" hidden="1" customWidth="1"/>
    <col min="35" max="35" width="11.88671875" style="3" hidden="1" customWidth="1"/>
    <col min="36" max="36" width="10.6640625" style="3" hidden="1" customWidth="1"/>
    <col min="37" max="37" width="10.21875" style="3" hidden="1" customWidth="1"/>
    <col min="38" max="38" width="0" style="3" hidden="1" customWidth="1"/>
    <col min="39" max="39" width="9.77734375" style="3" hidden="1" customWidth="1"/>
    <col min="40" max="40" width="21.33203125" style="3" hidden="1" customWidth="1"/>
    <col min="41" max="41" width="9.33203125" style="3" hidden="1" customWidth="1"/>
    <col min="42" max="42" width="12.88671875" style="3" hidden="1" customWidth="1"/>
    <col min="43" max="43" width="10.6640625" style="3" hidden="1" customWidth="1"/>
    <col min="44" max="44" width="18.21875" style="3" hidden="1" customWidth="1"/>
    <col min="45" max="45" width="0" style="3" hidden="1" customWidth="1"/>
    <col min="46" max="46" width="16" style="3" hidden="1" customWidth="1"/>
    <col min="47" max="47" width="31.6640625" style="3" hidden="1" customWidth="1"/>
    <col min="48" max="48" width="0" style="3" hidden="1" customWidth="1"/>
    <col min="49" max="49" width="10.21875" style="3" hidden="1" customWidth="1"/>
    <col min="50" max="50" width="13.77734375" style="3" hidden="1" customWidth="1"/>
    <col min="51" max="51" width="10.6640625" style="3" hidden="1" customWidth="1"/>
    <col min="52" max="52" width="10.21875" style="3" hidden="1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71" customFormat="1" x14ac:dyDescent="0.3">
      <c r="A1" s="88">
        <v>31</v>
      </c>
      <c r="B1" s="91"/>
    </row>
    <row r="2" spans="1:75" s="71" customFormat="1" ht="37.200000000000003" customHeight="1" x14ac:dyDescent="0.3">
      <c r="A2" s="88">
        <v>50</v>
      </c>
      <c r="B2" s="91"/>
      <c r="C2" s="113" t="s">
        <v>0</v>
      </c>
      <c r="D2" s="113"/>
      <c r="E2" s="113"/>
      <c r="F2" s="113"/>
      <c r="G2" s="113"/>
      <c r="H2" s="113"/>
      <c r="I2" s="113"/>
      <c r="J2" s="113"/>
      <c r="Q2" s="82"/>
      <c r="R2" s="85" t="s">
        <v>144</v>
      </c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</row>
    <row r="3" spans="1:75" s="71" customFormat="1" ht="18" customHeight="1" x14ac:dyDescent="0.3">
      <c r="A3" s="88"/>
      <c r="B3" s="9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Q3" s="82"/>
      <c r="R3" s="70" t="s">
        <v>16</v>
      </c>
      <c r="S3" s="70" t="s">
        <v>20</v>
      </c>
      <c r="T3" s="70" t="s">
        <v>28</v>
      </c>
      <c r="U3" s="70" t="s">
        <v>33</v>
      </c>
      <c r="V3" s="77" t="s">
        <v>35</v>
      </c>
      <c r="W3" s="77" t="s">
        <v>38</v>
      </c>
      <c r="X3" s="77" t="s">
        <v>41</v>
      </c>
      <c r="Y3" s="77" t="s">
        <v>117</v>
      </c>
      <c r="Z3" s="77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</row>
    <row r="4" spans="1:75" s="71" customFormat="1" ht="14.4" x14ac:dyDescent="0.3">
      <c r="A4" s="88"/>
      <c r="B4" s="9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Q4" s="82"/>
      <c r="R4" s="70">
        <v>1</v>
      </c>
      <c r="S4" s="70">
        <f>lowerBlockTypes[[#This Row],[وحدة سفلية دلفة /دلفتين ]]+1</f>
        <v>2</v>
      </c>
      <c r="T4" s="70">
        <f>lowerBlockTypes[[#This Row],[وحدة سفلية   درجين / 3 أدراج]]+1</f>
        <v>3</v>
      </c>
      <c r="U4" s="70">
        <f>lowerBlockTypes[[#This Row],[وحدة سفلية   3 أدراج - 3/2]]+1</f>
        <v>4</v>
      </c>
      <c r="V4" s="70">
        <f>lowerBlockTypes[[#This Row],[وحدة سفلية   درجين - 2/4]]+1</f>
        <v>5</v>
      </c>
      <c r="W4" s="70">
        <f>lowerBlockTypes[[#This Row],[وحدة سفلية  تلبيسة دلفة /دلفتين ]]+1</f>
        <v>6</v>
      </c>
      <c r="X4" s="70">
        <f>lowerBlockTypes[[#This Row],[وحدة سفلية  زاوية 90]]+1</f>
        <v>7</v>
      </c>
      <c r="Y4" s="70">
        <f>lowerBlockTypes[[#This Row],[وحدة سفلية  ركنة 45]]+1</f>
        <v>8</v>
      </c>
      <c r="Z4" s="70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</row>
    <row r="5" spans="1:75" s="71" customFormat="1" ht="14.4" x14ac:dyDescent="0.3">
      <c r="A5" s="88"/>
      <c r="B5" s="9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2"/>
      <c r="BV5" s="82"/>
      <c r="BW5" s="82"/>
    </row>
    <row r="6" spans="1:75" s="71" customFormat="1" ht="14.4" x14ac:dyDescent="0.3">
      <c r="A6" s="88"/>
      <c r="B6" s="9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</row>
    <row r="7" spans="1:75" s="73" customFormat="1" ht="18" x14ac:dyDescent="0.3">
      <c r="A7" s="89"/>
      <c r="B7" s="9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</row>
    <row r="8" spans="1:75" s="74" customFormat="1" ht="18" x14ac:dyDescent="0.3">
      <c r="A8" s="90"/>
      <c r="B8" s="9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2"/>
      <c r="BV8" s="82"/>
      <c r="BW8" s="82"/>
    </row>
    <row r="9" spans="1:75" s="71" customFormat="1" ht="14.4" x14ac:dyDescent="0.3">
      <c r="A9" s="88"/>
      <c r="B9" s="9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</row>
    <row r="10" spans="1:75" s="71" customFormat="1" x14ac:dyDescent="0.3">
      <c r="A10" s="88"/>
      <c r="B10" s="91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93" cm="1">
        <f t="array" ref="A13">lowerBlockTypes[وحدة سفلية دلفة /دلفتين ]</f>
        <v>1</v>
      </c>
      <c r="B13" s="19"/>
      <c r="C13" s="16">
        <v>1</v>
      </c>
      <c r="D13" s="30" t="s">
        <v>71</v>
      </c>
      <c r="E13" s="110" t="str">
        <f>lowerBlockTypes[[#Headers],[وحدة سفلية دلفة /دلفتين ]]</f>
        <v xml:space="preserve">وحدة سفلية دلفة /دلفتين </v>
      </c>
      <c r="F13" s="111"/>
      <c r="G13" s="111"/>
      <c r="H13" s="112"/>
      <c r="I13" s="2" t="s">
        <v>42</v>
      </c>
      <c r="J13" s="2">
        <f>A13</f>
        <v>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88" t="s">
        <v>151</v>
      </c>
      <c r="C14" s="9" t="s">
        <v>12</v>
      </c>
      <c r="D14" s="23" t="s">
        <v>19</v>
      </c>
      <c r="E14" s="9" t="s">
        <v>17</v>
      </c>
      <c r="F14" s="105"/>
      <c r="G14" s="105"/>
      <c r="H14" s="9" t="s">
        <v>34</v>
      </c>
      <c r="I14" s="9" t="s">
        <v>3</v>
      </c>
      <c r="J14" s="9" t="s">
        <v>128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88" t="s">
        <v>151</v>
      </c>
      <c r="C15" s="10">
        <v>2</v>
      </c>
      <c r="D15" s="10">
        <v>1</v>
      </c>
      <c r="E15" s="43">
        <f>INDEX(lowerCommon[[#All],[Column1]],MATCH(E14,lowerCommon[[#All],[Column2]],0))</f>
        <v>3.5</v>
      </c>
      <c r="F15" s="105"/>
      <c r="G15" s="105"/>
      <c r="H15" s="10"/>
      <c r="I15" s="43">
        <f>INDEX(lowerCommon[[#All],[Column1]],MATCH(I14,lowerCommon[[#All],[Column2]],0))</f>
        <v>78</v>
      </c>
      <c r="J15" s="43">
        <f>INDEX(lowerCommon[[#All],[Column1]],MATCH(J14,lowerCommon[[#All],[Column2]],0))</f>
        <v>56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88" t="s">
        <v>151</v>
      </c>
      <c r="C16" s="10"/>
      <c r="D16" s="43" t="str">
        <f>INDEX(choosenMaterials[[#All],[Column1]],MATCH(E16,choosenMaterials[[#All],[Column2]],0))</f>
        <v>ظهر</v>
      </c>
      <c r="E16" s="9" t="s">
        <v>70</v>
      </c>
      <c r="F16" s="43" t="str">
        <f>INDEX(choosenMaterials[[#All],[Column1]],MATCH(G16,choosenMaterials[[#All],[Column2]],0))</f>
        <v>يوفيلاك</v>
      </c>
      <c r="G16" s="9" t="s">
        <v>44</v>
      </c>
      <c r="H16" s="43" t="str">
        <f>INDEX(choosenMaterials[[#All],[Column1]],MATCH(I16,choosenMaterials[[#All],[Column2]],0))</f>
        <v>HPL</v>
      </c>
      <c r="I16" s="9" t="s">
        <v>43</v>
      </c>
      <c r="J16" s="34" t="s">
        <v>126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x14ac:dyDescent="0.3">
      <c r="A17" s="88" t="s">
        <v>155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88" t="s">
        <v>152</v>
      </c>
      <c r="C18" s="7" t="s">
        <v>4</v>
      </c>
      <c r="D18" s="7" t="s">
        <v>9</v>
      </c>
      <c r="E18" s="7" t="s">
        <v>5</v>
      </c>
      <c r="F18" s="7" t="s">
        <v>7</v>
      </c>
      <c r="G18" s="7" t="s">
        <v>1</v>
      </c>
      <c r="H18" s="7" t="s">
        <v>6</v>
      </c>
      <c r="I18" s="7" t="s">
        <v>45</v>
      </c>
      <c r="J18" s="7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88" t="s">
        <v>155</v>
      </c>
      <c r="C19" s="7"/>
      <c r="D19" s="7"/>
      <c r="E19" s="7"/>
      <c r="F19" s="7"/>
      <c r="G19" s="7"/>
      <c r="H19" s="7"/>
      <c r="I19" s="7"/>
      <c r="J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88" t="s">
        <v>156</v>
      </c>
      <c r="B20" s="19" t="str">
        <f>E13</f>
        <v xml:space="preserve">وحدة سفلية دلفة /دلفتين </v>
      </c>
      <c r="C20" s="7">
        <v>1</v>
      </c>
      <c r="D20" s="7" t="str">
        <f>H16</f>
        <v>HPL</v>
      </c>
      <c r="E20" s="7" t="s">
        <v>10</v>
      </c>
      <c r="F20" s="7">
        <f>H15-3.6</f>
        <v>-3.6</v>
      </c>
      <c r="G20" s="7">
        <f>J15</f>
        <v>56</v>
      </c>
      <c r="H20" s="7">
        <f>1*C13</f>
        <v>1</v>
      </c>
      <c r="I20" s="7">
        <f>HLOOKUP(D20, materials[], 2,FALSE)</f>
        <v>2</v>
      </c>
      <c r="J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88" t="s">
        <v>156</v>
      </c>
      <c r="B21" s="19" t="str">
        <f>B20</f>
        <v xml:space="preserve">وحدة سفلية دلفة /دلفتين </v>
      </c>
      <c r="C21" s="7">
        <f>C20+1</f>
        <v>2</v>
      </c>
      <c r="D21" s="7" t="str">
        <f>H16</f>
        <v>HPL</v>
      </c>
      <c r="E21" s="7" t="s">
        <v>11</v>
      </c>
      <c r="F21" s="7">
        <f>I15</f>
        <v>78</v>
      </c>
      <c r="G21" s="7">
        <f>J15</f>
        <v>56</v>
      </c>
      <c r="H21" s="7">
        <f>2*C13</f>
        <v>2</v>
      </c>
      <c r="I21" s="7">
        <f>HLOOKUP(D21, materials[], 2,FALSE)</f>
        <v>2</v>
      </c>
      <c r="J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88" t="s">
        <v>156</v>
      </c>
      <c r="B22" s="19" t="str">
        <f>B20</f>
        <v xml:space="preserve">وحدة سفلية دلفة /دلفتين </v>
      </c>
      <c r="C22" s="7">
        <f t="shared" ref="C22:C24" si="0">C21+1</f>
        <v>3</v>
      </c>
      <c r="D22" s="7" t="str">
        <f>H16</f>
        <v>HPL</v>
      </c>
      <c r="E22" s="7" t="s">
        <v>13</v>
      </c>
      <c r="F22" s="7">
        <f>H15-3.6</f>
        <v>-3.6</v>
      </c>
      <c r="G22" s="7">
        <f>10</f>
        <v>10</v>
      </c>
      <c r="H22" s="7">
        <f>1*C13</f>
        <v>1</v>
      </c>
      <c r="I22" s="7">
        <f>HLOOKUP(D22, materials[], 2,FALSE)</f>
        <v>2</v>
      </c>
      <c r="J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88" t="s">
        <v>156</v>
      </c>
      <c r="B23" s="19" t="str">
        <f>B20</f>
        <v xml:space="preserve">وحدة سفلية دلفة /دلفتين </v>
      </c>
      <c r="C23" s="7">
        <f t="shared" si="0"/>
        <v>4</v>
      </c>
      <c r="D23" s="7" t="str">
        <f>H16</f>
        <v>HPL</v>
      </c>
      <c r="E23" s="7" t="s">
        <v>14</v>
      </c>
      <c r="F23" s="7">
        <f>H15-3.6</f>
        <v>-3.6</v>
      </c>
      <c r="G23" s="7">
        <f>7</f>
        <v>7</v>
      </c>
      <c r="H23" s="7">
        <f>1*C13</f>
        <v>1</v>
      </c>
      <c r="I23" s="7">
        <f>HLOOKUP(D23, materials[], 2,FALSE)</f>
        <v>2</v>
      </c>
      <c r="J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88" t="s">
        <v>156</v>
      </c>
      <c r="B24" s="19" t="str">
        <f>B20</f>
        <v xml:space="preserve">وحدة سفلية دلفة /دلفتين </v>
      </c>
      <c r="C24" s="7">
        <f t="shared" si="0"/>
        <v>5</v>
      </c>
      <c r="D24" s="7" t="str">
        <f>H16</f>
        <v>HPL</v>
      </c>
      <c r="E24" s="7" t="s">
        <v>18</v>
      </c>
      <c r="F24" s="7">
        <f>H15-3.8</f>
        <v>-3.8</v>
      </c>
      <c r="G24" s="7">
        <f>J15-6</f>
        <v>50</v>
      </c>
      <c r="H24" s="7">
        <f>D15*C13</f>
        <v>1</v>
      </c>
      <c r="I24" s="7">
        <f>HLOOKUP(D24, materials[], 2,FALSE)</f>
        <v>2</v>
      </c>
      <c r="J24" s="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88" t="s">
        <v>155</v>
      </c>
      <c r="C25" s="7"/>
      <c r="D25" s="7"/>
      <c r="E25" s="7"/>
      <c r="F25" s="7"/>
      <c r="G25" s="7"/>
      <c r="H25" s="7"/>
      <c r="I25" s="7"/>
      <c r="J25" s="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88" t="s">
        <v>153</v>
      </c>
      <c r="B26" s="19" t="str">
        <f>B20</f>
        <v xml:space="preserve">وحدة سفلية دلفة /دلفتين </v>
      </c>
      <c r="C26" s="11">
        <f>C24+1</f>
        <v>6</v>
      </c>
      <c r="D26" s="11" t="str">
        <f>F16</f>
        <v>يوفيلاك</v>
      </c>
      <c r="E26" s="11" t="s">
        <v>15</v>
      </c>
      <c r="F26" s="11">
        <f>I15-0.5-E15</f>
        <v>74</v>
      </c>
      <c r="G26" s="11">
        <f>(H15/C15)-0.5</f>
        <v>-0.5</v>
      </c>
      <c r="H26" s="11">
        <f>C15*C13</f>
        <v>2</v>
      </c>
      <c r="I26" s="11">
        <f>HLOOKUP(D26, materials[], 2,FALSE)</f>
        <v>6</v>
      </c>
      <c r="J26" s="1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88" t="s">
        <v>155</v>
      </c>
      <c r="C27" s="7"/>
      <c r="D27" s="7"/>
      <c r="E27" s="7"/>
      <c r="F27" s="7"/>
      <c r="G27" s="7"/>
      <c r="H27" s="7"/>
      <c r="I27" s="7"/>
      <c r="J27" s="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88" t="s">
        <v>154</v>
      </c>
      <c r="B28" s="19" t="str">
        <f>B20</f>
        <v xml:space="preserve">وحدة سفلية دلفة /دلفتين </v>
      </c>
      <c r="C28" s="24">
        <f>C26+1</f>
        <v>7</v>
      </c>
      <c r="D28" s="24" t="str">
        <f>D16</f>
        <v>ظهر</v>
      </c>
      <c r="E28" s="24" t="s">
        <v>70</v>
      </c>
      <c r="F28" s="24">
        <f>I15-2</f>
        <v>76</v>
      </c>
      <c r="G28" s="24">
        <f>H15-2</f>
        <v>-2</v>
      </c>
      <c r="H28" s="24">
        <f>1*C13</f>
        <v>1</v>
      </c>
      <c r="I28" s="24">
        <f>HLOOKUP(D28, materials[], 2,FALSE)</f>
        <v>2</v>
      </c>
      <c r="J28" s="24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88" t="s">
        <v>150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88" t="s">
        <v>150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88" cm="1">
        <f t="array" ref="A31">lowerBlockTypes[وحدة سفلية   درجين / 3 أدراج]</f>
        <v>2</v>
      </c>
      <c r="C31" s="16">
        <v>1</v>
      </c>
      <c r="D31" s="30" t="s">
        <v>71</v>
      </c>
      <c r="E31" s="110" t="str">
        <f>lowerBlockTypes[[#Headers],[وحدة سفلية   درجين / 3 أدراج]]</f>
        <v>وحدة سفلية   درجين / 3 أدراج</v>
      </c>
      <c r="F31" s="111"/>
      <c r="G31" s="111"/>
      <c r="H31" s="112"/>
      <c r="I31" s="2" t="s">
        <v>42</v>
      </c>
      <c r="J31" s="2">
        <f>A31</f>
        <v>2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31.2" x14ac:dyDescent="0.3">
      <c r="A32" s="88" t="s">
        <v>151</v>
      </c>
      <c r="C32" s="9" t="s">
        <v>21</v>
      </c>
      <c r="D32" s="9"/>
      <c r="E32" s="9" t="s">
        <v>17</v>
      </c>
      <c r="F32" s="20" t="s">
        <v>22</v>
      </c>
      <c r="G32" s="9"/>
      <c r="H32" s="9" t="s">
        <v>34</v>
      </c>
      <c r="I32" s="9" t="s">
        <v>3</v>
      </c>
      <c r="J32" s="9" t="s">
        <v>128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88" t="s">
        <v>151</v>
      </c>
      <c r="C33" s="10">
        <v>3</v>
      </c>
      <c r="D33" s="9"/>
      <c r="E33" s="43">
        <f>INDEX(lowerCommon[[#All],[Column1]],MATCH(E32,lowerCommon[[#All],[Column2]],0))</f>
        <v>3.5</v>
      </c>
      <c r="F33" s="11">
        <f>INDEX(lowerCommon[[#All],[Column1]],MATCH(F32,lowerCommon[[#All],[Column2]],0))</f>
        <v>45</v>
      </c>
      <c r="G33" s="9"/>
      <c r="H33" s="10"/>
      <c r="I33" s="43">
        <f>INDEX(lowerCommon[[#All],[Column1]],MATCH(I32,lowerCommon[[#All],[Column2]],0))</f>
        <v>78</v>
      </c>
      <c r="J33" s="43">
        <f>INDEX(lowerCommon[[#All],[Column1]],MATCH(J32,lowerCommon[[#All],[Column2]],0))</f>
        <v>56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ht="31.2" x14ac:dyDescent="0.3">
      <c r="A34" s="88" t="s">
        <v>151</v>
      </c>
      <c r="C34" s="10"/>
      <c r="D34" s="43" t="str">
        <f>INDEX(choosenMaterials[[#All],[Column1]],MATCH(E34,choosenMaterials[[#All],[Column2]],0))</f>
        <v>ظهر</v>
      </c>
      <c r="E34" s="9" t="s">
        <v>70</v>
      </c>
      <c r="F34" s="43" t="str">
        <f>INDEX(choosenMaterials[[#All],[Column1]],MATCH(G34,choosenMaterials[[#All],[Column2]],0))</f>
        <v>يوفيلاك</v>
      </c>
      <c r="G34" s="9" t="s">
        <v>44</v>
      </c>
      <c r="H34" s="43" t="str">
        <f>INDEX(choosenMaterials[[#All],[Column1]],MATCH(I34,choosenMaterials[[#All],[Column2]],0))</f>
        <v>HPL</v>
      </c>
      <c r="I34" s="9" t="s">
        <v>43</v>
      </c>
      <c r="J34" s="34" t="s">
        <v>126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88" t="s">
        <v>155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88" t="s">
        <v>152</v>
      </c>
      <c r="C36" s="7" t="s">
        <v>4</v>
      </c>
      <c r="D36" s="7" t="s">
        <v>9</v>
      </c>
      <c r="E36" s="7" t="s">
        <v>5</v>
      </c>
      <c r="F36" s="7" t="s">
        <v>7</v>
      </c>
      <c r="G36" s="7" t="s">
        <v>1</v>
      </c>
      <c r="H36" s="7" t="s">
        <v>6</v>
      </c>
      <c r="I36" s="7" t="s">
        <v>45</v>
      </c>
      <c r="J36" s="7" t="s">
        <v>8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88" t="s">
        <v>155</v>
      </c>
      <c r="C37" s="7"/>
      <c r="D37" s="7"/>
      <c r="E37" s="7"/>
      <c r="F37" s="7"/>
      <c r="G37" s="7"/>
      <c r="H37" s="7"/>
      <c r="I37" s="7"/>
      <c r="J37" s="7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88" t="s">
        <v>156</v>
      </c>
      <c r="B38" s="19" t="str">
        <f>E31</f>
        <v>وحدة سفلية   درجين / 3 أدراج</v>
      </c>
      <c r="C38" s="7">
        <v>1</v>
      </c>
      <c r="D38" s="7" t="str">
        <f>H34</f>
        <v>HPL</v>
      </c>
      <c r="E38" s="7" t="s">
        <v>10</v>
      </c>
      <c r="F38" s="7">
        <f>H33-3.6</f>
        <v>-3.6</v>
      </c>
      <c r="G38" s="7">
        <f>J33</f>
        <v>56</v>
      </c>
      <c r="H38" s="7">
        <f>1*C31</f>
        <v>1</v>
      </c>
      <c r="I38" s="7">
        <f>HLOOKUP(D38, materials[], 2,FALSE)</f>
        <v>2</v>
      </c>
      <c r="J38" s="7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88" t="s">
        <v>156</v>
      </c>
      <c r="B39" s="19" t="str">
        <f>B38</f>
        <v>وحدة سفلية   درجين / 3 أدراج</v>
      </c>
      <c r="C39" s="7">
        <f>C38+1</f>
        <v>2</v>
      </c>
      <c r="D39" s="7" t="str">
        <f>H34</f>
        <v>HPL</v>
      </c>
      <c r="E39" s="7" t="s">
        <v>11</v>
      </c>
      <c r="F39" s="7">
        <f>I33</f>
        <v>78</v>
      </c>
      <c r="G39" s="7">
        <f>J33</f>
        <v>56</v>
      </c>
      <c r="H39" s="7">
        <f>2*C31</f>
        <v>2</v>
      </c>
      <c r="I39" s="7">
        <f>HLOOKUP(D39, materials[], 2,FALSE)</f>
        <v>2</v>
      </c>
      <c r="J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88" t="s">
        <v>156</v>
      </c>
      <c r="B40" s="19" t="str">
        <f>B38</f>
        <v>وحدة سفلية   درجين / 3 أدراج</v>
      </c>
      <c r="C40" s="7">
        <f t="shared" ref="C40:C44" si="1">C39+1</f>
        <v>3</v>
      </c>
      <c r="D40" s="7" t="str">
        <f>H34</f>
        <v>HPL</v>
      </c>
      <c r="E40" s="7" t="s">
        <v>13</v>
      </c>
      <c r="F40" s="7">
        <f>H33-3.6</f>
        <v>-3.6</v>
      </c>
      <c r="G40" s="7">
        <v>10</v>
      </c>
      <c r="H40" s="7">
        <f>1*C31</f>
        <v>1</v>
      </c>
      <c r="I40" s="7">
        <f>HLOOKUP(D40, materials[], 2,FALSE)</f>
        <v>2</v>
      </c>
      <c r="J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88" t="s">
        <v>156</v>
      </c>
      <c r="B41" s="19" t="str">
        <f>B38</f>
        <v>وحدة سفلية   درجين / 3 أدراج</v>
      </c>
      <c r="C41" s="7">
        <f t="shared" si="1"/>
        <v>4</v>
      </c>
      <c r="D41" s="7" t="str">
        <f>H34</f>
        <v>HPL</v>
      </c>
      <c r="E41" s="7" t="s">
        <v>14</v>
      </c>
      <c r="F41" s="7">
        <f>H33-3.6</f>
        <v>-3.6</v>
      </c>
      <c r="G41" s="7">
        <v>7</v>
      </c>
      <c r="H41" s="7">
        <f>1*C31</f>
        <v>1</v>
      </c>
      <c r="I41" s="7">
        <f>HLOOKUP(D41, materials[], 2,FALSE)</f>
        <v>2</v>
      </c>
      <c r="J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88" t="s">
        <v>156</v>
      </c>
      <c r="B42" s="19" t="str">
        <f>B38</f>
        <v>وحدة سفلية   درجين / 3 أدراج</v>
      </c>
      <c r="C42" s="12">
        <f t="shared" si="1"/>
        <v>5</v>
      </c>
      <c r="D42" s="12" t="str">
        <f>H34</f>
        <v>HPL</v>
      </c>
      <c r="E42" s="12" t="s">
        <v>24</v>
      </c>
      <c r="F42" s="12">
        <f>H33-3.6-3.6-2.5</f>
        <v>-9.6999999999999993</v>
      </c>
      <c r="G42" s="12">
        <f>60/C33</f>
        <v>20</v>
      </c>
      <c r="H42" s="12">
        <f>C33*C31</f>
        <v>3</v>
      </c>
      <c r="I42" s="12">
        <f>HLOOKUP(D42, materials[], 2,FALSE)</f>
        <v>2</v>
      </c>
      <c r="J42" s="12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88" t="s">
        <v>156</v>
      </c>
      <c r="B43" s="19" t="str">
        <f>B38</f>
        <v>وحدة سفلية   درجين / 3 أدراج</v>
      </c>
      <c r="C43" s="12">
        <f t="shared" si="1"/>
        <v>6</v>
      </c>
      <c r="D43" s="12" t="str">
        <f>H34</f>
        <v>HPL</v>
      </c>
      <c r="E43" s="12" t="s">
        <v>25</v>
      </c>
      <c r="F43" s="12">
        <f>F33</f>
        <v>45</v>
      </c>
      <c r="G43" s="12">
        <f>60/C33</f>
        <v>20</v>
      </c>
      <c r="H43" s="12">
        <f>C33*2*C31</f>
        <v>6</v>
      </c>
      <c r="I43" s="12">
        <f>HLOOKUP(D43, materials[], 2,FALSE)</f>
        <v>2</v>
      </c>
      <c r="J43" s="12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88" t="s">
        <v>156</v>
      </c>
      <c r="B44" s="19" t="str">
        <f>B38</f>
        <v>وحدة سفلية   درجين / 3 أدراج</v>
      </c>
      <c r="C44" s="12">
        <f t="shared" si="1"/>
        <v>7</v>
      </c>
      <c r="D44" s="12" t="str">
        <f>H34</f>
        <v>HPL</v>
      </c>
      <c r="E44" s="12" t="s">
        <v>26</v>
      </c>
      <c r="F44" s="12">
        <f>H33-3.6-3.6-2.5</f>
        <v>-9.6999999999999993</v>
      </c>
      <c r="G44" s="12">
        <f>60/C33-3</f>
        <v>17</v>
      </c>
      <c r="H44" s="12">
        <f>C33*C31</f>
        <v>3</v>
      </c>
      <c r="I44" s="12">
        <f>HLOOKUP(D44, materials[], 2,FALSE)</f>
        <v>2</v>
      </c>
      <c r="J44" s="12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88" t="s">
        <v>155</v>
      </c>
      <c r="C45" s="7"/>
      <c r="D45" s="7"/>
      <c r="E45" s="7"/>
      <c r="F45" s="7"/>
      <c r="G45" s="7"/>
      <c r="H45" s="7"/>
      <c r="I45" s="7"/>
      <c r="J45" s="7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88" t="s">
        <v>153</v>
      </c>
      <c r="B46" s="19" t="str">
        <f>B38</f>
        <v>وحدة سفلية   درجين / 3 أدراج</v>
      </c>
      <c r="C46" s="11">
        <f>C44+1</f>
        <v>8</v>
      </c>
      <c r="D46" s="11" t="str">
        <f>F34</f>
        <v>يوفيلاك</v>
      </c>
      <c r="E46" s="11" t="s">
        <v>27</v>
      </c>
      <c r="F46" s="11">
        <f>(I33/C33)-0.5-E33</f>
        <v>22</v>
      </c>
      <c r="G46" s="11">
        <f>H33-0.5</f>
        <v>-0.5</v>
      </c>
      <c r="H46" s="11">
        <f>C33*C31</f>
        <v>3</v>
      </c>
      <c r="I46" s="11">
        <f>HLOOKUP(D46, materials[], 2,FALSE)</f>
        <v>6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88" t="s">
        <v>155</v>
      </c>
      <c r="C47" s="7"/>
      <c r="D47" s="7"/>
      <c r="E47" s="7"/>
      <c r="F47" s="7"/>
      <c r="G47" s="7"/>
      <c r="H47" s="7"/>
      <c r="I47" s="7"/>
      <c r="J47" s="7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88" t="s">
        <v>154</v>
      </c>
      <c r="B48" s="19" t="str">
        <f>B38</f>
        <v>وحدة سفلية   درجين / 3 أدراج</v>
      </c>
      <c r="C48" s="24">
        <f>C46+1</f>
        <v>9</v>
      </c>
      <c r="D48" s="24" t="str">
        <f>D34</f>
        <v>ظهر</v>
      </c>
      <c r="E48" s="24" t="s">
        <v>70</v>
      </c>
      <c r="F48" s="24">
        <f>I33-2</f>
        <v>76</v>
      </c>
      <c r="G48" s="24">
        <f>H33-2</f>
        <v>-2</v>
      </c>
      <c r="H48" s="24">
        <f>1*C31</f>
        <v>1</v>
      </c>
      <c r="I48" s="24">
        <f>HLOOKUP(D48, materials[], 2,FALSE)</f>
        <v>2</v>
      </c>
      <c r="J48" s="24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88" t="s">
        <v>150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88" t="s">
        <v>150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6" x14ac:dyDescent="0.3">
      <c r="A51" s="88" cm="1">
        <f t="array" ref="A51">lowerBlockTypes[وحدة سفلية   3 أدراج - 3/2]</f>
        <v>3</v>
      </c>
      <c r="C51" s="16">
        <v>1</v>
      </c>
      <c r="D51" s="30" t="s">
        <v>71</v>
      </c>
      <c r="E51" s="110" t="str">
        <f>lowerBlockTypes[[#Headers],[وحدة سفلية   3 أدراج - 3/2]]</f>
        <v>وحدة سفلية   3 أدراج - 3/2</v>
      </c>
      <c r="F51" s="111"/>
      <c r="G51" s="111"/>
      <c r="H51" s="112"/>
      <c r="I51" s="2" t="s">
        <v>42</v>
      </c>
      <c r="J51" s="2">
        <f>A51</f>
        <v>3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31.2" x14ac:dyDescent="0.3">
      <c r="A52" s="88" t="s">
        <v>151</v>
      </c>
      <c r="C52" s="9" t="s">
        <v>21</v>
      </c>
      <c r="D52" s="9" t="s">
        <v>29</v>
      </c>
      <c r="E52" s="9" t="s">
        <v>17</v>
      </c>
      <c r="F52" s="20" t="s">
        <v>22</v>
      </c>
      <c r="G52" s="9"/>
      <c r="H52" s="9" t="s">
        <v>34</v>
      </c>
      <c r="I52" s="9" t="s">
        <v>3</v>
      </c>
      <c r="J52" s="9" t="s">
        <v>128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88" t="s">
        <v>151</v>
      </c>
      <c r="C53" s="10">
        <v>3</v>
      </c>
      <c r="D53" s="9">
        <v>2</v>
      </c>
      <c r="E53" s="43">
        <f>INDEX(lowerCommon[[#All],[Column1]],MATCH(E52,lowerCommon[[#All],[Column2]],0))</f>
        <v>3.5</v>
      </c>
      <c r="F53" s="11">
        <f>INDEX(lowerCommon[[#All],[Column1]],MATCH(F52,lowerCommon[[#All],[Column2]],0))</f>
        <v>45</v>
      </c>
      <c r="G53" s="10"/>
      <c r="H53" s="10"/>
      <c r="I53" s="43">
        <f>INDEX(lowerCommon[[#All],[Column1]],MATCH(I52,lowerCommon[[#All],[Column2]],0))</f>
        <v>78</v>
      </c>
      <c r="J53" s="43">
        <f>INDEX(lowerCommon[[#All],[Column1]],MATCH(J52,lowerCommon[[#All],[Column2]],0))</f>
        <v>56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31.2" x14ac:dyDescent="0.3">
      <c r="A54" s="88" t="s">
        <v>151</v>
      </c>
      <c r="C54" s="10"/>
      <c r="D54" s="43" t="str">
        <f>INDEX(choosenMaterials[[#All],[Column1]],MATCH(E54,choosenMaterials[[#All],[Column2]],0))</f>
        <v>ظهر</v>
      </c>
      <c r="E54" s="9" t="s">
        <v>70</v>
      </c>
      <c r="F54" s="43" t="str">
        <f>INDEX(choosenMaterials[[#All],[Column1]],MATCH(G54,choosenMaterials[[#All],[Column2]],0))</f>
        <v>يوفيلاك</v>
      </c>
      <c r="G54" s="9" t="s">
        <v>44</v>
      </c>
      <c r="H54" s="43" t="str">
        <f>INDEX(choosenMaterials[[#All],[Column1]],MATCH(I54,choosenMaterials[[#All],[Column2]],0))</f>
        <v>HPL</v>
      </c>
      <c r="I54" s="9" t="s">
        <v>43</v>
      </c>
      <c r="J54" s="34" t="s">
        <v>126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88" t="s">
        <v>155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88" t="s">
        <v>152</v>
      </c>
      <c r="C56" s="7" t="s">
        <v>4</v>
      </c>
      <c r="D56" s="7" t="s">
        <v>9</v>
      </c>
      <c r="E56" s="7" t="s">
        <v>5</v>
      </c>
      <c r="F56" s="7" t="s">
        <v>7</v>
      </c>
      <c r="G56" s="7" t="s">
        <v>1</v>
      </c>
      <c r="H56" s="7" t="s">
        <v>6</v>
      </c>
      <c r="I56" s="7" t="s">
        <v>45</v>
      </c>
      <c r="J56" s="7" t="s">
        <v>8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88" t="s">
        <v>155</v>
      </c>
      <c r="C57" s="7"/>
      <c r="D57" s="7"/>
      <c r="E57" s="7"/>
      <c r="F57" s="7"/>
      <c r="G57" s="7"/>
      <c r="H57" s="7"/>
      <c r="I57" s="7"/>
      <c r="J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88" t="s">
        <v>156</v>
      </c>
      <c r="B58" s="19" t="str">
        <f>E51</f>
        <v>وحدة سفلية   3 أدراج - 3/2</v>
      </c>
      <c r="C58" s="7">
        <v>1</v>
      </c>
      <c r="D58" s="7" t="str">
        <f>H54</f>
        <v>HPL</v>
      </c>
      <c r="E58" s="7" t="s">
        <v>10</v>
      </c>
      <c r="F58" s="7">
        <f>H53-3.6</f>
        <v>-3.6</v>
      </c>
      <c r="G58" s="7">
        <f>J53</f>
        <v>56</v>
      </c>
      <c r="H58" s="7">
        <f>1*C51</f>
        <v>1</v>
      </c>
      <c r="I58" s="7">
        <f>HLOOKUP(D58, materials[], 2,FALSE)</f>
        <v>2</v>
      </c>
      <c r="J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88" t="s">
        <v>156</v>
      </c>
      <c r="B59" s="19" t="str">
        <f>B58</f>
        <v>وحدة سفلية   3 أدراج - 3/2</v>
      </c>
      <c r="C59" s="7">
        <f>C58+1</f>
        <v>2</v>
      </c>
      <c r="D59" s="7" t="str">
        <f>H54</f>
        <v>HPL</v>
      </c>
      <c r="E59" s="7" t="s">
        <v>11</v>
      </c>
      <c r="F59" s="7">
        <f>I53</f>
        <v>78</v>
      </c>
      <c r="G59" s="7">
        <f>J53</f>
        <v>56</v>
      </c>
      <c r="H59" s="7">
        <f>2*C51</f>
        <v>2</v>
      </c>
      <c r="I59" s="7">
        <f>HLOOKUP(D59, materials[], 2,FALSE)</f>
        <v>2</v>
      </c>
      <c r="J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88" t="s">
        <v>156</v>
      </c>
      <c r="B60" s="19" t="str">
        <f>B58</f>
        <v>وحدة سفلية   3 أدراج - 3/2</v>
      </c>
      <c r="C60" s="7">
        <f t="shared" ref="C60:C67" si="2">C59+1</f>
        <v>3</v>
      </c>
      <c r="D60" s="7" t="str">
        <f>H54</f>
        <v>HPL</v>
      </c>
      <c r="E60" s="7" t="s">
        <v>13</v>
      </c>
      <c r="F60" s="7">
        <f>H53-3.6</f>
        <v>-3.6</v>
      </c>
      <c r="G60" s="7">
        <v>10</v>
      </c>
      <c r="H60" s="7">
        <f>1*C51</f>
        <v>1</v>
      </c>
      <c r="I60" s="7">
        <f>HLOOKUP(D60, materials[], 2,FALSE)</f>
        <v>2</v>
      </c>
      <c r="J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88" t="s">
        <v>156</v>
      </c>
      <c r="B61" s="19" t="str">
        <f>B58</f>
        <v>وحدة سفلية   3 أدراج - 3/2</v>
      </c>
      <c r="C61" s="7">
        <f t="shared" si="2"/>
        <v>4</v>
      </c>
      <c r="D61" s="7" t="str">
        <f>H54</f>
        <v>HPL</v>
      </c>
      <c r="E61" s="7" t="s">
        <v>14</v>
      </c>
      <c r="F61" s="7">
        <f>H53-3.6</f>
        <v>-3.6</v>
      </c>
      <c r="G61" s="7">
        <v>7</v>
      </c>
      <c r="H61" s="7">
        <f>1*C51</f>
        <v>1</v>
      </c>
      <c r="I61" s="7">
        <f>HLOOKUP(D61, materials[], 2,FALSE)</f>
        <v>2</v>
      </c>
      <c r="J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88" t="s">
        <v>156</v>
      </c>
      <c r="B62" s="19" t="str">
        <f>B58</f>
        <v>وحدة سفلية   3 أدراج - 3/2</v>
      </c>
      <c r="C62" s="12">
        <f t="shared" si="2"/>
        <v>5</v>
      </c>
      <c r="D62" s="12" t="str">
        <f>H54</f>
        <v>HPL</v>
      </c>
      <c r="E62" s="12" t="s">
        <v>30</v>
      </c>
      <c r="F62" s="12">
        <f>H53-3.6-3.6-2.5</f>
        <v>-9.6999999999999993</v>
      </c>
      <c r="G62" s="12">
        <v>10</v>
      </c>
      <c r="H62" s="12">
        <f>C53*C51</f>
        <v>3</v>
      </c>
      <c r="I62" s="12">
        <f>HLOOKUP(D62, materials[], 2,FALSE)</f>
        <v>2</v>
      </c>
      <c r="J62" s="1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88" t="s">
        <v>156</v>
      </c>
      <c r="B63" s="19" t="str">
        <f>B58</f>
        <v>وحدة سفلية   3 أدراج - 3/2</v>
      </c>
      <c r="C63" s="12">
        <f t="shared" si="2"/>
        <v>6</v>
      </c>
      <c r="D63" s="12" t="str">
        <f>H54</f>
        <v>HPL</v>
      </c>
      <c r="E63" s="12" t="s">
        <v>31</v>
      </c>
      <c r="F63" s="12">
        <f>F53</f>
        <v>45</v>
      </c>
      <c r="G63" s="12">
        <v>10</v>
      </c>
      <c r="H63" s="12">
        <f>C53*2*C51</f>
        <v>6</v>
      </c>
      <c r="I63" s="12">
        <f>HLOOKUP(D63, materials[], 2,FALSE)</f>
        <v>2</v>
      </c>
      <c r="J63" s="12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88" t="s">
        <v>156</v>
      </c>
      <c r="B64" s="19" t="str">
        <f>B58</f>
        <v>وحدة سفلية   3 أدراج - 3/2</v>
      </c>
      <c r="C64" s="12">
        <f t="shared" si="2"/>
        <v>7</v>
      </c>
      <c r="D64" s="12" t="str">
        <f>H54</f>
        <v>HPL</v>
      </c>
      <c r="E64" s="12" t="s">
        <v>32</v>
      </c>
      <c r="F64" s="12">
        <f>H53-3.6-3.6-2.5</f>
        <v>-9.6999999999999993</v>
      </c>
      <c r="G64" s="12">
        <f>10-3</f>
        <v>7</v>
      </c>
      <c r="H64" s="12">
        <f>C53*C51</f>
        <v>3</v>
      </c>
      <c r="I64" s="12">
        <f>HLOOKUP(D64, materials[], 2,FALSE)</f>
        <v>2</v>
      </c>
      <c r="J64" s="12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88" t="s">
        <v>156</v>
      </c>
      <c r="B65" s="19" t="str">
        <f>B58</f>
        <v>وحدة سفلية   3 أدراج - 3/2</v>
      </c>
      <c r="C65" s="13">
        <f t="shared" si="2"/>
        <v>8</v>
      </c>
      <c r="D65" s="13" t="str">
        <f>H54</f>
        <v>HPL</v>
      </c>
      <c r="E65" s="13" t="s">
        <v>24</v>
      </c>
      <c r="F65" s="13">
        <f>H53-3.6-3.6-2.5</f>
        <v>-9.6999999999999993</v>
      </c>
      <c r="G65" s="13">
        <f>60/C53</f>
        <v>20</v>
      </c>
      <c r="H65" s="13">
        <f>(C53-1)*C51</f>
        <v>2</v>
      </c>
      <c r="I65" s="13">
        <f>HLOOKUP(D65, materials[], 2,FALSE)</f>
        <v>2</v>
      </c>
      <c r="J65" s="13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88" t="s">
        <v>156</v>
      </c>
      <c r="B66" s="19" t="str">
        <f>B58</f>
        <v>وحدة سفلية   3 أدراج - 3/2</v>
      </c>
      <c r="C66" s="13">
        <f t="shared" si="2"/>
        <v>9</v>
      </c>
      <c r="D66" s="13" t="str">
        <f>H54</f>
        <v>HPL</v>
      </c>
      <c r="E66" s="13" t="s">
        <v>25</v>
      </c>
      <c r="F66" s="13">
        <f>F53</f>
        <v>45</v>
      </c>
      <c r="G66" s="13">
        <f>60/C53</f>
        <v>20</v>
      </c>
      <c r="H66" s="13">
        <f>(C53-1)*2*C51</f>
        <v>4</v>
      </c>
      <c r="I66" s="13">
        <f>HLOOKUP(D66, materials[], 2,FALSE)</f>
        <v>2</v>
      </c>
      <c r="J66" s="13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88" t="s">
        <v>156</v>
      </c>
      <c r="B67" s="19" t="str">
        <f>B58</f>
        <v>وحدة سفلية   3 أدراج - 3/2</v>
      </c>
      <c r="C67" s="13">
        <f t="shared" si="2"/>
        <v>10</v>
      </c>
      <c r="D67" s="13" t="str">
        <f>H54</f>
        <v>HPL</v>
      </c>
      <c r="E67" s="13" t="s">
        <v>26</v>
      </c>
      <c r="F67" s="13">
        <f>H53-3.6-3.6-2.5</f>
        <v>-9.6999999999999993</v>
      </c>
      <c r="G67" s="13">
        <f>60/C53-3</f>
        <v>17</v>
      </c>
      <c r="H67" s="13">
        <f>(C53-1)*C51</f>
        <v>2</v>
      </c>
      <c r="I67" s="13">
        <f>HLOOKUP(D67, materials[], 2,FALSE)</f>
        <v>2</v>
      </c>
      <c r="J67" s="13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88" t="s">
        <v>155</v>
      </c>
      <c r="C68" s="7"/>
      <c r="D68" s="7"/>
      <c r="E68" s="7"/>
      <c r="F68" s="7"/>
      <c r="G68" s="7"/>
      <c r="H68" s="7"/>
      <c r="I68" s="7"/>
      <c r="J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88" t="s">
        <v>153</v>
      </c>
      <c r="B69" s="19" t="str">
        <f>B58</f>
        <v>وحدة سفلية   3 أدراج - 3/2</v>
      </c>
      <c r="C69" s="11">
        <f>C67+1</f>
        <v>11</v>
      </c>
      <c r="D69" s="11" t="str">
        <f>F54</f>
        <v>يوفيلاك</v>
      </c>
      <c r="E69" s="11" t="s">
        <v>27</v>
      </c>
      <c r="F69" s="11">
        <f>(I53/C53)-0.5-E53</f>
        <v>22</v>
      </c>
      <c r="G69" s="11">
        <f>H53-0.5</f>
        <v>-0.5</v>
      </c>
      <c r="H69" s="11">
        <f>C53*C51</f>
        <v>3</v>
      </c>
      <c r="I69" s="11">
        <f>HLOOKUP(D69, materials[], 2,FALSE)</f>
        <v>6</v>
      </c>
      <c r="J69" s="1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88" t="s">
        <v>155</v>
      </c>
      <c r="C70" s="7"/>
      <c r="D70" s="7"/>
      <c r="E70" s="7"/>
      <c r="F70" s="7"/>
      <c r="G70" s="7"/>
      <c r="H70" s="7"/>
      <c r="I70" s="7"/>
      <c r="J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88" t="s">
        <v>154</v>
      </c>
      <c r="B71" s="19" t="str">
        <f>B58</f>
        <v>وحدة سفلية   3 أدراج - 3/2</v>
      </c>
      <c r="C71" s="24">
        <f>C69+1</f>
        <v>12</v>
      </c>
      <c r="D71" s="24" t="str">
        <f>D54</f>
        <v>ظهر</v>
      </c>
      <c r="E71" s="24" t="s">
        <v>70</v>
      </c>
      <c r="F71" s="24">
        <f>I53-2</f>
        <v>76</v>
      </c>
      <c r="G71" s="24">
        <f>H53-2</f>
        <v>-2</v>
      </c>
      <c r="H71" s="24">
        <f>1*C51</f>
        <v>1</v>
      </c>
      <c r="I71" s="24">
        <f>HLOOKUP(D71, materials[], 2,FALSE)</f>
        <v>2</v>
      </c>
      <c r="J71" s="24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x14ac:dyDescent="0.3">
      <c r="A72" s="88" t="s">
        <v>150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88" t="s">
        <v>150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ht="36" x14ac:dyDescent="0.3">
      <c r="A74" s="88" cm="1">
        <f t="array" ref="A74">lowerBlockTypes[وحدة سفلية   درجين - 2/4]</f>
        <v>4</v>
      </c>
      <c r="C74" s="16">
        <v>1</v>
      </c>
      <c r="D74" s="30" t="s">
        <v>71</v>
      </c>
      <c r="E74" s="110" t="str">
        <f>lowerBlockTypes[[#Headers],[وحدة سفلية   درجين - 2/4]]</f>
        <v>وحدة سفلية   درجين - 2/4</v>
      </c>
      <c r="F74" s="111"/>
      <c r="G74" s="111"/>
      <c r="H74" s="112"/>
      <c r="I74" s="2" t="s">
        <v>42</v>
      </c>
      <c r="J74" s="2">
        <f>A74</f>
        <v>4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31.2" x14ac:dyDescent="0.3">
      <c r="A75" s="88" t="s">
        <v>151</v>
      </c>
      <c r="C75" s="9" t="s">
        <v>21</v>
      </c>
      <c r="D75" s="9" t="s">
        <v>29</v>
      </c>
      <c r="E75" s="9" t="s">
        <v>17</v>
      </c>
      <c r="F75" s="20" t="s">
        <v>22</v>
      </c>
      <c r="G75" s="9"/>
      <c r="H75" s="9" t="s">
        <v>34</v>
      </c>
      <c r="I75" s="9" t="s">
        <v>3</v>
      </c>
      <c r="J75" s="9" t="s">
        <v>128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88" t="s">
        <v>151</v>
      </c>
      <c r="C76" s="10">
        <v>2</v>
      </c>
      <c r="D76" s="9">
        <v>4</v>
      </c>
      <c r="E76" s="43">
        <f>INDEX(lowerCommon[[#All],[Column1]],MATCH(E75,lowerCommon[[#All],[Column2]],0))</f>
        <v>3.5</v>
      </c>
      <c r="F76" s="11">
        <f>INDEX(lowerCommon[[#All],[Column1]],MATCH(F75,lowerCommon[[#All],[Column2]],0))</f>
        <v>45</v>
      </c>
      <c r="G76" s="9"/>
      <c r="H76" s="10"/>
      <c r="I76" s="43">
        <f>INDEX(lowerCommon[[#All],[Column1]],MATCH(I75,lowerCommon[[#All],[Column2]],0))</f>
        <v>78</v>
      </c>
      <c r="J76" s="43">
        <f>INDEX(lowerCommon[[#All],[Column1]],MATCH(J75,lowerCommon[[#All],[Column2]],0))</f>
        <v>56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ht="31.2" x14ac:dyDescent="0.3">
      <c r="A77" s="88" t="s">
        <v>151</v>
      </c>
      <c r="C77" s="10"/>
      <c r="D77" s="43" t="str">
        <f>INDEX(choosenMaterials[[#All],[Column1]],MATCH(E77,choosenMaterials[[#All],[Column2]],0))</f>
        <v>ظهر</v>
      </c>
      <c r="E77" s="9" t="s">
        <v>70</v>
      </c>
      <c r="F77" s="43" t="str">
        <f>INDEX(choosenMaterials[[#All],[Column1]],MATCH(G77,choosenMaterials[[#All],[Column2]],0))</f>
        <v>يوفيلاك</v>
      </c>
      <c r="G77" s="9" t="s">
        <v>44</v>
      </c>
      <c r="H77" s="43" t="str">
        <f>INDEX(choosenMaterials[[#All],[Column1]],MATCH(I77,choosenMaterials[[#All],[Column2]],0))</f>
        <v>HPL</v>
      </c>
      <c r="I77" s="9" t="s">
        <v>43</v>
      </c>
      <c r="J77" s="34" t="s">
        <v>126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88" t="s">
        <v>155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88" t="s">
        <v>152</v>
      </c>
      <c r="C79" s="7" t="s">
        <v>4</v>
      </c>
      <c r="D79" s="7" t="s">
        <v>9</v>
      </c>
      <c r="E79" s="7" t="s">
        <v>5</v>
      </c>
      <c r="F79" s="7" t="s">
        <v>7</v>
      </c>
      <c r="G79" s="7" t="s">
        <v>1</v>
      </c>
      <c r="H79" s="7" t="s">
        <v>6</v>
      </c>
      <c r="I79" s="7" t="s">
        <v>45</v>
      </c>
      <c r="J79" s="7" t="s">
        <v>8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88" t="s">
        <v>155</v>
      </c>
      <c r="C80" s="7"/>
      <c r="D80" s="7"/>
      <c r="E80" s="7"/>
      <c r="F80" s="7"/>
      <c r="G80" s="7"/>
      <c r="H80" s="7"/>
      <c r="I80" s="7"/>
      <c r="J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88" t="s">
        <v>156</v>
      </c>
      <c r="B81" s="19" t="str">
        <f>E74</f>
        <v>وحدة سفلية   درجين - 2/4</v>
      </c>
      <c r="C81" s="7">
        <v>1</v>
      </c>
      <c r="D81" s="7" t="str">
        <f>H77</f>
        <v>HPL</v>
      </c>
      <c r="E81" s="7" t="s">
        <v>10</v>
      </c>
      <c r="F81" s="7">
        <f>H76-3.6</f>
        <v>-3.6</v>
      </c>
      <c r="G81" s="7">
        <f>J76</f>
        <v>56</v>
      </c>
      <c r="H81" s="7">
        <f>1*C74</f>
        <v>1</v>
      </c>
      <c r="I81" s="7">
        <f>HLOOKUP(D81, materials[], 2,FALSE)</f>
        <v>2</v>
      </c>
      <c r="J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88" t="s">
        <v>156</v>
      </c>
      <c r="B82" s="19" t="str">
        <f>B81</f>
        <v>وحدة سفلية   درجين - 2/4</v>
      </c>
      <c r="C82" s="7">
        <f>C81+1</f>
        <v>2</v>
      </c>
      <c r="D82" s="7" t="str">
        <f>H77</f>
        <v>HPL</v>
      </c>
      <c r="E82" s="7" t="s">
        <v>11</v>
      </c>
      <c r="F82" s="7">
        <f>I76</f>
        <v>78</v>
      </c>
      <c r="G82" s="7">
        <f>J76</f>
        <v>56</v>
      </c>
      <c r="H82" s="7">
        <f>2*C74</f>
        <v>2</v>
      </c>
      <c r="I82" s="7">
        <f>HLOOKUP(D82, materials[], 2,FALSE)</f>
        <v>2</v>
      </c>
      <c r="J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88" t="s">
        <v>156</v>
      </c>
      <c r="B83" s="19" t="str">
        <f>B81</f>
        <v>وحدة سفلية   درجين - 2/4</v>
      </c>
      <c r="C83" s="7">
        <f t="shared" ref="C83:C90" si="3">C82+1</f>
        <v>3</v>
      </c>
      <c r="D83" s="7" t="str">
        <f>H77</f>
        <v>HPL</v>
      </c>
      <c r="E83" s="7" t="s">
        <v>13</v>
      </c>
      <c r="F83" s="7">
        <f>H76-3.6</f>
        <v>-3.6</v>
      </c>
      <c r="G83" s="7">
        <v>10</v>
      </c>
      <c r="H83" s="7">
        <f>1*C74</f>
        <v>1</v>
      </c>
      <c r="I83" s="7">
        <f>HLOOKUP(D83, materials[], 2,FALSE)</f>
        <v>2</v>
      </c>
      <c r="J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88" t="s">
        <v>156</v>
      </c>
      <c r="B84" s="19" t="str">
        <f>B81</f>
        <v>وحدة سفلية   درجين - 2/4</v>
      </c>
      <c r="C84" s="7">
        <f t="shared" si="3"/>
        <v>4</v>
      </c>
      <c r="D84" s="7" t="str">
        <f>H77</f>
        <v>HPL</v>
      </c>
      <c r="E84" s="7" t="s">
        <v>14</v>
      </c>
      <c r="F84" s="7">
        <f>H76-3.6</f>
        <v>-3.6</v>
      </c>
      <c r="G84" s="7">
        <v>7</v>
      </c>
      <c r="H84" s="7">
        <f>1*C74</f>
        <v>1</v>
      </c>
      <c r="I84" s="7">
        <f>HLOOKUP(D84, materials[], 2,FALSE)</f>
        <v>2</v>
      </c>
      <c r="J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88" t="s">
        <v>156</v>
      </c>
      <c r="B85" s="19" t="str">
        <f>B81</f>
        <v>وحدة سفلية   درجين - 2/4</v>
      </c>
      <c r="C85" s="12">
        <f t="shared" si="3"/>
        <v>5</v>
      </c>
      <c r="D85" s="12" t="str">
        <f>H77</f>
        <v>HPL</v>
      </c>
      <c r="E85" s="12" t="s">
        <v>30</v>
      </c>
      <c r="F85" s="12">
        <f>H76-3.6-3.6-2.5</f>
        <v>-9.6999999999999993</v>
      </c>
      <c r="G85" s="12">
        <v>10</v>
      </c>
      <c r="H85" s="12">
        <f>(D76-1)*C74</f>
        <v>3</v>
      </c>
      <c r="I85" s="12">
        <f>HLOOKUP(D85, materials[], 2,FALSE)</f>
        <v>2</v>
      </c>
      <c r="J85" s="12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88" t="s">
        <v>156</v>
      </c>
      <c r="B86" s="19" t="str">
        <f>B81</f>
        <v>وحدة سفلية   درجين - 2/4</v>
      </c>
      <c r="C86" s="12">
        <f t="shared" si="3"/>
        <v>6</v>
      </c>
      <c r="D86" s="12" t="str">
        <f>H77</f>
        <v>HPL</v>
      </c>
      <c r="E86" s="12" t="s">
        <v>31</v>
      </c>
      <c r="F86" s="12">
        <f>F76</f>
        <v>45</v>
      </c>
      <c r="G86" s="12">
        <v>10</v>
      </c>
      <c r="H86" s="12">
        <f>(D76-1)*2*C74</f>
        <v>6</v>
      </c>
      <c r="I86" s="12">
        <f>HLOOKUP(D86, materials[], 2,FALSE)</f>
        <v>2</v>
      </c>
      <c r="J86" s="12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88" t="s">
        <v>156</v>
      </c>
      <c r="B87" s="19" t="str">
        <f>B81</f>
        <v>وحدة سفلية   درجين - 2/4</v>
      </c>
      <c r="C87" s="12">
        <f t="shared" si="3"/>
        <v>7</v>
      </c>
      <c r="D87" s="12" t="str">
        <f>H77</f>
        <v>HPL</v>
      </c>
      <c r="E87" s="12" t="s">
        <v>32</v>
      </c>
      <c r="F87" s="12">
        <f>H76-3.6-3.6-2.5</f>
        <v>-9.6999999999999993</v>
      </c>
      <c r="G87" s="12">
        <f>10-3</f>
        <v>7</v>
      </c>
      <c r="H87" s="12">
        <f>(D76-1)*C74</f>
        <v>3</v>
      </c>
      <c r="I87" s="12">
        <f>HLOOKUP(D87, materials[], 2,FALSE)</f>
        <v>2</v>
      </c>
      <c r="J87" s="12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88" t="s">
        <v>156</v>
      </c>
      <c r="B88" s="19" t="str">
        <f>B81</f>
        <v>وحدة سفلية   درجين - 2/4</v>
      </c>
      <c r="C88" s="13">
        <f t="shared" si="3"/>
        <v>8</v>
      </c>
      <c r="D88" s="13" t="str">
        <f>H77</f>
        <v>HPL</v>
      </c>
      <c r="E88" s="13" t="s">
        <v>24</v>
      </c>
      <c r="F88" s="13">
        <f>H76-3.6-3.6-2.5</f>
        <v>-9.6999999999999993</v>
      </c>
      <c r="G88" s="13">
        <f>60/C76</f>
        <v>30</v>
      </c>
      <c r="H88" s="13">
        <f>(C76-1)*C74</f>
        <v>1</v>
      </c>
      <c r="I88" s="13">
        <f>HLOOKUP(D88, materials[], 2,FALSE)</f>
        <v>2</v>
      </c>
      <c r="J88" s="13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88" t="s">
        <v>156</v>
      </c>
      <c r="B89" s="19" t="str">
        <f>B81</f>
        <v>وحدة سفلية   درجين - 2/4</v>
      </c>
      <c r="C89" s="13">
        <f t="shared" si="3"/>
        <v>9</v>
      </c>
      <c r="D89" s="13" t="str">
        <f>H77</f>
        <v>HPL</v>
      </c>
      <c r="E89" s="13" t="s">
        <v>25</v>
      </c>
      <c r="F89" s="13">
        <f>F76</f>
        <v>45</v>
      </c>
      <c r="G89" s="13">
        <f>60/C76</f>
        <v>30</v>
      </c>
      <c r="H89" s="13">
        <f>(C76-1)*2*C74</f>
        <v>2</v>
      </c>
      <c r="I89" s="13">
        <f>HLOOKUP(D89, materials[], 2,FALSE)</f>
        <v>2</v>
      </c>
      <c r="J89" s="13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88" t="s">
        <v>156</v>
      </c>
      <c r="B90" s="19" t="str">
        <f>B81</f>
        <v>وحدة سفلية   درجين - 2/4</v>
      </c>
      <c r="C90" s="13">
        <f t="shared" si="3"/>
        <v>10</v>
      </c>
      <c r="D90" s="13" t="str">
        <f>H77</f>
        <v>HPL</v>
      </c>
      <c r="E90" s="13" t="s">
        <v>26</v>
      </c>
      <c r="F90" s="13">
        <f>H76-3.6-3.6-2.5</f>
        <v>-9.6999999999999993</v>
      </c>
      <c r="G90" s="13">
        <f>60/C76-3</f>
        <v>27</v>
      </c>
      <c r="H90" s="13">
        <f>(C76-1)*C74</f>
        <v>1</v>
      </c>
      <c r="I90" s="13">
        <f>HLOOKUP(D90, materials[], 2,FALSE)</f>
        <v>2</v>
      </c>
      <c r="J90" s="13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88" t="s">
        <v>155</v>
      </c>
      <c r="C91" s="7"/>
      <c r="D91" s="7"/>
      <c r="E91" s="7"/>
      <c r="F91" s="7"/>
      <c r="G91" s="7"/>
      <c r="H91" s="7"/>
      <c r="I91" s="7"/>
      <c r="J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88" t="s">
        <v>153</v>
      </c>
      <c r="B92" s="19" t="str">
        <f>B81</f>
        <v>وحدة سفلية   درجين - 2/4</v>
      </c>
      <c r="C92" s="11">
        <f>C90+1</f>
        <v>11</v>
      </c>
      <c r="D92" s="11" t="str">
        <f>F77</f>
        <v>يوفيلاك</v>
      </c>
      <c r="E92" s="11" t="s">
        <v>27</v>
      </c>
      <c r="F92" s="11">
        <f>(I76/C76)-0.5-E76</f>
        <v>35</v>
      </c>
      <c r="G92" s="11">
        <f>H76-0.5</f>
        <v>-0.5</v>
      </c>
      <c r="H92" s="11">
        <f>C76*C74</f>
        <v>2</v>
      </c>
      <c r="I92" s="11">
        <f>HLOOKUP(D92, materials[], 2,FALSE)</f>
        <v>6</v>
      </c>
      <c r="J92" s="1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88" t="s">
        <v>155</v>
      </c>
      <c r="C93" s="7"/>
      <c r="D93" s="7"/>
      <c r="E93" s="7"/>
      <c r="F93" s="7"/>
      <c r="G93" s="7"/>
      <c r="H93" s="7"/>
      <c r="I93" s="7"/>
      <c r="J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88" t="s">
        <v>154</v>
      </c>
      <c r="B94" s="19" t="str">
        <f>B81</f>
        <v>وحدة سفلية   درجين - 2/4</v>
      </c>
      <c r="C94" s="24">
        <f>C92+1</f>
        <v>12</v>
      </c>
      <c r="D94" s="24" t="str">
        <f>D77</f>
        <v>ظهر</v>
      </c>
      <c r="E94" s="24" t="s">
        <v>70</v>
      </c>
      <c r="F94" s="24">
        <f>I76-2</f>
        <v>76</v>
      </c>
      <c r="G94" s="24">
        <f>H76-2</f>
        <v>-2</v>
      </c>
      <c r="H94" s="24">
        <f>1*C74</f>
        <v>1</v>
      </c>
      <c r="I94" s="24">
        <f>HLOOKUP(D94, materials[], 2,FALSE)</f>
        <v>2</v>
      </c>
      <c r="J94" s="2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88" t="s">
        <v>150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88" t="s">
        <v>150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36" x14ac:dyDescent="0.3">
      <c r="A97" s="88" cm="1">
        <f t="array" ref="A97">lowerBlockTypes[وحدة سفلية  تلبيسة دلفة /دلفتين ]</f>
        <v>5</v>
      </c>
      <c r="C97" s="16">
        <v>1</v>
      </c>
      <c r="D97" s="30" t="s">
        <v>71</v>
      </c>
      <c r="E97" s="110" t="str">
        <f>lowerBlockTypes[[#Headers],[وحدة سفلية  تلبيسة دلفة /دلفتين ]]</f>
        <v xml:space="preserve">وحدة سفلية  تلبيسة دلفة /دلفتين </v>
      </c>
      <c r="F97" s="111"/>
      <c r="G97" s="111"/>
      <c r="H97" s="112"/>
      <c r="I97" s="2" t="s">
        <v>42</v>
      </c>
      <c r="J97" s="2">
        <f>A97</f>
        <v>5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ht="31.2" x14ac:dyDescent="0.3">
      <c r="A98" s="88" t="s">
        <v>151</v>
      </c>
      <c r="C98" s="9" t="s">
        <v>12</v>
      </c>
      <c r="D98" s="9" t="s">
        <v>19</v>
      </c>
      <c r="E98" s="9" t="s">
        <v>17</v>
      </c>
      <c r="F98" s="105"/>
      <c r="G98" s="105"/>
      <c r="H98" s="9" t="s">
        <v>34</v>
      </c>
      <c r="I98" s="9" t="s">
        <v>3</v>
      </c>
      <c r="J98" s="9" t="s">
        <v>128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88" t="s">
        <v>151</v>
      </c>
      <c r="C99" s="10">
        <v>1</v>
      </c>
      <c r="D99" s="10">
        <v>1</v>
      </c>
      <c r="E99" s="43">
        <f>INDEX(lowerCommon[[#All],[Column1]],MATCH(E98,lowerCommon[[#All],[Column2]],0))</f>
        <v>3.5</v>
      </c>
      <c r="F99" s="105"/>
      <c r="G99" s="105"/>
      <c r="H99" s="10"/>
      <c r="I99" s="43">
        <f>INDEX(lowerCommon[[#All],[Column1]],MATCH(I98,lowerCommon[[#All],[Column2]],0))</f>
        <v>78</v>
      </c>
      <c r="J99" s="43">
        <f>INDEX(lowerCommon[[#All],[Column1]],MATCH(J98,lowerCommon[[#All],[Column2]],0))</f>
        <v>56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31.2" x14ac:dyDescent="0.3">
      <c r="A100" s="88" t="s">
        <v>151</v>
      </c>
      <c r="C100" s="10"/>
      <c r="D100" s="43" t="str">
        <f>INDEX(choosenMaterials[[#All],[Column1]],MATCH(E100,choosenMaterials[[#All],[Column2]],0))</f>
        <v>ظهر</v>
      </c>
      <c r="E100" s="9" t="s">
        <v>70</v>
      </c>
      <c r="F100" s="43" t="str">
        <f>INDEX(choosenMaterials[[#All],[Column1]],MATCH(G100,choosenMaterials[[#All],[Column2]],0))</f>
        <v>يوفيلاك</v>
      </c>
      <c r="G100" s="9" t="s">
        <v>44</v>
      </c>
      <c r="H100" s="43" t="str">
        <f>INDEX(choosenMaterials[[#All],[Column1]],MATCH(I100,choosenMaterials[[#All],[Column2]],0))</f>
        <v>HPL</v>
      </c>
      <c r="I100" s="9" t="s">
        <v>43</v>
      </c>
      <c r="J100" s="34" t="s">
        <v>126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88" t="s">
        <v>155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88" t="s">
        <v>152</v>
      </c>
      <c r="C102" s="7" t="s">
        <v>4</v>
      </c>
      <c r="D102" s="7" t="s">
        <v>9</v>
      </c>
      <c r="E102" s="7" t="s">
        <v>5</v>
      </c>
      <c r="F102" s="7" t="s">
        <v>7</v>
      </c>
      <c r="G102" s="7" t="s">
        <v>1</v>
      </c>
      <c r="H102" s="7" t="s">
        <v>6</v>
      </c>
      <c r="I102" s="7" t="s">
        <v>45</v>
      </c>
      <c r="J102" s="7" t="s">
        <v>8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88" t="s">
        <v>155</v>
      </c>
      <c r="C103" s="7"/>
      <c r="D103" s="7"/>
      <c r="E103" s="7"/>
      <c r="F103" s="7"/>
      <c r="G103" s="7"/>
      <c r="H103" s="7"/>
      <c r="I103" s="7"/>
      <c r="J103" s="7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88" t="s">
        <v>156</v>
      </c>
      <c r="B104" s="19" t="str">
        <f>E97</f>
        <v xml:space="preserve">وحدة سفلية  تلبيسة دلفة /دلفتين </v>
      </c>
      <c r="C104" s="7">
        <v>1</v>
      </c>
      <c r="D104" s="7" t="str">
        <f>H100</f>
        <v>HPL</v>
      </c>
      <c r="E104" s="7" t="s">
        <v>10</v>
      </c>
      <c r="F104" s="7">
        <f>H99-3.6</f>
        <v>-3.6</v>
      </c>
      <c r="G104" s="7">
        <f>J99</f>
        <v>56</v>
      </c>
      <c r="H104" s="7">
        <f>1*C97</f>
        <v>1</v>
      </c>
      <c r="I104" s="7">
        <f>HLOOKUP(D104, materials[], 2,FALSE)</f>
        <v>2</v>
      </c>
      <c r="J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88" t="s">
        <v>156</v>
      </c>
      <c r="B105" s="19" t="str">
        <f>B104</f>
        <v xml:space="preserve">وحدة سفلية  تلبيسة دلفة /دلفتين </v>
      </c>
      <c r="C105" s="7">
        <f>C104+1</f>
        <v>2</v>
      </c>
      <c r="D105" s="7" t="str">
        <f>H100</f>
        <v>HPL</v>
      </c>
      <c r="E105" s="7" t="s">
        <v>11</v>
      </c>
      <c r="F105" s="7">
        <f>I99</f>
        <v>78</v>
      </c>
      <c r="G105" s="7">
        <f>J99</f>
        <v>56</v>
      </c>
      <c r="H105" s="7">
        <v>2</v>
      </c>
      <c r="I105" s="7">
        <f>HLOOKUP(D105, materials[], 2,FALSE)</f>
        <v>2</v>
      </c>
      <c r="J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88" t="s">
        <v>156</v>
      </c>
      <c r="B106" s="19" t="str">
        <f>B104</f>
        <v xml:space="preserve">وحدة سفلية  تلبيسة دلفة /دلفتين </v>
      </c>
      <c r="C106" s="7">
        <f t="shared" ref="C106:C109" si="4">C105+1</f>
        <v>3</v>
      </c>
      <c r="D106" s="7" t="str">
        <f>H100</f>
        <v>HPL</v>
      </c>
      <c r="E106" s="7" t="s">
        <v>13</v>
      </c>
      <c r="F106" s="7">
        <f>H99-3.6</f>
        <v>-3.6</v>
      </c>
      <c r="G106" s="7">
        <v>10</v>
      </c>
      <c r="H106" s="7">
        <f>1*C97</f>
        <v>1</v>
      </c>
      <c r="I106" s="7">
        <f>HLOOKUP(D106, materials[], 2,FALSE)</f>
        <v>2</v>
      </c>
      <c r="J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x14ac:dyDescent="0.3">
      <c r="A107" s="88" t="s">
        <v>156</v>
      </c>
      <c r="B107" s="19" t="str">
        <f>B104</f>
        <v xml:space="preserve">وحدة سفلية  تلبيسة دلفة /دلفتين </v>
      </c>
      <c r="C107" s="7">
        <f t="shared" si="4"/>
        <v>4</v>
      </c>
      <c r="D107" s="7" t="str">
        <f>H100</f>
        <v>HPL</v>
      </c>
      <c r="E107" s="7" t="s">
        <v>14</v>
      </c>
      <c r="F107" s="7">
        <f>H99-3.6</f>
        <v>-3.6</v>
      </c>
      <c r="G107" s="7">
        <v>7</v>
      </c>
      <c r="H107" s="7">
        <f>1*C97</f>
        <v>1</v>
      </c>
      <c r="I107" s="7">
        <f>HLOOKUP(D107, materials[], 2,FALSE)</f>
        <v>2</v>
      </c>
      <c r="J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88" t="s">
        <v>156</v>
      </c>
      <c r="B108" s="19" t="str">
        <f>B104</f>
        <v xml:space="preserve">وحدة سفلية  تلبيسة دلفة /دلفتين </v>
      </c>
      <c r="C108" s="7">
        <f t="shared" si="4"/>
        <v>5</v>
      </c>
      <c r="D108" s="7" t="str">
        <f>H100</f>
        <v>HPL</v>
      </c>
      <c r="E108" s="7" t="s">
        <v>18</v>
      </c>
      <c r="F108" s="7">
        <f>H99-3.8</f>
        <v>-3.8</v>
      </c>
      <c r="G108" s="7">
        <f>J99-6</f>
        <v>50</v>
      </c>
      <c r="H108" s="7">
        <f>D99*C97</f>
        <v>1</v>
      </c>
      <c r="I108" s="7">
        <f>HLOOKUP(D108, materials[], 2,FALSE)</f>
        <v>2</v>
      </c>
      <c r="J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88" t="s">
        <v>156</v>
      </c>
      <c r="B109" s="19" t="str">
        <f>B104</f>
        <v xml:space="preserve">وحدة سفلية  تلبيسة دلفة /دلفتين </v>
      </c>
      <c r="C109" s="7">
        <f t="shared" si="4"/>
        <v>6</v>
      </c>
      <c r="D109" s="7" t="str">
        <f>H100</f>
        <v>HPL</v>
      </c>
      <c r="E109" s="7" t="s">
        <v>36</v>
      </c>
      <c r="F109" s="7">
        <f>I99</f>
        <v>78</v>
      </c>
      <c r="G109" s="7">
        <f>J99</f>
        <v>56</v>
      </c>
      <c r="H109" s="7">
        <f>1*C97</f>
        <v>1</v>
      </c>
      <c r="I109" s="7">
        <f>HLOOKUP(D109, materials[], 2,FALSE)</f>
        <v>2</v>
      </c>
      <c r="J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88" t="s">
        <v>155</v>
      </c>
      <c r="C110" s="7"/>
      <c r="D110" s="7"/>
      <c r="E110" s="7"/>
      <c r="F110" s="7"/>
      <c r="G110" s="7"/>
      <c r="H110" s="7"/>
      <c r="I110" s="7"/>
      <c r="J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x14ac:dyDescent="0.3">
      <c r="A111" s="88" t="s">
        <v>153</v>
      </c>
      <c r="B111" s="19" t="str">
        <f>B104</f>
        <v xml:space="preserve">وحدة سفلية  تلبيسة دلفة /دلفتين </v>
      </c>
      <c r="C111" s="11">
        <f>C109+1</f>
        <v>7</v>
      </c>
      <c r="D111" s="11" t="str">
        <f>F100</f>
        <v>يوفيلاك</v>
      </c>
      <c r="E111" s="11" t="s">
        <v>15</v>
      </c>
      <c r="F111" s="11">
        <f>I99-0.5-E99</f>
        <v>74</v>
      </c>
      <c r="G111" s="11">
        <f>(H99-J99-G112)/C99-0.5</f>
        <v>-60.5</v>
      </c>
      <c r="H111" s="11">
        <f>C99*C97</f>
        <v>1</v>
      </c>
      <c r="I111" s="11">
        <f>HLOOKUP(D111, materials[], 2,FALSE)</f>
        <v>6</v>
      </c>
      <c r="J111" s="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88" t="s">
        <v>153</v>
      </c>
      <c r="B112" s="19" t="str">
        <f>B104</f>
        <v xml:space="preserve">وحدة سفلية  تلبيسة دلفة /دلفتين </v>
      </c>
      <c r="C112" s="11">
        <f t="shared" ref="C112" si="5">C111+1</f>
        <v>8</v>
      </c>
      <c r="D112" s="11" t="str">
        <f>F100</f>
        <v>يوفيلاك</v>
      </c>
      <c r="E112" s="11" t="s">
        <v>37</v>
      </c>
      <c r="F112" s="11">
        <f>I99</f>
        <v>78</v>
      </c>
      <c r="G112" s="11">
        <v>4</v>
      </c>
      <c r="H112" s="11">
        <f>1*C97</f>
        <v>1</v>
      </c>
      <c r="I112" s="11">
        <f>HLOOKUP(D112, materials[], 2,FALSE)</f>
        <v>6</v>
      </c>
      <c r="J112" s="1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5" x14ac:dyDescent="0.3">
      <c r="A113" s="88" t="s">
        <v>155</v>
      </c>
      <c r="C113" s="7"/>
      <c r="D113" s="7"/>
      <c r="E113" s="7"/>
      <c r="F113" s="7"/>
      <c r="G113" s="7"/>
      <c r="H113" s="7"/>
      <c r="I113" s="7"/>
      <c r="J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5" x14ac:dyDescent="0.3">
      <c r="A114" s="88" t="s">
        <v>154</v>
      </c>
      <c r="B114" s="19" t="str">
        <f>B104</f>
        <v xml:space="preserve">وحدة سفلية  تلبيسة دلفة /دلفتين </v>
      </c>
      <c r="C114" s="24">
        <f>C112+1</f>
        <v>9</v>
      </c>
      <c r="D114" s="24" t="str">
        <f>D100</f>
        <v>ظهر</v>
      </c>
      <c r="E114" s="24" t="s">
        <v>70</v>
      </c>
      <c r="F114" s="24">
        <f>I99-2</f>
        <v>76</v>
      </c>
      <c r="G114" s="24">
        <f>H99-2</f>
        <v>-2</v>
      </c>
      <c r="H114" s="24">
        <f>1*C97</f>
        <v>1</v>
      </c>
      <c r="I114" s="24">
        <f>HLOOKUP(D114, materials[], 2,FALSE)</f>
        <v>2</v>
      </c>
      <c r="J114" s="2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5" x14ac:dyDescent="0.3">
      <c r="A115" s="88" t="s">
        <v>150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5" x14ac:dyDescent="0.3">
      <c r="A116" s="88" t="s">
        <v>150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5" ht="36" x14ac:dyDescent="0.3">
      <c r="A117" s="88" cm="1">
        <f t="array" ref="A117">lowerBlockTypes[وحدة سفلية  زاوية 90]</f>
        <v>6</v>
      </c>
      <c r="C117" s="16">
        <v>1</v>
      </c>
      <c r="D117" s="30" t="s">
        <v>71</v>
      </c>
      <c r="E117" s="110" t="str">
        <f>lowerBlockTypes[[#Headers],[وحدة سفلية  زاوية 90]]</f>
        <v>وحدة سفلية  زاوية 90</v>
      </c>
      <c r="F117" s="111"/>
      <c r="G117" s="111"/>
      <c r="H117" s="112"/>
      <c r="I117" s="2" t="s">
        <v>42</v>
      </c>
      <c r="J117" s="2">
        <f>A117</f>
        <v>6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5" x14ac:dyDescent="0.3">
      <c r="A118" s="88" t="s">
        <v>151</v>
      </c>
      <c r="C118" s="9"/>
      <c r="D118" s="9" t="s">
        <v>19</v>
      </c>
      <c r="E118" s="9" t="s">
        <v>17</v>
      </c>
      <c r="F118" s="105"/>
      <c r="G118" s="9"/>
      <c r="H118" s="9" t="s">
        <v>34</v>
      </c>
      <c r="I118" s="9" t="s">
        <v>3</v>
      </c>
      <c r="J118" s="9" t="s">
        <v>128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5" x14ac:dyDescent="0.3">
      <c r="A119" s="88" t="s">
        <v>151</v>
      </c>
      <c r="C119" s="10"/>
      <c r="D119" s="10">
        <v>1</v>
      </c>
      <c r="E119" s="43">
        <f>INDEX(lowerCommon[[#All],[Column1]],MATCH(E118,lowerCommon[[#All],[Column2]],0))</f>
        <v>3.5</v>
      </c>
      <c r="F119" s="105"/>
      <c r="G119" s="9"/>
      <c r="H119" s="10"/>
      <c r="I119" s="43">
        <f>INDEX(lowerCommon[[#All],[Column1]],MATCH(I118,lowerCommon[[#All],[Column2]],0))</f>
        <v>78</v>
      </c>
      <c r="J119" s="43">
        <f>INDEX(lowerCommon[[#All],[Column1]],MATCH(J118,lowerCommon[[#All],[Column2]],0))</f>
        <v>56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5" x14ac:dyDescent="0.3">
      <c r="A120" s="88" t="s">
        <v>151</v>
      </c>
      <c r="C120" s="44"/>
      <c r="D120" s="14"/>
      <c r="E120" s="14"/>
      <c r="F120" s="15"/>
      <c r="G120" s="9"/>
      <c r="H120" s="10"/>
      <c r="I120" s="43">
        <f>INDEX(lowerCommon[[#All],[Column1]],MATCH(I118,lowerCommon[[#All],[Column2]],0))</f>
        <v>78</v>
      </c>
      <c r="J120" s="43">
        <f>INDEX(lowerCommon[[#All],[Column1]],MATCH(J118,lowerCommon[[#All],[Column2]],0))</f>
        <v>56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5" ht="31.2" x14ac:dyDescent="0.3">
      <c r="A121" s="88" t="s">
        <v>151</v>
      </c>
      <c r="C121" s="10"/>
      <c r="D121" s="43" t="str">
        <f>INDEX(choosenMaterials[[#All],[Column1]],MATCH(E121,choosenMaterials[[#All],[Column2]],0))</f>
        <v>ظهر</v>
      </c>
      <c r="E121" s="9" t="s">
        <v>70</v>
      </c>
      <c r="F121" s="43" t="str">
        <f>INDEX(choosenMaterials[[#All],[Column1]],MATCH(G121,choosenMaterials[[#All],[Column2]],0))</f>
        <v>يوفيلاك</v>
      </c>
      <c r="G121" s="9" t="s">
        <v>44</v>
      </c>
      <c r="H121" s="43" t="str">
        <f>INDEX(choosenMaterials[[#All],[Column1]],MATCH(I121,choosenMaterials[[#All],[Column2]],0))</f>
        <v>HPL</v>
      </c>
      <c r="I121" s="9" t="s">
        <v>43</v>
      </c>
      <c r="J121" s="34" t="s">
        <v>126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</row>
    <row r="122" spans="1:75" x14ac:dyDescent="0.3">
      <c r="A122" s="88" t="s">
        <v>155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</row>
    <row r="123" spans="1:75" x14ac:dyDescent="0.3">
      <c r="A123" s="88" t="s">
        <v>152</v>
      </c>
      <c r="C123" s="7" t="s">
        <v>4</v>
      </c>
      <c r="D123" s="7" t="s">
        <v>9</v>
      </c>
      <c r="E123" s="7" t="s">
        <v>5</v>
      </c>
      <c r="F123" s="7" t="s">
        <v>7</v>
      </c>
      <c r="G123" s="7" t="s">
        <v>1</v>
      </c>
      <c r="H123" s="7" t="s">
        <v>6</v>
      </c>
      <c r="I123" s="7" t="s">
        <v>45</v>
      </c>
      <c r="J123" s="7" t="s">
        <v>8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</row>
    <row r="124" spans="1:75" x14ac:dyDescent="0.3">
      <c r="A124" s="88" t="s">
        <v>155</v>
      </c>
      <c r="B124" s="19" t="str">
        <f>E117</f>
        <v>وحدة سفلية  زاوية 90</v>
      </c>
      <c r="C124" s="7"/>
      <c r="D124" s="7"/>
      <c r="E124" s="7"/>
      <c r="F124" s="7"/>
      <c r="G124" s="7"/>
      <c r="H124" s="7"/>
      <c r="I124" s="7"/>
      <c r="J124" s="7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</row>
    <row r="125" spans="1:75" x14ac:dyDescent="0.3">
      <c r="A125" s="88" t="s">
        <v>156</v>
      </c>
      <c r="B125" s="19" t="str">
        <f>B124</f>
        <v>وحدة سفلية  زاوية 90</v>
      </c>
      <c r="C125" s="7">
        <v>1</v>
      </c>
      <c r="D125" s="7" t="str">
        <f>H121</f>
        <v>HPL</v>
      </c>
      <c r="E125" s="7" t="s">
        <v>10</v>
      </c>
      <c r="F125" s="7">
        <f>H119-1.8</f>
        <v>-1.8</v>
      </c>
      <c r="G125" s="7">
        <f>H120-1.8</f>
        <v>-1.8</v>
      </c>
      <c r="H125" s="7">
        <f>1*C117</f>
        <v>1</v>
      </c>
      <c r="I125" s="7">
        <f>HLOOKUP(D125, materials[], 2,FALSE)</f>
        <v>2</v>
      </c>
      <c r="J125" s="7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</row>
    <row r="126" spans="1:75" x14ac:dyDescent="0.3">
      <c r="A126" s="88" t="s">
        <v>156</v>
      </c>
      <c r="B126" s="19" t="str">
        <f>B124</f>
        <v>وحدة سفلية  زاوية 90</v>
      </c>
      <c r="C126" s="7">
        <f>C125+1</f>
        <v>2</v>
      </c>
      <c r="D126" s="7" t="str">
        <f>H121</f>
        <v>HPL</v>
      </c>
      <c r="E126" s="7" t="s">
        <v>11</v>
      </c>
      <c r="F126" s="7">
        <f>I119</f>
        <v>78</v>
      </c>
      <c r="G126" s="7">
        <f>J119</f>
        <v>56</v>
      </c>
      <c r="H126" s="7">
        <f>2*C117</f>
        <v>2</v>
      </c>
      <c r="I126" s="7">
        <f>HLOOKUP(D126, materials[], 2,FALSE)</f>
        <v>2</v>
      </c>
      <c r="J126" s="7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</row>
    <row r="127" spans="1:75" x14ac:dyDescent="0.3">
      <c r="A127" s="88" t="s">
        <v>156</v>
      </c>
      <c r="B127" s="19" t="str">
        <f>B124</f>
        <v>وحدة سفلية  زاوية 90</v>
      </c>
      <c r="C127" s="7">
        <f t="shared" ref="C127:C130" si="6">C126+1</f>
        <v>3</v>
      </c>
      <c r="D127" s="7" t="str">
        <f>H121</f>
        <v>HPL</v>
      </c>
      <c r="E127" s="7" t="s">
        <v>13</v>
      </c>
      <c r="F127" s="7">
        <f>H119-1.8</f>
        <v>-1.8</v>
      </c>
      <c r="G127" s="7">
        <v>10</v>
      </c>
      <c r="H127" s="7">
        <f>2*C117</f>
        <v>2</v>
      </c>
      <c r="I127" s="7">
        <f>HLOOKUP(D127, materials[], 2,FALSE)</f>
        <v>2</v>
      </c>
      <c r="J127" s="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</row>
    <row r="128" spans="1:75" x14ac:dyDescent="0.3">
      <c r="A128" s="88" t="s">
        <v>156</v>
      </c>
      <c r="B128" s="19" t="str">
        <f>B124</f>
        <v>وحدة سفلية  زاوية 90</v>
      </c>
      <c r="C128" s="7">
        <f t="shared" si="6"/>
        <v>4</v>
      </c>
      <c r="D128" s="7" t="str">
        <f>H121</f>
        <v>HPL</v>
      </c>
      <c r="E128" s="7" t="s">
        <v>14</v>
      </c>
      <c r="F128" s="7">
        <f>H119-1.8</f>
        <v>-1.8</v>
      </c>
      <c r="G128" s="7">
        <v>7</v>
      </c>
      <c r="H128" s="7">
        <f>2*C117</f>
        <v>2</v>
      </c>
      <c r="I128" s="7">
        <f>HLOOKUP(D128, materials[], 2,FALSE)</f>
        <v>2</v>
      </c>
      <c r="J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</row>
    <row r="129" spans="1:75" x14ac:dyDescent="0.3">
      <c r="A129" s="88" t="s">
        <v>156</v>
      </c>
      <c r="B129" s="19" t="str">
        <f>B124</f>
        <v>وحدة سفلية  زاوية 90</v>
      </c>
      <c r="C129" s="7">
        <f t="shared" si="6"/>
        <v>5</v>
      </c>
      <c r="D129" s="7" t="str">
        <f>H121</f>
        <v>HPL</v>
      </c>
      <c r="E129" s="7" t="s">
        <v>39</v>
      </c>
      <c r="F129" s="7">
        <f>I119</f>
        <v>78</v>
      </c>
      <c r="G129" s="7">
        <v>10</v>
      </c>
      <c r="H129" s="7">
        <f>1*C117</f>
        <v>1</v>
      </c>
      <c r="I129" s="7">
        <f>HLOOKUP(D129, materials[], 2,FALSE)</f>
        <v>2</v>
      </c>
      <c r="J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</row>
    <row r="130" spans="1:75" x14ac:dyDescent="0.3">
      <c r="A130" s="88" t="s">
        <v>156</v>
      </c>
      <c r="B130" s="19" t="str">
        <f>B124</f>
        <v>وحدة سفلية  زاوية 90</v>
      </c>
      <c r="C130" s="7">
        <f t="shared" si="6"/>
        <v>6</v>
      </c>
      <c r="D130" s="7" t="str">
        <f>H121</f>
        <v>HPL</v>
      </c>
      <c r="E130" s="7" t="s">
        <v>18</v>
      </c>
      <c r="F130" s="7">
        <f>H119-3.8</f>
        <v>-3.8</v>
      </c>
      <c r="G130" s="7">
        <f>H120-3.8</f>
        <v>-3.8</v>
      </c>
      <c r="H130" s="7">
        <f>D119*C117</f>
        <v>1</v>
      </c>
      <c r="I130" s="7">
        <f>HLOOKUP(D130, materials[], 2,FALSE)</f>
        <v>2</v>
      </c>
      <c r="J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</row>
    <row r="131" spans="1:75" x14ac:dyDescent="0.3">
      <c r="A131" s="88" t="s">
        <v>155</v>
      </c>
      <c r="C131" s="7"/>
      <c r="D131" s="7"/>
      <c r="E131" s="7"/>
      <c r="F131" s="7"/>
      <c r="G131" s="7"/>
      <c r="H131" s="7"/>
      <c r="I131" s="7"/>
      <c r="J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</row>
    <row r="132" spans="1:75" x14ac:dyDescent="0.3">
      <c r="A132" s="88" t="s">
        <v>153</v>
      </c>
      <c r="B132" s="19" t="str">
        <f>B124</f>
        <v>وحدة سفلية  زاوية 90</v>
      </c>
      <c r="C132" s="11">
        <f>C130+1</f>
        <v>7</v>
      </c>
      <c r="D132" s="11" t="str">
        <f>F121</f>
        <v>يوفيلاك</v>
      </c>
      <c r="E132" s="11" t="s">
        <v>40</v>
      </c>
      <c r="F132" s="11">
        <f>I119-0.5-E119</f>
        <v>74</v>
      </c>
      <c r="G132" s="11">
        <f>H119-56-3</f>
        <v>-59</v>
      </c>
      <c r="H132" s="11">
        <f>1*C117</f>
        <v>1</v>
      </c>
      <c r="I132" s="11">
        <f>HLOOKUP(D132, materials[], 2,FALSE)</f>
        <v>6</v>
      </c>
      <c r="J132" s="1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</row>
    <row r="133" spans="1:75" x14ac:dyDescent="0.3">
      <c r="A133" s="88" t="s">
        <v>153</v>
      </c>
      <c r="B133" s="19" t="str">
        <f>B124</f>
        <v>وحدة سفلية  زاوية 90</v>
      </c>
      <c r="C133" s="11">
        <f t="shared" ref="C133" si="7">C132+1</f>
        <v>8</v>
      </c>
      <c r="D133" s="11" t="str">
        <f>F121</f>
        <v>يوفيلاك</v>
      </c>
      <c r="E133" s="11" t="s">
        <v>53</v>
      </c>
      <c r="F133" s="11">
        <f>I120-0.5-E119</f>
        <v>74</v>
      </c>
      <c r="G133" s="11">
        <f>H120-56-3</f>
        <v>-59</v>
      </c>
      <c r="H133" s="11">
        <f>1*C117</f>
        <v>1</v>
      </c>
      <c r="I133" s="11">
        <f>HLOOKUP(D133, materials[], 2,FALSE)</f>
        <v>6</v>
      </c>
      <c r="J133" s="1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</row>
    <row r="134" spans="1:75" x14ac:dyDescent="0.3">
      <c r="A134" s="88" t="s">
        <v>155</v>
      </c>
      <c r="C134" s="7"/>
      <c r="D134" s="7"/>
      <c r="E134" s="7"/>
      <c r="F134" s="7"/>
      <c r="G134" s="7"/>
      <c r="H134" s="7"/>
      <c r="I134" s="7"/>
      <c r="J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</row>
    <row r="135" spans="1:75" x14ac:dyDescent="0.3">
      <c r="A135" s="88" t="s">
        <v>154</v>
      </c>
      <c r="B135" s="19" t="str">
        <f>B124</f>
        <v>وحدة سفلية  زاوية 90</v>
      </c>
      <c r="C135" s="24">
        <f>C133+1</f>
        <v>9</v>
      </c>
      <c r="D135" s="24" t="str">
        <f>D121</f>
        <v>ظهر</v>
      </c>
      <c r="E135" s="24" t="s">
        <v>70</v>
      </c>
      <c r="F135" s="24">
        <f>I120-1</f>
        <v>77</v>
      </c>
      <c r="G135" s="24">
        <f>H120-2</f>
        <v>-2</v>
      </c>
      <c r="H135" s="24">
        <f>2*C117</f>
        <v>2</v>
      </c>
      <c r="I135" s="24">
        <f>HLOOKUP(D135, materials[], 2,FALSE)</f>
        <v>2</v>
      </c>
      <c r="J135" s="24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</row>
    <row r="136" spans="1:75" x14ac:dyDescent="0.3">
      <c r="A136" s="88" t="s">
        <v>150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</row>
    <row r="137" spans="1:75" x14ac:dyDescent="0.3">
      <c r="A137" s="88" t="s">
        <v>150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</row>
    <row r="138" spans="1:75" ht="36" x14ac:dyDescent="0.3">
      <c r="A138" s="88" cm="1">
        <f t="array" ref="A138">lowerBlockTypes[وحدة سفلية  ركنة 45]</f>
        <v>7</v>
      </c>
      <c r="C138" s="16">
        <v>1</v>
      </c>
      <c r="D138" s="30" t="s">
        <v>71</v>
      </c>
      <c r="E138" s="110" t="str">
        <f>lowerBlockTypes[[#Headers],[وحدة سفلية  ركنة 45]]</f>
        <v>وحدة سفلية  ركنة 45</v>
      </c>
      <c r="F138" s="111"/>
      <c r="G138" s="111"/>
      <c r="H138" s="112"/>
      <c r="I138" s="2" t="s">
        <v>42</v>
      </c>
      <c r="J138" s="2">
        <f>A138</f>
        <v>7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</row>
    <row r="139" spans="1:75" x14ac:dyDescent="0.3">
      <c r="A139" s="88" t="s">
        <v>151</v>
      </c>
      <c r="C139" s="9"/>
      <c r="D139" s="9" t="s">
        <v>19</v>
      </c>
      <c r="E139" s="9" t="s">
        <v>17</v>
      </c>
      <c r="F139" s="105"/>
      <c r="G139" s="9"/>
      <c r="H139" s="9" t="s">
        <v>34</v>
      </c>
      <c r="I139" s="9" t="s">
        <v>3</v>
      </c>
      <c r="J139" s="9" t="s">
        <v>128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</row>
    <row r="140" spans="1:75" x14ac:dyDescent="0.3">
      <c r="A140" s="88" t="s">
        <v>151</v>
      </c>
      <c r="C140" s="10"/>
      <c r="D140" s="10">
        <v>1</v>
      </c>
      <c r="E140" s="43">
        <f>INDEX(lowerCommon[[#All],[Column1]],MATCH(E139,lowerCommon[[#All],[Column2]],0))</f>
        <v>3.5</v>
      </c>
      <c r="F140" s="105"/>
      <c r="G140" s="9"/>
      <c r="H140" s="10"/>
      <c r="I140" s="43">
        <f>INDEX(lowerCommon[[#All],[Column1]],MATCH(I139,lowerCommon[[#All],[Column2]],0))</f>
        <v>78</v>
      </c>
      <c r="J140" s="43">
        <f>INDEX(lowerCommon[[#All],[Column1]],MATCH(J139,lowerCommon[[#All],[Column2]],0))</f>
        <v>56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</row>
    <row r="141" spans="1:75" x14ac:dyDescent="0.3">
      <c r="A141" s="88" t="s">
        <v>151</v>
      </c>
      <c r="C141" s="44"/>
      <c r="D141" s="14"/>
      <c r="E141" s="14"/>
      <c r="F141" s="15"/>
      <c r="G141" s="9"/>
      <c r="H141" s="10"/>
      <c r="I141" s="43">
        <f>INDEX(lowerCommon[[#All],[Column1]],MATCH(I139,lowerCommon[[#All],[Column2]],0))</f>
        <v>78</v>
      </c>
      <c r="J141" s="43">
        <f>INDEX(lowerCommon[[#All],[Column1]],MATCH(J139,lowerCommon[[#All],[Column2]],0))</f>
        <v>56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</row>
    <row r="142" spans="1:75" ht="31.2" x14ac:dyDescent="0.3">
      <c r="A142" s="88" t="s">
        <v>151</v>
      </c>
      <c r="C142" s="10"/>
      <c r="D142" s="43" t="str">
        <f>INDEX(choosenMaterials[[#All],[Column1]],MATCH(E142,choosenMaterials[[#All],[Column2]],0))</f>
        <v>ظهر</v>
      </c>
      <c r="E142" s="9" t="s">
        <v>70</v>
      </c>
      <c r="F142" s="43" t="str">
        <f>INDEX(choosenMaterials[[#All],[Column1]],MATCH(G142,choosenMaterials[[#All],[Column2]],0))</f>
        <v>يوفيلاك</v>
      </c>
      <c r="G142" s="9" t="s">
        <v>44</v>
      </c>
      <c r="H142" s="43" t="str">
        <f>INDEX(choosenMaterials[[#All],[Column1]],MATCH(I142,choosenMaterials[[#All],[Column2]],0))</f>
        <v>HPL</v>
      </c>
      <c r="I142" s="9" t="s">
        <v>43</v>
      </c>
      <c r="J142" s="34" t="s">
        <v>126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</row>
    <row r="143" spans="1:75" x14ac:dyDescent="0.3">
      <c r="A143" s="88" t="s">
        <v>155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</row>
    <row r="144" spans="1:75" x14ac:dyDescent="0.3">
      <c r="A144" s="88" t="s">
        <v>152</v>
      </c>
      <c r="C144" s="7" t="s">
        <v>4</v>
      </c>
      <c r="D144" s="7" t="s">
        <v>9</v>
      </c>
      <c r="E144" s="7" t="s">
        <v>5</v>
      </c>
      <c r="F144" s="7" t="s">
        <v>7</v>
      </c>
      <c r="G144" s="7" t="s">
        <v>1</v>
      </c>
      <c r="H144" s="7" t="s">
        <v>6</v>
      </c>
      <c r="I144" s="7" t="s">
        <v>45</v>
      </c>
      <c r="J144" s="7" t="s">
        <v>8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</row>
    <row r="145" spans="1:79" x14ac:dyDescent="0.3">
      <c r="A145" s="88" t="s">
        <v>155</v>
      </c>
      <c r="C145" s="7"/>
      <c r="D145" s="7"/>
      <c r="E145" s="7"/>
      <c r="F145" s="7"/>
      <c r="G145" s="7"/>
      <c r="H145" s="7"/>
      <c r="I145" s="7"/>
      <c r="J145" s="7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</row>
    <row r="146" spans="1:79" x14ac:dyDescent="0.3">
      <c r="A146" s="88" t="s">
        <v>156</v>
      </c>
      <c r="B146" s="19" t="str">
        <f>E138</f>
        <v>وحدة سفلية  ركنة 45</v>
      </c>
      <c r="C146" s="7">
        <v>1</v>
      </c>
      <c r="D146" s="7" t="str">
        <f>H142</f>
        <v>HPL</v>
      </c>
      <c r="E146" s="7" t="s">
        <v>10</v>
      </c>
      <c r="F146" s="7">
        <f>H140-1.8</f>
        <v>-1.8</v>
      </c>
      <c r="G146" s="7">
        <f>H141-1.8</f>
        <v>-1.8</v>
      </c>
      <c r="H146" s="7">
        <f>1*C138</f>
        <v>1</v>
      </c>
      <c r="I146" s="7">
        <f>HLOOKUP(D146, materials[], 2,FALSE)</f>
        <v>2</v>
      </c>
      <c r="J146" s="7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</row>
    <row r="147" spans="1:79" x14ac:dyDescent="0.3">
      <c r="A147" s="88" t="s">
        <v>156</v>
      </c>
      <c r="B147" s="19" t="str">
        <f>B146</f>
        <v>وحدة سفلية  ركنة 45</v>
      </c>
      <c r="C147" s="7">
        <f>C146+1</f>
        <v>2</v>
      </c>
      <c r="D147" s="7" t="str">
        <f>H142</f>
        <v>HPL</v>
      </c>
      <c r="E147" s="7" t="s">
        <v>11</v>
      </c>
      <c r="F147" s="7">
        <f>I140</f>
        <v>78</v>
      </c>
      <c r="G147" s="7">
        <f>J140</f>
        <v>56</v>
      </c>
      <c r="H147" s="7">
        <f>2*C138</f>
        <v>2</v>
      </c>
      <c r="I147" s="7">
        <f>HLOOKUP(D147, materials[], 2,FALSE)</f>
        <v>2</v>
      </c>
      <c r="J147" s="7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</row>
    <row r="148" spans="1:79" x14ac:dyDescent="0.3">
      <c r="A148" s="88" t="s">
        <v>156</v>
      </c>
      <c r="B148" s="19" t="str">
        <f>B146</f>
        <v>وحدة سفلية  ركنة 45</v>
      </c>
      <c r="C148" s="7">
        <f t="shared" ref="C148:C151" si="8">C147+1</f>
        <v>3</v>
      </c>
      <c r="D148" s="7" t="str">
        <f>H142</f>
        <v>HPL</v>
      </c>
      <c r="E148" s="7" t="s">
        <v>13</v>
      </c>
      <c r="F148" s="7">
        <f>H140-1.8</f>
        <v>-1.8</v>
      </c>
      <c r="G148" s="7">
        <v>10</v>
      </c>
      <c r="H148" s="7">
        <f>3*C138</f>
        <v>3</v>
      </c>
      <c r="I148" s="7">
        <f>HLOOKUP(D148, materials[], 2,FALSE)</f>
        <v>2</v>
      </c>
      <c r="J148" s="7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88" t="s">
        <v>156</v>
      </c>
      <c r="B149" s="19" t="str">
        <f>B146</f>
        <v>وحدة سفلية  ركنة 45</v>
      </c>
      <c r="C149" s="7">
        <f t="shared" si="8"/>
        <v>4</v>
      </c>
      <c r="D149" s="7" t="str">
        <f>H142</f>
        <v>HPL</v>
      </c>
      <c r="E149" s="7" t="s">
        <v>14</v>
      </c>
      <c r="F149" s="7">
        <f>H140-1.8</f>
        <v>-1.8</v>
      </c>
      <c r="G149" s="7">
        <v>7</v>
      </c>
      <c r="H149" s="7">
        <f>2*C138</f>
        <v>2</v>
      </c>
      <c r="I149" s="7">
        <f>HLOOKUP(D149, materials[], 2,FALSE)</f>
        <v>2</v>
      </c>
      <c r="J149" s="7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88" t="s">
        <v>156</v>
      </c>
      <c r="B150" s="19" t="str">
        <f>B146</f>
        <v>وحدة سفلية  ركنة 45</v>
      </c>
      <c r="C150" s="7">
        <f t="shared" si="8"/>
        <v>5</v>
      </c>
      <c r="D150" s="7" t="str">
        <f>H142</f>
        <v>HPL</v>
      </c>
      <c r="E150" s="7" t="s">
        <v>39</v>
      </c>
      <c r="F150" s="7">
        <v>70</v>
      </c>
      <c r="G150" s="7">
        <v>10</v>
      </c>
      <c r="H150" s="7">
        <f>1*C138</f>
        <v>1</v>
      </c>
      <c r="I150" s="7">
        <f>HLOOKUP(D150, materials[], 2,FALSE)</f>
        <v>2</v>
      </c>
      <c r="J150" s="7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88" t="s">
        <v>156</v>
      </c>
      <c r="B151" s="19" t="str">
        <f>B146</f>
        <v>وحدة سفلية  ركنة 45</v>
      </c>
      <c r="C151" s="7">
        <f t="shared" si="8"/>
        <v>6</v>
      </c>
      <c r="D151" s="7" t="str">
        <f>H142</f>
        <v>HPL</v>
      </c>
      <c r="E151" s="7" t="s">
        <v>18</v>
      </c>
      <c r="F151" s="7">
        <f>H140-3.8</f>
        <v>-3.8</v>
      </c>
      <c r="G151" s="7">
        <f>H141-3.8</f>
        <v>-3.8</v>
      </c>
      <c r="H151" s="7">
        <f>D140*C138</f>
        <v>1</v>
      </c>
      <c r="I151" s="7">
        <f>HLOOKUP(D151, materials[], 2,FALSE)</f>
        <v>2</v>
      </c>
      <c r="J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88" t="s">
        <v>155</v>
      </c>
      <c r="C152" s="7"/>
      <c r="D152" s="7"/>
      <c r="E152" s="7"/>
      <c r="F152" s="7"/>
      <c r="G152" s="7"/>
      <c r="H152" s="7"/>
      <c r="I152" s="7"/>
      <c r="J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88" t="s">
        <v>153</v>
      </c>
      <c r="B153" s="19" t="str">
        <f>B146</f>
        <v>وحدة سفلية  ركنة 45</v>
      </c>
      <c r="C153" s="11">
        <f>C151+1</f>
        <v>7</v>
      </c>
      <c r="D153" s="11" t="str">
        <f>F142</f>
        <v>يوفيلاك</v>
      </c>
      <c r="E153" s="11" t="s">
        <v>40</v>
      </c>
      <c r="F153" s="11">
        <f>I140-0.5-E140</f>
        <v>74</v>
      </c>
      <c r="G153" s="22">
        <f>(SQRT((H140-J140)^2+(H141-J141)^2))-2</f>
        <v>77.195959492893323</v>
      </c>
      <c r="H153" s="11">
        <f>1*C138</f>
        <v>1</v>
      </c>
      <c r="I153" s="11">
        <f>HLOOKUP(D153, materials[], 2,FALSE)</f>
        <v>6</v>
      </c>
      <c r="J153" s="1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x14ac:dyDescent="0.3">
      <c r="A154" s="88" t="s">
        <v>155</v>
      </c>
      <c r="C154" s="7"/>
      <c r="D154" s="7"/>
      <c r="E154" s="7"/>
      <c r="F154" s="7"/>
      <c r="G154" s="7"/>
      <c r="H154" s="7"/>
      <c r="I154" s="7"/>
      <c r="J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x14ac:dyDescent="0.3">
      <c r="A155" s="88" t="s">
        <v>154</v>
      </c>
      <c r="B155" s="19" t="str">
        <f>B146</f>
        <v>وحدة سفلية  ركنة 45</v>
      </c>
      <c r="C155" s="24">
        <f>C153+1</f>
        <v>8</v>
      </c>
      <c r="D155" s="24" t="str">
        <f>D142</f>
        <v>ظهر</v>
      </c>
      <c r="E155" s="24" t="s">
        <v>70</v>
      </c>
      <c r="F155" s="24">
        <f>I140-1</f>
        <v>77</v>
      </c>
      <c r="G155" s="24">
        <f>H140-2</f>
        <v>-2</v>
      </c>
      <c r="H155" s="24">
        <f>1*C138</f>
        <v>1</v>
      </c>
      <c r="I155" s="24">
        <f>HLOOKUP(D155, materials[], 2,FALSE)</f>
        <v>2</v>
      </c>
      <c r="J155" s="24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x14ac:dyDescent="0.3">
      <c r="A156" s="88" t="s">
        <v>150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88" t="s">
        <v>150</v>
      </c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</row>
    <row r="158" spans="1:79" ht="36" x14ac:dyDescent="0.3">
      <c r="A158" s="88" cm="1">
        <f t="array" ref="A158">lowerBlockTypes[[وحدة سفلية  فرن ]]</f>
        <v>8</v>
      </c>
      <c r="B158" s="3"/>
      <c r="C158" s="16">
        <v>1</v>
      </c>
      <c r="D158" s="30" t="s">
        <v>71</v>
      </c>
      <c r="E158" s="110" t="str">
        <f>lowerBlockTypes[[#Headers],[وحدة سفلية  فرن ]]</f>
        <v xml:space="preserve">وحدة سفلية  فرن </v>
      </c>
      <c r="F158" s="111"/>
      <c r="G158" s="111"/>
      <c r="H158" s="112"/>
      <c r="I158" s="2" t="s">
        <v>42</v>
      </c>
      <c r="J158" s="2">
        <f>A158</f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</row>
    <row r="159" spans="1:79" ht="31.2" x14ac:dyDescent="0.3">
      <c r="A159" s="88" t="s">
        <v>151</v>
      </c>
      <c r="B159" s="29"/>
      <c r="C159" s="9" t="s">
        <v>12</v>
      </c>
      <c r="D159" s="9" t="s">
        <v>19</v>
      </c>
      <c r="E159" s="9" t="s">
        <v>17</v>
      </c>
      <c r="F159" s="105"/>
      <c r="G159" s="105"/>
      <c r="H159" s="9" t="s">
        <v>34</v>
      </c>
      <c r="I159" s="9" t="s">
        <v>3</v>
      </c>
      <c r="J159" s="9" t="s">
        <v>128</v>
      </c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</row>
    <row r="160" spans="1:79" x14ac:dyDescent="0.3">
      <c r="A160" s="88" t="s">
        <v>151</v>
      </c>
      <c r="B160" s="29"/>
      <c r="C160" s="10"/>
      <c r="D160" s="10">
        <v>0</v>
      </c>
      <c r="E160" s="43">
        <f>INDEX(lowerCommon[[#All],[Column1]],MATCH(E159,lowerCommon[[#All],[Column2]],0))</f>
        <v>3.5</v>
      </c>
      <c r="F160" s="105"/>
      <c r="G160" s="105"/>
      <c r="H160" s="10"/>
      <c r="I160" s="43">
        <f>INDEX(lowerCommon[[#All],[Column1]],MATCH(I159,lowerCommon[[#All],[Column2]],0))</f>
        <v>78</v>
      </c>
      <c r="J160" s="43">
        <f>INDEX(lowerCommon[[#All],[Column1]],MATCH(J159,lowerCommon[[#All],[Column2]],0))</f>
        <v>56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</row>
    <row r="161" spans="1:79" ht="31.2" x14ac:dyDescent="0.3">
      <c r="A161" s="88" t="s">
        <v>151</v>
      </c>
      <c r="B161" s="29"/>
      <c r="C161" s="10"/>
      <c r="D161" s="43" t="str">
        <f>INDEX(choosenMaterials[[#All],[Column1]],MATCH(E161,choosenMaterials[[#All],[Column2]],0))</f>
        <v>ظهر</v>
      </c>
      <c r="E161" s="9" t="s">
        <v>70</v>
      </c>
      <c r="F161" s="43" t="str">
        <f>INDEX(choosenMaterials[[#All],[Column1]],MATCH(G161,choosenMaterials[[#All],[Column2]],0))</f>
        <v>يوفيلاك</v>
      </c>
      <c r="G161" s="9" t="s">
        <v>44</v>
      </c>
      <c r="H161" s="43" t="str">
        <f>INDEX(choosenMaterials[[#All],[Column1]],MATCH(I161,choosenMaterials[[#All],[Column2]],0))</f>
        <v>HPL</v>
      </c>
      <c r="I161" s="9" t="s">
        <v>43</v>
      </c>
      <c r="J161" s="34" t="s">
        <v>126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</row>
    <row r="162" spans="1:79" ht="14.4" x14ac:dyDescent="0.3">
      <c r="A162" s="88" t="s">
        <v>155</v>
      </c>
      <c r="B162" s="29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</row>
    <row r="163" spans="1:79" ht="14.4" x14ac:dyDescent="0.3">
      <c r="A163" s="88" t="s">
        <v>152</v>
      </c>
      <c r="B163" s="29"/>
      <c r="C163" s="7" t="s">
        <v>4</v>
      </c>
      <c r="D163" s="7" t="s">
        <v>9</v>
      </c>
      <c r="E163" s="7" t="s">
        <v>5</v>
      </c>
      <c r="F163" s="7" t="s">
        <v>7</v>
      </c>
      <c r="G163" s="7" t="s">
        <v>1</v>
      </c>
      <c r="H163" s="7" t="s">
        <v>6</v>
      </c>
      <c r="I163" s="7" t="s">
        <v>45</v>
      </c>
      <c r="J163" s="7" t="s">
        <v>8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</row>
    <row r="164" spans="1:79" ht="14.4" x14ac:dyDescent="0.3">
      <c r="A164" s="88" t="s">
        <v>155</v>
      </c>
      <c r="B164" s="29"/>
      <c r="C164" s="7"/>
      <c r="D164" s="7"/>
      <c r="E164" s="7"/>
      <c r="F164" s="7"/>
      <c r="G164" s="7"/>
      <c r="H164" s="7"/>
      <c r="I164" s="7"/>
      <c r="J164" s="7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</row>
    <row r="165" spans="1:79" x14ac:dyDescent="0.3">
      <c r="A165" s="88" t="s">
        <v>156</v>
      </c>
      <c r="B165" s="19" t="str">
        <f>E158</f>
        <v xml:space="preserve">وحدة سفلية  فرن </v>
      </c>
      <c r="C165" s="7">
        <v>1</v>
      </c>
      <c r="D165" s="7" t="str">
        <f>H161</f>
        <v>HPL</v>
      </c>
      <c r="E165" s="7" t="s">
        <v>10</v>
      </c>
      <c r="F165" s="7">
        <f>H160-3.6</f>
        <v>-3.6</v>
      </c>
      <c r="G165" s="7">
        <f>J160</f>
        <v>56</v>
      </c>
      <c r="H165" s="7">
        <f>1*C158</f>
        <v>1</v>
      </c>
      <c r="I165" s="7">
        <f>HLOOKUP(D165, materials[], 2,FALSE)</f>
        <v>2</v>
      </c>
      <c r="J165" s="7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</row>
    <row r="166" spans="1:79" x14ac:dyDescent="0.3">
      <c r="A166" s="88" t="s">
        <v>156</v>
      </c>
      <c r="B166" s="19" t="str">
        <f>B165</f>
        <v xml:space="preserve">وحدة سفلية  فرن </v>
      </c>
      <c r="C166" s="7">
        <f>C165+1</f>
        <v>2</v>
      </c>
      <c r="D166" s="7" t="str">
        <f>H161</f>
        <v>HPL</v>
      </c>
      <c r="E166" s="7" t="s">
        <v>11</v>
      </c>
      <c r="F166" s="7">
        <f>I160</f>
        <v>78</v>
      </c>
      <c r="G166" s="7">
        <f>J160</f>
        <v>56</v>
      </c>
      <c r="H166" s="7">
        <f>2*C158</f>
        <v>2</v>
      </c>
      <c r="I166" s="7">
        <f>HLOOKUP(D166, materials[], 2,FALSE)</f>
        <v>2</v>
      </c>
      <c r="J166" s="7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</row>
    <row r="167" spans="1:79" x14ac:dyDescent="0.3">
      <c r="A167" s="88" t="s">
        <v>156</v>
      </c>
      <c r="B167" s="19" t="str">
        <f>B165</f>
        <v xml:space="preserve">وحدة سفلية  فرن </v>
      </c>
      <c r="C167" s="7">
        <f t="shared" ref="C167:C169" si="9">C166+1</f>
        <v>3</v>
      </c>
      <c r="D167" s="7" t="str">
        <f>H161</f>
        <v>HPL</v>
      </c>
      <c r="E167" s="7" t="s">
        <v>13</v>
      </c>
      <c r="F167" s="7">
        <f>H160-3.6</f>
        <v>-3.6</v>
      </c>
      <c r="G167" s="7">
        <v>10</v>
      </c>
      <c r="H167" s="7">
        <f>1*C158</f>
        <v>1</v>
      </c>
      <c r="I167" s="7">
        <f>HLOOKUP(D167, materials[], 2,FALSE)</f>
        <v>2</v>
      </c>
      <c r="J167" s="7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</row>
    <row r="168" spans="1:79" x14ac:dyDescent="0.3">
      <c r="A168" s="88" t="s">
        <v>156</v>
      </c>
      <c r="B168" s="19" t="str">
        <f>B165</f>
        <v xml:space="preserve">وحدة سفلية  فرن </v>
      </c>
      <c r="C168" s="7">
        <f t="shared" si="9"/>
        <v>4</v>
      </c>
      <c r="D168" s="7" t="str">
        <f>H161</f>
        <v>HPL</v>
      </c>
      <c r="E168" s="7" t="s">
        <v>14</v>
      </c>
      <c r="F168" s="7">
        <f>H160-3.6</f>
        <v>-3.6</v>
      </c>
      <c r="G168" s="7">
        <v>7</v>
      </c>
      <c r="H168" s="7">
        <f>1*C158</f>
        <v>1</v>
      </c>
      <c r="I168" s="7">
        <f>HLOOKUP(D168, materials[], 2,FALSE)</f>
        <v>2</v>
      </c>
      <c r="J168" s="7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</row>
    <row r="169" spans="1:79" x14ac:dyDescent="0.3">
      <c r="A169" s="88" t="s">
        <v>156</v>
      </c>
      <c r="B169" s="19" t="str">
        <f>B165</f>
        <v xml:space="preserve">وحدة سفلية  فرن </v>
      </c>
      <c r="C169" s="7">
        <f t="shared" si="9"/>
        <v>5</v>
      </c>
      <c r="D169" s="7" t="str">
        <f>H161</f>
        <v>HPL</v>
      </c>
      <c r="E169" s="7" t="s">
        <v>18</v>
      </c>
      <c r="F169" s="7">
        <f>H160-3.8</f>
        <v>-3.8</v>
      </c>
      <c r="G169" s="7">
        <f>J160-6</f>
        <v>50</v>
      </c>
      <c r="H169" s="7">
        <f>D160*C158</f>
        <v>0</v>
      </c>
      <c r="I169" s="7">
        <f>HLOOKUP(D169, materials[], 2,FALSE)</f>
        <v>2</v>
      </c>
      <c r="J169" s="7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</row>
    <row r="170" spans="1:79" x14ac:dyDescent="0.3">
      <c r="A170" s="88" t="s">
        <v>155</v>
      </c>
      <c r="C170" s="7"/>
      <c r="D170" s="7"/>
      <c r="E170" s="7"/>
      <c r="F170" s="7"/>
      <c r="G170" s="7"/>
      <c r="H170" s="7"/>
      <c r="I170" s="7"/>
      <c r="J170" s="7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</row>
    <row r="171" spans="1:79" x14ac:dyDescent="0.3">
      <c r="A171" s="88" t="s">
        <v>153</v>
      </c>
      <c r="B171" s="19" t="str">
        <f>B165</f>
        <v xml:space="preserve">وحدة سفلية  فرن </v>
      </c>
      <c r="C171" s="11">
        <f>C169+1</f>
        <v>6</v>
      </c>
      <c r="D171" s="11" t="str">
        <f>F161</f>
        <v>يوفيلاك</v>
      </c>
      <c r="E171" s="11" t="s">
        <v>15</v>
      </c>
      <c r="F171" s="11" t="str">
        <f>IF(H171=0,"",(I160-0.5-E160))</f>
        <v/>
      </c>
      <c r="G171" s="11" t="str">
        <f>IF(H171=0, "",(H160/C160)-0.5)</f>
        <v/>
      </c>
      <c r="H171" s="11">
        <f>C160*C158</f>
        <v>0</v>
      </c>
      <c r="I171" s="11">
        <f>HLOOKUP(D171, materials[], 2,FALSE)</f>
        <v>6</v>
      </c>
      <c r="J171" s="1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</row>
    <row r="172" spans="1:79" x14ac:dyDescent="0.3">
      <c r="A172" s="88" t="s">
        <v>153</v>
      </c>
      <c r="B172" s="19" t="str">
        <f>B165</f>
        <v xml:space="preserve">وحدة سفلية  فرن </v>
      </c>
      <c r="C172" s="11">
        <f>C171</f>
        <v>6</v>
      </c>
      <c r="D172" s="11" t="str">
        <f>F161</f>
        <v>يوفيلاك</v>
      </c>
      <c r="E172" s="11" t="s">
        <v>110</v>
      </c>
      <c r="F172" s="32">
        <f>H160-0.5</f>
        <v>-0.5</v>
      </c>
      <c r="G172" s="32">
        <f>I160-59</f>
        <v>19</v>
      </c>
      <c r="H172" s="32">
        <f>1*C158</f>
        <v>1</v>
      </c>
      <c r="I172" s="11">
        <f>HLOOKUP(D172, materials[], 2,FALSE)</f>
        <v>6</v>
      </c>
      <c r="J172" s="1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</row>
    <row r="173" spans="1:79" x14ac:dyDescent="0.3">
      <c r="A173" s="88" t="s">
        <v>155</v>
      </c>
      <c r="C173" s="7"/>
      <c r="D173" s="7"/>
      <c r="E173" s="7"/>
      <c r="F173" s="7"/>
      <c r="G173" s="7"/>
      <c r="H173" s="7"/>
      <c r="I173" s="7"/>
      <c r="J173" s="7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</row>
    <row r="174" spans="1:79" x14ac:dyDescent="0.3">
      <c r="A174" s="88" t="s">
        <v>154</v>
      </c>
      <c r="B174" s="19" t="str">
        <f>B165</f>
        <v xml:space="preserve">وحدة سفلية  فرن </v>
      </c>
      <c r="C174" s="24">
        <f>C171+1</f>
        <v>7</v>
      </c>
      <c r="D174" s="24" t="str">
        <f>D161</f>
        <v>ظهر</v>
      </c>
      <c r="E174" s="24" t="s">
        <v>70</v>
      </c>
      <c r="F174" s="24">
        <f>I160-2</f>
        <v>76</v>
      </c>
      <c r="G174" s="24">
        <f>H160-2</f>
        <v>-2</v>
      </c>
      <c r="H174" s="24">
        <f>1*C158</f>
        <v>1</v>
      </c>
      <c r="I174" s="24">
        <f>HLOOKUP(D174, materials[], 2,FALSE)</f>
        <v>2</v>
      </c>
      <c r="J174" s="24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</row>
    <row r="175" spans="1:79" x14ac:dyDescent="0.3">
      <c r="A175" s="88" t="s">
        <v>150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</row>
    <row r="176" spans="1:79" x14ac:dyDescent="0.3">
      <c r="A176" s="88" t="s">
        <v>150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</row>
    <row r="177" spans="1:79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</row>
    <row r="178" spans="1:79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</row>
    <row r="179" spans="1:79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</row>
    <row r="180" spans="1:79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</row>
    <row r="181" spans="1:79" ht="21" x14ac:dyDescent="0.3">
      <c r="C181" s="109" t="s">
        <v>43</v>
      </c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6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</row>
    <row r="182" spans="1:79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</row>
    <row r="183" spans="1:79" s="5" customFormat="1" ht="36" x14ac:dyDescent="0.3">
      <c r="A183" s="90" t="s">
        <v>123</v>
      </c>
      <c r="B183" s="19" t="s">
        <v>124</v>
      </c>
      <c r="C183" s="2" t="s">
        <v>4</v>
      </c>
      <c r="D183" s="2" t="s">
        <v>9</v>
      </c>
      <c r="E183" s="2" t="s">
        <v>5</v>
      </c>
      <c r="F183" s="17" t="s">
        <v>7</v>
      </c>
      <c r="G183" s="17" t="s">
        <v>1</v>
      </c>
      <c r="H183" s="17" t="s">
        <v>6</v>
      </c>
      <c r="I183" s="17" t="s">
        <v>45</v>
      </c>
      <c r="J183" s="17" t="s">
        <v>8</v>
      </c>
      <c r="K183" s="2" t="s">
        <v>34</v>
      </c>
      <c r="L183" s="2" t="s">
        <v>3</v>
      </c>
      <c r="M183" s="2" t="s">
        <v>2</v>
      </c>
      <c r="N183" s="2" t="s">
        <v>42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</row>
    <row r="184" spans="1:79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</row>
    <row r="185" spans="1:79" ht="15.6" customHeight="1" x14ac:dyDescent="0.3">
      <c r="A185" s="88">
        <v>1</v>
      </c>
      <c r="B185" s="19" t="str">
        <f t="shared" ref="B185:E189" si="10">B20</f>
        <v xml:space="preserve">وحدة سفلية دلفة /دلفتين </v>
      </c>
      <c r="C185" s="10">
        <f t="shared" si="10"/>
        <v>1</v>
      </c>
      <c r="D185" s="10" t="str">
        <f t="shared" si="10"/>
        <v>HPL</v>
      </c>
      <c r="E185" s="10" t="str">
        <f t="shared" si="10"/>
        <v>قاعدة</v>
      </c>
      <c r="F185" s="7" t="str">
        <f>IF(K185=0, "",F20)</f>
        <v/>
      </c>
      <c r="G185" s="7" t="str">
        <f>IF(K185=0, "",G20)</f>
        <v/>
      </c>
      <c r="H185" s="7" t="str">
        <f>IF(K185=0, "",H20)</f>
        <v/>
      </c>
      <c r="I185" s="7" t="str">
        <f>IF(K185=0, "",I20)</f>
        <v/>
      </c>
      <c r="J185" s="7" t="str">
        <f>IF(K185=0, "",J20)</f>
        <v/>
      </c>
      <c r="K185" s="10">
        <f>H15</f>
        <v>0</v>
      </c>
      <c r="L185" s="10">
        <f>I15</f>
        <v>78</v>
      </c>
      <c r="M185" s="10">
        <f>J15</f>
        <v>56</v>
      </c>
      <c r="N185" s="9">
        <f>J13</f>
        <v>1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</row>
    <row r="186" spans="1:79" x14ac:dyDescent="0.3">
      <c r="A186" s="88">
        <f>A185+1</f>
        <v>2</v>
      </c>
      <c r="B186" s="19" t="str">
        <f t="shared" si="10"/>
        <v xml:space="preserve">وحدة سفلية دلفة /دلفتين </v>
      </c>
      <c r="C186" s="10">
        <f t="shared" si="10"/>
        <v>2</v>
      </c>
      <c r="D186" s="10" t="str">
        <f t="shared" si="10"/>
        <v>HPL</v>
      </c>
      <c r="E186" s="10" t="str">
        <f t="shared" si="10"/>
        <v>أجناب</v>
      </c>
      <c r="F186" s="7" t="str">
        <f>IF(K186=0, "",F21)</f>
        <v/>
      </c>
      <c r="G186" s="7" t="str">
        <f>IF(K186=0, "",G21)</f>
        <v/>
      </c>
      <c r="H186" s="7" t="str">
        <f>IF(K186=0, "",H21)</f>
        <v/>
      </c>
      <c r="I186" s="7" t="str">
        <f>IF(K186=0, "",I21)</f>
        <v/>
      </c>
      <c r="J186" s="7" t="str">
        <f>IF(K186=0, "",J21)</f>
        <v/>
      </c>
      <c r="K186" s="10">
        <f t="shared" ref="K186:M186" si="11">K185</f>
        <v>0</v>
      </c>
      <c r="L186" s="10">
        <f t="shared" si="11"/>
        <v>78</v>
      </c>
      <c r="M186" s="10">
        <f t="shared" si="11"/>
        <v>56</v>
      </c>
      <c r="N186" s="9">
        <f>N185</f>
        <v>1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</row>
    <row r="187" spans="1:79" x14ac:dyDescent="0.3">
      <c r="A187" s="88">
        <f t="shared" ref="A187:A189" si="12">A186+1</f>
        <v>3</v>
      </c>
      <c r="B187" s="19" t="str">
        <f t="shared" si="10"/>
        <v xml:space="preserve">وحدة سفلية دلفة /دلفتين </v>
      </c>
      <c r="C187" s="10">
        <f t="shared" si="10"/>
        <v>3</v>
      </c>
      <c r="D187" s="10" t="str">
        <f t="shared" si="10"/>
        <v>HPL</v>
      </c>
      <c r="E187" s="10" t="str">
        <f t="shared" si="10"/>
        <v>مرايا علوية 1</v>
      </c>
      <c r="F187" s="7" t="str">
        <f>IF(K187=0, "",F22)</f>
        <v/>
      </c>
      <c r="G187" s="7" t="str">
        <f>IF(K187=0, "",G22)</f>
        <v/>
      </c>
      <c r="H187" s="7" t="str">
        <f>IF(K187=0, "",H22)</f>
        <v/>
      </c>
      <c r="I187" s="7" t="str">
        <f>IF(K187=0, "",I22)</f>
        <v/>
      </c>
      <c r="J187" s="7" t="str">
        <f>IF(K187=0, "",J22)</f>
        <v/>
      </c>
      <c r="K187" s="10">
        <f t="shared" ref="K187:M187" si="13">K185</f>
        <v>0</v>
      </c>
      <c r="L187" s="10">
        <f t="shared" si="13"/>
        <v>78</v>
      </c>
      <c r="M187" s="10">
        <f t="shared" si="13"/>
        <v>56</v>
      </c>
      <c r="N187" s="9">
        <f>N185</f>
        <v>1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</row>
    <row r="188" spans="1:79" x14ac:dyDescent="0.3">
      <c r="A188" s="88">
        <f t="shared" si="12"/>
        <v>4</v>
      </c>
      <c r="B188" s="19" t="str">
        <f t="shared" si="10"/>
        <v xml:space="preserve">وحدة سفلية دلفة /دلفتين </v>
      </c>
      <c r="C188" s="10">
        <f t="shared" si="10"/>
        <v>4</v>
      </c>
      <c r="D188" s="10" t="str">
        <f t="shared" si="10"/>
        <v>HPL</v>
      </c>
      <c r="E188" s="10" t="str">
        <f t="shared" si="10"/>
        <v>مرايا علوية 2</v>
      </c>
      <c r="F188" s="7" t="str">
        <f>IF(K188=0, "",F23)</f>
        <v/>
      </c>
      <c r="G188" s="7" t="str">
        <f>IF(K188=0, "",G23)</f>
        <v/>
      </c>
      <c r="H188" s="7" t="str">
        <f>IF(K188=0, "",H23)</f>
        <v/>
      </c>
      <c r="I188" s="7" t="str">
        <f>IF(K188=0, "",I23)</f>
        <v/>
      </c>
      <c r="J188" s="7" t="str">
        <f>IF(K188=0, "",J23)</f>
        <v/>
      </c>
      <c r="K188" s="10">
        <f t="shared" ref="K188:M188" si="14">K185</f>
        <v>0</v>
      </c>
      <c r="L188" s="10">
        <f t="shared" si="14"/>
        <v>78</v>
      </c>
      <c r="M188" s="10">
        <f t="shared" si="14"/>
        <v>56</v>
      </c>
      <c r="N188" s="9">
        <f>N185</f>
        <v>1</v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</row>
    <row r="189" spans="1:79" x14ac:dyDescent="0.3">
      <c r="A189" s="88">
        <f t="shared" si="12"/>
        <v>5</v>
      </c>
      <c r="B189" s="19" t="str">
        <f t="shared" si="10"/>
        <v xml:space="preserve">وحدة سفلية دلفة /دلفتين </v>
      </c>
      <c r="C189" s="10">
        <f t="shared" si="10"/>
        <v>5</v>
      </c>
      <c r="D189" s="10" t="str">
        <f t="shared" si="10"/>
        <v>HPL</v>
      </c>
      <c r="E189" s="10" t="str">
        <f t="shared" si="10"/>
        <v>رف</v>
      </c>
      <c r="F189" s="7" t="str">
        <f>IF(K189=0, "",F24)</f>
        <v/>
      </c>
      <c r="G189" s="7" t="str">
        <f>IF(K189=0, "",G24)</f>
        <v/>
      </c>
      <c r="H189" s="7" t="str">
        <f>IF(K189=0, "",H24)</f>
        <v/>
      </c>
      <c r="I189" s="7" t="str">
        <f>IF(K189=0, "",I24)</f>
        <v/>
      </c>
      <c r="J189" s="7" t="str">
        <f>IF(K189=0, "",J24)</f>
        <v/>
      </c>
      <c r="K189" s="10">
        <f t="shared" ref="K189:M189" si="15">K185</f>
        <v>0</v>
      </c>
      <c r="L189" s="10">
        <f t="shared" si="15"/>
        <v>78</v>
      </c>
      <c r="M189" s="10">
        <f t="shared" si="15"/>
        <v>56</v>
      </c>
      <c r="N189" s="9">
        <f>N185</f>
        <v>1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</row>
    <row r="190" spans="1:79" x14ac:dyDescent="0.3">
      <c r="N190" s="4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</row>
    <row r="191" spans="1:79" ht="15.6" customHeight="1" x14ac:dyDescent="0.3">
      <c r="A191" s="88">
        <f>A189+1</f>
        <v>6</v>
      </c>
      <c r="B191" s="19" t="str">
        <f t="shared" ref="B191:E197" si="16">B38</f>
        <v>وحدة سفلية   درجين / 3 أدراج</v>
      </c>
      <c r="C191" s="10">
        <f t="shared" si="16"/>
        <v>1</v>
      </c>
      <c r="D191" s="10" t="str">
        <f t="shared" si="16"/>
        <v>HPL</v>
      </c>
      <c r="E191" s="10" t="str">
        <f t="shared" si="16"/>
        <v>قاعدة</v>
      </c>
      <c r="F191" s="7" t="str">
        <f t="shared" ref="F191:F197" si="17">IF(K191=0, "",F38)</f>
        <v/>
      </c>
      <c r="G191" s="7" t="str">
        <f t="shared" ref="G191:G197" si="18">IF(K191=0, "",G38)</f>
        <v/>
      </c>
      <c r="H191" s="7" t="str">
        <f t="shared" ref="H191:H197" si="19">IF(K191=0, "",H38)</f>
        <v/>
      </c>
      <c r="I191" s="7" t="str">
        <f t="shared" ref="I191:I197" si="20">IF(K191=0, "",I38)</f>
        <v/>
      </c>
      <c r="J191" s="7" t="str">
        <f t="shared" ref="J191:J197" si="21">IF(K191=0, "",J38)</f>
        <v/>
      </c>
      <c r="K191" s="10">
        <f>H33</f>
        <v>0</v>
      </c>
      <c r="L191" s="10">
        <f>I33</f>
        <v>78</v>
      </c>
      <c r="M191" s="10">
        <f>J33</f>
        <v>56</v>
      </c>
      <c r="N191" s="9">
        <f>J31</f>
        <v>2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</row>
    <row r="192" spans="1:79" x14ac:dyDescent="0.3">
      <c r="A192" s="88">
        <f>A191+1</f>
        <v>7</v>
      </c>
      <c r="B192" s="19" t="str">
        <f t="shared" si="16"/>
        <v>وحدة سفلية   درجين / 3 أدراج</v>
      </c>
      <c r="C192" s="10">
        <f t="shared" si="16"/>
        <v>2</v>
      </c>
      <c r="D192" s="10" t="str">
        <f t="shared" si="16"/>
        <v>HPL</v>
      </c>
      <c r="E192" s="10" t="str">
        <f t="shared" si="16"/>
        <v>أجناب</v>
      </c>
      <c r="F192" s="7" t="str">
        <f t="shared" si="17"/>
        <v/>
      </c>
      <c r="G192" s="7" t="str">
        <f t="shared" si="18"/>
        <v/>
      </c>
      <c r="H192" s="7" t="str">
        <f t="shared" si="19"/>
        <v/>
      </c>
      <c r="I192" s="7" t="str">
        <f t="shared" si="20"/>
        <v/>
      </c>
      <c r="J192" s="7" t="str">
        <f t="shared" si="21"/>
        <v/>
      </c>
      <c r="K192" s="10">
        <f t="shared" ref="K192:M192" si="22">K191</f>
        <v>0</v>
      </c>
      <c r="L192" s="10">
        <f t="shared" si="22"/>
        <v>78</v>
      </c>
      <c r="M192" s="10">
        <f t="shared" si="22"/>
        <v>56</v>
      </c>
      <c r="N192" s="9">
        <f>N191</f>
        <v>2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</row>
    <row r="193" spans="1:79" x14ac:dyDescent="0.3">
      <c r="A193" s="88">
        <f t="shared" ref="A193:A197" si="23">A192+1</f>
        <v>8</v>
      </c>
      <c r="B193" s="19" t="str">
        <f t="shared" si="16"/>
        <v>وحدة سفلية   درجين / 3 أدراج</v>
      </c>
      <c r="C193" s="10">
        <f t="shared" si="16"/>
        <v>3</v>
      </c>
      <c r="D193" s="10" t="str">
        <f t="shared" si="16"/>
        <v>HPL</v>
      </c>
      <c r="E193" s="10" t="str">
        <f t="shared" si="16"/>
        <v>مرايا علوية 1</v>
      </c>
      <c r="F193" s="7" t="str">
        <f t="shared" si="17"/>
        <v/>
      </c>
      <c r="G193" s="7" t="str">
        <f t="shared" si="18"/>
        <v/>
      </c>
      <c r="H193" s="7" t="str">
        <f t="shared" si="19"/>
        <v/>
      </c>
      <c r="I193" s="7" t="str">
        <f t="shared" si="20"/>
        <v/>
      </c>
      <c r="J193" s="7" t="str">
        <f t="shared" si="21"/>
        <v/>
      </c>
      <c r="K193" s="10">
        <f t="shared" ref="K193:M193" si="24">K191</f>
        <v>0</v>
      </c>
      <c r="L193" s="10">
        <f t="shared" si="24"/>
        <v>78</v>
      </c>
      <c r="M193" s="10">
        <f t="shared" si="24"/>
        <v>56</v>
      </c>
      <c r="N193" s="9">
        <f>N191</f>
        <v>2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</row>
    <row r="194" spans="1:79" x14ac:dyDescent="0.3">
      <c r="A194" s="88">
        <f t="shared" si="23"/>
        <v>9</v>
      </c>
      <c r="B194" s="19" t="str">
        <f t="shared" si="16"/>
        <v>وحدة سفلية   درجين / 3 أدراج</v>
      </c>
      <c r="C194" s="10">
        <f t="shared" si="16"/>
        <v>4</v>
      </c>
      <c r="D194" s="10" t="str">
        <f t="shared" si="16"/>
        <v>HPL</v>
      </c>
      <c r="E194" s="10" t="str">
        <f t="shared" si="16"/>
        <v>مرايا علوية 2</v>
      </c>
      <c r="F194" s="7" t="str">
        <f t="shared" si="17"/>
        <v/>
      </c>
      <c r="G194" s="7" t="str">
        <f t="shared" si="18"/>
        <v/>
      </c>
      <c r="H194" s="7" t="str">
        <f t="shared" si="19"/>
        <v/>
      </c>
      <c r="I194" s="7" t="str">
        <f t="shared" si="20"/>
        <v/>
      </c>
      <c r="J194" s="7" t="str">
        <f t="shared" si="21"/>
        <v/>
      </c>
      <c r="K194" s="10">
        <f t="shared" ref="K194:L194" si="25">K191</f>
        <v>0</v>
      </c>
      <c r="L194" s="10">
        <f t="shared" si="25"/>
        <v>78</v>
      </c>
      <c r="M194" s="10">
        <f>M191</f>
        <v>56</v>
      </c>
      <c r="N194" s="9">
        <f>N191</f>
        <v>2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</row>
    <row r="195" spans="1:79" x14ac:dyDescent="0.3">
      <c r="A195" s="88">
        <f t="shared" si="23"/>
        <v>10</v>
      </c>
      <c r="B195" s="19" t="str">
        <f t="shared" si="16"/>
        <v>وحدة سفلية   درجين / 3 أدراج</v>
      </c>
      <c r="C195" s="10">
        <f t="shared" si="16"/>
        <v>5</v>
      </c>
      <c r="D195" s="10" t="str">
        <f t="shared" si="16"/>
        <v>HPL</v>
      </c>
      <c r="E195" s="10" t="str">
        <f t="shared" si="16"/>
        <v>وش درج داخلى</v>
      </c>
      <c r="F195" s="7" t="str">
        <f t="shared" si="17"/>
        <v/>
      </c>
      <c r="G195" s="7" t="str">
        <f t="shared" si="18"/>
        <v/>
      </c>
      <c r="H195" s="7" t="str">
        <f t="shared" si="19"/>
        <v/>
      </c>
      <c r="I195" s="7" t="str">
        <f t="shared" si="20"/>
        <v/>
      </c>
      <c r="J195" s="7" t="str">
        <f t="shared" si="21"/>
        <v/>
      </c>
      <c r="K195" s="10">
        <f t="shared" ref="K195:L195" si="26">K191</f>
        <v>0</v>
      </c>
      <c r="L195" s="10">
        <f t="shared" si="26"/>
        <v>78</v>
      </c>
      <c r="M195" s="10">
        <f>M191</f>
        <v>56</v>
      </c>
      <c r="N195" s="9">
        <f>N191</f>
        <v>2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</row>
    <row r="196" spans="1:79" x14ac:dyDescent="0.3">
      <c r="A196" s="88">
        <f t="shared" si="23"/>
        <v>11</v>
      </c>
      <c r="B196" s="19" t="str">
        <f t="shared" si="16"/>
        <v>وحدة سفلية   درجين / 3 أدراج</v>
      </c>
      <c r="C196" s="10">
        <f t="shared" si="16"/>
        <v>6</v>
      </c>
      <c r="D196" s="10" t="str">
        <f t="shared" si="16"/>
        <v>HPL</v>
      </c>
      <c r="E196" s="10" t="str">
        <f t="shared" si="16"/>
        <v>جنب درج داخلى</v>
      </c>
      <c r="F196" s="7" t="str">
        <f t="shared" si="17"/>
        <v/>
      </c>
      <c r="G196" s="7" t="str">
        <f t="shared" si="18"/>
        <v/>
      </c>
      <c r="H196" s="7" t="str">
        <f t="shared" si="19"/>
        <v/>
      </c>
      <c r="I196" s="7" t="str">
        <f t="shared" si="20"/>
        <v/>
      </c>
      <c r="J196" s="7" t="str">
        <f t="shared" si="21"/>
        <v/>
      </c>
      <c r="K196" s="10">
        <f t="shared" ref="K196:L196" si="27">K191</f>
        <v>0</v>
      </c>
      <c r="L196" s="10">
        <f t="shared" si="27"/>
        <v>78</v>
      </c>
      <c r="M196" s="10">
        <f>M191</f>
        <v>56</v>
      </c>
      <c r="N196" s="9">
        <f t="shared" ref="N196:N197" si="28">N192</f>
        <v>2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</row>
    <row r="197" spans="1:79" x14ac:dyDescent="0.3">
      <c r="A197" s="88">
        <f t="shared" si="23"/>
        <v>12</v>
      </c>
      <c r="B197" s="19" t="str">
        <f t="shared" si="16"/>
        <v>وحدة سفلية   درجين / 3 أدراج</v>
      </c>
      <c r="C197" s="10">
        <f t="shared" si="16"/>
        <v>7</v>
      </c>
      <c r="D197" s="10" t="str">
        <f t="shared" si="16"/>
        <v>HPL</v>
      </c>
      <c r="E197" s="10" t="str">
        <f t="shared" si="16"/>
        <v>ظهر درج داخلى</v>
      </c>
      <c r="F197" s="7" t="str">
        <f t="shared" si="17"/>
        <v/>
      </c>
      <c r="G197" s="7" t="str">
        <f t="shared" si="18"/>
        <v/>
      </c>
      <c r="H197" s="7" t="str">
        <f t="shared" si="19"/>
        <v/>
      </c>
      <c r="I197" s="7" t="str">
        <f t="shared" si="20"/>
        <v/>
      </c>
      <c r="J197" s="7" t="str">
        <f t="shared" si="21"/>
        <v/>
      </c>
      <c r="K197" s="10">
        <f t="shared" ref="K197:L197" si="29">K191</f>
        <v>0</v>
      </c>
      <c r="L197" s="10">
        <f t="shared" si="29"/>
        <v>78</v>
      </c>
      <c r="M197" s="10">
        <f>M191</f>
        <v>56</v>
      </c>
      <c r="N197" s="9">
        <f t="shared" si="28"/>
        <v>2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</row>
    <row r="198" spans="1:79" x14ac:dyDescent="0.3"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</row>
    <row r="199" spans="1:79" ht="15.6" customHeight="1" x14ac:dyDescent="0.3">
      <c r="A199" s="88">
        <f>A197+1</f>
        <v>13</v>
      </c>
      <c r="B199" s="19" t="str">
        <f t="shared" ref="B199:E208" si="30">B58</f>
        <v>وحدة سفلية   3 أدراج - 3/2</v>
      </c>
      <c r="C199" s="10">
        <f t="shared" si="30"/>
        <v>1</v>
      </c>
      <c r="D199" s="10" t="str">
        <f t="shared" si="30"/>
        <v>HPL</v>
      </c>
      <c r="E199" s="10" t="str">
        <f t="shared" si="30"/>
        <v>قاعدة</v>
      </c>
      <c r="F199" s="7" t="str">
        <f t="shared" ref="F199:F208" si="31">IF(K199=0, "",F58)</f>
        <v/>
      </c>
      <c r="G199" s="7" t="str">
        <f t="shared" ref="G199:G208" si="32">IF(K199=0, "",G58)</f>
        <v/>
      </c>
      <c r="H199" s="7" t="str">
        <f t="shared" ref="H199:H208" si="33">IF(K199=0, "",H58)</f>
        <v/>
      </c>
      <c r="I199" s="7" t="str">
        <f t="shared" ref="I199:I208" si="34">IF(K199=0, "",I58)</f>
        <v/>
      </c>
      <c r="J199" s="7" t="str">
        <f t="shared" ref="J199:J208" si="35">IF(K199=0, "",J58)</f>
        <v/>
      </c>
      <c r="K199" s="10">
        <f>H53</f>
        <v>0</v>
      </c>
      <c r="L199" s="10">
        <f>I53</f>
        <v>78</v>
      </c>
      <c r="M199" s="10">
        <f>J53</f>
        <v>56</v>
      </c>
      <c r="N199" s="9">
        <f>J51</f>
        <v>3</v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</row>
    <row r="200" spans="1:79" x14ac:dyDescent="0.3">
      <c r="A200" s="88">
        <f>A199+1</f>
        <v>14</v>
      </c>
      <c r="B200" s="19" t="str">
        <f t="shared" si="30"/>
        <v>وحدة سفلية   3 أدراج - 3/2</v>
      </c>
      <c r="C200" s="10">
        <f t="shared" si="30"/>
        <v>2</v>
      </c>
      <c r="D200" s="10" t="str">
        <f t="shared" si="30"/>
        <v>HPL</v>
      </c>
      <c r="E200" s="10" t="str">
        <f t="shared" si="30"/>
        <v>أجناب</v>
      </c>
      <c r="F200" s="7" t="str">
        <f t="shared" si="31"/>
        <v/>
      </c>
      <c r="G200" s="7" t="str">
        <f t="shared" si="32"/>
        <v/>
      </c>
      <c r="H200" s="7" t="str">
        <f t="shared" si="33"/>
        <v/>
      </c>
      <c r="I200" s="7" t="str">
        <f t="shared" si="34"/>
        <v/>
      </c>
      <c r="J200" s="7" t="str">
        <f t="shared" si="35"/>
        <v/>
      </c>
      <c r="K200" s="10">
        <f t="shared" ref="K200" si="36">K199</f>
        <v>0</v>
      </c>
      <c r="L200" s="10">
        <f t="shared" ref="L200" si="37">L199</f>
        <v>78</v>
      </c>
      <c r="M200" s="10">
        <f t="shared" ref="M200" si="38">M199</f>
        <v>56</v>
      </c>
      <c r="N200" s="9">
        <f>N199</f>
        <v>3</v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</row>
    <row r="201" spans="1:79" x14ac:dyDescent="0.3">
      <c r="A201" s="88">
        <f>A200+1</f>
        <v>15</v>
      </c>
      <c r="B201" s="19" t="str">
        <f t="shared" si="30"/>
        <v>وحدة سفلية   3 أدراج - 3/2</v>
      </c>
      <c r="C201" s="10">
        <f t="shared" si="30"/>
        <v>3</v>
      </c>
      <c r="D201" s="10" t="str">
        <f t="shared" si="30"/>
        <v>HPL</v>
      </c>
      <c r="E201" s="10" t="str">
        <f t="shared" si="30"/>
        <v>مرايا علوية 1</v>
      </c>
      <c r="F201" s="7" t="str">
        <f t="shared" si="31"/>
        <v/>
      </c>
      <c r="G201" s="7" t="str">
        <f t="shared" si="32"/>
        <v/>
      </c>
      <c r="H201" s="7" t="str">
        <f t="shared" si="33"/>
        <v/>
      </c>
      <c r="I201" s="7" t="str">
        <f t="shared" si="34"/>
        <v/>
      </c>
      <c r="J201" s="7" t="str">
        <f t="shared" si="35"/>
        <v/>
      </c>
      <c r="K201" s="10">
        <f t="shared" ref="K201:M201" si="39">K199</f>
        <v>0</v>
      </c>
      <c r="L201" s="10">
        <f t="shared" si="39"/>
        <v>78</v>
      </c>
      <c r="M201" s="10">
        <f t="shared" si="39"/>
        <v>56</v>
      </c>
      <c r="N201" s="9">
        <f>N199</f>
        <v>3</v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</row>
    <row r="202" spans="1:79" x14ac:dyDescent="0.3">
      <c r="A202" s="88">
        <f t="shared" ref="A202:A208" si="40">A201+1</f>
        <v>16</v>
      </c>
      <c r="B202" s="19" t="str">
        <f t="shared" si="30"/>
        <v>وحدة سفلية   3 أدراج - 3/2</v>
      </c>
      <c r="C202" s="10">
        <f t="shared" si="30"/>
        <v>4</v>
      </c>
      <c r="D202" s="10" t="str">
        <f t="shared" si="30"/>
        <v>HPL</v>
      </c>
      <c r="E202" s="10" t="str">
        <f t="shared" si="30"/>
        <v>مرايا علوية 2</v>
      </c>
      <c r="F202" s="7" t="str">
        <f t="shared" si="31"/>
        <v/>
      </c>
      <c r="G202" s="7" t="str">
        <f t="shared" si="32"/>
        <v/>
      </c>
      <c r="H202" s="7" t="str">
        <f t="shared" si="33"/>
        <v/>
      </c>
      <c r="I202" s="7" t="str">
        <f t="shared" si="34"/>
        <v/>
      </c>
      <c r="J202" s="7" t="str">
        <f t="shared" si="35"/>
        <v/>
      </c>
      <c r="K202" s="10">
        <f t="shared" ref="K202:L202" si="41">K199</f>
        <v>0</v>
      </c>
      <c r="L202" s="10">
        <f t="shared" si="41"/>
        <v>78</v>
      </c>
      <c r="M202" s="10">
        <f>M199</f>
        <v>56</v>
      </c>
      <c r="N202" s="9">
        <f>N199</f>
        <v>3</v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</row>
    <row r="203" spans="1:79" x14ac:dyDescent="0.3">
      <c r="A203" s="88">
        <f t="shared" si="40"/>
        <v>17</v>
      </c>
      <c r="B203" s="19" t="str">
        <f t="shared" si="30"/>
        <v>وحدة سفلية   3 أدراج - 3/2</v>
      </c>
      <c r="C203" s="10">
        <f t="shared" si="30"/>
        <v>5</v>
      </c>
      <c r="D203" s="10" t="str">
        <f t="shared" si="30"/>
        <v>HPL</v>
      </c>
      <c r="E203" s="10" t="str">
        <f t="shared" si="30"/>
        <v>وش درج داخلى صغير</v>
      </c>
      <c r="F203" s="7" t="str">
        <f t="shared" si="31"/>
        <v/>
      </c>
      <c r="G203" s="7" t="str">
        <f t="shared" si="32"/>
        <v/>
      </c>
      <c r="H203" s="7" t="str">
        <f t="shared" si="33"/>
        <v/>
      </c>
      <c r="I203" s="7" t="str">
        <f t="shared" si="34"/>
        <v/>
      </c>
      <c r="J203" s="7" t="str">
        <f t="shared" si="35"/>
        <v/>
      </c>
      <c r="K203" s="10">
        <f t="shared" ref="K203:L203" si="42">K199</f>
        <v>0</v>
      </c>
      <c r="L203" s="10">
        <f t="shared" si="42"/>
        <v>78</v>
      </c>
      <c r="M203" s="10">
        <f>M199</f>
        <v>56</v>
      </c>
      <c r="N203" s="9">
        <f>N199</f>
        <v>3</v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</row>
    <row r="204" spans="1:79" x14ac:dyDescent="0.3">
      <c r="A204" s="88">
        <f t="shared" si="40"/>
        <v>18</v>
      </c>
      <c r="B204" s="19" t="str">
        <f t="shared" si="30"/>
        <v>وحدة سفلية   3 أدراج - 3/2</v>
      </c>
      <c r="C204" s="10">
        <f t="shared" si="30"/>
        <v>6</v>
      </c>
      <c r="D204" s="10" t="str">
        <f t="shared" si="30"/>
        <v>HPL</v>
      </c>
      <c r="E204" s="10" t="str">
        <f t="shared" si="30"/>
        <v>جنب درج داخلى صغير</v>
      </c>
      <c r="F204" s="7" t="str">
        <f t="shared" si="31"/>
        <v/>
      </c>
      <c r="G204" s="7" t="str">
        <f t="shared" si="32"/>
        <v/>
      </c>
      <c r="H204" s="7" t="str">
        <f t="shared" si="33"/>
        <v/>
      </c>
      <c r="I204" s="7" t="str">
        <f t="shared" si="34"/>
        <v/>
      </c>
      <c r="J204" s="7" t="str">
        <f t="shared" si="35"/>
        <v/>
      </c>
      <c r="K204" s="10">
        <f t="shared" ref="K204:L204" si="43">K199</f>
        <v>0</v>
      </c>
      <c r="L204" s="10">
        <f t="shared" si="43"/>
        <v>78</v>
      </c>
      <c r="M204" s="10">
        <f>M199</f>
        <v>56</v>
      </c>
      <c r="N204" s="9">
        <f t="shared" ref="N204" si="44">N200</f>
        <v>3</v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</row>
    <row r="205" spans="1:79" x14ac:dyDescent="0.3">
      <c r="A205" s="88">
        <f t="shared" si="40"/>
        <v>19</v>
      </c>
      <c r="B205" s="19" t="str">
        <f t="shared" si="30"/>
        <v>وحدة سفلية   3 أدراج - 3/2</v>
      </c>
      <c r="C205" s="10">
        <f t="shared" si="30"/>
        <v>7</v>
      </c>
      <c r="D205" s="10" t="str">
        <f t="shared" si="30"/>
        <v>HPL</v>
      </c>
      <c r="E205" s="10" t="str">
        <f t="shared" si="30"/>
        <v>ظهر درج داخلى صغير</v>
      </c>
      <c r="F205" s="7" t="str">
        <f t="shared" si="31"/>
        <v/>
      </c>
      <c r="G205" s="7" t="str">
        <f t="shared" si="32"/>
        <v/>
      </c>
      <c r="H205" s="7" t="str">
        <f t="shared" si="33"/>
        <v/>
      </c>
      <c r="I205" s="7" t="str">
        <f t="shared" si="34"/>
        <v/>
      </c>
      <c r="J205" s="7" t="str">
        <f t="shared" si="35"/>
        <v/>
      </c>
      <c r="K205" s="10">
        <f t="shared" ref="K205:L205" si="45">K199</f>
        <v>0</v>
      </c>
      <c r="L205" s="10">
        <f t="shared" si="45"/>
        <v>78</v>
      </c>
      <c r="M205" s="10">
        <f>M199</f>
        <v>56</v>
      </c>
      <c r="N205" s="9">
        <f t="shared" ref="N205" si="46">N201</f>
        <v>3</v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</row>
    <row r="206" spans="1:79" x14ac:dyDescent="0.3">
      <c r="A206" s="88">
        <f t="shared" si="40"/>
        <v>20</v>
      </c>
      <c r="B206" s="19" t="str">
        <f t="shared" si="30"/>
        <v>وحدة سفلية   3 أدراج - 3/2</v>
      </c>
      <c r="C206" s="10">
        <f t="shared" si="30"/>
        <v>8</v>
      </c>
      <c r="D206" s="10" t="str">
        <f t="shared" si="30"/>
        <v>HPL</v>
      </c>
      <c r="E206" s="10" t="str">
        <f t="shared" si="30"/>
        <v>وش درج داخلى</v>
      </c>
      <c r="F206" s="7" t="str">
        <f t="shared" si="31"/>
        <v/>
      </c>
      <c r="G206" s="7" t="str">
        <f t="shared" si="32"/>
        <v/>
      </c>
      <c r="H206" s="7" t="str">
        <f t="shared" si="33"/>
        <v/>
      </c>
      <c r="I206" s="7" t="str">
        <f t="shared" si="34"/>
        <v/>
      </c>
      <c r="J206" s="7" t="str">
        <f t="shared" si="35"/>
        <v/>
      </c>
      <c r="K206" s="10">
        <f t="shared" ref="K206:M206" si="47">K200</f>
        <v>0</v>
      </c>
      <c r="L206" s="10">
        <f t="shared" si="47"/>
        <v>78</v>
      </c>
      <c r="M206" s="10">
        <f t="shared" si="47"/>
        <v>56</v>
      </c>
      <c r="N206" s="9">
        <f t="shared" ref="N206" si="48">N202</f>
        <v>3</v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</row>
    <row r="207" spans="1:79" x14ac:dyDescent="0.3">
      <c r="A207" s="88">
        <f t="shared" si="40"/>
        <v>21</v>
      </c>
      <c r="B207" s="19" t="str">
        <f t="shared" si="30"/>
        <v>وحدة سفلية   3 أدراج - 3/2</v>
      </c>
      <c r="C207" s="10">
        <f t="shared" si="30"/>
        <v>9</v>
      </c>
      <c r="D207" s="10" t="str">
        <f t="shared" si="30"/>
        <v>HPL</v>
      </c>
      <c r="E207" s="10" t="str">
        <f t="shared" si="30"/>
        <v>جنب درج داخلى</v>
      </c>
      <c r="F207" s="7" t="str">
        <f t="shared" si="31"/>
        <v/>
      </c>
      <c r="G207" s="7" t="str">
        <f t="shared" si="32"/>
        <v/>
      </c>
      <c r="H207" s="7" t="str">
        <f t="shared" si="33"/>
        <v/>
      </c>
      <c r="I207" s="7" t="str">
        <f t="shared" si="34"/>
        <v/>
      </c>
      <c r="J207" s="7" t="str">
        <f t="shared" si="35"/>
        <v/>
      </c>
      <c r="K207" s="10">
        <f t="shared" ref="K207:M207" si="49">K201</f>
        <v>0</v>
      </c>
      <c r="L207" s="10">
        <f t="shared" si="49"/>
        <v>78</v>
      </c>
      <c r="M207" s="10">
        <f t="shared" si="49"/>
        <v>56</v>
      </c>
      <c r="N207" s="9">
        <f t="shared" ref="N207" si="50">N203</f>
        <v>3</v>
      </c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</row>
    <row r="208" spans="1:79" x14ac:dyDescent="0.3">
      <c r="A208" s="88">
        <f t="shared" si="40"/>
        <v>22</v>
      </c>
      <c r="B208" s="19" t="str">
        <f t="shared" si="30"/>
        <v>وحدة سفلية   3 أدراج - 3/2</v>
      </c>
      <c r="C208" s="10">
        <f t="shared" si="30"/>
        <v>10</v>
      </c>
      <c r="D208" s="10" t="str">
        <f t="shared" si="30"/>
        <v>HPL</v>
      </c>
      <c r="E208" s="10" t="str">
        <f t="shared" si="30"/>
        <v>ظهر درج داخلى</v>
      </c>
      <c r="F208" s="7" t="str">
        <f t="shared" si="31"/>
        <v/>
      </c>
      <c r="G208" s="7" t="str">
        <f t="shared" si="32"/>
        <v/>
      </c>
      <c r="H208" s="7" t="str">
        <f t="shared" si="33"/>
        <v/>
      </c>
      <c r="I208" s="7" t="str">
        <f t="shared" si="34"/>
        <v/>
      </c>
      <c r="J208" s="7" t="str">
        <f t="shared" si="35"/>
        <v/>
      </c>
      <c r="K208" s="10">
        <f t="shared" ref="K208:M208" si="51">K202</f>
        <v>0</v>
      </c>
      <c r="L208" s="10">
        <f t="shared" si="51"/>
        <v>78</v>
      </c>
      <c r="M208" s="10">
        <f t="shared" si="51"/>
        <v>56</v>
      </c>
      <c r="N208" s="9">
        <f t="shared" ref="N208" si="52">N204</f>
        <v>3</v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</row>
    <row r="209" spans="1:79" x14ac:dyDescent="0.3"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</row>
    <row r="210" spans="1:79" ht="15.6" customHeight="1" x14ac:dyDescent="0.3">
      <c r="A210" s="88">
        <f>A208+1</f>
        <v>23</v>
      </c>
      <c r="B210" s="19" t="str">
        <f t="shared" ref="B210:E219" si="53">B81</f>
        <v>وحدة سفلية   درجين - 2/4</v>
      </c>
      <c r="C210" s="10">
        <f t="shared" si="53"/>
        <v>1</v>
      </c>
      <c r="D210" s="10" t="str">
        <f t="shared" si="53"/>
        <v>HPL</v>
      </c>
      <c r="E210" s="10" t="str">
        <f t="shared" si="53"/>
        <v>قاعدة</v>
      </c>
      <c r="F210" s="7" t="str">
        <f t="shared" ref="F210:F219" si="54">IF(K210=0, "",F81)</f>
        <v/>
      </c>
      <c r="G210" s="7" t="str">
        <f t="shared" ref="G210:G219" si="55">IF(K210=0, "",G81)</f>
        <v/>
      </c>
      <c r="H210" s="7" t="str">
        <f t="shared" ref="H210:H219" si="56">IF(K210=0, "",H81)</f>
        <v/>
      </c>
      <c r="I210" s="7" t="str">
        <f t="shared" ref="I210:I219" si="57">IF(K210=0, "",I81)</f>
        <v/>
      </c>
      <c r="J210" s="7" t="str">
        <f t="shared" ref="J210:J219" si="58">IF(K210=0, "",J81)</f>
        <v/>
      </c>
      <c r="K210" s="10">
        <f>H76</f>
        <v>0</v>
      </c>
      <c r="L210" s="10">
        <f>I76</f>
        <v>78</v>
      </c>
      <c r="M210" s="10">
        <f>J76</f>
        <v>56</v>
      </c>
      <c r="N210" s="9">
        <f>J74</f>
        <v>4</v>
      </c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</row>
    <row r="211" spans="1:79" x14ac:dyDescent="0.3">
      <c r="A211" s="88">
        <f>A210+1</f>
        <v>24</v>
      </c>
      <c r="B211" s="19" t="str">
        <f t="shared" si="53"/>
        <v>وحدة سفلية   درجين - 2/4</v>
      </c>
      <c r="C211" s="10">
        <f t="shared" si="53"/>
        <v>2</v>
      </c>
      <c r="D211" s="10" t="str">
        <f t="shared" si="53"/>
        <v>HPL</v>
      </c>
      <c r="E211" s="10" t="str">
        <f t="shared" si="53"/>
        <v>أجناب</v>
      </c>
      <c r="F211" s="7" t="str">
        <f t="shared" si="54"/>
        <v/>
      </c>
      <c r="G211" s="7" t="str">
        <f t="shared" si="55"/>
        <v/>
      </c>
      <c r="H211" s="7" t="str">
        <f t="shared" si="56"/>
        <v/>
      </c>
      <c r="I211" s="7" t="str">
        <f t="shared" si="57"/>
        <v/>
      </c>
      <c r="J211" s="7" t="str">
        <f t="shared" si="58"/>
        <v/>
      </c>
      <c r="K211" s="10">
        <f t="shared" ref="K211:M211" si="59">K210</f>
        <v>0</v>
      </c>
      <c r="L211" s="10">
        <f t="shared" si="59"/>
        <v>78</v>
      </c>
      <c r="M211" s="10">
        <f t="shared" si="59"/>
        <v>56</v>
      </c>
      <c r="N211" s="9">
        <f>N210</f>
        <v>4</v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</row>
    <row r="212" spans="1:79" x14ac:dyDescent="0.3">
      <c r="A212" s="88">
        <f>A211+1</f>
        <v>25</v>
      </c>
      <c r="B212" s="19" t="str">
        <f t="shared" si="53"/>
        <v>وحدة سفلية   درجين - 2/4</v>
      </c>
      <c r="C212" s="10">
        <f t="shared" si="53"/>
        <v>3</v>
      </c>
      <c r="D212" s="10" t="str">
        <f t="shared" si="53"/>
        <v>HPL</v>
      </c>
      <c r="E212" s="10" t="str">
        <f t="shared" si="53"/>
        <v>مرايا علوية 1</v>
      </c>
      <c r="F212" s="7" t="str">
        <f t="shared" si="54"/>
        <v/>
      </c>
      <c r="G212" s="7" t="str">
        <f t="shared" si="55"/>
        <v/>
      </c>
      <c r="H212" s="7" t="str">
        <f t="shared" si="56"/>
        <v/>
      </c>
      <c r="I212" s="7" t="str">
        <f t="shared" si="57"/>
        <v/>
      </c>
      <c r="J212" s="7" t="str">
        <f t="shared" si="58"/>
        <v/>
      </c>
      <c r="K212" s="10">
        <f t="shared" ref="K212:M212" si="60">K210</f>
        <v>0</v>
      </c>
      <c r="L212" s="10">
        <f t="shared" si="60"/>
        <v>78</v>
      </c>
      <c r="M212" s="10">
        <f t="shared" si="60"/>
        <v>56</v>
      </c>
      <c r="N212" s="9">
        <f>N210</f>
        <v>4</v>
      </c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</row>
    <row r="213" spans="1:79" x14ac:dyDescent="0.3">
      <c r="A213" s="88">
        <f t="shared" ref="A213:A219" si="61">A212+1</f>
        <v>26</v>
      </c>
      <c r="B213" s="19" t="str">
        <f t="shared" si="53"/>
        <v>وحدة سفلية   درجين - 2/4</v>
      </c>
      <c r="C213" s="10">
        <f t="shared" si="53"/>
        <v>4</v>
      </c>
      <c r="D213" s="10" t="str">
        <f t="shared" si="53"/>
        <v>HPL</v>
      </c>
      <c r="E213" s="10" t="str">
        <f t="shared" si="53"/>
        <v>مرايا علوية 2</v>
      </c>
      <c r="F213" s="7" t="str">
        <f t="shared" si="54"/>
        <v/>
      </c>
      <c r="G213" s="7" t="str">
        <f t="shared" si="55"/>
        <v/>
      </c>
      <c r="H213" s="7" t="str">
        <f t="shared" si="56"/>
        <v/>
      </c>
      <c r="I213" s="7" t="str">
        <f t="shared" si="57"/>
        <v/>
      </c>
      <c r="J213" s="7" t="str">
        <f t="shared" si="58"/>
        <v/>
      </c>
      <c r="K213" s="10">
        <f t="shared" ref="K213:L213" si="62">K210</f>
        <v>0</v>
      </c>
      <c r="L213" s="10">
        <f t="shared" si="62"/>
        <v>78</v>
      </c>
      <c r="M213" s="10">
        <f>M210</f>
        <v>56</v>
      </c>
      <c r="N213" s="9">
        <f>N210</f>
        <v>4</v>
      </c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</row>
    <row r="214" spans="1:79" x14ac:dyDescent="0.3">
      <c r="A214" s="88">
        <f t="shared" si="61"/>
        <v>27</v>
      </c>
      <c r="B214" s="19" t="str">
        <f t="shared" si="53"/>
        <v>وحدة سفلية   درجين - 2/4</v>
      </c>
      <c r="C214" s="10">
        <f t="shared" si="53"/>
        <v>5</v>
      </c>
      <c r="D214" s="10" t="str">
        <f t="shared" si="53"/>
        <v>HPL</v>
      </c>
      <c r="E214" s="10" t="str">
        <f t="shared" si="53"/>
        <v>وش درج داخلى صغير</v>
      </c>
      <c r="F214" s="7" t="str">
        <f t="shared" si="54"/>
        <v/>
      </c>
      <c r="G214" s="7" t="str">
        <f t="shared" si="55"/>
        <v/>
      </c>
      <c r="H214" s="7" t="str">
        <f t="shared" si="56"/>
        <v/>
      </c>
      <c r="I214" s="7" t="str">
        <f t="shared" si="57"/>
        <v/>
      </c>
      <c r="J214" s="7" t="str">
        <f t="shared" si="58"/>
        <v/>
      </c>
      <c r="K214" s="10">
        <f t="shared" ref="K214:L214" si="63">K210</f>
        <v>0</v>
      </c>
      <c r="L214" s="10">
        <f t="shared" si="63"/>
        <v>78</v>
      </c>
      <c r="M214" s="10">
        <f>M210</f>
        <v>56</v>
      </c>
      <c r="N214" s="9">
        <f>N210</f>
        <v>4</v>
      </c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</row>
    <row r="215" spans="1:79" x14ac:dyDescent="0.3">
      <c r="A215" s="88">
        <f t="shared" si="61"/>
        <v>28</v>
      </c>
      <c r="B215" s="19" t="str">
        <f t="shared" si="53"/>
        <v>وحدة سفلية   درجين - 2/4</v>
      </c>
      <c r="C215" s="10">
        <f t="shared" si="53"/>
        <v>6</v>
      </c>
      <c r="D215" s="10" t="str">
        <f t="shared" si="53"/>
        <v>HPL</v>
      </c>
      <c r="E215" s="10" t="str">
        <f t="shared" si="53"/>
        <v>جنب درج داخلى صغير</v>
      </c>
      <c r="F215" s="7" t="str">
        <f t="shared" si="54"/>
        <v/>
      </c>
      <c r="G215" s="7" t="str">
        <f t="shared" si="55"/>
        <v/>
      </c>
      <c r="H215" s="7" t="str">
        <f t="shared" si="56"/>
        <v/>
      </c>
      <c r="I215" s="7" t="str">
        <f t="shared" si="57"/>
        <v/>
      </c>
      <c r="J215" s="7" t="str">
        <f t="shared" si="58"/>
        <v/>
      </c>
      <c r="K215" s="10">
        <f t="shared" ref="K215:L215" si="64">K210</f>
        <v>0</v>
      </c>
      <c r="L215" s="10">
        <f t="shared" si="64"/>
        <v>78</v>
      </c>
      <c r="M215" s="10">
        <f>M210</f>
        <v>56</v>
      </c>
      <c r="N215" s="9">
        <f t="shared" ref="N215:N219" si="65">N211</f>
        <v>4</v>
      </c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</row>
    <row r="216" spans="1:79" x14ac:dyDescent="0.3">
      <c r="A216" s="88">
        <f t="shared" si="61"/>
        <v>29</v>
      </c>
      <c r="B216" s="19" t="str">
        <f t="shared" si="53"/>
        <v>وحدة سفلية   درجين - 2/4</v>
      </c>
      <c r="C216" s="10">
        <f t="shared" si="53"/>
        <v>7</v>
      </c>
      <c r="D216" s="10" t="str">
        <f t="shared" si="53"/>
        <v>HPL</v>
      </c>
      <c r="E216" s="10" t="str">
        <f t="shared" si="53"/>
        <v>ظهر درج داخلى صغير</v>
      </c>
      <c r="F216" s="7" t="str">
        <f t="shared" si="54"/>
        <v/>
      </c>
      <c r="G216" s="7" t="str">
        <f t="shared" si="55"/>
        <v/>
      </c>
      <c r="H216" s="7" t="str">
        <f t="shared" si="56"/>
        <v/>
      </c>
      <c r="I216" s="7" t="str">
        <f t="shared" si="57"/>
        <v/>
      </c>
      <c r="J216" s="7" t="str">
        <f t="shared" si="58"/>
        <v/>
      </c>
      <c r="K216" s="10">
        <f t="shared" ref="K216:L216" si="66">K210</f>
        <v>0</v>
      </c>
      <c r="L216" s="10">
        <f t="shared" si="66"/>
        <v>78</v>
      </c>
      <c r="M216" s="10">
        <f>M210</f>
        <v>56</v>
      </c>
      <c r="N216" s="9">
        <f t="shared" si="65"/>
        <v>4</v>
      </c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</row>
    <row r="217" spans="1:79" x14ac:dyDescent="0.3">
      <c r="A217" s="88">
        <f t="shared" si="61"/>
        <v>30</v>
      </c>
      <c r="B217" s="19" t="str">
        <f t="shared" si="53"/>
        <v>وحدة سفلية   درجين - 2/4</v>
      </c>
      <c r="C217" s="10">
        <f t="shared" si="53"/>
        <v>8</v>
      </c>
      <c r="D217" s="10" t="str">
        <f t="shared" si="53"/>
        <v>HPL</v>
      </c>
      <c r="E217" s="10" t="str">
        <f t="shared" si="53"/>
        <v>وش درج داخلى</v>
      </c>
      <c r="F217" s="7" t="str">
        <f t="shared" si="54"/>
        <v/>
      </c>
      <c r="G217" s="7" t="str">
        <f t="shared" si="55"/>
        <v/>
      </c>
      <c r="H217" s="7" t="str">
        <f t="shared" si="56"/>
        <v/>
      </c>
      <c r="I217" s="7" t="str">
        <f t="shared" si="57"/>
        <v/>
      </c>
      <c r="J217" s="7" t="str">
        <f t="shared" si="58"/>
        <v/>
      </c>
      <c r="K217" s="10">
        <f t="shared" ref="K217:M217" si="67">K211</f>
        <v>0</v>
      </c>
      <c r="L217" s="10">
        <f t="shared" si="67"/>
        <v>78</v>
      </c>
      <c r="M217" s="10">
        <f t="shared" si="67"/>
        <v>56</v>
      </c>
      <c r="N217" s="9">
        <f t="shared" si="65"/>
        <v>4</v>
      </c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</row>
    <row r="218" spans="1:79" x14ac:dyDescent="0.3">
      <c r="A218" s="88">
        <f t="shared" si="61"/>
        <v>31</v>
      </c>
      <c r="B218" s="19" t="str">
        <f t="shared" si="53"/>
        <v>وحدة سفلية   درجين - 2/4</v>
      </c>
      <c r="C218" s="10">
        <f t="shared" si="53"/>
        <v>9</v>
      </c>
      <c r="D218" s="10" t="str">
        <f t="shared" si="53"/>
        <v>HPL</v>
      </c>
      <c r="E218" s="10" t="str">
        <f t="shared" si="53"/>
        <v>جنب درج داخلى</v>
      </c>
      <c r="F218" s="7" t="str">
        <f t="shared" si="54"/>
        <v/>
      </c>
      <c r="G218" s="7" t="str">
        <f t="shared" si="55"/>
        <v/>
      </c>
      <c r="H218" s="7" t="str">
        <f t="shared" si="56"/>
        <v/>
      </c>
      <c r="I218" s="7" t="str">
        <f t="shared" si="57"/>
        <v/>
      </c>
      <c r="J218" s="7" t="str">
        <f t="shared" si="58"/>
        <v/>
      </c>
      <c r="K218" s="10">
        <f t="shared" ref="K218:M218" si="68">K212</f>
        <v>0</v>
      </c>
      <c r="L218" s="10">
        <f t="shared" si="68"/>
        <v>78</v>
      </c>
      <c r="M218" s="10">
        <f t="shared" si="68"/>
        <v>56</v>
      </c>
      <c r="N218" s="9">
        <f t="shared" si="65"/>
        <v>4</v>
      </c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</row>
    <row r="219" spans="1:79" x14ac:dyDescent="0.3">
      <c r="A219" s="88">
        <f t="shared" si="61"/>
        <v>32</v>
      </c>
      <c r="B219" s="19" t="str">
        <f t="shared" si="53"/>
        <v>وحدة سفلية   درجين - 2/4</v>
      </c>
      <c r="C219" s="10">
        <f t="shared" si="53"/>
        <v>10</v>
      </c>
      <c r="D219" s="10" t="str">
        <f t="shared" si="53"/>
        <v>HPL</v>
      </c>
      <c r="E219" s="10" t="str">
        <f t="shared" si="53"/>
        <v>ظهر درج داخلى</v>
      </c>
      <c r="F219" s="7" t="str">
        <f t="shared" si="54"/>
        <v/>
      </c>
      <c r="G219" s="7" t="str">
        <f t="shared" si="55"/>
        <v/>
      </c>
      <c r="H219" s="7" t="str">
        <f t="shared" si="56"/>
        <v/>
      </c>
      <c r="I219" s="7" t="str">
        <f t="shared" si="57"/>
        <v/>
      </c>
      <c r="J219" s="7" t="str">
        <f t="shared" si="58"/>
        <v/>
      </c>
      <c r="K219" s="10">
        <f t="shared" ref="K219:M219" si="69">K213</f>
        <v>0</v>
      </c>
      <c r="L219" s="10">
        <f t="shared" si="69"/>
        <v>78</v>
      </c>
      <c r="M219" s="10">
        <f t="shared" si="69"/>
        <v>56</v>
      </c>
      <c r="N219" s="9">
        <f t="shared" si="65"/>
        <v>4</v>
      </c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</row>
    <row r="220" spans="1:79" x14ac:dyDescent="0.3"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</row>
    <row r="221" spans="1:79" ht="15.6" customHeight="1" x14ac:dyDescent="0.3">
      <c r="A221" s="88">
        <f>A219+1</f>
        <v>33</v>
      </c>
      <c r="B221" s="19" t="str">
        <f t="shared" ref="B221:E226" si="70">B104</f>
        <v xml:space="preserve">وحدة سفلية  تلبيسة دلفة /دلفتين </v>
      </c>
      <c r="C221" s="10">
        <f t="shared" si="70"/>
        <v>1</v>
      </c>
      <c r="D221" s="10" t="str">
        <f t="shared" si="70"/>
        <v>HPL</v>
      </c>
      <c r="E221" s="10" t="str">
        <f t="shared" si="70"/>
        <v>قاعدة</v>
      </c>
      <c r="F221" s="7" t="str">
        <f t="shared" ref="F221:F226" si="71">IF(K221=0, "",F104)</f>
        <v/>
      </c>
      <c r="G221" s="7" t="str">
        <f t="shared" ref="G221:G226" si="72">IF(K221=0, "",G104)</f>
        <v/>
      </c>
      <c r="H221" s="7" t="str">
        <f t="shared" ref="H221:H226" si="73">IF(K221=0, "",H104)</f>
        <v/>
      </c>
      <c r="I221" s="7" t="str">
        <f t="shared" ref="I221:I226" si="74">IF(K221=0, "",I104)</f>
        <v/>
      </c>
      <c r="J221" s="7" t="str">
        <f t="shared" ref="J221:J226" si="75">IF(K221=0, "",J104)</f>
        <v/>
      </c>
      <c r="K221" s="10">
        <f>H99</f>
        <v>0</v>
      </c>
      <c r="L221" s="10">
        <f>I99</f>
        <v>78</v>
      </c>
      <c r="M221" s="10">
        <f>J99</f>
        <v>56</v>
      </c>
      <c r="N221" s="9">
        <f>J97</f>
        <v>5</v>
      </c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</row>
    <row r="222" spans="1:79" x14ac:dyDescent="0.3">
      <c r="A222" s="88">
        <f>A221+1</f>
        <v>34</v>
      </c>
      <c r="B222" s="19" t="str">
        <f t="shared" si="70"/>
        <v xml:space="preserve">وحدة سفلية  تلبيسة دلفة /دلفتين </v>
      </c>
      <c r="C222" s="10">
        <f t="shared" si="70"/>
        <v>2</v>
      </c>
      <c r="D222" s="10" t="str">
        <f t="shared" si="70"/>
        <v>HPL</v>
      </c>
      <c r="E222" s="10" t="str">
        <f t="shared" si="70"/>
        <v>أجناب</v>
      </c>
      <c r="F222" s="7" t="str">
        <f t="shared" si="71"/>
        <v/>
      </c>
      <c r="G222" s="7" t="str">
        <f t="shared" si="72"/>
        <v/>
      </c>
      <c r="H222" s="7" t="str">
        <f t="shared" si="73"/>
        <v/>
      </c>
      <c r="I222" s="7" t="str">
        <f t="shared" si="74"/>
        <v/>
      </c>
      <c r="J222" s="7" t="str">
        <f t="shared" si="75"/>
        <v/>
      </c>
      <c r="K222" s="10">
        <f t="shared" ref="K222:M222" si="76">K221</f>
        <v>0</v>
      </c>
      <c r="L222" s="10">
        <f t="shared" si="76"/>
        <v>78</v>
      </c>
      <c r="M222" s="10">
        <f t="shared" si="76"/>
        <v>56</v>
      </c>
      <c r="N222" s="9">
        <f>N221</f>
        <v>5</v>
      </c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</row>
    <row r="223" spans="1:79" x14ac:dyDescent="0.3">
      <c r="A223" s="88">
        <f>A222+1</f>
        <v>35</v>
      </c>
      <c r="B223" s="19" t="str">
        <f t="shared" si="70"/>
        <v xml:space="preserve">وحدة سفلية  تلبيسة دلفة /دلفتين </v>
      </c>
      <c r="C223" s="10">
        <f t="shared" si="70"/>
        <v>3</v>
      </c>
      <c r="D223" s="10" t="str">
        <f t="shared" si="70"/>
        <v>HPL</v>
      </c>
      <c r="E223" s="10" t="str">
        <f t="shared" si="70"/>
        <v>مرايا علوية 1</v>
      </c>
      <c r="F223" s="7" t="str">
        <f t="shared" si="71"/>
        <v/>
      </c>
      <c r="G223" s="7" t="str">
        <f t="shared" si="72"/>
        <v/>
      </c>
      <c r="H223" s="7" t="str">
        <f t="shared" si="73"/>
        <v/>
      </c>
      <c r="I223" s="7" t="str">
        <f t="shared" si="74"/>
        <v/>
      </c>
      <c r="J223" s="7" t="str">
        <f t="shared" si="75"/>
        <v/>
      </c>
      <c r="K223" s="10">
        <f t="shared" ref="K223:M223" si="77">K221</f>
        <v>0</v>
      </c>
      <c r="L223" s="10">
        <f t="shared" si="77"/>
        <v>78</v>
      </c>
      <c r="M223" s="10">
        <f t="shared" si="77"/>
        <v>56</v>
      </c>
      <c r="N223" s="9">
        <f>N221</f>
        <v>5</v>
      </c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</row>
    <row r="224" spans="1:79" x14ac:dyDescent="0.3">
      <c r="A224" s="88">
        <f t="shared" ref="A224:A226" si="78">A223+1</f>
        <v>36</v>
      </c>
      <c r="B224" s="19" t="str">
        <f t="shared" si="70"/>
        <v xml:space="preserve">وحدة سفلية  تلبيسة دلفة /دلفتين </v>
      </c>
      <c r="C224" s="10">
        <f t="shared" si="70"/>
        <v>4</v>
      </c>
      <c r="D224" s="10" t="str">
        <f t="shared" si="70"/>
        <v>HPL</v>
      </c>
      <c r="E224" s="10" t="str">
        <f t="shared" si="70"/>
        <v>مرايا علوية 2</v>
      </c>
      <c r="F224" s="7" t="str">
        <f t="shared" si="71"/>
        <v/>
      </c>
      <c r="G224" s="7" t="str">
        <f t="shared" si="72"/>
        <v/>
      </c>
      <c r="H224" s="7" t="str">
        <f t="shared" si="73"/>
        <v/>
      </c>
      <c r="I224" s="7" t="str">
        <f t="shared" si="74"/>
        <v/>
      </c>
      <c r="J224" s="7" t="str">
        <f t="shared" si="75"/>
        <v/>
      </c>
      <c r="K224" s="10">
        <f t="shared" ref="K224:L224" si="79">K221</f>
        <v>0</v>
      </c>
      <c r="L224" s="10">
        <f t="shared" si="79"/>
        <v>78</v>
      </c>
      <c r="M224" s="10">
        <f>M221</f>
        <v>56</v>
      </c>
      <c r="N224" s="9">
        <f>N221</f>
        <v>5</v>
      </c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</row>
    <row r="225" spans="1:79" x14ac:dyDescent="0.3">
      <c r="A225" s="88">
        <f t="shared" si="78"/>
        <v>37</v>
      </c>
      <c r="B225" s="19" t="str">
        <f t="shared" si="70"/>
        <v xml:space="preserve">وحدة سفلية  تلبيسة دلفة /دلفتين </v>
      </c>
      <c r="C225" s="10">
        <f t="shared" si="70"/>
        <v>5</v>
      </c>
      <c r="D225" s="10" t="str">
        <f t="shared" si="70"/>
        <v>HPL</v>
      </c>
      <c r="E225" s="10" t="str">
        <f t="shared" si="70"/>
        <v>رف</v>
      </c>
      <c r="F225" s="7" t="str">
        <f t="shared" si="71"/>
        <v/>
      </c>
      <c r="G225" s="7" t="str">
        <f t="shared" si="72"/>
        <v/>
      </c>
      <c r="H225" s="7" t="str">
        <f t="shared" si="73"/>
        <v/>
      </c>
      <c r="I225" s="7" t="str">
        <f t="shared" si="74"/>
        <v/>
      </c>
      <c r="J225" s="7" t="str">
        <f t="shared" si="75"/>
        <v/>
      </c>
      <c r="K225" s="10">
        <f t="shared" ref="K225:L225" si="80">K221</f>
        <v>0</v>
      </c>
      <c r="L225" s="10">
        <f t="shared" si="80"/>
        <v>78</v>
      </c>
      <c r="M225" s="10">
        <f>M221</f>
        <v>56</v>
      </c>
      <c r="N225" s="9">
        <f>N221</f>
        <v>5</v>
      </c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</row>
    <row r="226" spans="1:79" x14ac:dyDescent="0.3">
      <c r="A226" s="88">
        <f t="shared" si="78"/>
        <v>38</v>
      </c>
      <c r="B226" s="19" t="str">
        <f t="shared" si="70"/>
        <v xml:space="preserve">وحدة سفلية  تلبيسة دلفة /دلفتين </v>
      </c>
      <c r="C226" s="10">
        <f t="shared" si="70"/>
        <v>6</v>
      </c>
      <c r="D226" s="10" t="str">
        <f t="shared" si="70"/>
        <v>HPL</v>
      </c>
      <c r="E226" s="10" t="str">
        <f t="shared" si="70"/>
        <v>تلبيسة</v>
      </c>
      <c r="F226" s="7" t="str">
        <f t="shared" si="71"/>
        <v/>
      </c>
      <c r="G226" s="7" t="str">
        <f t="shared" si="72"/>
        <v/>
      </c>
      <c r="H226" s="7" t="str">
        <f t="shared" si="73"/>
        <v/>
      </c>
      <c r="I226" s="7" t="str">
        <f t="shared" si="74"/>
        <v/>
      </c>
      <c r="J226" s="7" t="str">
        <f t="shared" si="75"/>
        <v/>
      </c>
      <c r="K226" s="10">
        <f t="shared" ref="K226:L226" si="81">K221</f>
        <v>0</v>
      </c>
      <c r="L226" s="10">
        <f t="shared" si="81"/>
        <v>78</v>
      </c>
      <c r="M226" s="10">
        <f>M221</f>
        <v>56</v>
      </c>
      <c r="N226" s="9">
        <f t="shared" ref="N226" si="82">N222</f>
        <v>5</v>
      </c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</row>
    <row r="227" spans="1:79" x14ac:dyDescent="0.3"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</row>
    <row r="228" spans="1:79" ht="15.6" customHeight="1" x14ac:dyDescent="0.3">
      <c r="A228" s="88">
        <f>A226+1</f>
        <v>39</v>
      </c>
      <c r="B228" s="19" t="str">
        <f t="shared" ref="B228:B233" si="83">B124</f>
        <v>وحدة سفلية  زاوية 90</v>
      </c>
      <c r="C228" s="10">
        <f t="shared" ref="C228:E233" si="84">C125</f>
        <v>1</v>
      </c>
      <c r="D228" s="10" t="str">
        <f t="shared" si="84"/>
        <v>HPL</v>
      </c>
      <c r="E228" s="10" t="str">
        <f t="shared" si="84"/>
        <v>قاعدة</v>
      </c>
      <c r="F228" s="7" t="str">
        <f t="shared" ref="F228:F233" si="85">IF(K228=0, "",F125)</f>
        <v/>
      </c>
      <c r="G228" s="7" t="str">
        <f t="shared" ref="G228:G233" si="86">IF(K228=0, "",G125)</f>
        <v/>
      </c>
      <c r="H228" s="7" t="str">
        <f t="shared" ref="H228:H233" si="87">IF(K228=0, "",H125)</f>
        <v/>
      </c>
      <c r="I228" s="7" t="str">
        <f t="shared" ref="I228:I233" si="88">IF(K228=0, "",I125)</f>
        <v/>
      </c>
      <c r="J228" s="7" t="str">
        <f t="shared" ref="J228:J233" si="89">IF(K228=0, "",J125)</f>
        <v/>
      </c>
      <c r="K228" s="10">
        <f>H119</f>
        <v>0</v>
      </c>
      <c r="L228" s="10">
        <f>I119</f>
        <v>78</v>
      </c>
      <c r="M228" s="10">
        <f>J119</f>
        <v>56</v>
      </c>
      <c r="N228" s="9">
        <f>J117</f>
        <v>6</v>
      </c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</row>
    <row r="229" spans="1:79" x14ac:dyDescent="0.3">
      <c r="A229" s="88">
        <f>A228+1</f>
        <v>40</v>
      </c>
      <c r="B229" s="19" t="str">
        <f t="shared" si="83"/>
        <v>وحدة سفلية  زاوية 90</v>
      </c>
      <c r="C229" s="10">
        <f t="shared" si="84"/>
        <v>2</v>
      </c>
      <c r="D229" s="10" t="str">
        <f t="shared" si="84"/>
        <v>HPL</v>
      </c>
      <c r="E229" s="10" t="str">
        <f t="shared" si="84"/>
        <v>أجناب</v>
      </c>
      <c r="F229" s="7" t="str">
        <f t="shared" si="85"/>
        <v/>
      </c>
      <c r="G229" s="7" t="str">
        <f t="shared" si="86"/>
        <v/>
      </c>
      <c r="H229" s="7" t="str">
        <f t="shared" si="87"/>
        <v/>
      </c>
      <c r="I229" s="7" t="str">
        <f t="shared" si="88"/>
        <v/>
      </c>
      <c r="J229" s="7" t="str">
        <f t="shared" si="89"/>
        <v/>
      </c>
      <c r="K229" s="10">
        <f t="shared" ref="K229:M229" si="90">K228</f>
        <v>0</v>
      </c>
      <c r="L229" s="10">
        <f t="shared" si="90"/>
        <v>78</v>
      </c>
      <c r="M229" s="10">
        <f t="shared" si="90"/>
        <v>56</v>
      </c>
      <c r="N229" s="9">
        <f>N228</f>
        <v>6</v>
      </c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</row>
    <row r="230" spans="1:79" x14ac:dyDescent="0.3">
      <c r="A230" s="88">
        <f>A229+1</f>
        <v>41</v>
      </c>
      <c r="B230" s="19" t="str">
        <f t="shared" si="83"/>
        <v>وحدة سفلية  زاوية 90</v>
      </c>
      <c r="C230" s="10">
        <f t="shared" si="84"/>
        <v>3</v>
      </c>
      <c r="D230" s="10" t="str">
        <f t="shared" si="84"/>
        <v>HPL</v>
      </c>
      <c r="E230" s="10" t="str">
        <f t="shared" si="84"/>
        <v>مرايا علوية 1</v>
      </c>
      <c r="F230" s="7" t="str">
        <f t="shared" si="85"/>
        <v/>
      </c>
      <c r="G230" s="7" t="str">
        <f t="shared" si="86"/>
        <v/>
      </c>
      <c r="H230" s="7" t="str">
        <f t="shared" si="87"/>
        <v/>
      </c>
      <c r="I230" s="7" t="str">
        <f t="shared" si="88"/>
        <v/>
      </c>
      <c r="J230" s="7" t="str">
        <f t="shared" si="89"/>
        <v/>
      </c>
      <c r="K230" s="10">
        <f t="shared" ref="K230:M230" si="91">K228</f>
        <v>0</v>
      </c>
      <c r="L230" s="10">
        <f t="shared" si="91"/>
        <v>78</v>
      </c>
      <c r="M230" s="10">
        <f t="shared" si="91"/>
        <v>56</v>
      </c>
      <c r="N230" s="9">
        <f>N228</f>
        <v>6</v>
      </c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</row>
    <row r="231" spans="1:79" x14ac:dyDescent="0.3">
      <c r="A231" s="88">
        <f t="shared" ref="A231:A233" si="92">A230+1</f>
        <v>42</v>
      </c>
      <c r="B231" s="19" t="str">
        <f t="shared" si="83"/>
        <v>وحدة سفلية  زاوية 90</v>
      </c>
      <c r="C231" s="10">
        <f t="shared" si="84"/>
        <v>4</v>
      </c>
      <c r="D231" s="10" t="str">
        <f t="shared" si="84"/>
        <v>HPL</v>
      </c>
      <c r="E231" s="10" t="str">
        <f t="shared" si="84"/>
        <v>مرايا علوية 2</v>
      </c>
      <c r="F231" s="7" t="str">
        <f t="shared" si="85"/>
        <v/>
      </c>
      <c r="G231" s="7" t="str">
        <f t="shared" si="86"/>
        <v/>
      </c>
      <c r="H231" s="7" t="str">
        <f t="shared" si="87"/>
        <v/>
      </c>
      <c r="I231" s="7" t="str">
        <f t="shared" si="88"/>
        <v/>
      </c>
      <c r="J231" s="7" t="str">
        <f t="shared" si="89"/>
        <v/>
      </c>
      <c r="K231" s="10">
        <f t="shared" ref="K231:L231" si="93">K228</f>
        <v>0</v>
      </c>
      <c r="L231" s="10">
        <f t="shared" si="93"/>
        <v>78</v>
      </c>
      <c r="M231" s="10">
        <f>M228</f>
        <v>56</v>
      </c>
      <c r="N231" s="9">
        <f>N228</f>
        <v>6</v>
      </c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</row>
    <row r="232" spans="1:79" x14ac:dyDescent="0.3">
      <c r="A232" s="88">
        <f t="shared" si="92"/>
        <v>43</v>
      </c>
      <c r="B232" s="19" t="str">
        <f t="shared" si="83"/>
        <v>وحدة سفلية  زاوية 90</v>
      </c>
      <c r="C232" s="10">
        <f t="shared" si="84"/>
        <v>5</v>
      </c>
      <c r="D232" s="10" t="str">
        <f t="shared" si="84"/>
        <v>HPL</v>
      </c>
      <c r="E232" s="10" t="str">
        <f t="shared" si="84"/>
        <v>قائم خلفى</v>
      </c>
      <c r="F232" s="7" t="str">
        <f t="shared" si="85"/>
        <v/>
      </c>
      <c r="G232" s="7" t="str">
        <f t="shared" si="86"/>
        <v/>
      </c>
      <c r="H232" s="7" t="str">
        <f t="shared" si="87"/>
        <v/>
      </c>
      <c r="I232" s="7" t="str">
        <f t="shared" si="88"/>
        <v/>
      </c>
      <c r="J232" s="7" t="str">
        <f t="shared" si="89"/>
        <v/>
      </c>
      <c r="K232" s="10">
        <f t="shared" ref="K232:L232" si="94">K228</f>
        <v>0</v>
      </c>
      <c r="L232" s="10">
        <f t="shared" si="94"/>
        <v>78</v>
      </c>
      <c r="M232" s="10">
        <f>M228</f>
        <v>56</v>
      </c>
      <c r="N232" s="9">
        <f>N228</f>
        <v>6</v>
      </c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</row>
    <row r="233" spans="1:79" x14ac:dyDescent="0.3">
      <c r="A233" s="88">
        <f t="shared" si="92"/>
        <v>44</v>
      </c>
      <c r="B233" s="19" t="str">
        <f t="shared" si="83"/>
        <v>وحدة سفلية  زاوية 90</v>
      </c>
      <c r="C233" s="10">
        <f t="shared" si="84"/>
        <v>6</v>
      </c>
      <c r="D233" s="10" t="str">
        <f t="shared" si="84"/>
        <v>HPL</v>
      </c>
      <c r="E233" s="10" t="str">
        <f t="shared" si="84"/>
        <v>رف</v>
      </c>
      <c r="F233" s="7" t="str">
        <f t="shared" si="85"/>
        <v/>
      </c>
      <c r="G233" s="7" t="str">
        <f t="shared" si="86"/>
        <v/>
      </c>
      <c r="H233" s="7" t="str">
        <f t="shared" si="87"/>
        <v/>
      </c>
      <c r="I233" s="7" t="str">
        <f t="shared" si="88"/>
        <v/>
      </c>
      <c r="J233" s="7" t="str">
        <f t="shared" si="89"/>
        <v/>
      </c>
      <c r="K233" s="10">
        <f t="shared" ref="K233:L233" si="95">K228</f>
        <v>0</v>
      </c>
      <c r="L233" s="10">
        <f t="shared" si="95"/>
        <v>78</v>
      </c>
      <c r="M233" s="10">
        <f>M228</f>
        <v>56</v>
      </c>
      <c r="N233" s="9">
        <f t="shared" ref="N233" si="96">N229</f>
        <v>6</v>
      </c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</row>
    <row r="234" spans="1:79" x14ac:dyDescent="0.3"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</row>
    <row r="235" spans="1:79" ht="15.6" customHeight="1" x14ac:dyDescent="0.3">
      <c r="A235" s="88">
        <f>A233+1</f>
        <v>45</v>
      </c>
      <c r="B235" s="19" t="str">
        <f t="shared" ref="B235:E240" si="97">B146</f>
        <v>وحدة سفلية  ركنة 45</v>
      </c>
      <c r="C235" s="10">
        <f t="shared" si="97"/>
        <v>1</v>
      </c>
      <c r="D235" s="10" t="str">
        <f t="shared" si="97"/>
        <v>HPL</v>
      </c>
      <c r="E235" s="10" t="str">
        <f t="shared" si="97"/>
        <v>قاعدة</v>
      </c>
      <c r="F235" s="7" t="str">
        <f t="shared" ref="F235:F240" si="98">IF(K235=0, "",F146)</f>
        <v/>
      </c>
      <c r="G235" s="7" t="str">
        <f t="shared" ref="G235:G240" si="99">IF(K235=0, "",G146)</f>
        <v/>
      </c>
      <c r="H235" s="7" t="str">
        <f t="shared" ref="H235:H240" si="100">IF(K235=0, "",H146)</f>
        <v/>
      </c>
      <c r="I235" s="7" t="str">
        <f t="shared" ref="I235:I240" si="101">IF(K235=0, "",I146)</f>
        <v/>
      </c>
      <c r="J235" s="7" t="str">
        <f t="shared" ref="J235:J240" si="102">IF(K235=0, "",J146)</f>
        <v/>
      </c>
      <c r="K235" s="10">
        <f>H140</f>
        <v>0</v>
      </c>
      <c r="L235" s="10">
        <f>I140</f>
        <v>78</v>
      </c>
      <c r="M235" s="10">
        <f>J140</f>
        <v>56</v>
      </c>
      <c r="N235" s="9">
        <f>J138</f>
        <v>7</v>
      </c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</row>
    <row r="236" spans="1:79" x14ac:dyDescent="0.3">
      <c r="A236" s="88">
        <f>A235+1</f>
        <v>46</v>
      </c>
      <c r="B236" s="19" t="str">
        <f t="shared" si="97"/>
        <v>وحدة سفلية  ركنة 45</v>
      </c>
      <c r="C236" s="10">
        <f t="shared" si="97"/>
        <v>2</v>
      </c>
      <c r="D236" s="10" t="str">
        <f t="shared" si="97"/>
        <v>HPL</v>
      </c>
      <c r="E236" s="10" t="str">
        <f t="shared" si="97"/>
        <v>أجناب</v>
      </c>
      <c r="F236" s="7" t="str">
        <f t="shared" si="98"/>
        <v/>
      </c>
      <c r="G236" s="7" t="str">
        <f t="shared" si="99"/>
        <v/>
      </c>
      <c r="H236" s="7" t="str">
        <f t="shared" si="100"/>
        <v/>
      </c>
      <c r="I236" s="7" t="str">
        <f t="shared" si="101"/>
        <v/>
      </c>
      <c r="J236" s="7" t="str">
        <f t="shared" si="102"/>
        <v/>
      </c>
      <c r="K236" s="10">
        <f t="shared" ref="K236:M236" si="103">K235</f>
        <v>0</v>
      </c>
      <c r="L236" s="10">
        <f t="shared" si="103"/>
        <v>78</v>
      </c>
      <c r="M236" s="10">
        <f t="shared" si="103"/>
        <v>56</v>
      </c>
      <c r="N236" s="9">
        <f>N235</f>
        <v>7</v>
      </c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</row>
    <row r="237" spans="1:79" x14ac:dyDescent="0.3">
      <c r="A237" s="88">
        <f>A236+1</f>
        <v>47</v>
      </c>
      <c r="B237" s="19" t="str">
        <f t="shared" si="97"/>
        <v>وحدة سفلية  ركنة 45</v>
      </c>
      <c r="C237" s="10">
        <f t="shared" si="97"/>
        <v>3</v>
      </c>
      <c r="D237" s="10" t="str">
        <f t="shared" si="97"/>
        <v>HPL</v>
      </c>
      <c r="E237" s="10" t="str">
        <f t="shared" si="97"/>
        <v>مرايا علوية 1</v>
      </c>
      <c r="F237" s="7" t="str">
        <f t="shared" si="98"/>
        <v/>
      </c>
      <c r="G237" s="7" t="str">
        <f t="shared" si="99"/>
        <v/>
      </c>
      <c r="H237" s="7" t="str">
        <f t="shared" si="100"/>
        <v/>
      </c>
      <c r="I237" s="7" t="str">
        <f t="shared" si="101"/>
        <v/>
      </c>
      <c r="J237" s="7" t="str">
        <f t="shared" si="102"/>
        <v/>
      </c>
      <c r="K237" s="10">
        <f t="shared" ref="K237:M237" si="104">K235</f>
        <v>0</v>
      </c>
      <c r="L237" s="10">
        <f t="shared" si="104"/>
        <v>78</v>
      </c>
      <c r="M237" s="10">
        <f t="shared" si="104"/>
        <v>56</v>
      </c>
      <c r="N237" s="9">
        <f>N235</f>
        <v>7</v>
      </c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</row>
    <row r="238" spans="1:79" x14ac:dyDescent="0.3">
      <c r="A238" s="88">
        <f t="shared" ref="A238:A240" si="105">A237+1</f>
        <v>48</v>
      </c>
      <c r="B238" s="19" t="str">
        <f t="shared" si="97"/>
        <v>وحدة سفلية  ركنة 45</v>
      </c>
      <c r="C238" s="10">
        <f t="shared" si="97"/>
        <v>4</v>
      </c>
      <c r="D238" s="10" t="str">
        <f t="shared" si="97"/>
        <v>HPL</v>
      </c>
      <c r="E238" s="10" t="str">
        <f t="shared" si="97"/>
        <v>مرايا علوية 2</v>
      </c>
      <c r="F238" s="7" t="str">
        <f t="shared" si="98"/>
        <v/>
      </c>
      <c r="G238" s="7" t="str">
        <f t="shared" si="99"/>
        <v/>
      </c>
      <c r="H238" s="7" t="str">
        <f t="shared" si="100"/>
        <v/>
      </c>
      <c r="I238" s="7" t="str">
        <f t="shared" si="101"/>
        <v/>
      </c>
      <c r="J238" s="7" t="str">
        <f t="shared" si="102"/>
        <v/>
      </c>
      <c r="K238" s="10">
        <f t="shared" ref="K238:L238" si="106">K235</f>
        <v>0</v>
      </c>
      <c r="L238" s="10">
        <f t="shared" si="106"/>
        <v>78</v>
      </c>
      <c r="M238" s="10">
        <f>M235</f>
        <v>56</v>
      </c>
      <c r="N238" s="9">
        <f>N235</f>
        <v>7</v>
      </c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</row>
    <row r="239" spans="1:79" x14ac:dyDescent="0.3">
      <c r="A239" s="88">
        <f t="shared" si="105"/>
        <v>49</v>
      </c>
      <c r="B239" s="19" t="str">
        <f t="shared" si="97"/>
        <v>وحدة سفلية  ركنة 45</v>
      </c>
      <c r="C239" s="10">
        <f t="shared" si="97"/>
        <v>5</v>
      </c>
      <c r="D239" s="10" t="str">
        <f t="shared" si="97"/>
        <v>HPL</v>
      </c>
      <c r="E239" s="10" t="str">
        <f t="shared" si="97"/>
        <v>قائم خلفى</v>
      </c>
      <c r="F239" s="7" t="str">
        <f t="shared" si="98"/>
        <v/>
      </c>
      <c r="G239" s="7" t="str">
        <f t="shared" si="99"/>
        <v/>
      </c>
      <c r="H239" s="7" t="str">
        <f t="shared" si="100"/>
        <v/>
      </c>
      <c r="I239" s="7" t="str">
        <f t="shared" si="101"/>
        <v/>
      </c>
      <c r="J239" s="7" t="str">
        <f t="shared" si="102"/>
        <v/>
      </c>
      <c r="K239" s="10">
        <f t="shared" ref="K239:L239" si="107">K235</f>
        <v>0</v>
      </c>
      <c r="L239" s="10">
        <f t="shared" si="107"/>
        <v>78</v>
      </c>
      <c r="M239" s="10">
        <f>M235</f>
        <v>56</v>
      </c>
      <c r="N239" s="9">
        <f>N235</f>
        <v>7</v>
      </c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</row>
    <row r="240" spans="1:79" x14ac:dyDescent="0.3">
      <c r="A240" s="88">
        <f t="shared" si="105"/>
        <v>50</v>
      </c>
      <c r="B240" s="19" t="str">
        <f t="shared" si="97"/>
        <v>وحدة سفلية  ركنة 45</v>
      </c>
      <c r="C240" s="10">
        <f t="shared" si="97"/>
        <v>6</v>
      </c>
      <c r="D240" s="10" t="str">
        <f t="shared" si="97"/>
        <v>HPL</v>
      </c>
      <c r="E240" s="10" t="str">
        <f t="shared" si="97"/>
        <v>رف</v>
      </c>
      <c r="F240" s="7" t="str">
        <f t="shared" si="98"/>
        <v/>
      </c>
      <c r="G240" s="7" t="str">
        <f t="shared" si="99"/>
        <v/>
      </c>
      <c r="H240" s="7" t="str">
        <f t="shared" si="100"/>
        <v/>
      </c>
      <c r="I240" s="7" t="str">
        <f t="shared" si="101"/>
        <v/>
      </c>
      <c r="J240" s="7" t="str">
        <f t="shared" si="102"/>
        <v/>
      </c>
      <c r="K240" s="10">
        <f t="shared" ref="K240:L240" si="108">K235</f>
        <v>0</v>
      </c>
      <c r="L240" s="10">
        <f t="shared" si="108"/>
        <v>78</v>
      </c>
      <c r="M240" s="10">
        <f>M235</f>
        <v>56</v>
      </c>
      <c r="N240" s="9">
        <f t="shared" ref="N240" si="109">N236</f>
        <v>7</v>
      </c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</row>
    <row r="241" spans="1:79" x14ac:dyDescent="0.3"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42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</row>
    <row r="242" spans="1:79" x14ac:dyDescent="0.3">
      <c r="A242" s="88">
        <f>A240+1</f>
        <v>51</v>
      </c>
      <c r="B242" s="35" t="str">
        <f t="shared" ref="B242:E246" si="110">B165</f>
        <v xml:space="preserve">وحدة سفلية  فرن </v>
      </c>
      <c r="C242" s="10">
        <f t="shared" si="110"/>
        <v>1</v>
      </c>
      <c r="D242" s="10" t="str">
        <f t="shared" si="110"/>
        <v>HPL</v>
      </c>
      <c r="E242" s="10" t="str">
        <f t="shared" si="110"/>
        <v>قاعدة</v>
      </c>
      <c r="F242" s="36" t="str">
        <f>IF(K242=0, "",F165)</f>
        <v/>
      </c>
      <c r="G242" s="36" t="str">
        <f>IF(K242=0, "",G165)</f>
        <v/>
      </c>
      <c r="H242" s="36" t="str">
        <f>IF(K242=0, "",H165)</f>
        <v/>
      </c>
      <c r="I242" s="36" t="str">
        <f>IF(K242=0, "",I165)</f>
        <v/>
      </c>
      <c r="J242" s="36" t="str">
        <f>IF(K242=0, "",J165)</f>
        <v/>
      </c>
      <c r="K242" s="10">
        <f>H160</f>
        <v>0</v>
      </c>
      <c r="L242" s="10">
        <f>I160</f>
        <v>78</v>
      </c>
      <c r="M242" s="10">
        <f>J160</f>
        <v>56</v>
      </c>
      <c r="N242" s="9">
        <f>J158</f>
        <v>8</v>
      </c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</row>
    <row r="243" spans="1:79" x14ac:dyDescent="0.3">
      <c r="A243" s="88">
        <f>A242+1</f>
        <v>52</v>
      </c>
      <c r="B243" s="35" t="str">
        <f t="shared" si="110"/>
        <v xml:space="preserve">وحدة سفلية  فرن </v>
      </c>
      <c r="C243" s="10">
        <f t="shared" si="110"/>
        <v>2</v>
      </c>
      <c r="D243" s="10" t="str">
        <f t="shared" si="110"/>
        <v>HPL</v>
      </c>
      <c r="E243" s="10" t="str">
        <f t="shared" si="110"/>
        <v>أجناب</v>
      </c>
      <c r="F243" s="36" t="str">
        <f>IF(K243=0, "",F166)</f>
        <v/>
      </c>
      <c r="G243" s="36" t="str">
        <f>IF(K243=0, "",G166)</f>
        <v/>
      </c>
      <c r="H243" s="36" t="str">
        <f>IF(K243=0, "",H166)</f>
        <v/>
      </c>
      <c r="I243" s="36" t="str">
        <f>IF(K243=0, "",I166)</f>
        <v/>
      </c>
      <c r="J243" s="36" t="str">
        <f>IF(K243=0, "",J166)</f>
        <v/>
      </c>
      <c r="K243" s="10">
        <f>K242</f>
        <v>0</v>
      </c>
      <c r="L243" s="10">
        <f t="shared" ref="L243:M243" si="111">L242</f>
        <v>78</v>
      </c>
      <c r="M243" s="10">
        <f t="shared" si="111"/>
        <v>56</v>
      </c>
      <c r="N243" s="9">
        <f>N242</f>
        <v>8</v>
      </c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</row>
    <row r="244" spans="1:79" x14ac:dyDescent="0.3">
      <c r="A244" s="88">
        <f>A243+1</f>
        <v>53</v>
      </c>
      <c r="B244" s="35" t="str">
        <f t="shared" si="110"/>
        <v xml:space="preserve">وحدة سفلية  فرن </v>
      </c>
      <c r="C244" s="10">
        <f t="shared" si="110"/>
        <v>3</v>
      </c>
      <c r="D244" s="10" t="str">
        <f t="shared" si="110"/>
        <v>HPL</v>
      </c>
      <c r="E244" s="10" t="str">
        <f t="shared" si="110"/>
        <v>مرايا علوية 1</v>
      </c>
      <c r="F244" s="36" t="str">
        <f>IF(K244=0, "",F167)</f>
        <v/>
      </c>
      <c r="G244" s="36" t="str">
        <f>IF(K244=0, "",G167)</f>
        <v/>
      </c>
      <c r="H244" s="36" t="str">
        <f>IF(K244=0, "",H167)</f>
        <v/>
      </c>
      <c r="I244" s="36" t="str">
        <f>IF(K244=0, "",I167)</f>
        <v/>
      </c>
      <c r="J244" s="36" t="str">
        <f>IF(K244=0, "",J167)</f>
        <v/>
      </c>
      <c r="K244" s="10">
        <f>K242</f>
        <v>0</v>
      </c>
      <c r="L244" s="10">
        <f t="shared" ref="L244:M244" si="112">L242</f>
        <v>78</v>
      </c>
      <c r="M244" s="10">
        <f t="shared" si="112"/>
        <v>56</v>
      </c>
      <c r="N244" s="9">
        <f>N242</f>
        <v>8</v>
      </c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</row>
    <row r="245" spans="1:79" x14ac:dyDescent="0.3">
      <c r="A245" s="88">
        <f t="shared" ref="A245:A246" si="113">A244+1</f>
        <v>54</v>
      </c>
      <c r="B245" s="35" t="str">
        <f t="shared" si="110"/>
        <v xml:space="preserve">وحدة سفلية  فرن </v>
      </c>
      <c r="C245" s="10">
        <f t="shared" si="110"/>
        <v>4</v>
      </c>
      <c r="D245" s="10" t="str">
        <f t="shared" si="110"/>
        <v>HPL</v>
      </c>
      <c r="E245" s="10" t="str">
        <f t="shared" si="110"/>
        <v>مرايا علوية 2</v>
      </c>
      <c r="F245" s="36" t="str">
        <f>IF(K245=0, "",F168)</f>
        <v/>
      </c>
      <c r="G245" s="36" t="str">
        <f>IF(K245=0, "",G168)</f>
        <v/>
      </c>
      <c r="H245" s="36" t="str">
        <f>IF(K245=0, "",H168)</f>
        <v/>
      </c>
      <c r="I245" s="36" t="str">
        <f>IF(K245=0, "",I168)</f>
        <v/>
      </c>
      <c r="J245" s="36" t="str">
        <f>IF(K245=0, "",J168)</f>
        <v/>
      </c>
      <c r="K245" s="10">
        <f>K242</f>
        <v>0</v>
      </c>
      <c r="L245" s="10">
        <f t="shared" ref="L245:M245" si="114">L242</f>
        <v>78</v>
      </c>
      <c r="M245" s="10">
        <f t="shared" si="114"/>
        <v>56</v>
      </c>
      <c r="N245" s="9">
        <f>N242</f>
        <v>8</v>
      </c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</row>
    <row r="246" spans="1:79" x14ac:dyDescent="0.3">
      <c r="A246" s="88">
        <f t="shared" si="113"/>
        <v>55</v>
      </c>
      <c r="B246" s="35" t="str">
        <f t="shared" si="110"/>
        <v xml:space="preserve">وحدة سفلية  فرن </v>
      </c>
      <c r="C246" s="10">
        <f t="shared" si="110"/>
        <v>5</v>
      </c>
      <c r="D246" s="10" t="str">
        <f t="shared" si="110"/>
        <v>HPL</v>
      </c>
      <c r="E246" s="10" t="str">
        <f t="shared" si="110"/>
        <v>رف</v>
      </c>
      <c r="F246" s="36" t="str">
        <f>IF(K246=0, "",F169)</f>
        <v/>
      </c>
      <c r="G246" s="36" t="str">
        <f>IF(K246=0, "",G169)</f>
        <v/>
      </c>
      <c r="H246" s="36" t="str">
        <f>IF(K246=0, "",H169)</f>
        <v/>
      </c>
      <c r="I246" s="36" t="str">
        <f>IF(K246=0, "",I169)</f>
        <v/>
      </c>
      <c r="J246" s="36" t="str">
        <f>IF(K246=0, "",J169)</f>
        <v/>
      </c>
      <c r="K246" s="10">
        <f>K242</f>
        <v>0</v>
      </c>
      <c r="L246" s="10">
        <f t="shared" ref="L246:M246" si="115">L242</f>
        <v>78</v>
      </c>
      <c r="M246" s="10">
        <f t="shared" si="115"/>
        <v>56</v>
      </c>
      <c r="N246" s="9">
        <f>N242</f>
        <v>8</v>
      </c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</row>
    <row r="247" spans="1:79" x14ac:dyDescent="0.3"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</row>
    <row r="248" spans="1:79" x14ac:dyDescent="0.3"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</row>
    <row r="249" spans="1:79" x14ac:dyDescent="0.3"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</row>
    <row r="250" spans="1:79" x14ac:dyDescent="0.3"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</row>
    <row r="251" spans="1:79" x14ac:dyDescent="0.3"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</row>
    <row r="252" spans="1:79" x14ac:dyDescent="0.3"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</row>
    <row r="253" spans="1:79" ht="21" x14ac:dyDescent="0.3">
      <c r="C253" s="109" t="s">
        <v>44</v>
      </c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</row>
    <row r="254" spans="1:79" x14ac:dyDescent="0.3"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</row>
    <row r="255" spans="1:79" ht="36" x14ac:dyDescent="0.3">
      <c r="A255" s="88" t="s">
        <v>123</v>
      </c>
      <c r="B255" s="19" t="s">
        <v>124</v>
      </c>
      <c r="C255" s="16" t="s">
        <v>4</v>
      </c>
      <c r="D255" s="16" t="s">
        <v>9</v>
      </c>
      <c r="E255" s="16" t="s">
        <v>5</v>
      </c>
      <c r="F255" s="17" t="s">
        <v>7</v>
      </c>
      <c r="G255" s="17" t="s">
        <v>1</v>
      </c>
      <c r="H255" s="17" t="s">
        <v>6</v>
      </c>
      <c r="I255" s="17" t="s">
        <v>45</v>
      </c>
      <c r="J255" s="17" t="s">
        <v>8</v>
      </c>
      <c r="K255" s="2" t="s">
        <v>34</v>
      </c>
      <c r="L255" s="2" t="s">
        <v>3</v>
      </c>
      <c r="M255" s="2" t="s">
        <v>2</v>
      </c>
      <c r="N255" s="2" t="s">
        <v>42</v>
      </c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</row>
    <row r="256" spans="1:79" x14ac:dyDescent="0.3"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</row>
    <row r="257" spans="1:79" x14ac:dyDescent="0.3">
      <c r="A257" s="88">
        <f t="shared" ref="A257" si="116">A254+1</f>
        <v>1</v>
      </c>
      <c r="B257" s="19" t="str">
        <f>B26</f>
        <v xml:space="preserve">وحدة سفلية دلفة /دلفتين </v>
      </c>
      <c r="C257" s="18">
        <f>C26</f>
        <v>6</v>
      </c>
      <c r="D257" s="18" t="str">
        <f>D26</f>
        <v>يوفيلاك</v>
      </c>
      <c r="E257" s="18" t="str">
        <f>E26</f>
        <v xml:space="preserve">دلف </v>
      </c>
      <c r="F257" s="7" t="str">
        <f>IF(K257=0, "",F26)</f>
        <v/>
      </c>
      <c r="G257" s="7" t="str">
        <f>IF(K257=0, "",G26)</f>
        <v/>
      </c>
      <c r="H257" s="7" t="str">
        <f>IF(K257=0, "",H26)</f>
        <v/>
      </c>
      <c r="I257" s="7" t="str">
        <f>IF(K257=0, "",I26)</f>
        <v/>
      </c>
      <c r="J257" s="7" t="str">
        <f>IF(K257=0, "",J26)</f>
        <v/>
      </c>
      <c r="K257" s="10">
        <f>H15</f>
        <v>0</v>
      </c>
      <c r="L257" s="10">
        <f>I15</f>
        <v>78</v>
      </c>
      <c r="M257" s="10">
        <f>J15</f>
        <v>56</v>
      </c>
      <c r="N257" s="9">
        <f>J13</f>
        <v>1</v>
      </c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</row>
    <row r="258" spans="1:79" x14ac:dyDescent="0.3">
      <c r="A258" s="88">
        <f>A257+1</f>
        <v>2</v>
      </c>
      <c r="B258" s="19" t="e">
        <f>#REF!</f>
        <v>#REF!</v>
      </c>
      <c r="C258" s="18" t="e">
        <f>#REF!</f>
        <v>#REF!</v>
      </c>
      <c r="D258" s="18" t="e">
        <f>#REF!</f>
        <v>#REF!</v>
      </c>
      <c r="E258" s="18" t="e">
        <f>#REF!</f>
        <v>#REF!</v>
      </c>
      <c r="F258" s="7" t="str">
        <f>IF(K258=0, "",#REF!)</f>
        <v/>
      </c>
      <c r="G258" s="7" t="str">
        <f>IF(K258=0, "",#REF!)</f>
        <v/>
      </c>
      <c r="H258" s="7" t="str">
        <f>IF(K258=0, "",#REF!)</f>
        <v/>
      </c>
      <c r="I258" s="7" t="str">
        <f>IF(K258=0, "",#REF!)</f>
        <v/>
      </c>
      <c r="J258" s="7"/>
      <c r="K258" s="10">
        <f>H15</f>
        <v>0</v>
      </c>
      <c r="L258" s="10">
        <f>I15</f>
        <v>78</v>
      </c>
      <c r="M258" s="10">
        <f>J15</f>
        <v>56</v>
      </c>
      <c r="N258" s="9">
        <f>J13</f>
        <v>1</v>
      </c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</row>
    <row r="259" spans="1:79" x14ac:dyDescent="0.3">
      <c r="A259" s="88">
        <f>A258+1</f>
        <v>3</v>
      </c>
      <c r="B259" s="19" t="str">
        <f>B46</f>
        <v>وحدة سفلية   درجين / 3 أدراج</v>
      </c>
      <c r="C259" s="18">
        <f>C46</f>
        <v>8</v>
      </c>
      <c r="D259" s="18" t="str">
        <f>D46</f>
        <v>يوفيلاك</v>
      </c>
      <c r="E259" s="18" t="str">
        <f>E46</f>
        <v>وش درج خارجى</v>
      </c>
      <c r="F259" s="7" t="str">
        <f>IF(K259=0, "",F46)</f>
        <v/>
      </c>
      <c r="G259" s="7" t="str">
        <f>IF(K259=0, "",G46)</f>
        <v/>
      </c>
      <c r="H259" s="7" t="str">
        <f>IF(K259=0, "",H46)</f>
        <v/>
      </c>
      <c r="I259" s="7" t="str">
        <f>IF(K259=0, "",I46)</f>
        <v/>
      </c>
      <c r="J259" s="7" t="str">
        <f>IF(K259=0, "",J46)</f>
        <v/>
      </c>
      <c r="K259" s="10">
        <f>H33</f>
        <v>0</v>
      </c>
      <c r="L259" s="10">
        <f>I33</f>
        <v>78</v>
      </c>
      <c r="M259" s="10">
        <f>J33</f>
        <v>56</v>
      </c>
      <c r="N259" s="9">
        <f>J31</f>
        <v>2</v>
      </c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</row>
    <row r="260" spans="1:79" x14ac:dyDescent="0.3">
      <c r="A260" s="88">
        <f>A259+1</f>
        <v>4</v>
      </c>
      <c r="B260" s="19" t="str">
        <f>B69</f>
        <v>وحدة سفلية   3 أدراج - 3/2</v>
      </c>
      <c r="C260" s="18">
        <f>C69</f>
        <v>11</v>
      </c>
      <c r="D260" s="18" t="str">
        <f>D69</f>
        <v>يوفيلاك</v>
      </c>
      <c r="E260" s="18" t="str">
        <f>E69</f>
        <v>وش درج خارجى</v>
      </c>
      <c r="F260" s="7" t="str">
        <f>IF(K260=0, "",F69)</f>
        <v/>
      </c>
      <c r="G260" s="7" t="str">
        <f>IF(K260=0, "",G69)</f>
        <v/>
      </c>
      <c r="H260" s="7" t="str">
        <f>IF(K260=0, "",H69)</f>
        <v/>
      </c>
      <c r="I260" s="7" t="str">
        <f>IF(K260=0, "",I69)</f>
        <v/>
      </c>
      <c r="J260" s="7" t="str">
        <f>IF(K260=0, "",J69)</f>
        <v/>
      </c>
      <c r="K260" s="10">
        <f>H53</f>
        <v>0</v>
      </c>
      <c r="L260" s="10">
        <f>I53</f>
        <v>78</v>
      </c>
      <c r="M260" s="10">
        <f>J53</f>
        <v>56</v>
      </c>
      <c r="N260" s="9">
        <f>J51</f>
        <v>3</v>
      </c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</row>
    <row r="261" spans="1:79" x14ac:dyDescent="0.3">
      <c r="A261" s="88">
        <f t="shared" ref="A261:A268" si="117">A260+1</f>
        <v>5</v>
      </c>
      <c r="B261" s="19" t="str">
        <f>B92</f>
        <v>وحدة سفلية   درجين - 2/4</v>
      </c>
      <c r="C261" s="18">
        <f>C92</f>
        <v>11</v>
      </c>
      <c r="D261" s="18" t="str">
        <f>D92</f>
        <v>يوفيلاك</v>
      </c>
      <c r="E261" s="18" t="str">
        <f>E92</f>
        <v>وش درج خارجى</v>
      </c>
      <c r="F261" s="7" t="str">
        <f>IF(K261=0, "",F92)</f>
        <v/>
      </c>
      <c r="G261" s="7" t="str">
        <f>IF(K261=0, "",G92)</f>
        <v/>
      </c>
      <c r="H261" s="7" t="str">
        <f>IF(K261=0, "",H92)</f>
        <v/>
      </c>
      <c r="I261" s="7" t="str">
        <f>IF(K261=0, "",I92)</f>
        <v/>
      </c>
      <c r="J261" s="7" t="str">
        <f>IF(K261=0, "",J92)</f>
        <v/>
      </c>
      <c r="K261" s="10">
        <f>H76</f>
        <v>0</v>
      </c>
      <c r="L261" s="10">
        <f>I76</f>
        <v>78</v>
      </c>
      <c r="M261" s="10">
        <f>J76</f>
        <v>56</v>
      </c>
      <c r="N261" s="9">
        <f>J74</f>
        <v>4</v>
      </c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</row>
    <row r="262" spans="1:79" x14ac:dyDescent="0.3">
      <c r="A262" s="88">
        <f t="shared" si="117"/>
        <v>6</v>
      </c>
      <c r="B262" s="19" t="str">
        <f t="shared" ref="B262:E263" si="118">B111</f>
        <v xml:space="preserve">وحدة سفلية  تلبيسة دلفة /دلفتين </v>
      </c>
      <c r="C262" s="18">
        <f t="shared" si="118"/>
        <v>7</v>
      </c>
      <c r="D262" s="18" t="str">
        <f t="shared" si="118"/>
        <v>يوفيلاك</v>
      </c>
      <c r="E262" s="18" t="str">
        <f t="shared" si="118"/>
        <v xml:space="preserve">دلف </v>
      </c>
      <c r="F262" s="7" t="str">
        <f>IF(K262=0, "",F111)</f>
        <v/>
      </c>
      <c r="G262" s="7" t="str">
        <f>IF(K262=0, "",G111)</f>
        <v/>
      </c>
      <c r="H262" s="7" t="str">
        <f>IF(K262=0, "",H111)</f>
        <v/>
      </c>
      <c r="I262" s="7" t="str">
        <f>IF(K262=0, "",I111)</f>
        <v/>
      </c>
      <c r="J262" s="7" t="str">
        <f>IF(K262=0, "",J111)</f>
        <v/>
      </c>
      <c r="K262" s="10">
        <f>H99</f>
        <v>0</v>
      </c>
      <c r="L262" s="10">
        <f>I99</f>
        <v>78</v>
      </c>
      <c r="M262" s="10">
        <f>J99</f>
        <v>56</v>
      </c>
      <c r="N262" s="9">
        <f>J97</f>
        <v>5</v>
      </c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</row>
    <row r="263" spans="1:79" x14ac:dyDescent="0.3">
      <c r="A263" s="88">
        <f t="shared" si="117"/>
        <v>7</v>
      </c>
      <c r="B263" s="19" t="str">
        <f t="shared" si="118"/>
        <v xml:space="preserve">وحدة سفلية  تلبيسة دلفة /دلفتين </v>
      </c>
      <c r="C263" s="18">
        <f t="shared" si="118"/>
        <v>8</v>
      </c>
      <c r="D263" s="18" t="str">
        <f t="shared" si="118"/>
        <v>يوفيلاك</v>
      </c>
      <c r="E263" s="18" t="str">
        <f t="shared" si="118"/>
        <v>تلبييسة ثابتة</v>
      </c>
      <c r="F263" s="7" t="str">
        <f>IF(K263=0, "",F112)</f>
        <v/>
      </c>
      <c r="G263" s="7" t="str">
        <f>IF(K263=0, "",G112)</f>
        <v/>
      </c>
      <c r="H263" s="7" t="str">
        <f>IF(K263=0, "",H112)</f>
        <v/>
      </c>
      <c r="I263" s="7" t="str">
        <f>IF(K263=0, "",I112)</f>
        <v/>
      </c>
      <c r="J263" s="7" t="str">
        <f>IF(K263=0, "",J112)</f>
        <v/>
      </c>
      <c r="K263" s="10">
        <f>H99</f>
        <v>0</v>
      </c>
      <c r="L263" s="10">
        <f>I99</f>
        <v>78</v>
      </c>
      <c r="M263" s="10">
        <f>J99</f>
        <v>56</v>
      </c>
      <c r="N263" s="9">
        <f>J97</f>
        <v>5</v>
      </c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</row>
    <row r="264" spans="1:79" x14ac:dyDescent="0.3">
      <c r="A264" s="88">
        <f t="shared" si="117"/>
        <v>8</v>
      </c>
      <c r="B264" s="19" t="str">
        <f t="shared" ref="B264:E265" si="119">B132</f>
        <v>وحدة سفلية  زاوية 90</v>
      </c>
      <c r="C264" s="18">
        <f t="shared" si="119"/>
        <v>7</v>
      </c>
      <c r="D264" s="18" t="str">
        <f t="shared" si="119"/>
        <v>يوفيلاك</v>
      </c>
      <c r="E264" s="18" t="str">
        <f t="shared" si="119"/>
        <v>دلف 1</v>
      </c>
      <c r="F264" s="7" t="str">
        <f>IF(K264=0, "",F132)</f>
        <v/>
      </c>
      <c r="G264" s="7" t="str">
        <f>IF(K264=0, "",G132)</f>
        <v/>
      </c>
      <c r="H264" s="7" t="str">
        <f>IF(K264=0, "",H132)</f>
        <v/>
      </c>
      <c r="I264" s="7" t="str">
        <f>IF(K264=0, "",I132)</f>
        <v/>
      </c>
      <c r="J264" s="7" t="str">
        <f>IF(K264=0, "",J132)</f>
        <v/>
      </c>
      <c r="K264" s="10">
        <f t="shared" ref="K264:M265" si="120">H119</f>
        <v>0</v>
      </c>
      <c r="L264" s="10">
        <f t="shared" si="120"/>
        <v>78</v>
      </c>
      <c r="M264" s="10">
        <f t="shared" si="120"/>
        <v>56</v>
      </c>
      <c r="N264" s="9">
        <f>J117</f>
        <v>6</v>
      </c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</row>
    <row r="265" spans="1:79" x14ac:dyDescent="0.3">
      <c r="A265" s="88">
        <f t="shared" si="117"/>
        <v>9</v>
      </c>
      <c r="B265" s="19" t="str">
        <f t="shared" si="119"/>
        <v>وحدة سفلية  زاوية 90</v>
      </c>
      <c r="C265" s="18">
        <f t="shared" si="119"/>
        <v>8</v>
      </c>
      <c r="D265" s="18" t="str">
        <f t="shared" si="119"/>
        <v>يوفيلاك</v>
      </c>
      <c r="E265" s="18" t="str">
        <f t="shared" si="119"/>
        <v>دلف 2</v>
      </c>
      <c r="F265" s="7" t="str">
        <f>IF(K265=0, "",F133)</f>
        <v/>
      </c>
      <c r="G265" s="7" t="str">
        <f>IF(K265=0, "",G133)</f>
        <v/>
      </c>
      <c r="H265" s="7" t="str">
        <f>IF(K265=0, "",H133)</f>
        <v/>
      </c>
      <c r="I265" s="7" t="str">
        <f>IF(K265=0, "",I133)</f>
        <v/>
      </c>
      <c r="J265" s="7" t="str">
        <f>IF(K265=0, "",J133)</f>
        <v/>
      </c>
      <c r="K265" s="10">
        <f t="shared" si="120"/>
        <v>0</v>
      </c>
      <c r="L265" s="10">
        <f t="shared" si="120"/>
        <v>78</v>
      </c>
      <c r="M265" s="10">
        <f t="shared" si="120"/>
        <v>56</v>
      </c>
      <c r="N265" s="9">
        <f>J117</f>
        <v>6</v>
      </c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</row>
    <row r="266" spans="1:79" x14ac:dyDescent="0.3">
      <c r="A266" s="88">
        <f t="shared" si="117"/>
        <v>10</v>
      </c>
      <c r="B266" s="19" t="str">
        <f>B153</f>
        <v>وحدة سفلية  ركنة 45</v>
      </c>
      <c r="C266" s="18">
        <f>C153</f>
        <v>7</v>
      </c>
      <c r="D266" s="18" t="str">
        <f>D153</f>
        <v>يوفيلاك</v>
      </c>
      <c r="E266" s="18" t="str">
        <f>E153</f>
        <v>دلف 1</v>
      </c>
      <c r="F266" s="7" t="str">
        <f>IF(K266=0, "",F153)</f>
        <v/>
      </c>
      <c r="G266" s="21" t="str">
        <f>IF(K266=0, "",G153)</f>
        <v/>
      </c>
      <c r="H266" s="7" t="str">
        <f>IF(K266=0, "",H153)</f>
        <v/>
      </c>
      <c r="I266" s="7" t="str">
        <f>IF(K266=0, "",I153)</f>
        <v/>
      </c>
      <c r="J266" s="7" t="str">
        <f>IF(K266=0, "",J153)</f>
        <v/>
      </c>
      <c r="K266" s="10">
        <f>H140</f>
        <v>0</v>
      </c>
      <c r="L266" s="10">
        <f>I140</f>
        <v>78</v>
      </c>
      <c r="M266" s="10">
        <f>J140</f>
        <v>56</v>
      </c>
      <c r="N266" s="9">
        <f>J138</f>
        <v>7</v>
      </c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</row>
    <row r="267" spans="1:79" x14ac:dyDescent="0.3">
      <c r="A267" s="88">
        <f t="shared" si="117"/>
        <v>11</v>
      </c>
      <c r="B267" s="35" t="str">
        <f t="shared" ref="B267:E268" si="121">B171</f>
        <v xml:space="preserve">وحدة سفلية  فرن </v>
      </c>
      <c r="C267" s="18">
        <f t="shared" si="121"/>
        <v>6</v>
      </c>
      <c r="D267" s="18" t="str">
        <f t="shared" si="121"/>
        <v>يوفيلاك</v>
      </c>
      <c r="E267" s="18" t="str">
        <f t="shared" si="121"/>
        <v xml:space="preserve">دلف </v>
      </c>
      <c r="F267" s="36" t="str">
        <f>IF(K267=0, "",F171)</f>
        <v/>
      </c>
      <c r="G267" s="36" t="str">
        <f>IF(K267=0, "",G171)</f>
        <v/>
      </c>
      <c r="H267" s="36" t="str">
        <f>IF(K267=0, "",H171)</f>
        <v/>
      </c>
      <c r="I267" s="36" t="str">
        <f>IF(K267=0, "",I171)</f>
        <v/>
      </c>
      <c r="J267" s="36" t="str">
        <f>IF(K267=0, "",J171)</f>
        <v/>
      </c>
      <c r="K267" s="10">
        <f>K242</f>
        <v>0</v>
      </c>
      <c r="L267" s="10">
        <f>L242</f>
        <v>78</v>
      </c>
      <c r="M267" s="10">
        <f>M242</f>
        <v>56</v>
      </c>
      <c r="N267" s="9">
        <f>N242</f>
        <v>8</v>
      </c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</row>
    <row r="268" spans="1:79" x14ac:dyDescent="0.3">
      <c r="A268" s="88">
        <f t="shared" si="117"/>
        <v>12</v>
      </c>
      <c r="B268" s="37" t="str">
        <f t="shared" si="121"/>
        <v xml:space="preserve">وحدة سفلية  فرن </v>
      </c>
      <c r="C268" s="38">
        <f t="shared" si="121"/>
        <v>6</v>
      </c>
      <c r="D268" s="38" t="str">
        <f t="shared" si="121"/>
        <v>يوفيلاك</v>
      </c>
      <c r="E268" s="38" t="str">
        <f t="shared" si="121"/>
        <v>وش فرن</v>
      </c>
      <c r="F268" s="39" t="str">
        <f>IF(K268=0, "",F172)</f>
        <v/>
      </c>
      <c r="G268" s="39" t="str">
        <f>IF(K268=0, "",G172)</f>
        <v/>
      </c>
      <c r="H268" s="39" t="str">
        <f>IF(K268=0, "",H172)</f>
        <v/>
      </c>
      <c r="I268" s="39" t="str">
        <f>IF(K268=0, "",I172)</f>
        <v/>
      </c>
      <c r="J268" s="39" t="str">
        <f>IF(K268=0, "",J172)</f>
        <v/>
      </c>
      <c r="K268" s="40">
        <f>K242</f>
        <v>0</v>
      </c>
      <c r="L268" s="40">
        <f>L242</f>
        <v>78</v>
      </c>
      <c r="M268" s="40">
        <f>M242</f>
        <v>56</v>
      </c>
      <c r="N268" s="41">
        <f>N242</f>
        <v>8</v>
      </c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</row>
    <row r="269" spans="1:79" x14ac:dyDescent="0.3"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</row>
    <row r="270" spans="1:79" x14ac:dyDescent="0.3"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</row>
    <row r="271" spans="1:79" ht="21" x14ac:dyDescent="0.3">
      <c r="C271" s="106" t="s">
        <v>70</v>
      </c>
      <c r="D271" s="107"/>
      <c r="E271" s="107"/>
      <c r="F271" s="107"/>
      <c r="G271" s="107"/>
      <c r="H271" s="107"/>
      <c r="I271" s="107"/>
      <c r="J271" s="107"/>
      <c r="K271" s="107"/>
      <c r="L271" s="107"/>
      <c r="M271" s="107"/>
      <c r="N271" s="108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</row>
    <row r="272" spans="1:79" x14ac:dyDescent="0.3"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</row>
    <row r="273" spans="1:79" ht="36" x14ac:dyDescent="0.3">
      <c r="A273" s="88" t="s">
        <v>123</v>
      </c>
      <c r="B273" s="19" t="s">
        <v>124</v>
      </c>
      <c r="C273" s="26" t="s">
        <v>4</v>
      </c>
      <c r="D273" s="26" t="s">
        <v>9</v>
      </c>
      <c r="E273" s="26" t="s">
        <v>5</v>
      </c>
      <c r="F273" s="17" t="s">
        <v>7</v>
      </c>
      <c r="G273" s="17" t="s">
        <v>1</v>
      </c>
      <c r="H273" s="17" t="s">
        <v>6</v>
      </c>
      <c r="I273" s="17" t="s">
        <v>45</v>
      </c>
      <c r="J273" s="17" t="s">
        <v>8</v>
      </c>
      <c r="K273" s="2" t="s">
        <v>34</v>
      </c>
      <c r="L273" s="2" t="s">
        <v>3</v>
      </c>
      <c r="M273" s="2" t="s">
        <v>2</v>
      </c>
      <c r="N273" s="2" t="s">
        <v>42</v>
      </c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</row>
    <row r="274" spans="1:79" x14ac:dyDescent="0.3">
      <c r="C274" s="27"/>
      <c r="D274" s="27"/>
      <c r="E274" s="27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</row>
    <row r="275" spans="1:79" x14ac:dyDescent="0.3">
      <c r="A275" s="88">
        <f t="shared" ref="A275" si="122">A272+1</f>
        <v>1</v>
      </c>
      <c r="B275" s="19" t="str">
        <f>B28</f>
        <v xml:space="preserve">وحدة سفلية دلفة /دلفتين </v>
      </c>
      <c r="C275" s="28">
        <f>C28</f>
        <v>7</v>
      </c>
      <c r="D275" s="28" t="str">
        <f>D28</f>
        <v>ظهر</v>
      </c>
      <c r="E275" s="28" t="str">
        <f>E28</f>
        <v>ظهر</v>
      </c>
      <c r="F275" s="7" t="str">
        <f>IF(K275=0, "",F28)</f>
        <v/>
      </c>
      <c r="G275" s="7" t="str">
        <f>IF(K275=0, "",G28)</f>
        <v/>
      </c>
      <c r="H275" s="7" t="str">
        <f>IF(K275=0, "",H28)</f>
        <v/>
      </c>
      <c r="I275" s="7" t="str">
        <f>IF(K275=0, "",I28)</f>
        <v/>
      </c>
      <c r="J275" s="7" t="e">
        <f>IF(#REF!=0, "",J28)</f>
        <v>#REF!</v>
      </c>
      <c r="K275" s="10">
        <f>H15</f>
        <v>0</v>
      </c>
      <c r="L275" s="10">
        <f>I15</f>
        <v>78</v>
      </c>
      <c r="M275" s="10">
        <f>J15</f>
        <v>56</v>
      </c>
      <c r="N275" s="9">
        <f>J13</f>
        <v>1</v>
      </c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</row>
    <row r="276" spans="1:79" x14ac:dyDescent="0.3">
      <c r="A276" s="88">
        <f>A275+1</f>
        <v>2</v>
      </c>
      <c r="B276" s="19" t="str">
        <f>B48</f>
        <v>وحدة سفلية   درجين / 3 أدراج</v>
      </c>
      <c r="C276" s="28">
        <f>C48</f>
        <v>9</v>
      </c>
      <c r="D276" s="28" t="str">
        <f>D48</f>
        <v>ظهر</v>
      </c>
      <c r="E276" s="28" t="str">
        <f>E48</f>
        <v>ظهر</v>
      </c>
      <c r="F276" s="7" t="str">
        <f>IF(K276=0, "",F48)</f>
        <v/>
      </c>
      <c r="G276" s="7" t="str">
        <f>IF(K276=0, "",G48)</f>
        <v/>
      </c>
      <c r="H276" s="7" t="str">
        <f>IF(K276=0, "",H48)</f>
        <v/>
      </c>
      <c r="I276" s="7" t="str">
        <f>IF(K276=0, "",I48)</f>
        <v/>
      </c>
      <c r="J276" s="7" t="e">
        <f>IF(#REF!=0, "",J48)</f>
        <v>#REF!</v>
      </c>
      <c r="K276" s="10">
        <f>H33</f>
        <v>0</v>
      </c>
      <c r="L276" s="10">
        <f>I33</f>
        <v>78</v>
      </c>
      <c r="M276" s="10">
        <f>J33</f>
        <v>56</v>
      </c>
      <c r="N276" s="9">
        <f>J31</f>
        <v>2</v>
      </c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</row>
    <row r="277" spans="1:79" x14ac:dyDescent="0.3">
      <c r="A277" s="88">
        <f>A276+1</f>
        <v>3</v>
      </c>
      <c r="B277" s="19" t="str">
        <f>B71</f>
        <v>وحدة سفلية   3 أدراج - 3/2</v>
      </c>
      <c r="C277" s="28">
        <f>C71</f>
        <v>12</v>
      </c>
      <c r="D277" s="28" t="str">
        <f>D71</f>
        <v>ظهر</v>
      </c>
      <c r="E277" s="28" t="str">
        <f>E71</f>
        <v>ظهر</v>
      </c>
      <c r="F277" s="7" t="str">
        <f>IF(K277=0, "",F71)</f>
        <v/>
      </c>
      <c r="G277" s="7" t="str">
        <f>IF(K277=0, "",G71)</f>
        <v/>
      </c>
      <c r="H277" s="7" t="str">
        <f>IF(K277=0, "",H71)</f>
        <v/>
      </c>
      <c r="I277" s="7" t="str">
        <f>IF(K277=0, "",I71)</f>
        <v/>
      </c>
      <c r="J277" s="7" t="str">
        <f>IF(K277=0, "",J71)</f>
        <v/>
      </c>
      <c r="K277" s="10">
        <f>H53</f>
        <v>0</v>
      </c>
      <c r="L277" s="10">
        <f>I53</f>
        <v>78</v>
      </c>
      <c r="M277" s="10">
        <f>J53</f>
        <v>56</v>
      </c>
      <c r="N277" s="9">
        <f>J51</f>
        <v>3</v>
      </c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</row>
    <row r="278" spans="1:79" x14ac:dyDescent="0.3">
      <c r="A278" s="88">
        <f>A277+1</f>
        <v>4</v>
      </c>
      <c r="B278" s="19" t="str">
        <f>B94</f>
        <v>وحدة سفلية   درجين - 2/4</v>
      </c>
      <c r="C278" s="28">
        <f>C94</f>
        <v>12</v>
      </c>
      <c r="D278" s="28" t="str">
        <f>D94</f>
        <v>ظهر</v>
      </c>
      <c r="E278" s="28" t="str">
        <f>E94</f>
        <v>ظهر</v>
      </c>
      <c r="F278" s="7" t="str">
        <f>IF(K278=0, "",F94)</f>
        <v/>
      </c>
      <c r="G278" s="7" t="str">
        <f>IF(K278=0, "",G94)</f>
        <v/>
      </c>
      <c r="H278" s="7" t="str">
        <f>IF(K278=0, "",H94)</f>
        <v/>
      </c>
      <c r="I278" s="7" t="str">
        <f>IF(K278=0, "",I94)</f>
        <v/>
      </c>
      <c r="J278" s="7" t="str">
        <f>IF(K278=0, "",J94)</f>
        <v/>
      </c>
      <c r="K278" s="10">
        <f>H76</f>
        <v>0</v>
      </c>
      <c r="L278" s="10">
        <f>I76</f>
        <v>78</v>
      </c>
      <c r="M278" s="10">
        <f>J76</f>
        <v>56</v>
      </c>
      <c r="N278" s="9">
        <f>J74</f>
        <v>4</v>
      </c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</row>
    <row r="279" spans="1:79" x14ac:dyDescent="0.3">
      <c r="A279" s="88">
        <f t="shared" ref="A279:A283" si="123">A278+1</f>
        <v>5</v>
      </c>
      <c r="B279" s="19" t="str">
        <f>B114</f>
        <v xml:space="preserve">وحدة سفلية  تلبيسة دلفة /دلفتين </v>
      </c>
      <c r="C279" s="28">
        <f>C114</f>
        <v>9</v>
      </c>
      <c r="D279" s="28" t="str">
        <f>D114</f>
        <v>ظهر</v>
      </c>
      <c r="E279" s="28" t="str">
        <f>E114</f>
        <v>ظهر</v>
      </c>
      <c r="F279" s="7" t="str">
        <f>IF(K279=0, "",F114)</f>
        <v/>
      </c>
      <c r="G279" s="7" t="str">
        <f>IF(K279=0, "",G114)</f>
        <v/>
      </c>
      <c r="H279" s="7" t="str">
        <f>IF(K279=0, "",H114)</f>
        <v/>
      </c>
      <c r="I279" s="7" t="str">
        <f>IF(K279=0, "",I114)</f>
        <v/>
      </c>
      <c r="J279" s="7" t="str">
        <f>IF(K279=0, "",J114)</f>
        <v/>
      </c>
      <c r="K279" s="10">
        <f>H99</f>
        <v>0</v>
      </c>
      <c r="L279" s="10">
        <f>I99</f>
        <v>78</v>
      </c>
      <c r="M279" s="10">
        <f>J99</f>
        <v>56</v>
      </c>
      <c r="N279" s="9">
        <f>J97</f>
        <v>5</v>
      </c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</row>
    <row r="280" spans="1:79" x14ac:dyDescent="0.3">
      <c r="A280" s="88">
        <f t="shared" si="123"/>
        <v>6</v>
      </c>
      <c r="B280" s="19" t="str">
        <f>B135</f>
        <v>وحدة سفلية  زاوية 90</v>
      </c>
      <c r="C280" s="28">
        <f>C135</f>
        <v>9</v>
      </c>
      <c r="D280" s="28" t="str">
        <f>D135</f>
        <v>ظهر</v>
      </c>
      <c r="E280" s="28" t="str">
        <f>E135</f>
        <v>ظهر</v>
      </c>
      <c r="F280" s="7" t="str">
        <f>IF(K280=0, "",F135)</f>
        <v/>
      </c>
      <c r="G280" s="7" t="str">
        <f>IF(K280=0, "",G135)</f>
        <v/>
      </c>
      <c r="H280" s="7" t="str">
        <f>IF(K280=0, "",H135)</f>
        <v/>
      </c>
      <c r="I280" s="7" t="str">
        <f>IF(K280=0, "",I135)</f>
        <v/>
      </c>
      <c r="J280" s="7" t="str">
        <f>IF(K280=0, "",J135)</f>
        <v/>
      </c>
      <c r="K280" s="10">
        <f>H120</f>
        <v>0</v>
      </c>
      <c r="L280" s="10">
        <f>I120</f>
        <v>78</v>
      </c>
      <c r="M280" s="10">
        <f>J120</f>
        <v>56</v>
      </c>
      <c r="N280" s="9">
        <f>J117</f>
        <v>6</v>
      </c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</row>
    <row r="281" spans="1:79" x14ac:dyDescent="0.3">
      <c r="A281" s="88">
        <f t="shared" si="123"/>
        <v>7</v>
      </c>
      <c r="B281" s="19" t="str">
        <f>B155</f>
        <v>وحدة سفلية  ركنة 45</v>
      </c>
      <c r="C281" s="28">
        <f>C155</f>
        <v>8</v>
      </c>
      <c r="D281" s="28" t="str">
        <f>D155</f>
        <v>ظهر</v>
      </c>
      <c r="E281" s="28" t="str">
        <f>E155</f>
        <v>ظهر</v>
      </c>
      <c r="F281" s="7" t="str">
        <f>IF(K281=0, "",F155)</f>
        <v/>
      </c>
      <c r="G281" s="7" t="str">
        <f>IF(K281=0, "",G155)</f>
        <v/>
      </c>
      <c r="H281" s="7" t="str">
        <f>IF(K281=0, "",H155)</f>
        <v/>
      </c>
      <c r="I281" s="7" t="str">
        <f>IF(K281=0, "",I155)</f>
        <v/>
      </c>
      <c r="J281" s="7" t="str">
        <f>IF(K281=0, "",J155)</f>
        <v/>
      </c>
      <c r="K281" s="10">
        <f>H140</f>
        <v>0</v>
      </c>
      <c r="L281" s="10">
        <f>I140</f>
        <v>78</v>
      </c>
      <c r="M281" s="10">
        <f>J140</f>
        <v>56</v>
      </c>
      <c r="N281" s="9">
        <f>J138</f>
        <v>7</v>
      </c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</row>
    <row r="282" spans="1:79" x14ac:dyDescent="0.3">
      <c r="A282" s="88">
        <f t="shared" si="123"/>
        <v>8</v>
      </c>
      <c r="B282" s="19" t="str">
        <f>B174</f>
        <v xml:space="preserve">وحدة سفلية  فرن </v>
      </c>
      <c r="C282" s="28">
        <f>C174</f>
        <v>7</v>
      </c>
      <c r="D282" s="28" t="str">
        <f>D174</f>
        <v>ظهر</v>
      </c>
      <c r="E282" s="28" t="str">
        <f>E174</f>
        <v>ظهر</v>
      </c>
      <c r="F282" s="36" t="str">
        <f>IF(K282=0, "",F174)</f>
        <v/>
      </c>
      <c r="G282" s="36" t="str">
        <f>IF(K282=0, "",G174)</f>
        <v/>
      </c>
      <c r="H282" s="36" t="str">
        <f>IF(K282=0, "",H174)</f>
        <v/>
      </c>
      <c r="I282" s="36" t="str">
        <f>IF(K282=0, "",I174)</f>
        <v/>
      </c>
      <c r="J282" s="36" t="str">
        <f>IF(K282=0, "",J174)</f>
        <v/>
      </c>
      <c r="K282" s="10">
        <f>K244</f>
        <v>0</v>
      </c>
      <c r="L282" s="10">
        <f>L244</f>
        <v>78</v>
      </c>
      <c r="M282" s="10">
        <f>M244</f>
        <v>56</v>
      </c>
      <c r="N282" s="9">
        <f>N244</f>
        <v>8</v>
      </c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</row>
    <row r="283" spans="1:79" x14ac:dyDescent="0.3">
      <c r="A283" s="88">
        <f t="shared" si="123"/>
        <v>9</v>
      </c>
      <c r="C283" s="28"/>
      <c r="D283" s="28"/>
      <c r="E283" s="28"/>
      <c r="F283" s="7"/>
      <c r="G283" s="21"/>
      <c r="H283" s="7"/>
      <c r="I283" s="7"/>
      <c r="J283" s="7"/>
      <c r="K283" s="10"/>
      <c r="L283" s="10"/>
      <c r="M283" s="10"/>
      <c r="N283" s="9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</row>
    <row r="284" spans="1:79" x14ac:dyDescent="0.3"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</row>
    <row r="285" spans="1:79" x14ac:dyDescent="0.3"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</row>
    <row r="286" spans="1:79" x14ac:dyDescent="0.3">
      <c r="F286" s="3" t="str">
        <f t="shared" ref="F286:F293" si="124">IF(F259=0, "",F259)</f>
        <v/>
      </c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</row>
    <row r="287" spans="1:79" x14ac:dyDescent="0.3">
      <c r="F287" s="3" t="str">
        <f t="shared" si="124"/>
        <v/>
      </c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</row>
    <row r="288" spans="1:79" x14ac:dyDescent="0.3">
      <c r="F288" s="3" t="str">
        <f t="shared" si="124"/>
        <v/>
      </c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</row>
    <row r="289" spans="6:79" x14ac:dyDescent="0.3">
      <c r="F289" s="3" t="str">
        <f t="shared" si="124"/>
        <v/>
      </c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</row>
    <row r="290" spans="6:79" x14ac:dyDescent="0.3">
      <c r="F290" s="3" t="str">
        <f t="shared" si="124"/>
        <v/>
      </c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</row>
    <row r="291" spans="6:79" x14ac:dyDescent="0.3">
      <c r="F291" s="3" t="str">
        <f t="shared" si="124"/>
        <v/>
      </c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</row>
    <row r="292" spans="6:79" x14ac:dyDescent="0.3">
      <c r="F292" s="3" t="str">
        <f t="shared" si="124"/>
        <v/>
      </c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</row>
    <row r="293" spans="6:79" x14ac:dyDescent="0.3">
      <c r="F293" s="3" t="str">
        <f t="shared" si="124"/>
        <v/>
      </c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</row>
    <row r="294" spans="6:79" x14ac:dyDescent="0.3">
      <c r="F294" s="3" t="str">
        <f t="shared" ref="F294:F296" si="125">IF(F269=0, "",F269)</f>
        <v/>
      </c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</row>
    <row r="295" spans="6:79" x14ac:dyDescent="0.3">
      <c r="F295" s="3" t="str">
        <f t="shared" si="125"/>
        <v/>
      </c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</row>
    <row r="296" spans="6:79" x14ac:dyDescent="0.3">
      <c r="F296" s="3" t="str">
        <f t="shared" si="125"/>
        <v/>
      </c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</row>
    <row r="297" spans="6:79" x14ac:dyDescent="0.3"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</row>
  </sheetData>
  <mergeCells count="20">
    <mergeCell ref="E13:H13"/>
    <mergeCell ref="E74:H74"/>
    <mergeCell ref="E51:H51"/>
    <mergeCell ref="E117:H117"/>
    <mergeCell ref="C2:J2"/>
    <mergeCell ref="F139:F140"/>
    <mergeCell ref="F118:F119"/>
    <mergeCell ref="C271:N271"/>
    <mergeCell ref="C253:N253"/>
    <mergeCell ref="G14:G15"/>
    <mergeCell ref="G98:G99"/>
    <mergeCell ref="F14:F15"/>
    <mergeCell ref="F98:F99"/>
    <mergeCell ref="E158:H158"/>
    <mergeCell ref="F159:F160"/>
    <mergeCell ref="G159:G160"/>
    <mergeCell ref="E138:H138"/>
    <mergeCell ref="E97:H97"/>
    <mergeCell ref="C181:N181"/>
    <mergeCell ref="E31:H31"/>
  </mergeCells>
  <phoneticPr fontId="11" type="noConversion"/>
  <pageMargins left="0.7" right="0.7" top="0.75" bottom="0.75" header="0.3" footer="0.3"/>
  <pageSetup orientation="portrait" verticalDpi="0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Y250"/>
  <sheetViews>
    <sheetView topLeftCell="B1" zoomScale="85" zoomScaleNormal="85" workbookViewId="0"/>
  </sheetViews>
  <sheetFormatPr defaultRowHeight="15.6" x14ac:dyDescent="0.3"/>
  <cols>
    <col min="1" max="1" width="12.5546875" style="72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1" width="8.88671875" style="3" customWidth="1"/>
    <col min="12" max="17" width="8.88671875" style="3" hidden="1" customWidth="1"/>
    <col min="18" max="18" width="24.33203125" style="3" hidden="1" customWidth="1"/>
    <col min="19" max="19" width="28.77734375" style="3" hidden="1" customWidth="1"/>
    <col min="20" max="20" width="28.44140625" style="3" hidden="1" customWidth="1"/>
    <col min="21" max="21" width="27.21875" style="3" hidden="1" customWidth="1"/>
    <col min="22" max="22" width="28.77734375" style="3" hidden="1" customWidth="1"/>
    <col min="23" max="23" width="23.33203125" style="3" hidden="1" customWidth="1"/>
    <col min="24" max="24" width="22.88671875" style="3" hidden="1" customWidth="1"/>
    <col min="25" max="25" width="8.88671875" style="3" hidden="1" customWidth="1"/>
    <col min="26" max="52" width="0" style="3" hidden="1" customWidth="1"/>
    <col min="53" max="16384" width="8.88671875" style="3"/>
  </cols>
  <sheetData>
    <row r="1" spans="1:25" s="71" customFormat="1" x14ac:dyDescent="0.3">
      <c r="A1" s="72">
        <v>31</v>
      </c>
      <c r="B1" s="94"/>
    </row>
    <row r="2" spans="1:25" s="71" customFormat="1" ht="31.2" x14ac:dyDescent="0.3">
      <c r="A2" s="72">
        <v>50</v>
      </c>
      <c r="B2" s="94"/>
      <c r="C2" s="113" t="s">
        <v>116</v>
      </c>
      <c r="D2" s="113"/>
      <c r="E2" s="113"/>
      <c r="F2" s="113"/>
      <c r="G2" s="113"/>
      <c r="H2" s="113"/>
      <c r="I2" s="113"/>
      <c r="J2" s="113"/>
      <c r="R2" s="85" t="s">
        <v>145</v>
      </c>
    </row>
    <row r="3" spans="1:25" s="71" customFormat="1" ht="14.4" x14ac:dyDescent="0.3">
      <c r="A3" s="82"/>
      <c r="B3" s="9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70" t="s">
        <v>135</v>
      </c>
      <c r="S3" s="70" t="s">
        <v>136</v>
      </c>
      <c r="T3" s="70" t="s">
        <v>137</v>
      </c>
      <c r="U3" s="70" t="s">
        <v>138</v>
      </c>
      <c r="V3" s="77" t="s">
        <v>141</v>
      </c>
      <c r="W3" s="77" t="s">
        <v>139</v>
      </c>
      <c r="X3" s="77" t="s">
        <v>140</v>
      </c>
      <c r="Y3" s="77"/>
    </row>
    <row r="4" spans="1:25" s="71" customFormat="1" ht="14.4" x14ac:dyDescent="0.3">
      <c r="A4" s="82"/>
      <c r="B4" s="9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70">
        <v>1</v>
      </c>
      <c r="S4" s="70">
        <f>bordiumBlockTypes[[#This Row],[وحدة سفلية دلفة /دلفتين (بورديوم)]]+1</f>
        <v>2</v>
      </c>
      <c r="T4" s="70">
        <f>bordiumBlockTypes[[#This Row],[وحدة سفلية   درجين / 3 أدراج (بورديوم)]]+1</f>
        <v>3</v>
      </c>
      <c r="U4" s="70">
        <f>bordiumBlockTypes[[#This Row],[وحدة سفلية   3 أدراج - 3/2 (بورديوم)]]+1</f>
        <v>4</v>
      </c>
      <c r="V4" s="70">
        <f>bordiumBlockTypes[[#This Row],[وحدة سفلية   درجين - 2/4 (بورديوم)]]+1</f>
        <v>5</v>
      </c>
      <c r="W4" s="70">
        <f>bordiumBlockTypes[[#This Row],[وحدة سفلية  تلبيسة دلفة /دلفتين (بورديوم)]]+1</f>
        <v>6</v>
      </c>
      <c r="X4" s="70">
        <f>bordiumBlockTypes[[#This Row],[وحدة سفلية  زاوية 90 (بورديوم)]]+1</f>
        <v>7</v>
      </c>
      <c r="Y4" s="70"/>
    </row>
    <row r="5" spans="1:25" s="71" customFormat="1" ht="14.4" x14ac:dyDescent="0.3">
      <c r="A5" s="82"/>
      <c r="B5" s="9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</row>
    <row r="6" spans="1:25" s="71" customFormat="1" ht="14.4" x14ac:dyDescent="0.3">
      <c r="A6" s="82"/>
      <c r="B6" s="9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</row>
    <row r="7" spans="1:25" s="73" customFormat="1" ht="18" x14ac:dyDescent="0.3">
      <c r="A7" s="82"/>
      <c r="B7" s="9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</row>
    <row r="8" spans="1:25" s="74" customFormat="1" ht="18" x14ac:dyDescent="0.3">
      <c r="A8" s="82"/>
      <c r="B8" s="9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</row>
    <row r="9" spans="1:25" s="71" customFormat="1" ht="14.4" x14ac:dyDescent="0.3">
      <c r="A9" s="82"/>
      <c r="B9" s="9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</row>
    <row r="10" spans="1:25" s="71" customFormat="1" ht="14.4" x14ac:dyDescent="0.3">
      <c r="A10" s="82"/>
      <c r="B10" s="9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</row>
    <row r="12" spans="1:25" ht="14.4" x14ac:dyDescent="0.3">
      <c r="A12" s="71"/>
    </row>
    <row r="13" spans="1:25" s="4" customFormat="1" ht="36" x14ac:dyDescent="0.3">
      <c r="A13" s="75" cm="1">
        <f t="array" ref="A13">bordiumBlockTypes[وحدة سفلية دلفة /دلفتين (بورديوم)]</f>
        <v>1</v>
      </c>
      <c r="B13" s="19"/>
      <c r="C13" s="16">
        <v>1</v>
      </c>
      <c r="D13" s="30" t="s">
        <v>71</v>
      </c>
      <c r="E13" s="110" t="str">
        <f>bordiumBlockTypes[[#Headers],[وحدة سفلية دلفة /دلفتين (بورديوم)]]</f>
        <v>وحدة سفلية دلفة /دلفتين (بورديوم)</v>
      </c>
      <c r="F13" s="111"/>
      <c r="G13" s="111"/>
      <c r="H13" s="112"/>
      <c r="I13" s="2" t="s">
        <v>42</v>
      </c>
      <c r="J13" s="2">
        <f>A13</f>
        <v>1</v>
      </c>
    </row>
    <row r="14" spans="1:25" ht="31.2" x14ac:dyDescent="0.3">
      <c r="A14" s="71" t="s">
        <v>151</v>
      </c>
      <c r="B14" s="19"/>
      <c r="C14" s="9" t="s">
        <v>12</v>
      </c>
      <c r="D14" s="23" t="s">
        <v>19</v>
      </c>
      <c r="E14" s="9" t="s">
        <v>17</v>
      </c>
      <c r="F14" s="63" t="s">
        <v>132</v>
      </c>
      <c r="G14" s="105"/>
      <c r="H14" s="9" t="s">
        <v>34</v>
      </c>
      <c r="I14" s="9" t="s">
        <v>3</v>
      </c>
      <c r="J14" s="9" t="s">
        <v>128</v>
      </c>
    </row>
    <row r="15" spans="1:25" x14ac:dyDescent="0.3">
      <c r="A15" s="71" t="s">
        <v>151</v>
      </c>
      <c r="B15" s="19"/>
      <c r="C15" s="10">
        <v>1</v>
      </c>
      <c r="D15" s="10">
        <v>1</v>
      </c>
      <c r="E15" s="43">
        <f>INDEX(bordiumCommon[[#All],[Column1]],MATCH(E14,bordiumCommon[[#All],[Column2]],0))</f>
        <v>3.5</v>
      </c>
      <c r="F15" s="43" t="b">
        <f>INDEX(bordiumCommon[[#All],[Column1]],MATCH(F14,bordiumCommon[[#All],[Column2]],0))</f>
        <v>0</v>
      </c>
      <c r="G15" s="105"/>
      <c r="H15" s="10"/>
      <c r="I15" s="43">
        <f>INDEX(bordiumCommon[[#All],[Column1]],MATCH(I14,bordiumCommon[[#All],[Column2]],0))</f>
        <v>78</v>
      </c>
      <c r="J15" s="43">
        <f>INDEX(bordiumCommon[[#All],[Column1]],MATCH(J14,bordiumCommon[[#All],[Column2]],0))</f>
        <v>56</v>
      </c>
    </row>
    <row r="16" spans="1:25" ht="31.2" x14ac:dyDescent="0.3">
      <c r="A16" s="71" t="s">
        <v>151</v>
      </c>
      <c r="B16" s="19"/>
      <c r="C16" s="10"/>
      <c r="D16" s="43" t="str">
        <f>INDEX(bordiumChoosenMaterials[[#All],[Column1]],MATCH(E16,bordiumChoosenMaterials[[#All],[Column2]],0))</f>
        <v>ظهر</v>
      </c>
      <c r="E16" s="9" t="s">
        <v>70</v>
      </c>
      <c r="F16" s="43" t="str">
        <f>INDEX(bordiumChoosenMaterials[[#All],[Column1]],MATCH(G16,bordiumChoosenMaterials[[#All],[Column2]],0))</f>
        <v>يوفيلاك</v>
      </c>
      <c r="G16" s="9" t="s">
        <v>44</v>
      </c>
      <c r="H16" s="43" t="str">
        <f>INDEX(bordiumChoosenMaterials[[#All],[Column1]],MATCH(I16,bordiumChoosenMaterials[[#All],[Column2]],0))</f>
        <v>بورديوم</v>
      </c>
      <c r="I16" s="9" t="s">
        <v>43</v>
      </c>
      <c r="J16" s="34" t="s">
        <v>126</v>
      </c>
    </row>
    <row r="17" spans="1:10" x14ac:dyDescent="0.3">
      <c r="A17" s="71" t="s">
        <v>155</v>
      </c>
      <c r="B17" s="19"/>
    </row>
    <row r="18" spans="1:10" x14ac:dyDescent="0.3">
      <c r="A18" s="88" t="s">
        <v>152</v>
      </c>
      <c r="B18" s="19"/>
      <c r="C18" s="7" t="s">
        <v>4</v>
      </c>
      <c r="D18" s="7" t="s">
        <v>9</v>
      </c>
      <c r="E18" s="7" t="s">
        <v>5</v>
      </c>
      <c r="F18" s="7" t="s">
        <v>7</v>
      </c>
      <c r="G18" s="7" t="s">
        <v>1</v>
      </c>
      <c r="H18" s="7" t="s">
        <v>6</v>
      </c>
      <c r="I18" s="7" t="s">
        <v>45</v>
      </c>
      <c r="J18" s="7" t="s">
        <v>8</v>
      </c>
    </row>
    <row r="19" spans="1:10" x14ac:dyDescent="0.3">
      <c r="A19" s="88" t="s">
        <v>155</v>
      </c>
      <c r="B19" s="19"/>
      <c r="C19" s="7"/>
      <c r="D19" s="7"/>
      <c r="E19" s="7"/>
      <c r="F19" s="7"/>
      <c r="G19" s="7"/>
      <c r="H19" s="7"/>
      <c r="I19" s="7"/>
      <c r="J19" s="7"/>
    </row>
    <row r="20" spans="1:10" x14ac:dyDescent="0.3">
      <c r="A20" s="88" t="s">
        <v>156</v>
      </c>
      <c r="B20" s="19" t="str">
        <f>E13</f>
        <v>وحدة سفلية دلفة /دلفتين (بورديوم)</v>
      </c>
      <c r="C20" s="7">
        <v>1</v>
      </c>
      <c r="D20" s="7" t="str">
        <f>H16</f>
        <v>بورديوم</v>
      </c>
      <c r="E20" s="7" t="s">
        <v>10</v>
      </c>
      <c r="F20" s="7">
        <f>H15-3.6</f>
        <v>-3.6</v>
      </c>
      <c r="G20" s="7">
        <f>J15</f>
        <v>56</v>
      </c>
      <c r="H20" s="7">
        <f>1*C13</f>
        <v>1</v>
      </c>
      <c r="I20" s="7">
        <f>HLOOKUP(D20, materials[], 2,FALSE)</f>
        <v>2</v>
      </c>
      <c r="J20" s="7"/>
    </row>
    <row r="21" spans="1:10" x14ac:dyDescent="0.3">
      <c r="A21" s="88" t="s">
        <v>156</v>
      </c>
      <c r="B21" s="19" t="str">
        <f>B20</f>
        <v>وحدة سفلية دلفة /دلفتين (بورديوم)</v>
      </c>
      <c r="C21" s="7">
        <f>C20+1</f>
        <v>2</v>
      </c>
      <c r="D21" s="7" t="str">
        <f>H16</f>
        <v>بورديوم</v>
      </c>
      <c r="E21" s="7" t="s">
        <v>11</v>
      </c>
      <c r="F21" s="7">
        <f>I15</f>
        <v>78</v>
      </c>
      <c r="G21" s="7">
        <f>J15</f>
        <v>56</v>
      </c>
      <c r="H21" s="7">
        <f>2*C13</f>
        <v>2</v>
      </c>
      <c r="I21" s="7">
        <f>HLOOKUP(D21, materials[], 2,FALSE)</f>
        <v>2</v>
      </c>
      <c r="J21" s="7"/>
    </row>
    <row r="22" spans="1:10" x14ac:dyDescent="0.3">
      <c r="A22" s="88" t="s">
        <v>156</v>
      </c>
      <c r="B22" s="19" t="str">
        <f>B20</f>
        <v>وحدة سفلية دلفة /دلفتين (بورديوم)</v>
      </c>
      <c r="C22" s="7">
        <f t="shared" ref="C22:C24" si="0">C21+1</f>
        <v>3</v>
      </c>
      <c r="D22" s="7" t="str">
        <f>H16</f>
        <v>بورديوم</v>
      </c>
      <c r="E22" s="7" t="s">
        <v>13</v>
      </c>
      <c r="F22" s="7">
        <f>H15-3.6</f>
        <v>-3.6</v>
      </c>
      <c r="G22" s="7">
        <v>10</v>
      </c>
      <c r="H22" s="7">
        <f>1*C13</f>
        <v>1</v>
      </c>
      <c r="I22" s="7">
        <f>HLOOKUP(D22, materials[], 2,FALSE)</f>
        <v>2</v>
      </c>
      <c r="J22" s="7"/>
    </row>
    <row r="23" spans="1:10" x14ac:dyDescent="0.3">
      <c r="A23" s="88" t="s">
        <v>156</v>
      </c>
      <c r="B23" s="19" t="str">
        <f>B20</f>
        <v>وحدة سفلية دلفة /دلفتين (بورديوم)</v>
      </c>
      <c r="C23" s="7">
        <f t="shared" si="0"/>
        <v>4</v>
      </c>
      <c r="D23" s="7" t="str">
        <f>H16</f>
        <v>بورديوم</v>
      </c>
      <c r="E23" s="7" t="s">
        <v>14</v>
      </c>
      <c r="F23" s="7">
        <f>H15-3.6</f>
        <v>-3.6</v>
      </c>
      <c r="G23" s="7">
        <v>7</v>
      </c>
      <c r="H23" s="7">
        <f>1*C13</f>
        <v>1</v>
      </c>
      <c r="I23" s="7">
        <f>HLOOKUP(D23, materials[], 2,FALSE)</f>
        <v>2</v>
      </c>
      <c r="J23" s="7"/>
    </row>
    <row r="24" spans="1:10" x14ac:dyDescent="0.3">
      <c r="A24" s="88" t="s">
        <v>156</v>
      </c>
      <c r="B24" s="19" t="str">
        <f>B20</f>
        <v>وحدة سفلية دلفة /دلفتين (بورديوم)</v>
      </c>
      <c r="C24" s="7">
        <f t="shared" si="0"/>
        <v>5</v>
      </c>
      <c r="D24" s="7" t="str">
        <f>H16</f>
        <v>بورديوم</v>
      </c>
      <c r="E24" s="7" t="s">
        <v>18</v>
      </c>
      <c r="F24" s="7">
        <f>H15-3.8</f>
        <v>-3.8</v>
      </c>
      <c r="G24" s="7">
        <f>J15-6</f>
        <v>50</v>
      </c>
      <c r="H24" s="7">
        <f>D15*C13</f>
        <v>1</v>
      </c>
      <c r="I24" s="7">
        <f>HLOOKUP(D24, materials[], 2,FALSE)</f>
        <v>2</v>
      </c>
      <c r="J24" s="7"/>
    </row>
    <row r="25" spans="1:10" x14ac:dyDescent="0.3">
      <c r="A25" s="88" t="s">
        <v>155</v>
      </c>
      <c r="B25" s="19"/>
      <c r="C25" s="7"/>
      <c r="D25" s="7"/>
      <c r="E25" s="7"/>
      <c r="F25" s="7"/>
      <c r="G25" s="7"/>
      <c r="H25" s="7"/>
      <c r="I25" s="7"/>
      <c r="J25" s="7"/>
    </row>
    <row r="26" spans="1:10" x14ac:dyDescent="0.3">
      <c r="A26" s="88" t="s">
        <v>153</v>
      </c>
      <c r="B26" s="19" t="str">
        <f>B20</f>
        <v>وحدة سفلية دلفة /دلفتين (بورديوم)</v>
      </c>
      <c r="C26" s="11">
        <f>C24+1</f>
        <v>6</v>
      </c>
      <c r="D26" s="11" t="str">
        <f>F16</f>
        <v>يوفيلاك</v>
      </c>
      <c r="E26" s="11" t="s">
        <v>15</v>
      </c>
      <c r="F26" s="11">
        <f>I15-0.5-E15</f>
        <v>74</v>
      </c>
      <c r="G26" s="11">
        <f>(H15/C15)-0.5</f>
        <v>-0.5</v>
      </c>
      <c r="H26" s="11">
        <f>C15*C13</f>
        <v>1</v>
      </c>
      <c r="I26" s="11">
        <f>HLOOKUP(D26, materials[], 2,FALSE)</f>
        <v>6</v>
      </c>
      <c r="J26" s="11"/>
    </row>
    <row r="27" spans="1:10" x14ac:dyDescent="0.3">
      <c r="A27" s="88" t="s">
        <v>155</v>
      </c>
      <c r="B27" s="19"/>
      <c r="C27" s="7"/>
      <c r="D27" s="7"/>
      <c r="E27" s="7"/>
      <c r="F27" s="7"/>
      <c r="G27" s="7"/>
      <c r="H27" s="7"/>
      <c r="I27" s="7"/>
      <c r="J27" s="7"/>
    </row>
    <row r="28" spans="1:10" x14ac:dyDescent="0.3">
      <c r="A28" s="88" t="s">
        <v>154</v>
      </c>
      <c r="B28" s="19" t="str">
        <f>IF(F15,B20, "")</f>
        <v/>
      </c>
      <c r="C28" s="24" t="str">
        <f>IF(F15,C26+1, "")</f>
        <v/>
      </c>
      <c r="D28" s="24" t="str">
        <f>IF(F15,D16, "")</f>
        <v/>
      </c>
      <c r="E28" s="24" t="str">
        <f>IF(F15,"ظهر", "")</f>
        <v/>
      </c>
      <c r="F28" s="24" t="str">
        <f>IF(F15,I15-2, "")</f>
        <v/>
      </c>
      <c r="G28" s="24" t="str">
        <f>IF(F15,H15-2, "")</f>
        <v/>
      </c>
      <c r="H28" s="24" t="str">
        <f>IF(F15,0, "")</f>
        <v/>
      </c>
      <c r="I28" s="24" t="str">
        <f>IF(F15,HLOOKUP(D28, materials[], 2,FALSE), "")</f>
        <v/>
      </c>
      <c r="J28" s="24"/>
    </row>
    <row r="29" spans="1:10" ht="14.4" x14ac:dyDescent="0.3">
      <c r="A29" s="71" t="s">
        <v>150</v>
      </c>
    </row>
    <row r="30" spans="1:10" x14ac:dyDescent="0.3">
      <c r="A30" s="71" t="s">
        <v>150</v>
      </c>
      <c r="B30" s="19"/>
    </row>
    <row r="31" spans="1:10" ht="36" x14ac:dyDescent="0.3">
      <c r="A31" s="88" cm="1">
        <f t="array" ref="A31">bordiumBlockTypes[وحدة سفلية   درجين / 3 أدراج (بورديوم)]</f>
        <v>2</v>
      </c>
      <c r="B31" s="19"/>
      <c r="C31" s="16">
        <v>1</v>
      </c>
      <c r="D31" s="30" t="s">
        <v>71</v>
      </c>
      <c r="E31" s="110" t="str">
        <f>bordiumBlockTypes[[#Headers],[وحدة سفلية   درجين / 3 أدراج (بورديوم)]]</f>
        <v>وحدة سفلية   درجين / 3 أدراج (بورديوم)</v>
      </c>
      <c r="F31" s="111"/>
      <c r="G31" s="111"/>
      <c r="H31" s="112"/>
      <c r="I31" s="2" t="s">
        <v>42</v>
      </c>
      <c r="J31" s="2">
        <f>A31</f>
        <v>2</v>
      </c>
    </row>
    <row r="32" spans="1:10" ht="31.2" x14ac:dyDescent="0.3">
      <c r="A32" s="71" t="s">
        <v>151</v>
      </c>
      <c r="B32" s="19"/>
      <c r="C32" s="9" t="s">
        <v>21</v>
      </c>
      <c r="D32" s="9"/>
      <c r="E32" s="9" t="s">
        <v>17</v>
      </c>
      <c r="F32" s="63" t="s">
        <v>132</v>
      </c>
      <c r="G32" s="20" t="s">
        <v>22</v>
      </c>
      <c r="H32" s="9" t="s">
        <v>34</v>
      </c>
      <c r="I32" s="9" t="s">
        <v>3</v>
      </c>
      <c r="J32" s="9" t="s">
        <v>128</v>
      </c>
    </row>
    <row r="33" spans="1:10" x14ac:dyDescent="0.3">
      <c r="A33" s="71" t="s">
        <v>151</v>
      </c>
      <c r="B33" s="19"/>
      <c r="C33" s="10">
        <v>3</v>
      </c>
      <c r="D33" s="9"/>
      <c r="E33" s="43">
        <f>INDEX(bordiumCommon[[#All],[Column1]],MATCH(E32,bordiumCommon[[#All],[Column2]],0))</f>
        <v>3.5</v>
      </c>
      <c r="F33" s="10" t="b">
        <f>INDEX(bordiumCommon[[#All],[Column1]],MATCH(F32,bordiumCommon[[#All],[Column2]],0))</f>
        <v>0</v>
      </c>
      <c r="G33" s="11">
        <f>INDEX(bordiumCommon[[#All],[Column1]],MATCH(G32,bordiumCommon[[#All],[Column2]],0))</f>
        <v>45</v>
      </c>
      <c r="H33" s="10"/>
      <c r="I33" s="43">
        <f>INDEX(bordiumCommon[[#All],[Column1]],MATCH(I32,bordiumCommon[[#All],[Column2]],0))</f>
        <v>78</v>
      </c>
      <c r="J33" s="43">
        <f>INDEX(bordiumCommon[[#All],[Column1]],MATCH(J32,bordiumCommon[[#All],[Column2]],0))</f>
        <v>56</v>
      </c>
    </row>
    <row r="34" spans="1:10" ht="31.2" x14ac:dyDescent="0.3">
      <c r="A34" s="71" t="s">
        <v>151</v>
      </c>
      <c r="B34" s="19"/>
      <c r="C34" s="10"/>
      <c r="D34" s="43" t="str">
        <f>INDEX(bordiumChoosenMaterials[[#All],[Column1]],MATCH(E34,bordiumChoosenMaterials[[#All],[Column2]],0))</f>
        <v>ظهر</v>
      </c>
      <c r="E34" s="9" t="s">
        <v>70</v>
      </c>
      <c r="F34" s="43" t="str">
        <f>INDEX(bordiumChoosenMaterials[[#All],[Column1]],MATCH(G34,bordiumChoosenMaterials[[#All],[Column2]],0))</f>
        <v>يوفيلاك</v>
      </c>
      <c r="G34" s="9" t="s">
        <v>44</v>
      </c>
      <c r="H34" s="43" t="str">
        <f>INDEX(bordiumChoosenMaterials[[#All],[Column1]],MATCH(I34,bordiumChoosenMaterials[[#All],[Column2]],0))</f>
        <v>بورديوم</v>
      </c>
      <c r="I34" s="9" t="s">
        <v>43</v>
      </c>
      <c r="J34" s="34" t="s">
        <v>126</v>
      </c>
    </row>
    <row r="35" spans="1:10" x14ac:dyDescent="0.3">
      <c r="A35" s="71" t="s">
        <v>155</v>
      </c>
      <c r="B35" s="19"/>
    </row>
    <row r="36" spans="1:10" x14ac:dyDescent="0.3">
      <c r="A36" s="88" t="s">
        <v>152</v>
      </c>
      <c r="B36" s="19"/>
      <c r="C36" s="7" t="s">
        <v>4</v>
      </c>
      <c r="D36" s="7" t="s">
        <v>9</v>
      </c>
      <c r="E36" s="7" t="s">
        <v>5</v>
      </c>
      <c r="F36" s="7" t="s">
        <v>7</v>
      </c>
      <c r="G36" s="7" t="s">
        <v>1</v>
      </c>
      <c r="H36" s="7" t="s">
        <v>6</v>
      </c>
      <c r="I36" s="7" t="s">
        <v>45</v>
      </c>
      <c r="J36" s="7" t="s">
        <v>8</v>
      </c>
    </row>
    <row r="37" spans="1:10" x14ac:dyDescent="0.3">
      <c r="A37" s="88" t="s">
        <v>155</v>
      </c>
      <c r="B37" s="19"/>
      <c r="C37" s="7"/>
      <c r="D37" s="7"/>
      <c r="E37" s="7"/>
      <c r="F37" s="7"/>
      <c r="G37" s="7"/>
      <c r="H37" s="7"/>
      <c r="I37" s="7"/>
      <c r="J37" s="7"/>
    </row>
    <row r="38" spans="1:10" x14ac:dyDescent="0.3">
      <c r="A38" s="88" t="s">
        <v>156</v>
      </c>
      <c r="B38" s="19" t="str">
        <f>E31</f>
        <v>وحدة سفلية   درجين / 3 أدراج (بورديوم)</v>
      </c>
      <c r="C38" s="7">
        <v>1</v>
      </c>
      <c r="D38" s="7" t="str">
        <f>H34</f>
        <v>بورديوم</v>
      </c>
      <c r="E38" s="7" t="s">
        <v>10</v>
      </c>
      <c r="F38" s="7">
        <f>H33-3.6</f>
        <v>-3.6</v>
      </c>
      <c r="G38" s="7">
        <f>J33</f>
        <v>56</v>
      </c>
      <c r="H38" s="7">
        <f>1*C31</f>
        <v>1</v>
      </c>
      <c r="I38" s="7">
        <f>HLOOKUP(D38, materials[], 2,FALSE)</f>
        <v>2</v>
      </c>
      <c r="J38" s="7"/>
    </row>
    <row r="39" spans="1:10" x14ac:dyDescent="0.3">
      <c r="A39" s="88" t="s">
        <v>156</v>
      </c>
      <c r="B39" s="19" t="str">
        <f>B38</f>
        <v>وحدة سفلية   درجين / 3 أدراج (بورديوم)</v>
      </c>
      <c r="C39" s="7">
        <f>C38+1</f>
        <v>2</v>
      </c>
      <c r="D39" s="7" t="str">
        <f>H34</f>
        <v>بورديوم</v>
      </c>
      <c r="E39" s="7" t="s">
        <v>11</v>
      </c>
      <c r="F39" s="7">
        <f>I33</f>
        <v>78</v>
      </c>
      <c r="G39" s="7">
        <f>J33</f>
        <v>56</v>
      </c>
      <c r="H39" s="7">
        <f>2*C31</f>
        <v>2</v>
      </c>
      <c r="I39" s="7">
        <f>HLOOKUP(D39, materials[], 2,FALSE)</f>
        <v>2</v>
      </c>
      <c r="J39" s="7"/>
    </row>
    <row r="40" spans="1:10" x14ac:dyDescent="0.3">
      <c r="A40" s="88" t="s">
        <v>156</v>
      </c>
      <c r="B40" s="19" t="str">
        <f>B38</f>
        <v>وحدة سفلية   درجين / 3 أدراج (بورديوم)</v>
      </c>
      <c r="C40" s="7">
        <f t="shared" ref="C40:C44" si="1">C39+1</f>
        <v>3</v>
      </c>
      <c r="D40" s="7" t="str">
        <f>H34</f>
        <v>بورديوم</v>
      </c>
      <c r="E40" s="7" t="s">
        <v>13</v>
      </c>
      <c r="F40" s="7">
        <f>H33-3.6</f>
        <v>-3.6</v>
      </c>
      <c r="G40" s="7">
        <v>10</v>
      </c>
      <c r="H40" s="7">
        <f>1*C31</f>
        <v>1</v>
      </c>
      <c r="I40" s="7">
        <f>HLOOKUP(D40, materials[], 2,FALSE)</f>
        <v>2</v>
      </c>
      <c r="J40" s="7"/>
    </row>
    <row r="41" spans="1:10" x14ac:dyDescent="0.3">
      <c r="A41" s="88" t="s">
        <v>156</v>
      </c>
      <c r="B41" s="19" t="str">
        <f>B38</f>
        <v>وحدة سفلية   درجين / 3 أدراج (بورديوم)</v>
      </c>
      <c r="C41" s="7">
        <f t="shared" si="1"/>
        <v>4</v>
      </c>
      <c r="D41" s="7" t="str">
        <f>H34</f>
        <v>بورديوم</v>
      </c>
      <c r="E41" s="7" t="s">
        <v>14</v>
      </c>
      <c r="F41" s="7">
        <f>H33-3.6</f>
        <v>-3.6</v>
      </c>
      <c r="G41" s="7">
        <v>7</v>
      </c>
      <c r="H41" s="7">
        <f>1*C31</f>
        <v>1</v>
      </c>
      <c r="I41" s="7">
        <f>HLOOKUP(D41, materials[], 2,FALSE)</f>
        <v>2</v>
      </c>
      <c r="J41" s="7"/>
    </row>
    <row r="42" spans="1:10" x14ac:dyDescent="0.3">
      <c r="A42" s="88" t="s">
        <v>156</v>
      </c>
      <c r="B42" s="19" t="str">
        <f>B38</f>
        <v>وحدة سفلية   درجين / 3 أدراج (بورديوم)</v>
      </c>
      <c r="C42" s="12">
        <f t="shared" si="1"/>
        <v>5</v>
      </c>
      <c r="D42" s="12" t="str">
        <f>H34</f>
        <v>بورديوم</v>
      </c>
      <c r="E42" s="12" t="s">
        <v>24</v>
      </c>
      <c r="F42" s="12">
        <f>H33-3.6-3.6-2.5</f>
        <v>-9.6999999999999993</v>
      </c>
      <c r="G42" s="12">
        <f>60/C33</f>
        <v>20</v>
      </c>
      <c r="H42" s="12">
        <f>C33*C31</f>
        <v>3</v>
      </c>
      <c r="I42" s="12">
        <f>HLOOKUP(D42, materials[], 2,FALSE)</f>
        <v>2</v>
      </c>
      <c r="J42" s="12"/>
    </row>
    <row r="43" spans="1:10" x14ac:dyDescent="0.3">
      <c r="A43" s="88" t="s">
        <v>156</v>
      </c>
      <c r="B43" s="19" t="str">
        <f>B38</f>
        <v>وحدة سفلية   درجين / 3 أدراج (بورديوم)</v>
      </c>
      <c r="C43" s="12">
        <f t="shared" si="1"/>
        <v>6</v>
      </c>
      <c r="D43" s="12" t="str">
        <f>H34</f>
        <v>بورديوم</v>
      </c>
      <c r="E43" s="12" t="s">
        <v>25</v>
      </c>
      <c r="F43" s="12">
        <f>G33</f>
        <v>45</v>
      </c>
      <c r="G43" s="12">
        <f>60/C33</f>
        <v>20</v>
      </c>
      <c r="H43" s="12">
        <f>C33*2*C31</f>
        <v>6</v>
      </c>
      <c r="I43" s="12">
        <f>HLOOKUP(D43, materials[], 2,FALSE)</f>
        <v>2</v>
      </c>
      <c r="J43" s="12"/>
    </row>
    <row r="44" spans="1:10" x14ac:dyDescent="0.3">
      <c r="A44" s="88" t="s">
        <v>156</v>
      </c>
      <c r="B44" s="19" t="str">
        <f>B38</f>
        <v>وحدة سفلية   درجين / 3 أدراج (بورديوم)</v>
      </c>
      <c r="C44" s="12">
        <f t="shared" si="1"/>
        <v>7</v>
      </c>
      <c r="D44" s="12" t="str">
        <f>H34</f>
        <v>بورديوم</v>
      </c>
      <c r="E44" s="12" t="s">
        <v>26</v>
      </c>
      <c r="F44" s="12">
        <f>H33-3.6-3.6-2.5</f>
        <v>-9.6999999999999993</v>
      </c>
      <c r="G44" s="12">
        <f>60/C33-3</f>
        <v>17</v>
      </c>
      <c r="H44" s="12">
        <f>C33*C31</f>
        <v>3</v>
      </c>
      <c r="I44" s="12">
        <f>HLOOKUP(D44, materials[], 2,FALSE)</f>
        <v>2</v>
      </c>
      <c r="J44" s="12"/>
    </row>
    <row r="45" spans="1:10" x14ac:dyDescent="0.3">
      <c r="A45" s="88" t="s">
        <v>155</v>
      </c>
      <c r="B45" s="19"/>
      <c r="C45" s="7"/>
      <c r="D45" s="7"/>
      <c r="E45" s="7"/>
      <c r="F45" s="7"/>
      <c r="G45" s="7"/>
      <c r="H45" s="7"/>
      <c r="I45" s="7"/>
      <c r="J45" s="7"/>
    </row>
    <row r="46" spans="1:10" x14ac:dyDescent="0.3">
      <c r="A46" s="88" t="s">
        <v>153</v>
      </c>
      <c r="B46" s="19" t="str">
        <f>B38</f>
        <v>وحدة سفلية   درجين / 3 أدراج (بورديوم)</v>
      </c>
      <c r="C46" s="11">
        <f>C44+1</f>
        <v>8</v>
      </c>
      <c r="D46" s="11" t="str">
        <f>F34</f>
        <v>يوفيلاك</v>
      </c>
      <c r="E46" s="11" t="s">
        <v>27</v>
      </c>
      <c r="F46" s="11">
        <f>(I33/C33)-0.5-E33</f>
        <v>22</v>
      </c>
      <c r="G46" s="11">
        <f>H33-0.5</f>
        <v>-0.5</v>
      </c>
      <c r="H46" s="11">
        <f>C33*C31</f>
        <v>3</v>
      </c>
      <c r="I46" s="11">
        <f>HLOOKUP(D46, materials[], 2,FALSE)</f>
        <v>6</v>
      </c>
      <c r="J46" s="11"/>
    </row>
    <row r="47" spans="1:10" ht="14.4" x14ac:dyDescent="0.3">
      <c r="A47" s="88" t="s">
        <v>155</v>
      </c>
      <c r="C47" s="7"/>
      <c r="D47" s="7"/>
      <c r="E47" s="7"/>
      <c r="F47" s="7"/>
      <c r="G47" s="7"/>
      <c r="H47" s="7"/>
      <c r="I47" s="7"/>
      <c r="J47" s="7"/>
    </row>
    <row r="48" spans="1:10" x14ac:dyDescent="0.3">
      <c r="A48" s="88" t="s">
        <v>154</v>
      </c>
      <c r="B48" s="19" t="str">
        <f>IF(F33,B38, "")</f>
        <v/>
      </c>
      <c r="C48" s="24" t="str">
        <f>IF(F33,C46+1, "")</f>
        <v/>
      </c>
      <c r="D48" s="24" t="str">
        <f>IF(F33,D34, "")</f>
        <v/>
      </c>
      <c r="E48" s="24" t="str">
        <f>IF(F33,"ظهر", "")</f>
        <v/>
      </c>
      <c r="F48" s="24" t="str">
        <f>IF(F33,I33-2, "")</f>
        <v/>
      </c>
      <c r="G48" s="24" t="str">
        <f>IF(F33,H33-2, "")</f>
        <v/>
      </c>
      <c r="H48" s="24" t="str">
        <f>IF(F33,1*C31, "")</f>
        <v/>
      </c>
      <c r="I48" s="24" t="str">
        <f>IF(F33,HLOOKUP(D48, materials[], 2,FALSE), "")</f>
        <v/>
      </c>
      <c r="J48" s="24"/>
    </row>
    <row r="49" spans="1:10" ht="14.4" x14ac:dyDescent="0.3">
      <c r="A49" s="71" t="s">
        <v>150</v>
      </c>
    </row>
    <row r="50" spans="1:10" x14ac:dyDescent="0.3">
      <c r="A50" s="71" t="s">
        <v>150</v>
      </c>
      <c r="B50" s="19"/>
    </row>
    <row r="51" spans="1:10" ht="36" x14ac:dyDescent="0.3">
      <c r="A51" s="71" cm="1">
        <f t="array" ref="A51">bordiumBlockTypes[وحدة سفلية   3 أدراج - 3/2 (بورديوم)]</f>
        <v>3</v>
      </c>
      <c r="B51" s="19"/>
      <c r="C51" s="16">
        <v>1</v>
      </c>
      <c r="D51" s="30" t="s">
        <v>71</v>
      </c>
      <c r="E51" s="110" t="str">
        <f>bordiumBlockTypes[[#Headers],[وحدة سفلية   3 أدراج - 3/2 (بورديوم)]]</f>
        <v>وحدة سفلية   3 أدراج - 3/2 (بورديوم)</v>
      </c>
      <c r="F51" s="111"/>
      <c r="G51" s="111"/>
      <c r="H51" s="112"/>
      <c r="I51" s="2" t="s">
        <v>42</v>
      </c>
      <c r="J51" s="2">
        <f>A51</f>
        <v>3</v>
      </c>
    </row>
    <row r="52" spans="1:10" ht="31.2" x14ac:dyDescent="0.3">
      <c r="A52" s="71" t="s">
        <v>151</v>
      </c>
      <c r="B52" s="19"/>
      <c r="C52" s="9" t="s">
        <v>21</v>
      </c>
      <c r="D52" s="9" t="s">
        <v>29</v>
      </c>
      <c r="E52" s="9" t="s">
        <v>17</v>
      </c>
      <c r="F52" s="63" t="s">
        <v>132</v>
      </c>
      <c r="G52" s="20" t="s">
        <v>22</v>
      </c>
      <c r="H52" s="9" t="s">
        <v>34</v>
      </c>
      <c r="I52" s="9" t="s">
        <v>3</v>
      </c>
      <c r="J52" s="9" t="s">
        <v>128</v>
      </c>
    </row>
    <row r="53" spans="1:10" x14ac:dyDescent="0.3">
      <c r="A53" s="71" t="s">
        <v>151</v>
      </c>
      <c r="B53" s="19"/>
      <c r="C53" s="10">
        <v>3</v>
      </c>
      <c r="D53" s="9">
        <v>2</v>
      </c>
      <c r="E53" s="10">
        <f>INDEX(bordiumCommon[[#All],[Column1]],MATCH(E52,bordiumCommon[[#All],[Column2]],0))</f>
        <v>3.5</v>
      </c>
      <c r="F53" s="10" t="b">
        <f>INDEX(bordiumCommon[[#All],[Column1]],MATCH(F52,bordiumCommon[[#All],[Column2]],0))</f>
        <v>0</v>
      </c>
      <c r="G53" s="11">
        <f>INDEX(bordiumCommon[[#All],[Column1]],MATCH(G52,bordiumCommon[[#All],[Column2]],0))</f>
        <v>45</v>
      </c>
      <c r="H53" s="10"/>
      <c r="I53" s="43">
        <f>INDEX(bordiumCommon[[#All],[Column1]],MATCH(I52,bordiumCommon[[#All],[Column2]],0))</f>
        <v>78</v>
      </c>
      <c r="J53" s="43">
        <f>INDEX(bordiumCommon[[#All],[Column1]],MATCH(J52,bordiumCommon[[#All],[Column2]],0))</f>
        <v>56</v>
      </c>
    </row>
    <row r="54" spans="1:10" ht="31.2" x14ac:dyDescent="0.3">
      <c r="A54" s="71" t="s">
        <v>151</v>
      </c>
      <c r="B54" s="19"/>
      <c r="C54" s="10"/>
      <c r="D54" s="43" t="str">
        <f>INDEX(bordiumChoosenMaterials[[#All],[Column1]],MATCH(E54,bordiumChoosenMaterials[[#All],[Column2]],0))</f>
        <v>ظهر</v>
      </c>
      <c r="E54" s="9" t="s">
        <v>70</v>
      </c>
      <c r="F54" s="43" t="str">
        <f>INDEX(bordiumChoosenMaterials[[#All],[Column1]],MATCH(G54,bordiumChoosenMaterials[[#All],[Column2]],0))</f>
        <v>يوفيلاك</v>
      </c>
      <c r="G54" s="9" t="s">
        <v>44</v>
      </c>
      <c r="H54" s="43" t="str">
        <f>INDEX(bordiumChoosenMaterials[[#All],[Column1]],MATCH(I54,bordiumChoosenMaterials[[#All],[Column2]],0))</f>
        <v>بورديوم</v>
      </c>
      <c r="I54" s="9" t="s">
        <v>43</v>
      </c>
      <c r="J54" s="34" t="s">
        <v>126</v>
      </c>
    </row>
    <row r="55" spans="1:10" x14ac:dyDescent="0.3">
      <c r="A55" s="71" t="s">
        <v>155</v>
      </c>
      <c r="B55" s="19"/>
    </row>
    <row r="56" spans="1:10" x14ac:dyDescent="0.3">
      <c r="A56" s="88" t="s">
        <v>152</v>
      </c>
      <c r="B56" s="19"/>
      <c r="C56" s="7" t="s">
        <v>4</v>
      </c>
      <c r="D56" s="7" t="s">
        <v>9</v>
      </c>
      <c r="E56" s="7" t="s">
        <v>5</v>
      </c>
      <c r="F56" s="7" t="s">
        <v>7</v>
      </c>
      <c r="G56" s="7" t="s">
        <v>1</v>
      </c>
      <c r="H56" s="7" t="s">
        <v>6</v>
      </c>
      <c r="I56" s="7" t="s">
        <v>45</v>
      </c>
      <c r="J56" s="7" t="s">
        <v>8</v>
      </c>
    </row>
    <row r="57" spans="1:10" x14ac:dyDescent="0.3">
      <c r="A57" s="88" t="s">
        <v>155</v>
      </c>
      <c r="B57" s="19"/>
      <c r="C57" s="7"/>
      <c r="D57" s="7"/>
      <c r="E57" s="7"/>
      <c r="F57" s="7"/>
      <c r="G57" s="7"/>
      <c r="H57" s="7"/>
      <c r="I57" s="7"/>
      <c r="J57" s="7"/>
    </row>
    <row r="58" spans="1:10" x14ac:dyDescent="0.3">
      <c r="A58" s="88" t="s">
        <v>156</v>
      </c>
      <c r="B58" s="19" t="str">
        <f>E51</f>
        <v>وحدة سفلية   3 أدراج - 3/2 (بورديوم)</v>
      </c>
      <c r="C58" s="7">
        <v>1</v>
      </c>
      <c r="D58" s="7" t="str">
        <f>H54</f>
        <v>بورديوم</v>
      </c>
      <c r="E58" s="7" t="s">
        <v>10</v>
      </c>
      <c r="F58" s="7">
        <f>H53-3.6</f>
        <v>-3.6</v>
      </c>
      <c r="G58" s="7">
        <f>J53</f>
        <v>56</v>
      </c>
      <c r="H58" s="7">
        <f>1*C51</f>
        <v>1</v>
      </c>
      <c r="I58" s="7">
        <f>HLOOKUP(D58, materials[], 2,FALSE)</f>
        <v>2</v>
      </c>
      <c r="J58" s="7"/>
    </row>
    <row r="59" spans="1:10" ht="14.4" x14ac:dyDescent="0.3">
      <c r="A59" s="88" t="s">
        <v>156</v>
      </c>
      <c r="B59" s="3" t="str">
        <f>B58</f>
        <v>وحدة سفلية   3 أدراج - 3/2 (بورديوم)</v>
      </c>
      <c r="C59" s="7">
        <f>C58+1</f>
        <v>2</v>
      </c>
      <c r="D59" s="7" t="str">
        <f>H54</f>
        <v>بورديوم</v>
      </c>
      <c r="E59" s="7" t="s">
        <v>11</v>
      </c>
      <c r="F59" s="7">
        <f>I53</f>
        <v>78</v>
      </c>
      <c r="G59" s="7">
        <f>J53</f>
        <v>56</v>
      </c>
      <c r="H59" s="7">
        <f>2*C51</f>
        <v>2</v>
      </c>
      <c r="I59" s="7">
        <f>HLOOKUP(D59, materials[], 2,FALSE)</f>
        <v>2</v>
      </c>
      <c r="J59" s="7"/>
    </row>
    <row r="60" spans="1:10" x14ac:dyDescent="0.3">
      <c r="A60" s="88" t="s">
        <v>156</v>
      </c>
      <c r="B60" s="19" t="str">
        <f>B58</f>
        <v>وحدة سفلية   3 أدراج - 3/2 (بورديوم)</v>
      </c>
      <c r="C60" s="7">
        <f t="shared" ref="C60:C67" si="2">C59+1</f>
        <v>3</v>
      </c>
      <c r="D60" s="7" t="str">
        <f>H54</f>
        <v>بورديوم</v>
      </c>
      <c r="E60" s="7" t="s">
        <v>13</v>
      </c>
      <c r="F60" s="7">
        <f>H53-3.6</f>
        <v>-3.6</v>
      </c>
      <c r="G60" s="7">
        <v>10</v>
      </c>
      <c r="H60" s="7">
        <f>1*C51</f>
        <v>1</v>
      </c>
      <c r="I60" s="7">
        <f>HLOOKUP(D60, materials[], 2,FALSE)</f>
        <v>2</v>
      </c>
      <c r="J60" s="7"/>
    </row>
    <row r="61" spans="1:10" x14ac:dyDescent="0.3">
      <c r="A61" s="88" t="s">
        <v>156</v>
      </c>
      <c r="B61" s="19" t="str">
        <f>B58</f>
        <v>وحدة سفلية   3 أدراج - 3/2 (بورديوم)</v>
      </c>
      <c r="C61" s="7">
        <f t="shared" si="2"/>
        <v>4</v>
      </c>
      <c r="D61" s="7" t="str">
        <f>H54</f>
        <v>بورديوم</v>
      </c>
      <c r="E61" s="7" t="s">
        <v>14</v>
      </c>
      <c r="F61" s="7">
        <f>H53-3.6</f>
        <v>-3.6</v>
      </c>
      <c r="G61" s="7">
        <v>7</v>
      </c>
      <c r="H61" s="7">
        <f>1*C51</f>
        <v>1</v>
      </c>
      <c r="I61" s="7">
        <f>HLOOKUP(D61, materials[], 2,FALSE)</f>
        <v>2</v>
      </c>
      <c r="J61" s="7"/>
    </row>
    <row r="62" spans="1:10" x14ac:dyDescent="0.3">
      <c r="A62" s="88" t="s">
        <v>156</v>
      </c>
      <c r="B62" s="19" t="str">
        <f>B58</f>
        <v>وحدة سفلية   3 أدراج - 3/2 (بورديوم)</v>
      </c>
      <c r="C62" s="12">
        <f t="shared" si="2"/>
        <v>5</v>
      </c>
      <c r="D62" s="12" t="str">
        <f>H54</f>
        <v>بورديوم</v>
      </c>
      <c r="E62" s="12" t="s">
        <v>30</v>
      </c>
      <c r="F62" s="12">
        <f>H53-3.6-3.6-2.5</f>
        <v>-9.6999999999999993</v>
      </c>
      <c r="G62" s="12">
        <v>10</v>
      </c>
      <c r="H62" s="12">
        <f>C53*C51</f>
        <v>3</v>
      </c>
      <c r="I62" s="12">
        <f>HLOOKUP(D62, materials[], 2,FALSE)</f>
        <v>2</v>
      </c>
      <c r="J62" s="12"/>
    </row>
    <row r="63" spans="1:10" x14ac:dyDescent="0.3">
      <c r="A63" s="88" t="s">
        <v>156</v>
      </c>
      <c r="B63" s="19" t="str">
        <f>B58</f>
        <v>وحدة سفلية   3 أدراج - 3/2 (بورديوم)</v>
      </c>
      <c r="C63" s="12">
        <f t="shared" si="2"/>
        <v>6</v>
      </c>
      <c r="D63" s="12" t="str">
        <f>H54</f>
        <v>بورديوم</v>
      </c>
      <c r="E63" s="12" t="s">
        <v>31</v>
      </c>
      <c r="F63" s="12">
        <f>G53</f>
        <v>45</v>
      </c>
      <c r="G63" s="12">
        <v>10</v>
      </c>
      <c r="H63" s="12">
        <f>C53*2*C51</f>
        <v>6</v>
      </c>
      <c r="I63" s="12">
        <f>HLOOKUP(D63, materials[], 2,FALSE)</f>
        <v>2</v>
      </c>
      <c r="J63" s="12"/>
    </row>
    <row r="64" spans="1:10" x14ac:dyDescent="0.3">
      <c r="A64" s="88" t="s">
        <v>156</v>
      </c>
      <c r="B64" s="19" t="str">
        <f>B58</f>
        <v>وحدة سفلية   3 أدراج - 3/2 (بورديوم)</v>
      </c>
      <c r="C64" s="12">
        <f t="shared" si="2"/>
        <v>7</v>
      </c>
      <c r="D64" s="12" t="str">
        <f>H54</f>
        <v>بورديوم</v>
      </c>
      <c r="E64" s="12" t="s">
        <v>32</v>
      </c>
      <c r="F64" s="12">
        <f>H53-3.6-3.6-2.5</f>
        <v>-9.6999999999999993</v>
      </c>
      <c r="G64" s="12">
        <f>10-3</f>
        <v>7</v>
      </c>
      <c r="H64" s="12">
        <f>C53*C51</f>
        <v>3</v>
      </c>
      <c r="I64" s="12">
        <f>HLOOKUP(D64, materials[], 2,FALSE)</f>
        <v>2</v>
      </c>
      <c r="J64" s="12"/>
    </row>
    <row r="65" spans="1:10" x14ac:dyDescent="0.3">
      <c r="A65" s="88" t="s">
        <v>156</v>
      </c>
      <c r="B65" s="19" t="str">
        <f>B58</f>
        <v>وحدة سفلية   3 أدراج - 3/2 (بورديوم)</v>
      </c>
      <c r="C65" s="13">
        <f t="shared" si="2"/>
        <v>8</v>
      </c>
      <c r="D65" s="13" t="str">
        <f>H54</f>
        <v>بورديوم</v>
      </c>
      <c r="E65" s="13" t="s">
        <v>24</v>
      </c>
      <c r="F65" s="13">
        <f>H53-3.6-3.6-2.5</f>
        <v>-9.6999999999999993</v>
      </c>
      <c r="G65" s="13">
        <f>60/C53</f>
        <v>20</v>
      </c>
      <c r="H65" s="13">
        <f>(C53-1)*C51</f>
        <v>2</v>
      </c>
      <c r="I65" s="13">
        <f>HLOOKUP(D65, materials[], 2,FALSE)</f>
        <v>2</v>
      </c>
      <c r="J65" s="13"/>
    </row>
    <row r="66" spans="1:10" x14ac:dyDescent="0.3">
      <c r="A66" s="88" t="s">
        <v>156</v>
      </c>
      <c r="B66" s="19" t="str">
        <f>B58</f>
        <v>وحدة سفلية   3 أدراج - 3/2 (بورديوم)</v>
      </c>
      <c r="C66" s="13">
        <f t="shared" si="2"/>
        <v>9</v>
      </c>
      <c r="D66" s="13" t="str">
        <f>H54</f>
        <v>بورديوم</v>
      </c>
      <c r="E66" s="13" t="s">
        <v>25</v>
      </c>
      <c r="F66" s="13">
        <f>G53</f>
        <v>45</v>
      </c>
      <c r="G66" s="13">
        <f>60/C53</f>
        <v>20</v>
      </c>
      <c r="H66" s="13">
        <f>(C53-1)*2*C51</f>
        <v>4</v>
      </c>
      <c r="I66" s="13">
        <f>HLOOKUP(D66, materials[], 2,FALSE)</f>
        <v>2</v>
      </c>
      <c r="J66" s="13"/>
    </row>
    <row r="67" spans="1:10" x14ac:dyDescent="0.3">
      <c r="A67" s="88" t="s">
        <v>156</v>
      </c>
      <c r="B67" s="19" t="str">
        <f>B58</f>
        <v>وحدة سفلية   3 أدراج - 3/2 (بورديوم)</v>
      </c>
      <c r="C67" s="13">
        <f t="shared" si="2"/>
        <v>10</v>
      </c>
      <c r="D67" s="13" t="str">
        <f>H54</f>
        <v>بورديوم</v>
      </c>
      <c r="E67" s="13" t="s">
        <v>26</v>
      </c>
      <c r="F67" s="13">
        <f>H53-3.6-3.6-2.5</f>
        <v>-9.6999999999999993</v>
      </c>
      <c r="G67" s="13">
        <f>60/C53-3</f>
        <v>17</v>
      </c>
      <c r="H67" s="13">
        <f>(C53-1)*C51</f>
        <v>2</v>
      </c>
      <c r="I67" s="13">
        <f>HLOOKUP(D67, materials[], 2,FALSE)</f>
        <v>2</v>
      </c>
      <c r="J67" s="13"/>
    </row>
    <row r="68" spans="1:10" x14ac:dyDescent="0.3">
      <c r="A68" s="88" t="s">
        <v>155</v>
      </c>
      <c r="B68" s="19"/>
      <c r="C68" s="7"/>
      <c r="D68" s="7"/>
      <c r="E68" s="7"/>
      <c r="F68" s="7"/>
      <c r="G68" s="7"/>
      <c r="H68" s="7"/>
      <c r="I68" s="7"/>
      <c r="J68" s="7"/>
    </row>
    <row r="69" spans="1:10" x14ac:dyDescent="0.3">
      <c r="A69" s="72" t="s">
        <v>153</v>
      </c>
      <c r="B69" s="19" t="str">
        <f>B58</f>
        <v>وحدة سفلية   3 أدراج - 3/2 (بورديوم)</v>
      </c>
      <c r="C69" s="11">
        <f>C67+1</f>
        <v>11</v>
      </c>
      <c r="D69" s="11" t="str">
        <f>F54</f>
        <v>يوفيلاك</v>
      </c>
      <c r="E69" s="11" t="s">
        <v>27</v>
      </c>
      <c r="F69" s="11">
        <f>(I53/C53)-0.5-E53</f>
        <v>22</v>
      </c>
      <c r="G69" s="11">
        <f>H53-0.5</f>
        <v>-0.5</v>
      </c>
      <c r="H69" s="11">
        <f>C53*C51</f>
        <v>3</v>
      </c>
      <c r="I69" s="11">
        <f>HLOOKUP(D69, materials[], 2,FALSE)</f>
        <v>6</v>
      </c>
      <c r="J69" s="11"/>
    </row>
    <row r="70" spans="1:10" ht="14.4" x14ac:dyDescent="0.3">
      <c r="A70" s="88" t="s">
        <v>155</v>
      </c>
      <c r="C70" s="7"/>
      <c r="D70" s="7"/>
      <c r="E70" s="7"/>
      <c r="F70" s="7"/>
      <c r="G70" s="7"/>
      <c r="H70" s="7"/>
      <c r="I70" s="7"/>
      <c r="J70" s="7"/>
    </row>
    <row r="71" spans="1:10" x14ac:dyDescent="0.3">
      <c r="A71" s="71" t="s">
        <v>154</v>
      </c>
      <c r="B71" s="19" t="str">
        <f>IF(F53,B58, "")</f>
        <v/>
      </c>
      <c r="C71" s="24" t="str">
        <f>IF(F53,C69+1, "")</f>
        <v/>
      </c>
      <c r="D71" s="24" t="str">
        <f>IF(F53,D54, "")</f>
        <v/>
      </c>
      <c r="E71" s="24" t="str">
        <f>IF(F53,"ظهر", "")</f>
        <v/>
      </c>
      <c r="F71" s="24" t="str">
        <f>IF(F53,I53-2, "")</f>
        <v/>
      </c>
      <c r="G71" s="24" t="str">
        <f>IF(F53,H53-2, "")</f>
        <v/>
      </c>
      <c r="H71" s="24" t="str">
        <f>IF(F53,1*C51, "")</f>
        <v/>
      </c>
      <c r="I71" s="24" t="str">
        <f>IF(F53,HLOOKUP(D71, materials[], 2,FALSE), "")</f>
        <v/>
      </c>
      <c r="J71" s="24"/>
    </row>
    <row r="72" spans="1:10" x14ac:dyDescent="0.3">
      <c r="A72" s="71" t="s">
        <v>150</v>
      </c>
      <c r="B72" s="19"/>
    </row>
    <row r="73" spans="1:10" x14ac:dyDescent="0.3">
      <c r="A73" s="71" t="s">
        <v>150</v>
      </c>
      <c r="B73" s="19"/>
    </row>
    <row r="74" spans="1:10" ht="36" x14ac:dyDescent="0.3">
      <c r="A74" s="71" cm="1">
        <f t="array" ref="A74">bordiumBlockTypes[وحدة سفلية   درجين - 2/4 (بورديوم)]</f>
        <v>4</v>
      </c>
      <c r="B74" s="19"/>
      <c r="C74" s="16">
        <v>1</v>
      </c>
      <c r="D74" s="30" t="s">
        <v>71</v>
      </c>
      <c r="E74" s="110" t="str">
        <f>bordiumBlockTypes[[#Headers],[وحدة سفلية   درجين - 2/4 (بورديوم)]]</f>
        <v>وحدة سفلية   درجين - 2/4 (بورديوم)</v>
      </c>
      <c r="F74" s="111"/>
      <c r="G74" s="111"/>
      <c r="H74" s="112"/>
      <c r="I74" s="2" t="s">
        <v>42</v>
      </c>
      <c r="J74" s="2">
        <f>A74</f>
        <v>4</v>
      </c>
    </row>
    <row r="75" spans="1:10" ht="31.2" x14ac:dyDescent="0.3">
      <c r="A75" s="71" t="s">
        <v>151</v>
      </c>
      <c r="B75" s="19"/>
      <c r="C75" s="9" t="s">
        <v>21</v>
      </c>
      <c r="D75" s="9" t="s">
        <v>29</v>
      </c>
      <c r="E75" s="9" t="s">
        <v>17</v>
      </c>
      <c r="F75" s="63" t="s">
        <v>132</v>
      </c>
      <c r="G75" s="20" t="s">
        <v>22</v>
      </c>
      <c r="H75" s="9" t="s">
        <v>34</v>
      </c>
      <c r="I75" s="9" t="s">
        <v>3</v>
      </c>
      <c r="J75" s="9" t="s">
        <v>128</v>
      </c>
    </row>
    <row r="76" spans="1:10" x14ac:dyDescent="0.3">
      <c r="A76" s="71" t="s">
        <v>151</v>
      </c>
      <c r="B76" s="19"/>
      <c r="C76" s="10">
        <v>2</v>
      </c>
      <c r="D76" s="9">
        <v>4</v>
      </c>
      <c r="E76" s="10">
        <f>INDEX(bordiumCommon[[#All],[Column1]],MATCH(E75,bordiumCommon[[#All],[Column2]],0))</f>
        <v>3.5</v>
      </c>
      <c r="F76" s="10" t="b">
        <f>INDEX(bordiumCommon[[#All],[Column1]],MATCH(F75,bordiumCommon[[#All],[Column2]],0))</f>
        <v>0</v>
      </c>
      <c r="G76" s="11">
        <f>INDEX(bordiumCommon[[#All],[Column1]],MATCH(G75,bordiumCommon[[#All],[Column2]],0))</f>
        <v>45</v>
      </c>
      <c r="H76" s="10"/>
      <c r="I76" s="43">
        <f>INDEX(bordiumCommon[[#All],[Column1]],MATCH(I75,bordiumCommon[[#All],[Column2]],0))</f>
        <v>78</v>
      </c>
      <c r="J76" s="43">
        <f>INDEX(bordiumCommon[[#All],[Column1]],MATCH(J75,bordiumCommon[[#All],[Column2]],0))</f>
        <v>56</v>
      </c>
    </row>
    <row r="77" spans="1:10" ht="31.2" x14ac:dyDescent="0.3">
      <c r="A77" s="71" t="s">
        <v>151</v>
      </c>
      <c r="B77" s="19"/>
      <c r="C77" s="10"/>
      <c r="D77" s="43" t="str">
        <f>INDEX(bordiumChoosenMaterials[[#All],[Column1]],MATCH(E77,bordiumChoosenMaterials[[#All],[Column2]],0))</f>
        <v>ظهر</v>
      </c>
      <c r="E77" s="9" t="s">
        <v>70</v>
      </c>
      <c r="F77" s="43" t="str">
        <f>INDEX(bordiumChoosenMaterials[[#All],[Column1]],MATCH(G77,bordiumChoosenMaterials[[#All],[Column2]],0))</f>
        <v>يوفيلاك</v>
      </c>
      <c r="G77" s="9" t="s">
        <v>44</v>
      </c>
      <c r="H77" s="43" t="str">
        <f>INDEX(bordiumChoosenMaterials[[#All],[Column1]],MATCH(I77,bordiumChoosenMaterials[[#All],[Column2]],0))</f>
        <v>بورديوم</v>
      </c>
      <c r="I77" s="9" t="s">
        <v>43</v>
      </c>
      <c r="J77" s="34" t="s">
        <v>126</v>
      </c>
    </row>
    <row r="78" spans="1:10" x14ac:dyDescent="0.3">
      <c r="A78" s="71" t="s">
        <v>155</v>
      </c>
      <c r="B78" s="19"/>
    </row>
    <row r="79" spans="1:10" x14ac:dyDescent="0.3">
      <c r="A79" s="88" t="s">
        <v>152</v>
      </c>
      <c r="B79" s="19"/>
      <c r="C79" s="7" t="s">
        <v>4</v>
      </c>
      <c r="D79" s="7" t="s">
        <v>9</v>
      </c>
      <c r="E79" s="7" t="s">
        <v>5</v>
      </c>
      <c r="F79" s="7" t="s">
        <v>7</v>
      </c>
      <c r="G79" s="7" t="s">
        <v>1</v>
      </c>
      <c r="H79" s="7" t="s">
        <v>6</v>
      </c>
      <c r="I79" s="7" t="s">
        <v>45</v>
      </c>
      <c r="J79" s="7" t="s">
        <v>8</v>
      </c>
    </row>
    <row r="80" spans="1:10" x14ac:dyDescent="0.3">
      <c r="A80" s="88" t="s">
        <v>155</v>
      </c>
      <c r="B80" s="19"/>
      <c r="C80" s="7"/>
      <c r="D80" s="7"/>
      <c r="E80" s="7"/>
      <c r="F80" s="7"/>
      <c r="G80" s="7"/>
      <c r="H80" s="7"/>
      <c r="I80" s="7"/>
      <c r="J80" s="7"/>
    </row>
    <row r="81" spans="1:10" x14ac:dyDescent="0.3">
      <c r="A81" s="88" t="s">
        <v>156</v>
      </c>
      <c r="B81" s="19" t="str">
        <f>E74</f>
        <v>وحدة سفلية   درجين - 2/4 (بورديوم)</v>
      </c>
      <c r="C81" s="7">
        <v>1</v>
      </c>
      <c r="D81" s="7" t="str">
        <f>H77</f>
        <v>بورديوم</v>
      </c>
      <c r="E81" s="7" t="s">
        <v>10</v>
      </c>
      <c r="F81" s="7">
        <f>H76-3.6</f>
        <v>-3.6</v>
      </c>
      <c r="G81" s="7">
        <f>J76</f>
        <v>56</v>
      </c>
      <c r="H81" s="7">
        <f>1*C74</f>
        <v>1</v>
      </c>
      <c r="I81" s="7">
        <f>HLOOKUP(D81, materials[], 2,FALSE)</f>
        <v>2</v>
      </c>
      <c r="J81" s="7"/>
    </row>
    <row r="82" spans="1:10" x14ac:dyDescent="0.3">
      <c r="A82" s="88" t="s">
        <v>156</v>
      </c>
      <c r="B82" s="19" t="str">
        <f>B81</f>
        <v>وحدة سفلية   درجين - 2/4 (بورديوم)</v>
      </c>
      <c r="C82" s="7">
        <f>C81+1</f>
        <v>2</v>
      </c>
      <c r="D82" s="7" t="str">
        <f>H77</f>
        <v>بورديوم</v>
      </c>
      <c r="E82" s="7" t="s">
        <v>11</v>
      </c>
      <c r="F82" s="7">
        <f>I76</f>
        <v>78</v>
      </c>
      <c r="G82" s="7">
        <f>J76</f>
        <v>56</v>
      </c>
      <c r="H82" s="7">
        <f>2*C74</f>
        <v>2</v>
      </c>
      <c r="I82" s="7">
        <f>HLOOKUP(D82, materials[], 2,FALSE)</f>
        <v>2</v>
      </c>
      <c r="J82" s="7"/>
    </row>
    <row r="83" spans="1:10" x14ac:dyDescent="0.3">
      <c r="A83" s="88" t="s">
        <v>156</v>
      </c>
      <c r="B83" s="19" t="str">
        <f>B81</f>
        <v>وحدة سفلية   درجين - 2/4 (بورديوم)</v>
      </c>
      <c r="C83" s="7">
        <f t="shared" ref="C83:C90" si="3">C82+1</f>
        <v>3</v>
      </c>
      <c r="D83" s="7" t="str">
        <f>H77</f>
        <v>بورديوم</v>
      </c>
      <c r="E83" s="7" t="s">
        <v>13</v>
      </c>
      <c r="F83" s="7">
        <f>H76-3.6</f>
        <v>-3.6</v>
      </c>
      <c r="G83" s="7">
        <v>10</v>
      </c>
      <c r="H83" s="7">
        <f>1*C74</f>
        <v>1</v>
      </c>
      <c r="I83" s="7">
        <f>HLOOKUP(D83, materials[], 2,FALSE)</f>
        <v>2</v>
      </c>
      <c r="J83" s="7"/>
    </row>
    <row r="84" spans="1:10" x14ac:dyDescent="0.3">
      <c r="A84" s="88" t="s">
        <v>156</v>
      </c>
      <c r="B84" s="19" t="str">
        <f>B81</f>
        <v>وحدة سفلية   درجين - 2/4 (بورديوم)</v>
      </c>
      <c r="C84" s="7">
        <f t="shared" si="3"/>
        <v>4</v>
      </c>
      <c r="D84" s="7" t="str">
        <f>H77</f>
        <v>بورديوم</v>
      </c>
      <c r="E84" s="7" t="s">
        <v>14</v>
      </c>
      <c r="F84" s="7">
        <f>H76-3.6</f>
        <v>-3.6</v>
      </c>
      <c r="G84" s="7">
        <v>7</v>
      </c>
      <c r="H84" s="7">
        <f>1*C74</f>
        <v>1</v>
      </c>
      <c r="I84" s="7">
        <f>HLOOKUP(D84, materials[], 2,FALSE)</f>
        <v>2</v>
      </c>
      <c r="J84" s="7"/>
    </row>
    <row r="85" spans="1:10" x14ac:dyDescent="0.3">
      <c r="A85" s="88" t="s">
        <v>156</v>
      </c>
      <c r="B85" s="19" t="str">
        <f>B81</f>
        <v>وحدة سفلية   درجين - 2/4 (بورديوم)</v>
      </c>
      <c r="C85" s="12">
        <f t="shared" si="3"/>
        <v>5</v>
      </c>
      <c r="D85" s="12" t="str">
        <f>H77</f>
        <v>بورديوم</v>
      </c>
      <c r="E85" s="12" t="s">
        <v>30</v>
      </c>
      <c r="F85" s="12">
        <f>H76-3.6-3.6-2.5</f>
        <v>-9.6999999999999993</v>
      </c>
      <c r="G85" s="12">
        <v>10</v>
      </c>
      <c r="H85" s="12">
        <f>(D76-1)*C74</f>
        <v>3</v>
      </c>
      <c r="I85" s="12">
        <f>HLOOKUP(D85, materials[], 2,FALSE)</f>
        <v>2</v>
      </c>
      <c r="J85" s="12"/>
    </row>
    <row r="86" spans="1:10" x14ac:dyDescent="0.3">
      <c r="A86" s="88" t="s">
        <v>156</v>
      </c>
      <c r="B86" s="19" t="str">
        <f>B81</f>
        <v>وحدة سفلية   درجين - 2/4 (بورديوم)</v>
      </c>
      <c r="C86" s="12">
        <f t="shared" si="3"/>
        <v>6</v>
      </c>
      <c r="D86" s="12" t="str">
        <f>H77</f>
        <v>بورديوم</v>
      </c>
      <c r="E86" s="12" t="s">
        <v>31</v>
      </c>
      <c r="F86" s="12">
        <f>G76</f>
        <v>45</v>
      </c>
      <c r="G86" s="12">
        <v>10</v>
      </c>
      <c r="H86" s="12">
        <f>(D76-1)*2*C74</f>
        <v>6</v>
      </c>
      <c r="I86" s="12">
        <f>HLOOKUP(D86, materials[], 2,FALSE)</f>
        <v>2</v>
      </c>
      <c r="J86" s="12"/>
    </row>
    <row r="87" spans="1:10" x14ac:dyDescent="0.3">
      <c r="A87" s="88" t="s">
        <v>156</v>
      </c>
      <c r="B87" s="19" t="str">
        <f>B81</f>
        <v>وحدة سفلية   درجين - 2/4 (بورديوم)</v>
      </c>
      <c r="C87" s="12">
        <f t="shared" si="3"/>
        <v>7</v>
      </c>
      <c r="D87" s="12" t="str">
        <f>H77</f>
        <v>بورديوم</v>
      </c>
      <c r="E87" s="12" t="s">
        <v>32</v>
      </c>
      <c r="F87" s="12">
        <f>H76-3.6-3.6-2.5</f>
        <v>-9.6999999999999993</v>
      </c>
      <c r="G87" s="12">
        <f>10-3</f>
        <v>7</v>
      </c>
      <c r="H87" s="12">
        <f>(D76-1)*C74</f>
        <v>3</v>
      </c>
      <c r="I87" s="12">
        <f>HLOOKUP(D87, materials[], 2,FALSE)</f>
        <v>2</v>
      </c>
      <c r="J87" s="12"/>
    </row>
    <row r="88" spans="1:10" x14ac:dyDescent="0.3">
      <c r="A88" s="88" t="s">
        <v>156</v>
      </c>
      <c r="B88" s="19" t="str">
        <f>B81</f>
        <v>وحدة سفلية   درجين - 2/4 (بورديوم)</v>
      </c>
      <c r="C88" s="13">
        <f t="shared" si="3"/>
        <v>8</v>
      </c>
      <c r="D88" s="13" t="str">
        <f>H77</f>
        <v>بورديوم</v>
      </c>
      <c r="E88" s="13" t="s">
        <v>24</v>
      </c>
      <c r="F88" s="13">
        <f>H76-3.6-3.6-2.5</f>
        <v>-9.6999999999999993</v>
      </c>
      <c r="G88" s="13">
        <f>60/C76</f>
        <v>30</v>
      </c>
      <c r="H88" s="13">
        <f>(C76-1)*C74</f>
        <v>1</v>
      </c>
      <c r="I88" s="13">
        <f>HLOOKUP(D88, materials[], 2,FALSE)</f>
        <v>2</v>
      </c>
      <c r="J88" s="13"/>
    </row>
    <row r="89" spans="1:10" x14ac:dyDescent="0.3">
      <c r="A89" s="88" t="s">
        <v>156</v>
      </c>
      <c r="B89" s="19" t="str">
        <f>B81</f>
        <v>وحدة سفلية   درجين - 2/4 (بورديوم)</v>
      </c>
      <c r="C89" s="13">
        <f t="shared" si="3"/>
        <v>9</v>
      </c>
      <c r="D89" s="13" t="str">
        <f>H77</f>
        <v>بورديوم</v>
      </c>
      <c r="E89" s="13" t="s">
        <v>25</v>
      </c>
      <c r="F89" s="13">
        <f>G76</f>
        <v>45</v>
      </c>
      <c r="G89" s="13">
        <f>60/C76</f>
        <v>30</v>
      </c>
      <c r="H89" s="13">
        <f>(C76-1)*2*C74</f>
        <v>2</v>
      </c>
      <c r="I89" s="13">
        <f>HLOOKUP(D89, materials[], 2,FALSE)</f>
        <v>2</v>
      </c>
      <c r="J89" s="13"/>
    </row>
    <row r="90" spans="1:10" x14ac:dyDescent="0.3">
      <c r="A90" s="88" t="s">
        <v>156</v>
      </c>
      <c r="B90" s="19" t="str">
        <f>B81</f>
        <v>وحدة سفلية   درجين - 2/4 (بورديوم)</v>
      </c>
      <c r="C90" s="13">
        <f t="shared" si="3"/>
        <v>10</v>
      </c>
      <c r="D90" s="13" t="str">
        <f>H77</f>
        <v>بورديوم</v>
      </c>
      <c r="E90" s="13" t="s">
        <v>26</v>
      </c>
      <c r="F90" s="13">
        <f>H76-3.6-3.6-2.5</f>
        <v>-9.6999999999999993</v>
      </c>
      <c r="G90" s="13">
        <f>60/C76-3</f>
        <v>27</v>
      </c>
      <c r="H90" s="13">
        <f>(C76-1)*C74</f>
        <v>1</v>
      </c>
      <c r="I90" s="13">
        <f>HLOOKUP(D90, materials[], 2,FALSE)</f>
        <v>2</v>
      </c>
      <c r="J90" s="13"/>
    </row>
    <row r="91" spans="1:10" x14ac:dyDescent="0.3">
      <c r="A91" s="88" t="s">
        <v>155</v>
      </c>
      <c r="B91" s="19"/>
      <c r="C91" s="7"/>
      <c r="D91" s="7"/>
      <c r="E91" s="7"/>
      <c r="F91" s="7"/>
      <c r="G91" s="7"/>
      <c r="H91" s="7"/>
      <c r="I91" s="7"/>
      <c r="J91" s="7"/>
    </row>
    <row r="92" spans="1:10" x14ac:dyDescent="0.3">
      <c r="A92" s="88" t="s">
        <v>153</v>
      </c>
      <c r="B92" s="19" t="str">
        <f>B81</f>
        <v>وحدة سفلية   درجين - 2/4 (بورديوم)</v>
      </c>
      <c r="C92" s="11">
        <f>C90+1</f>
        <v>11</v>
      </c>
      <c r="D92" s="11" t="str">
        <f>F77</f>
        <v>يوفيلاك</v>
      </c>
      <c r="E92" s="11" t="s">
        <v>27</v>
      </c>
      <c r="F92" s="11">
        <f>(I76/C76)-0.5-E76</f>
        <v>35</v>
      </c>
      <c r="G92" s="11">
        <f>H76-0.5</f>
        <v>-0.5</v>
      </c>
      <c r="H92" s="11">
        <f>C76*C74</f>
        <v>2</v>
      </c>
      <c r="I92" s="11">
        <f>HLOOKUP(D92, materials[], 2,FALSE)</f>
        <v>6</v>
      </c>
      <c r="J92" s="11"/>
    </row>
    <row r="93" spans="1:10" x14ac:dyDescent="0.3">
      <c r="A93" s="88" t="s">
        <v>155</v>
      </c>
      <c r="B93" s="19"/>
      <c r="C93" s="7"/>
      <c r="D93" s="7"/>
      <c r="E93" s="7"/>
      <c r="F93" s="7"/>
      <c r="G93" s="7"/>
      <c r="H93" s="7"/>
      <c r="I93" s="7"/>
      <c r="J93" s="7"/>
    </row>
    <row r="94" spans="1:10" x14ac:dyDescent="0.3">
      <c r="A94" s="88" t="s">
        <v>154</v>
      </c>
      <c r="B94" s="19" t="str">
        <f>IF(F76,B81, "")</f>
        <v/>
      </c>
      <c r="C94" s="24" t="str">
        <f>IF(F76,C92+1, "")</f>
        <v/>
      </c>
      <c r="D94" s="24" t="str">
        <f>IF(F76,D77, "")</f>
        <v/>
      </c>
      <c r="E94" s="24" t="str">
        <f>IF(F76,"ظهر", "")</f>
        <v/>
      </c>
      <c r="F94" s="24" t="str">
        <f>IF(F76,I76-2, "")</f>
        <v/>
      </c>
      <c r="G94" s="24" t="str">
        <f>IF(F76,H76-2, "")</f>
        <v/>
      </c>
      <c r="H94" s="24" t="str">
        <f>IF(F76,1*C74, "")</f>
        <v/>
      </c>
      <c r="I94" s="24" t="str">
        <f>IF(F76,HLOOKUP(D94, materials[], 2,FALSE), "")</f>
        <v/>
      </c>
      <c r="J94" s="24"/>
    </row>
    <row r="95" spans="1:10" ht="14.4" x14ac:dyDescent="0.3">
      <c r="A95" s="71" t="s">
        <v>150</v>
      </c>
    </row>
    <row r="96" spans="1:10" x14ac:dyDescent="0.3">
      <c r="A96" s="71" t="s">
        <v>150</v>
      </c>
      <c r="B96" s="19"/>
    </row>
    <row r="97" spans="1:10" ht="36" x14ac:dyDescent="0.3">
      <c r="A97" s="71" cm="1">
        <f t="array" ref="A97">bordiumBlockTypes[وحدة سفلية  تلبيسة دلفة /دلفتين (بورديوم)]</f>
        <v>5</v>
      </c>
      <c r="B97" s="19"/>
      <c r="C97" s="16">
        <v>1</v>
      </c>
      <c r="D97" s="30" t="s">
        <v>71</v>
      </c>
      <c r="E97" s="110" t="str">
        <f>bordiumBlockTypes[[#Headers],[وحدة سفلية  تلبيسة دلفة /دلفتين (بورديوم)]]</f>
        <v>وحدة سفلية  تلبيسة دلفة /دلفتين (بورديوم)</v>
      </c>
      <c r="F97" s="111"/>
      <c r="G97" s="111"/>
      <c r="H97" s="112"/>
      <c r="I97" s="2" t="s">
        <v>42</v>
      </c>
      <c r="J97" s="2">
        <f>A97</f>
        <v>5</v>
      </c>
    </row>
    <row r="98" spans="1:10" ht="31.2" x14ac:dyDescent="0.3">
      <c r="A98" s="71" t="s">
        <v>151</v>
      </c>
      <c r="B98" s="19"/>
      <c r="C98" s="9" t="s">
        <v>12</v>
      </c>
      <c r="D98" s="9" t="s">
        <v>19</v>
      </c>
      <c r="E98" s="9" t="s">
        <v>17</v>
      </c>
      <c r="F98" s="63" t="s">
        <v>132</v>
      </c>
      <c r="G98" s="105"/>
      <c r="H98" s="9" t="s">
        <v>34</v>
      </c>
      <c r="I98" s="9" t="s">
        <v>3</v>
      </c>
      <c r="J98" s="9" t="s">
        <v>128</v>
      </c>
    </row>
    <row r="99" spans="1:10" x14ac:dyDescent="0.3">
      <c r="A99" s="71" t="s">
        <v>151</v>
      </c>
      <c r="B99" s="19"/>
      <c r="C99" s="10">
        <v>1</v>
      </c>
      <c r="D99" s="10">
        <v>1</v>
      </c>
      <c r="E99" s="43">
        <f>INDEX(bordiumCommon[[#All],[Column1]],MATCH(E98,bordiumCommon[[#All],[Column2]],0))</f>
        <v>3.5</v>
      </c>
      <c r="F99" s="10" t="b">
        <f>INDEX(bordiumCommon[[#All],[Column1]],MATCH(F98,bordiumCommon[[#All],[Column2]],0))</f>
        <v>0</v>
      </c>
      <c r="G99" s="105"/>
      <c r="H99" s="10"/>
      <c r="I99" s="43">
        <f>INDEX(bordiumCommon[[#All],[Column1]],MATCH(I98,bordiumCommon[[#All],[Column2]],0))</f>
        <v>78</v>
      </c>
      <c r="J99" s="43">
        <f>INDEX(bordiumCommon[[#All],[Column1]],MATCH(J98,bordiumCommon[[#All],[Column2]],0))</f>
        <v>56</v>
      </c>
    </row>
    <row r="100" spans="1:10" ht="31.2" x14ac:dyDescent="0.3">
      <c r="A100" s="71" t="s">
        <v>151</v>
      </c>
      <c r="B100" s="19"/>
      <c r="C100" s="10"/>
      <c r="D100" s="43" t="str">
        <f>INDEX(bordiumChoosenMaterials[[#All],[Column1]],MATCH(E100,bordiumChoosenMaterials[[#All],[Column2]],0))</f>
        <v>ظهر</v>
      </c>
      <c r="E100" s="9" t="s">
        <v>70</v>
      </c>
      <c r="F100" s="43" t="str">
        <f>INDEX(bordiumChoosenMaterials[[#All],[Column1]],MATCH(G100,bordiumChoosenMaterials[[#All],[Column2]],0))</f>
        <v>يوفيلاك</v>
      </c>
      <c r="G100" s="9" t="s">
        <v>44</v>
      </c>
      <c r="H100" s="43" t="str">
        <f>INDEX(bordiumChoosenMaterials[[#All],[Column1]],MATCH(I100,bordiumChoosenMaterials[[#All],[Column2]],0))</f>
        <v>بورديوم</v>
      </c>
      <c r="I100" s="9" t="s">
        <v>43</v>
      </c>
      <c r="J100" s="34" t="s">
        <v>126</v>
      </c>
    </row>
    <row r="101" spans="1:10" x14ac:dyDescent="0.3">
      <c r="A101" s="71" t="s">
        <v>155</v>
      </c>
      <c r="B101" s="19"/>
    </row>
    <row r="102" spans="1:10" x14ac:dyDescent="0.3">
      <c r="A102" s="88" t="s">
        <v>152</v>
      </c>
      <c r="B102" s="19"/>
      <c r="C102" s="7" t="s">
        <v>4</v>
      </c>
      <c r="D102" s="7" t="s">
        <v>9</v>
      </c>
      <c r="E102" s="7" t="s">
        <v>5</v>
      </c>
      <c r="F102" s="7" t="s">
        <v>7</v>
      </c>
      <c r="G102" s="7" t="s">
        <v>1</v>
      </c>
      <c r="H102" s="7" t="s">
        <v>6</v>
      </c>
      <c r="I102" s="7" t="s">
        <v>45</v>
      </c>
      <c r="J102" s="7" t="s">
        <v>8</v>
      </c>
    </row>
    <row r="103" spans="1:10" ht="15.6" customHeight="1" x14ac:dyDescent="0.3">
      <c r="A103" s="88" t="s">
        <v>155</v>
      </c>
      <c r="B103" s="19"/>
      <c r="C103" s="7"/>
      <c r="D103" s="7"/>
      <c r="E103" s="7"/>
      <c r="F103" s="7"/>
      <c r="G103" s="7"/>
      <c r="H103" s="7"/>
      <c r="I103" s="7"/>
      <c r="J103" s="7"/>
    </row>
    <row r="104" spans="1:10" ht="15.6" customHeight="1" x14ac:dyDescent="0.3">
      <c r="A104" s="88" t="s">
        <v>156</v>
      </c>
      <c r="B104" s="19" t="str">
        <f>E97</f>
        <v>وحدة سفلية  تلبيسة دلفة /دلفتين (بورديوم)</v>
      </c>
      <c r="C104" s="7">
        <v>1</v>
      </c>
      <c r="D104" s="7" t="str">
        <f>H100</f>
        <v>بورديوم</v>
      </c>
      <c r="E104" s="7" t="s">
        <v>10</v>
      </c>
      <c r="F104" s="7">
        <f>H99-3.6</f>
        <v>-3.6</v>
      </c>
      <c r="G104" s="7">
        <f>J99</f>
        <v>56</v>
      </c>
      <c r="H104" s="7">
        <f>1*C97</f>
        <v>1</v>
      </c>
      <c r="I104" s="7">
        <f>HLOOKUP(D104, materials[], 2,FALSE)</f>
        <v>2</v>
      </c>
      <c r="J104" s="7"/>
    </row>
    <row r="105" spans="1:10" ht="15.6" customHeight="1" x14ac:dyDescent="0.3">
      <c r="A105" s="88" t="s">
        <v>156</v>
      </c>
      <c r="B105" s="19" t="str">
        <f>B104</f>
        <v>وحدة سفلية  تلبيسة دلفة /دلفتين (بورديوم)</v>
      </c>
      <c r="C105" s="7">
        <f>C104+1</f>
        <v>2</v>
      </c>
      <c r="D105" s="7" t="str">
        <f>H100</f>
        <v>بورديوم</v>
      </c>
      <c r="E105" s="7" t="s">
        <v>11</v>
      </c>
      <c r="F105" s="7">
        <f>I99</f>
        <v>78</v>
      </c>
      <c r="G105" s="7">
        <f>J99</f>
        <v>56</v>
      </c>
      <c r="H105" s="7">
        <v>2</v>
      </c>
      <c r="I105" s="7">
        <f>HLOOKUP(D105, materials[], 2,FALSE)</f>
        <v>2</v>
      </c>
      <c r="J105" s="7"/>
    </row>
    <row r="106" spans="1:10" ht="15.6" customHeight="1" x14ac:dyDescent="0.3">
      <c r="A106" s="88" t="s">
        <v>156</v>
      </c>
      <c r="B106" s="19" t="str">
        <f>B104</f>
        <v>وحدة سفلية  تلبيسة دلفة /دلفتين (بورديوم)</v>
      </c>
      <c r="C106" s="7">
        <f t="shared" ref="C106:C109" si="4">C105+1</f>
        <v>3</v>
      </c>
      <c r="D106" s="7" t="str">
        <f>H100</f>
        <v>بورديوم</v>
      </c>
      <c r="E106" s="7" t="s">
        <v>13</v>
      </c>
      <c r="F106" s="7">
        <f>H99-3.6</f>
        <v>-3.6</v>
      </c>
      <c r="G106" s="7">
        <v>10</v>
      </c>
      <c r="H106" s="7">
        <f>1*C97</f>
        <v>1</v>
      </c>
      <c r="I106" s="7">
        <f>HLOOKUP(D106, materials[], 2,FALSE)</f>
        <v>2</v>
      </c>
      <c r="J106" s="7"/>
    </row>
    <row r="107" spans="1:10" ht="15.6" customHeight="1" x14ac:dyDescent="0.3">
      <c r="A107" s="88" t="s">
        <v>156</v>
      </c>
      <c r="B107" s="19" t="str">
        <f>B104</f>
        <v>وحدة سفلية  تلبيسة دلفة /دلفتين (بورديوم)</v>
      </c>
      <c r="C107" s="7">
        <f t="shared" si="4"/>
        <v>4</v>
      </c>
      <c r="D107" s="7" t="str">
        <f>H100</f>
        <v>بورديوم</v>
      </c>
      <c r="E107" s="7" t="s">
        <v>14</v>
      </c>
      <c r="F107" s="7">
        <f>H99-3.6</f>
        <v>-3.6</v>
      </c>
      <c r="G107" s="7">
        <v>7</v>
      </c>
      <c r="H107" s="7">
        <f>1*C97</f>
        <v>1</v>
      </c>
      <c r="I107" s="7">
        <f>HLOOKUP(D107, materials[], 2,FALSE)</f>
        <v>2</v>
      </c>
      <c r="J107" s="7"/>
    </row>
    <row r="108" spans="1:10" ht="15.6" customHeight="1" x14ac:dyDescent="0.3">
      <c r="A108" s="88" t="s">
        <v>156</v>
      </c>
      <c r="B108" s="19" t="str">
        <f>B104</f>
        <v>وحدة سفلية  تلبيسة دلفة /دلفتين (بورديوم)</v>
      </c>
      <c r="C108" s="7">
        <f t="shared" si="4"/>
        <v>5</v>
      </c>
      <c r="D108" s="7" t="str">
        <f>H100</f>
        <v>بورديوم</v>
      </c>
      <c r="E108" s="7" t="s">
        <v>18</v>
      </c>
      <c r="F108" s="7">
        <f>H99-3.8</f>
        <v>-3.8</v>
      </c>
      <c r="G108" s="7">
        <f>J99-6</f>
        <v>50</v>
      </c>
      <c r="H108" s="7">
        <f>D99*C97</f>
        <v>1</v>
      </c>
      <c r="I108" s="7">
        <f>HLOOKUP(D108, materials[], 2,FALSE)</f>
        <v>2</v>
      </c>
      <c r="J108" s="7"/>
    </row>
    <row r="109" spans="1:10" ht="15.6" customHeight="1" x14ac:dyDescent="0.3">
      <c r="A109" s="88" t="s">
        <v>156</v>
      </c>
      <c r="B109" s="19" t="str">
        <f>B104</f>
        <v>وحدة سفلية  تلبيسة دلفة /دلفتين (بورديوم)</v>
      </c>
      <c r="C109" s="7">
        <f t="shared" si="4"/>
        <v>6</v>
      </c>
      <c r="D109" s="7" t="str">
        <f>H100</f>
        <v>بورديوم</v>
      </c>
      <c r="E109" s="7" t="s">
        <v>36</v>
      </c>
      <c r="F109" s="7">
        <f>I99</f>
        <v>78</v>
      </c>
      <c r="G109" s="7">
        <f>J99</f>
        <v>56</v>
      </c>
      <c r="H109" s="7">
        <f>1*C97</f>
        <v>1</v>
      </c>
      <c r="I109" s="7">
        <f>HLOOKUP(D109, materials[], 2,FALSE)</f>
        <v>2</v>
      </c>
      <c r="J109" s="7"/>
    </row>
    <row r="110" spans="1:10" ht="15.6" customHeight="1" x14ac:dyDescent="0.3">
      <c r="A110" s="88" t="s">
        <v>155</v>
      </c>
      <c r="B110" s="19"/>
      <c r="C110" s="7"/>
      <c r="D110" s="7"/>
      <c r="E110" s="7"/>
      <c r="F110" s="7"/>
      <c r="G110" s="7"/>
      <c r="H110" s="7"/>
      <c r="I110" s="7"/>
      <c r="J110" s="7"/>
    </row>
    <row r="111" spans="1:10" ht="15.6" customHeight="1" x14ac:dyDescent="0.3">
      <c r="A111" s="88" t="s">
        <v>153</v>
      </c>
      <c r="B111" s="19" t="str">
        <f>B104</f>
        <v>وحدة سفلية  تلبيسة دلفة /دلفتين (بورديوم)</v>
      </c>
      <c r="C111" s="11">
        <f>C109+1</f>
        <v>7</v>
      </c>
      <c r="D111" s="11" t="str">
        <f>F100</f>
        <v>يوفيلاك</v>
      </c>
      <c r="E111" s="11" t="s">
        <v>15</v>
      </c>
      <c r="F111" s="11">
        <f>I99-0.5-E99</f>
        <v>74</v>
      </c>
      <c r="G111" s="11">
        <f>(H99-J99-G112)/C99-0.5</f>
        <v>-60.5</v>
      </c>
      <c r="H111" s="11">
        <f>C99*C97</f>
        <v>1</v>
      </c>
      <c r="I111" s="11">
        <f>HLOOKUP(D111, materials[], 2,FALSE)</f>
        <v>6</v>
      </c>
      <c r="J111" s="11"/>
    </row>
    <row r="112" spans="1:10" ht="20.399999999999999" customHeight="1" x14ac:dyDescent="0.3">
      <c r="A112" s="88" t="s">
        <v>153</v>
      </c>
      <c r="B112" s="19" t="str">
        <f>B104</f>
        <v>وحدة سفلية  تلبيسة دلفة /دلفتين (بورديوم)</v>
      </c>
      <c r="C112" s="11">
        <f t="shared" ref="C112" si="5">C111+1</f>
        <v>8</v>
      </c>
      <c r="D112" s="11" t="str">
        <f>F100</f>
        <v>يوفيلاك</v>
      </c>
      <c r="E112" s="11" t="s">
        <v>37</v>
      </c>
      <c r="F112" s="11">
        <f>I99</f>
        <v>78</v>
      </c>
      <c r="G112" s="11">
        <v>4</v>
      </c>
      <c r="H112" s="11">
        <f>1*C97</f>
        <v>1</v>
      </c>
      <c r="I112" s="11">
        <f>HLOOKUP(D112, materials[], 2,FALSE)</f>
        <v>6</v>
      </c>
      <c r="J112" s="11"/>
    </row>
    <row r="113" spans="1:10" ht="15.6" customHeight="1" x14ac:dyDescent="0.3">
      <c r="A113" s="88" t="s">
        <v>155</v>
      </c>
      <c r="B113" s="19"/>
      <c r="C113" s="7"/>
      <c r="D113" s="7"/>
      <c r="E113" s="7"/>
      <c r="F113" s="7"/>
      <c r="G113" s="7"/>
      <c r="H113" s="7"/>
      <c r="I113" s="7"/>
      <c r="J113" s="7"/>
    </row>
    <row r="114" spans="1:10" x14ac:dyDescent="0.3">
      <c r="A114" s="88" t="s">
        <v>154</v>
      </c>
      <c r="B114" s="19" t="str">
        <f>IF(F99,B104, "")</f>
        <v/>
      </c>
      <c r="C114" s="24" t="str">
        <f>IF(F99,C112+1, "")</f>
        <v/>
      </c>
      <c r="D114" s="24" t="str">
        <f>IF(F99,D100, "")</f>
        <v/>
      </c>
      <c r="E114" s="24" t="str">
        <f>IF(F99,"ظهر", "")</f>
        <v/>
      </c>
      <c r="F114" s="24" t="str">
        <f>IF(F99,I99-2, "")</f>
        <v/>
      </c>
      <c r="G114" s="24" t="str">
        <f>IF(F99,H99-2, "")</f>
        <v/>
      </c>
      <c r="H114" s="24" t="str">
        <f>IF(F99,1*C97, "")</f>
        <v/>
      </c>
      <c r="I114" s="24" t="str">
        <f>IF(F99,HLOOKUP(D114,materials[], 2,FALSE), "")</f>
        <v/>
      </c>
      <c r="J114" s="24"/>
    </row>
    <row r="115" spans="1:10" ht="14.4" x14ac:dyDescent="0.3">
      <c r="A115" s="71" t="s">
        <v>150</v>
      </c>
    </row>
    <row r="116" spans="1:10" x14ac:dyDescent="0.3">
      <c r="A116" s="71" t="s">
        <v>150</v>
      </c>
      <c r="B116" s="19"/>
    </row>
    <row r="117" spans="1:10" ht="36" x14ac:dyDescent="0.3">
      <c r="A117" s="71" cm="1">
        <f t="array" ref="A117">bordiumBlockTypes[وحدة سفلية  زاوية 90 (بورديوم)]</f>
        <v>6</v>
      </c>
      <c r="B117" s="19"/>
      <c r="C117" s="16">
        <v>1</v>
      </c>
      <c r="D117" s="30" t="s">
        <v>71</v>
      </c>
      <c r="E117" s="110" t="str">
        <f>bordiumBlockTypes[[#Headers],[وحدة سفلية  زاوية 90 (بورديوم)]]</f>
        <v>وحدة سفلية  زاوية 90 (بورديوم)</v>
      </c>
      <c r="F117" s="111"/>
      <c r="G117" s="111"/>
      <c r="H117" s="112"/>
      <c r="I117" s="2" t="s">
        <v>42</v>
      </c>
      <c r="J117" s="2">
        <f>A117</f>
        <v>6</v>
      </c>
    </row>
    <row r="118" spans="1:10" ht="31.2" x14ac:dyDescent="0.3">
      <c r="A118" s="71" t="s">
        <v>151</v>
      </c>
      <c r="B118" s="19"/>
      <c r="C118" s="9"/>
      <c r="D118" s="9" t="s">
        <v>19</v>
      </c>
      <c r="E118" s="9" t="s">
        <v>17</v>
      </c>
      <c r="F118" s="63" t="s">
        <v>132</v>
      </c>
      <c r="G118" s="9"/>
      <c r="H118" s="9" t="s">
        <v>34</v>
      </c>
      <c r="I118" s="9" t="s">
        <v>3</v>
      </c>
      <c r="J118" s="9" t="s">
        <v>128</v>
      </c>
    </row>
    <row r="119" spans="1:10" x14ac:dyDescent="0.3">
      <c r="A119" s="71" t="s">
        <v>151</v>
      </c>
      <c r="B119" s="19"/>
      <c r="C119" s="10"/>
      <c r="D119" s="10">
        <v>1</v>
      </c>
      <c r="E119" s="43">
        <f>INDEX(bordiumCommon[[#All],[Column1]],MATCH(E118,bordiumCommon[[#All],[Column2]],0))</f>
        <v>3.5</v>
      </c>
      <c r="F119" s="10" t="b">
        <f>INDEX(bordiumCommon[[#All],[Column1]],MATCH(F118,bordiumCommon[[#All],[Column2]],0))</f>
        <v>0</v>
      </c>
      <c r="G119" s="9"/>
      <c r="H119" s="10"/>
      <c r="I119" s="43">
        <f>INDEX(bordiumCommon[[#All],[Column1]],MATCH(I118,bordiumCommon[[#All],[Column2]],0))</f>
        <v>78</v>
      </c>
      <c r="J119" s="43">
        <f>INDEX(bordiumCommon[[#All],[Column1]],MATCH(J118,bordiumCommon[[#All],[Column2]],0))</f>
        <v>56</v>
      </c>
    </row>
    <row r="120" spans="1:10" x14ac:dyDescent="0.3">
      <c r="A120" s="71" t="s">
        <v>151</v>
      </c>
      <c r="B120" s="19"/>
      <c r="C120" s="44"/>
      <c r="D120" s="14"/>
      <c r="E120" s="14"/>
      <c r="F120" s="15"/>
      <c r="G120" s="9"/>
      <c r="H120" s="10"/>
      <c r="I120" s="43">
        <f>INDEX(bordiumCommon[[#All],[Column1]],MATCH(I118,bordiumCommon[[#All],[Column2]],0))</f>
        <v>78</v>
      </c>
      <c r="J120" s="43">
        <f>INDEX(bordiumCommon[[#All],[Column1]],MATCH(J118,bordiumCommon[[#All],[Column2]],0))</f>
        <v>56</v>
      </c>
    </row>
    <row r="121" spans="1:10" ht="31.2" x14ac:dyDescent="0.3">
      <c r="A121" s="71" t="s">
        <v>151</v>
      </c>
      <c r="B121" s="19"/>
      <c r="C121" s="10"/>
      <c r="D121" s="43" t="str">
        <f>INDEX(bordiumChoosenMaterials[[#All],[Column1]],MATCH(E121,bordiumChoosenMaterials[[#All],[Column2]],0))</f>
        <v>ظهر</v>
      </c>
      <c r="E121" s="9" t="s">
        <v>70</v>
      </c>
      <c r="F121" s="43" t="str">
        <f>INDEX(bordiumChoosenMaterials[[#All],[Column1]],MATCH(G121,bordiumChoosenMaterials[[#All],[Column2]],0))</f>
        <v>يوفيلاك</v>
      </c>
      <c r="G121" s="9" t="s">
        <v>44</v>
      </c>
      <c r="H121" s="43" t="str">
        <f>INDEX(bordiumChoosenMaterials[[#All],[Column1]],MATCH(I121,bordiumChoosenMaterials[[#All],[Column2]],0))</f>
        <v>بورديوم</v>
      </c>
      <c r="I121" s="9" t="s">
        <v>43</v>
      </c>
      <c r="J121" s="34" t="s">
        <v>126</v>
      </c>
    </row>
    <row r="122" spans="1:10" x14ac:dyDescent="0.3">
      <c r="A122" s="71" t="s">
        <v>155</v>
      </c>
      <c r="B122" s="19"/>
    </row>
    <row r="123" spans="1:10" x14ac:dyDescent="0.3">
      <c r="A123" s="88" t="s">
        <v>152</v>
      </c>
      <c r="B123" s="19"/>
      <c r="C123" s="7" t="s">
        <v>4</v>
      </c>
      <c r="D123" s="7" t="s">
        <v>9</v>
      </c>
      <c r="E123" s="7" t="s">
        <v>5</v>
      </c>
      <c r="F123" s="7" t="s">
        <v>7</v>
      </c>
      <c r="G123" s="7" t="s">
        <v>1</v>
      </c>
      <c r="H123" s="7" t="s">
        <v>6</v>
      </c>
      <c r="I123" s="7" t="s">
        <v>45</v>
      </c>
      <c r="J123" s="7" t="s">
        <v>8</v>
      </c>
    </row>
    <row r="124" spans="1:10" x14ac:dyDescent="0.3">
      <c r="A124" s="88" t="s">
        <v>155</v>
      </c>
      <c r="B124" s="19"/>
      <c r="C124" s="7"/>
      <c r="D124" s="7"/>
      <c r="E124" s="7"/>
      <c r="F124" s="7"/>
      <c r="G124" s="7"/>
      <c r="H124" s="7"/>
      <c r="I124" s="7"/>
      <c r="J124" s="7"/>
    </row>
    <row r="125" spans="1:10" x14ac:dyDescent="0.3">
      <c r="A125" s="88" t="s">
        <v>156</v>
      </c>
      <c r="B125" s="19" t="str">
        <f>E117</f>
        <v>وحدة سفلية  زاوية 90 (بورديوم)</v>
      </c>
      <c r="C125" s="7">
        <v>1</v>
      </c>
      <c r="D125" s="7" t="str">
        <f>H121</f>
        <v>بورديوم</v>
      </c>
      <c r="E125" s="7" t="s">
        <v>10</v>
      </c>
      <c r="F125" s="7">
        <f>H119-1.8</f>
        <v>-1.8</v>
      </c>
      <c r="G125" s="7">
        <f>H120-1.8</f>
        <v>-1.8</v>
      </c>
      <c r="H125" s="7">
        <f>1*C117</f>
        <v>1</v>
      </c>
      <c r="I125" s="7">
        <f>HLOOKUP(D125, materials[], 2,FALSE)</f>
        <v>2</v>
      </c>
      <c r="J125" s="7"/>
    </row>
    <row r="126" spans="1:10" x14ac:dyDescent="0.3">
      <c r="A126" s="88" t="s">
        <v>156</v>
      </c>
      <c r="B126" s="19" t="str">
        <f>B125</f>
        <v>وحدة سفلية  زاوية 90 (بورديوم)</v>
      </c>
      <c r="C126" s="7">
        <f>C125+1</f>
        <v>2</v>
      </c>
      <c r="D126" s="7" t="str">
        <f>H121</f>
        <v>بورديوم</v>
      </c>
      <c r="E126" s="7" t="s">
        <v>11</v>
      </c>
      <c r="F126" s="7">
        <f>I119</f>
        <v>78</v>
      </c>
      <c r="G126" s="7">
        <f>J119</f>
        <v>56</v>
      </c>
      <c r="H126" s="7">
        <f>2*C117</f>
        <v>2</v>
      </c>
      <c r="I126" s="7">
        <f>HLOOKUP(D126, materials[], 2,FALSE)</f>
        <v>2</v>
      </c>
      <c r="J126" s="7"/>
    </row>
    <row r="127" spans="1:10" x14ac:dyDescent="0.3">
      <c r="A127" s="88" t="s">
        <v>156</v>
      </c>
      <c r="B127" s="19" t="str">
        <f>B125</f>
        <v>وحدة سفلية  زاوية 90 (بورديوم)</v>
      </c>
      <c r="C127" s="7">
        <f t="shared" ref="C127:C130" si="6">C126+1</f>
        <v>3</v>
      </c>
      <c r="D127" s="7" t="str">
        <f>H121</f>
        <v>بورديوم</v>
      </c>
      <c r="E127" s="7" t="s">
        <v>13</v>
      </c>
      <c r="F127" s="7">
        <f>H119-1.8</f>
        <v>-1.8</v>
      </c>
      <c r="G127" s="7">
        <v>10</v>
      </c>
      <c r="H127" s="7">
        <f>2*C117</f>
        <v>2</v>
      </c>
      <c r="I127" s="7">
        <f>HLOOKUP(D127, materials[], 2,FALSE)</f>
        <v>2</v>
      </c>
      <c r="J127" s="7"/>
    </row>
    <row r="128" spans="1:10" x14ac:dyDescent="0.3">
      <c r="A128" s="88" t="s">
        <v>156</v>
      </c>
      <c r="B128" s="19" t="str">
        <f>B125</f>
        <v>وحدة سفلية  زاوية 90 (بورديوم)</v>
      </c>
      <c r="C128" s="7">
        <f t="shared" si="6"/>
        <v>4</v>
      </c>
      <c r="D128" s="7" t="str">
        <f>H121</f>
        <v>بورديوم</v>
      </c>
      <c r="E128" s="7" t="s">
        <v>14</v>
      </c>
      <c r="F128" s="7">
        <f>H119-1.8</f>
        <v>-1.8</v>
      </c>
      <c r="G128" s="7">
        <v>7</v>
      </c>
      <c r="H128" s="7">
        <f>2*C117</f>
        <v>2</v>
      </c>
      <c r="I128" s="7">
        <f>HLOOKUP(D128, materials[], 2,FALSE)</f>
        <v>2</v>
      </c>
      <c r="J128" s="7"/>
    </row>
    <row r="129" spans="1:10" x14ac:dyDescent="0.3">
      <c r="A129" s="88" t="s">
        <v>156</v>
      </c>
      <c r="B129" s="19" t="str">
        <f>B125</f>
        <v>وحدة سفلية  زاوية 90 (بورديوم)</v>
      </c>
      <c r="C129" s="7">
        <f t="shared" si="6"/>
        <v>5</v>
      </c>
      <c r="D129" s="7" t="str">
        <f>H121</f>
        <v>بورديوم</v>
      </c>
      <c r="E129" s="7" t="s">
        <v>39</v>
      </c>
      <c r="F129" s="7">
        <f>I119</f>
        <v>78</v>
      </c>
      <c r="G129" s="7">
        <v>10</v>
      </c>
      <c r="H129" s="7">
        <f>1*C117</f>
        <v>1</v>
      </c>
      <c r="I129" s="7">
        <f>HLOOKUP(D129, materials[], 2,FALSE)</f>
        <v>2</v>
      </c>
      <c r="J129" s="7"/>
    </row>
    <row r="130" spans="1:10" x14ac:dyDescent="0.3">
      <c r="A130" s="88" t="s">
        <v>156</v>
      </c>
      <c r="B130" s="19" t="str">
        <f>B125</f>
        <v>وحدة سفلية  زاوية 90 (بورديوم)</v>
      </c>
      <c r="C130" s="7">
        <f t="shared" si="6"/>
        <v>6</v>
      </c>
      <c r="D130" s="7" t="str">
        <f>H121</f>
        <v>بورديوم</v>
      </c>
      <c r="E130" s="7" t="s">
        <v>18</v>
      </c>
      <c r="F130" s="7">
        <f>H119-3.8</f>
        <v>-3.8</v>
      </c>
      <c r="G130" s="7">
        <f>H120-3.8</f>
        <v>-3.8</v>
      </c>
      <c r="H130" s="7">
        <f>D119*C117</f>
        <v>1</v>
      </c>
      <c r="I130" s="7">
        <f>HLOOKUP(D130, materials[], 2,FALSE)</f>
        <v>2</v>
      </c>
      <c r="J130" s="7"/>
    </row>
    <row r="131" spans="1:10" x14ac:dyDescent="0.3">
      <c r="A131" s="88" t="s">
        <v>155</v>
      </c>
      <c r="B131" s="19"/>
      <c r="C131" s="7"/>
      <c r="D131" s="7"/>
      <c r="E131" s="7"/>
      <c r="F131" s="7"/>
      <c r="G131" s="7"/>
      <c r="H131" s="7"/>
      <c r="I131" s="7"/>
      <c r="J131" s="7"/>
    </row>
    <row r="132" spans="1:10" x14ac:dyDescent="0.3">
      <c r="A132" s="88" t="s">
        <v>153</v>
      </c>
      <c r="B132" s="19" t="str">
        <f>B125</f>
        <v>وحدة سفلية  زاوية 90 (بورديوم)</v>
      </c>
      <c r="C132" s="11">
        <f>C130+1</f>
        <v>7</v>
      </c>
      <c r="D132" s="11" t="str">
        <f>F121</f>
        <v>يوفيلاك</v>
      </c>
      <c r="E132" s="11" t="s">
        <v>40</v>
      </c>
      <c r="F132" s="11">
        <f>I119-0.5-E119</f>
        <v>74</v>
      </c>
      <c r="G132" s="11">
        <f>H119-56-3</f>
        <v>-59</v>
      </c>
      <c r="H132" s="11">
        <f>1*C117</f>
        <v>1</v>
      </c>
      <c r="I132" s="11">
        <f>HLOOKUP(D132, materials[], 2,FALSE)</f>
        <v>6</v>
      </c>
      <c r="J132" s="11"/>
    </row>
    <row r="133" spans="1:10" x14ac:dyDescent="0.3">
      <c r="A133" s="88" t="s">
        <v>153</v>
      </c>
      <c r="B133" s="19" t="str">
        <f>B125</f>
        <v>وحدة سفلية  زاوية 90 (بورديوم)</v>
      </c>
      <c r="C133" s="11">
        <f t="shared" ref="C133" si="7">C132+1</f>
        <v>8</v>
      </c>
      <c r="D133" s="11" t="str">
        <f>F121</f>
        <v>يوفيلاك</v>
      </c>
      <c r="E133" s="11" t="s">
        <v>53</v>
      </c>
      <c r="F133" s="11">
        <f>I120-0.5-E119</f>
        <v>74</v>
      </c>
      <c r="G133" s="11">
        <f>H120-56-3</f>
        <v>-59</v>
      </c>
      <c r="H133" s="11">
        <f>1*C117</f>
        <v>1</v>
      </c>
      <c r="I133" s="11">
        <f>HLOOKUP(D133, materials[], 2,FALSE)</f>
        <v>6</v>
      </c>
      <c r="J133" s="11"/>
    </row>
    <row r="134" spans="1:10" x14ac:dyDescent="0.3">
      <c r="A134" s="88" t="s">
        <v>155</v>
      </c>
      <c r="B134" s="19"/>
      <c r="C134" s="7"/>
      <c r="D134" s="7"/>
      <c r="E134" s="7"/>
      <c r="F134" s="7"/>
      <c r="G134" s="7"/>
      <c r="H134" s="7"/>
      <c r="I134" s="7"/>
      <c r="J134" s="7"/>
    </row>
    <row r="135" spans="1:10" x14ac:dyDescent="0.3">
      <c r="A135" s="88" t="s">
        <v>154</v>
      </c>
      <c r="B135" s="19" t="str">
        <f>IF(F119,B125, "")</f>
        <v/>
      </c>
      <c r="C135" s="24" t="str">
        <f>IF(F119,C133+1, "")</f>
        <v/>
      </c>
      <c r="D135" s="24" t="str">
        <f>IF(F119,D121, "")</f>
        <v/>
      </c>
      <c r="E135" s="24" t="str">
        <f>IF(F119,"ظهر", "")</f>
        <v/>
      </c>
      <c r="F135" s="24" t="str">
        <f>IF(F119,I120-1, "")</f>
        <v/>
      </c>
      <c r="G135" s="24" t="str">
        <f>IF(F119,H120-2, "")</f>
        <v/>
      </c>
      <c r="H135" s="24" t="str">
        <f>IF(F119,2*C117, "")</f>
        <v/>
      </c>
      <c r="I135" s="24" t="str">
        <f>IF(F119,HLOOKUP(D135, materials[], 2,FALSE), "")</f>
        <v/>
      </c>
      <c r="J135" s="24"/>
    </row>
    <row r="136" spans="1:10" ht="14.4" x14ac:dyDescent="0.3">
      <c r="A136" s="71" t="s">
        <v>150</v>
      </c>
    </row>
    <row r="137" spans="1:10" x14ac:dyDescent="0.3">
      <c r="A137" s="71" t="s">
        <v>150</v>
      </c>
      <c r="B137" s="19"/>
    </row>
    <row r="138" spans="1:10" ht="36" x14ac:dyDescent="0.3">
      <c r="A138" s="71" cm="1">
        <f t="array" ref="A138">bordiumBlockTypes[وحدة سفلية  ركنة 45 (بورديوم)]</f>
        <v>7</v>
      </c>
      <c r="B138" s="19"/>
      <c r="C138" s="16">
        <v>1</v>
      </c>
      <c r="D138" s="30" t="s">
        <v>71</v>
      </c>
      <c r="E138" s="110" t="str">
        <f>bordiumBlockTypes[[#Headers],[وحدة سفلية  ركنة 45 (بورديوم)]]</f>
        <v>وحدة سفلية  ركنة 45 (بورديوم)</v>
      </c>
      <c r="F138" s="111"/>
      <c r="G138" s="111"/>
      <c r="H138" s="112"/>
      <c r="I138" s="2" t="s">
        <v>42</v>
      </c>
      <c r="J138" s="2">
        <f>A138</f>
        <v>7</v>
      </c>
    </row>
    <row r="139" spans="1:10" ht="31.2" x14ac:dyDescent="0.3">
      <c r="A139" s="71" t="s">
        <v>151</v>
      </c>
      <c r="B139" s="19"/>
      <c r="C139" s="9"/>
      <c r="D139" s="9" t="s">
        <v>19</v>
      </c>
      <c r="E139" s="9" t="s">
        <v>17</v>
      </c>
      <c r="F139" s="63" t="s">
        <v>132</v>
      </c>
      <c r="G139" s="9"/>
      <c r="H139" s="9" t="s">
        <v>34</v>
      </c>
      <c r="I139" s="9" t="s">
        <v>3</v>
      </c>
      <c r="J139" s="9" t="s">
        <v>128</v>
      </c>
    </row>
    <row r="140" spans="1:10" x14ac:dyDescent="0.3">
      <c r="A140" s="71" t="s">
        <v>151</v>
      </c>
      <c r="B140" s="19"/>
      <c r="C140" s="10"/>
      <c r="D140" s="10">
        <v>1</v>
      </c>
      <c r="E140" s="43">
        <f>INDEX(bordiumCommon[[#All],[Column1]],MATCH(E139,bordiumCommon[[#All],[Column2]],0))</f>
        <v>3.5</v>
      </c>
      <c r="F140" s="10" t="b">
        <f>INDEX(bordiumCommon[[#All],[Column1]],MATCH(F139,bordiumCommon[[#All],[Column2]],0))</f>
        <v>0</v>
      </c>
      <c r="G140" s="9"/>
      <c r="H140" s="10"/>
      <c r="I140" s="43">
        <f>INDEX(bordiumCommon[[#All],[Column1]],MATCH(I139,bordiumCommon[[#All],[Column2]],0))</f>
        <v>78</v>
      </c>
      <c r="J140" s="43">
        <f>INDEX(bordiumCommon[[#All],[Column1]],MATCH(J139,bordiumCommon[[#All],[Column2]],0))</f>
        <v>56</v>
      </c>
    </row>
    <row r="141" spans="1:10" x14ac:dyDescent="0.3">
      <c r="A141" s="71" t="s">
        <v>151</v>
      </c>
      <c r="B141" s="19"/>
      <c r="C141" s="44"/>
      <c r="D141" s="14"/>
      <c r="E141" s="14"/>
      <c r="F141" s="15"/>
      <c r="G141" s="9"/>
      <c r="H141" s="10"/>
      <c r="I141" s="43">
        <f>INDEX(bordiumCommon[[#All],[Column1]],MATCH(I139,bordiumCommon[[#All],[Column2]],0))</f>
        <v>78</v>
      </c>
      <c r="J141" s="43">
        <f>INDEX(bordiumCommon[[#All],[Column1]],MATCH(J139,bordiumCommon[[#All],[Column2]],0))</f>
        <v>56</v>
      </c>
    </row>
    <row r="142" spans="1:10" ht="31.2" x14ac:dyDescent="0.3">
      <c r="A142" s="71" t="s">
        <v>151</v>
      </c>
      <c r="B142" s="19"/>
      <c r="C142" s="10"/>
      <c r="D142" s="43" t="str">
        <f>INDEX(bordiumChoosenMaterials[[#All],[Column1]],MATCH(E142,bordiumChoosenMaterials[[#All],[Column2]],0))</f>
        <v>ظهر</v>
      </c>
      <c r="E142" s="9" t="s">
        <v>70</v>
      </c>
      <c r="F142" s="43" t="str">
        <f>INDEX(bordiumChoosenMaterials[[#All],[Column1]],MATCH(G142,bordiumChoosenMaterials[[#All],[Column2]],0))</f>
        <v>يوفيلاك</v>
      </c>
      <c r="G142" s="9" t="s">
        <v>44</v>
      </c>
      <c r="H142" s="43" t="str">
        <f>INDEX(bordiumChoosenMaterials[[#All],[Column1]],MATCH(I142,bordiumChoosenMaterials[[#All],[Column2]],0))</f>
        <v>بورديوم</v>
      </c>
      <c r="I142" s="9" t="s">
        <v>43</v>
      </c>
      <c r="J142" s="34" t="s">
        <v>126</v>
      </c>
    </row>
    <row r="143" spans="1:10" x14ac:dyDescent="0.3">
      <c r="A143" s="71" t="s">
        <v>155</v>
      </c>
      <c r="B143" s="19"/>
    </row>
    <row r="144" spans="1:10" x14ac:dyDescent="0.3">
      <c r="A144" s="88" t="s">
        <v>152</v>
      </c>
      <c r="B144" s="19"/>
      <c r="C144" s="7" t="s">
        <v>4</v>
      </c>
      <c r="D144" s="7" t="s">
        <v>9</v>
      </c>
      <c r="E144" s="7" t="s">
        <v>5</v>
      </c>
      <c r="F144" s="7" t="s">
        <v>7</v>
      </c>
      <c r="G144" s="7" t="s">
        <v>1</v>
      </c>
      <c r="H144" s="7" t="s">
        <v>6</v>
      </c>
      <c r="I144" s="7" t="s">
        <v>45</v>
      </c>
      <c r="J144" s="7" t="s">
        <v>8</v>
      </c>
    </row>
    <row r="145" spans="1:20" x14ac:dyDescent="0.3">
      <c r="A145" s="88" t="s">
        <v>155</v>
      </c>
      <c r="B145" s="19"/>
      <c r="C145" s="7"/>
      <c r="D145" s="7"/>
      <c r="E145" s="7"/>
      <c r="F145" s="7"/>
      <c r="G145" s="7"/>
      <c r="H145" s="7"/>
      <c r="I145" s="7"/>
      <c r="J145" s="7"/>
    </row>
    <row r="146" spans="1:20" x14ac:dyDescent="0.3">
      <c r="A146" s="88" t="s">
        <v>156</v>
      </c>
      <c r="B146" s="19" t="str">
        <f>E138</f>
        <v>وحدة سفلية  ركنة 45 (بورديوم)</v>
      </c>
      <c r="C146" s="7">
        <v>1</v>
      </c>
      <c r="D146" s="7" t="str">
        <f>H142</f>
        <v>بورديوم</v>
      </c>
      <c r="E146" s="7" t="s">
        <v>10</v>
      </c>
      <c r="F146" s="7">
        <f>H140-1.8</f>
        <v>-1.8</v>
      </c>
      <c r="G146" s="7">
        <f>H141-1.8</f>
        <v>-1.8</v>
      </c>
      <c r="H146" s="7">
        <f>1*C138</f>
        <v>1</v>
      </c>
      <c r="I146" s="7">
        <f>HLOOKUP(D146, materials[], 2,FALSE)</f>
        <v>2</v>
      </c>
      <c r="J146" s="7"/>
    </row>
    <row r="147" spans="1:20" x14ac:dyDescent="0.3">
      <c r="A147" s="88" t="s">
        <v>156</v>
      </c>
      <c r="B147" s="19" t="str">
        <f>B146</f>
        <v>وحدة سفلية  ركنة 45 (بورديوم)</v>
      </c>
      <c r="C147" s="7">
        <f>C146+1</f>
        <v>2</v>
      </c>
      <c r="D147" s="7" t="str">
        <f>H142</f>
        <v>بورديوم</v>
      </c>
      <c r="E147" s="7" t="s">
        <v>11</v>
      </c>
      <c r="F147" s="7">
        <f>I140</f>
        <v>78</v>
      </c>
      <c r="G147" s="7">
        <f>J140</f>
        <v>56</v>
      </c>
      <c r="H147" s="7">
        <f>2*C138</f>
        <v>2</v>
      </c>
      <c r="I147" s="7">
        <f>HLOOKUP(D147, materials[], 2,FALSE)</f>
        <v>2</v>
      </c>
      <c r="J147" s="7"/>
    </row>
    <row r="148" spans="1:20" x14ac:dyDescent="0.3">
      <c r="A148" s="88" t="s">
        <v>156</v>
      </c>
      <c r="B148" s="19" t="str">
        <f>B146</f>
        <v>وحدة سفلية  ركنة 45 (بورديوم)</v>
      </c>
      <c r="C148" s="7">
        <f t="shared" ref="C148:C151" si="8">C147+1</f>
        <v>3</v>
      </c>
      <c r="D148" s="7" t="str">
        <f>H142</f>
        <v>بورديوم</v>
      </c>
      <c r="E148" s="7" t="s">
        <v>13</v>
      </c>
      <c r="F148" s="7">
        <f>H140-1.8</f>
        <v>-1.8</v>
      </c>
      <c r="G148" s="7">
        <v>10</v>
      </c>
      <c r="H148" s="7">
        <f>3*C138</f>
        <v>3</v>
      </c>
      <c r="I148" s="7">
        <f>HLOOKUP(D148, materials[], 2,FALSE)</f>
        <v>2</v>
      </c>
      <c r="J148" s="7"/>
    </row>
    <row r="149" spans="1:20" x14ac:dyDescent="0.3">
      <c r="A149" s="88" t="s">
        <v>156</v>
      </c>
      <c r="B149" s="19" t="str">
        <f>B146</f>
        <v>وحدة سفلية  ركنة 45 (بورديوم)</v>
      </c>
      <c r="C149" s="7">
        <f t="shared" si="8"/>
        <v>4</v>
      </c>
      <c r="D149" s="7" t="str">
        <f>H142</f>
        <v>بورديوم</v>
      </c>
      <c r="E149" s="7" t="s">
        <v>14</v>
      </c>
      <c r="F149" s="7">
        <f>H140-1.8</f>
        <v>-1.8</v>
      </c>
      <c r="G149" s="7">
        <v>7</v>
      </c>
      <c r="H149" s="7">
        <f>2*C138</f>
        <v>2</v>
      </c>
      <c r="I149" s="7">
        <f>HLOOKUP(D149, materials[], 2,FALSE)</f>
        <v>2</v>
      </c>
      <c r="J149" s="7"/>
    </row>
    <row r="150" spans="1:20" x14ac:dyDescent="0.3">
      <c r="A150" s="88" t="s">
        <v>156</v>
      </c>
      <c r="B150" s="19" t="str">
        <f>B146</f>
        <v>وحدة سفلية  ركنة 45 (بورديوم)</v>
      </c>
      <c r="C150" s="7">
        <f t="shared" si="8"/>
        <v>5</v>
      </c>
      <c r="D150" s="7" t="str">
        <f>H142</f>
        <v>بورديوم</v>
      </c>
      <c r="E150" s="7" t="s">
        <v>39</v>
      </c>
      <c r="F150" s="7">
        <v>70</v>
      </c>
      <c r="G150" s="7">
        <v>10</v>
      </c>
      <c r="H150" s="7">
        <f>1*C138</f>
        <v>1</v>
      </c>
      <c r="I150" s="7">
        <f>HLOOKUP(D150, materials[], 2,FALSE)</f>
        <v>2</v>
      </c>
      <c r="J150" s="7"/>
    </row>
    <row r="151" spans="1:20" x14ac:dyDescent="0.3">
      <c r="A151" s="88" t="s">
        <v>156</v>
      </c>
      <c r="B151" s="19" t="str">
        <f>B146</f>
        <v>وحدة سفلية  ركنة 45 (بورديوم)</v>
      </c>
      <c r="C151" s="7">
        <f t="shared" si="8"/>
        <v>6</v>
      </c>
      <c r="D151" s="7" t="str">
        <f>H142</f>
        <v>بورديوم</v>
      </c>
      <c r="E151" s="7" t="s">
        <v>18</v>
      </c>
      <c r="F151" s="7">
        <f>H140-3.8</f>
        <v>-3.8</v>
      </c>
      <c r="G151" s="7">
        <f>H141-3.8</f>
        <v>-3.8</v>
      </c>
      <c r="H151" s="7">
        <f>D140*C138</f>
        <v>1</v>
      </c>
      <c r="I151" s="7">
        <f>HLOOKUP(D151, materials[], 2,FALSE)</f>
        <v>2</v>
      </c>
      <c r="J151" s="7"/>
    </row>
    <row r="152" spans="1:20" x14ac:dyDescent="0.3">
      <c r="A152" s="88" t="s">
        <v>155</v>
      </c>
      <c r="B152" s="19"/>
      <c r="C152" s="7"/>
      <c r="D152" s="7"/>
      <c r="E152" s="7"/>
      <c r="F152" s="7"/>
      <c r="G152" s="7"/>
      <c r="H152" s="7"/>
      <c r="I152" s="7"/>
      <c r="J152" s="7"/>
    </row>
    <row r="153" spans="1:20" x14ac:dyDescent="0.3">
      <c r="A153" s="88" t="s">
        <v>153</v>
      </c>
      <c r="B153" s="19" t="str">
        <f>B146</f>
        <v>وحدة سفلية  ركنة 45 (بورديوم)</v>
      </c>
      <c r="C153" s="11">
        <f>C151+1</f>
        <v>7</v>
      </c>
      <c r="D153" s="11" t="str">
        <f>F142</f>
        <v>يوفيلاك</v>
      </c>
      <c r="E153" s="11" t="s">
        <v>40</v>
      </c>
      <c r="F153" s="11">
        <f>I140-0.5-E140</f>
        <v>74</v>
      </c>
      <c r="G153" s="22">
        <f>(SQRT((H140-J140)^2+(H141-J141)^2))-2</f>
        <v>77.195959492893323</v>
      </c>
      <c r="H153" s="11">
        <f>1*C138</f>
        <v>1</v>
      </c>
      <c r="I153" s="11">
        <f>HLOOKUP(D153, materials[], 2,FALSE)</f>
        <v>6</v>
      </c>
      <c r="J153" s="11"/>
    </row>
    <row r="154" spans="1:20" ht="14.4" x14ac:dyDescent="0.3">
      <c r="A154" s="88" t="s">
        <v>155</v>
      </c>
      <c r="C154" s="7"/>
      <c r="D154" s="7"/>
      <c r="E154" s="7"/>
      <c r="F154" s="7"/>
      <c r="G154" s="7"/>
      <c r="H154" s="7"/>
      <c r="I154" s="7"/>
      <c r="J154" s="7"/>
    </row>
    <row r="155" spans="1:20" x14ac:dyDescent="0.3">
      <c r="A155" s="88" t="s">
        <v>154</v>
      </c>
      <c r="B155" s="19" t="str">
        <f>IF(F140,B146, "")</f>
        <v/>
      </c>
      <c r="C155" s="24" t="str">
        <f>IF(F140,C153+1, "")</f>
        <v/>
      </c>
      <c r="D155" s="24" t="str">
        <f>IF(F140,D142, "")</f>
        <v/>
      </c>
      <c r="E155" s="24" t="str">
        <f>IF(F140,"ظهر", "")</f>
        <v/>
      </c>
      <c r="F155" s="24" t="str">
        <f>IF(F140,I140-1, "")</f>
        <v/>
      </c>
      <c r="G155" s="24" t="str">
        <f>IF(F140,H140-2, "")</f>
        <v/>
      </c>
      <c r="H155" s="24" t="str">
        <f>IF(F140,1*C138, "")</f>
        <v/>
      </c>
      <c r="I155" s="24" t="str">
        <f>IF(F140,HLOOKUP(D155, materials[], 2,FALSE), "")</f>
        <v/>
      </c>
      <c r="J155" s="24"/>
    </row>
    <row r="156" spans="1:20" x14ac:dyDescent="0.3">
      <c r="A156" s="71" t="s">
        <v>150</v>
      </c>
      <c r="B156" s="19"/>
    </row>
    <row r="157" spans="1:20" x14ac:dyDescent="0.3">
      <c r="A157" s="71" t="s">
        <v>150</v>
      </c>
      <c r="B157" s="19"/>
    </row>
    <row r="158" spans="1:20" x14ac:dyDescent="0.3">
      <c r="A158" s="71"/>
      <c r="B158" s="19"/>
    </row>
    <row r="159" spans="1:20" x14ac:dyDescent="0.3">
      <c r="A159" s="71"/>
      <c r="B159" s="19"/>
    </row>
    <row r="160" spans="1:20" ht="21" x14ac:dyDescent="0.3">
      <c r="A160" s="71"/>
      <c r="B160" s="19"/>
      <c r="C160" s="109" t="s">
        <v>43</v>
      </c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S160" s="6"/>
      <c r="T160" s="6"/>
    </row>
    <row r="161" spans="1:19" x14ac:dyDescent="0.3">
      <c r="A161" s="71"/>
      <c r="B161" s="19"/>
      <c r="P161" s="1"/>
      <c r="Q161" s="1"/>
      <c r="R161" s="1"/>
      <c r="S161" s="1"/>
    </row>
    <row r="162" spans="1:19" s="5" customFormat="1" ht="36" x14ac:dyDescent="0.3">
      <c r="A162" s="74" t="s">
        <v>123</v>
      </c>
      <c r="B162" s="19" t="s">
        <v>124</v>
      </c>
      <c r="C162" s="2" t="s">
        <v>4</v>
      </c>
      <c r="D162" s="2" t="s">
        <v>9</v>
      </c>
      <c r="E162" s="2" t="s">
        <v>5</v>
      </c>
      <c r="F162" s="17" t="s">
        <v>7</v>
      </c>
      <c r="G162" s="17" t="s">
        <v>1</v>
      </c>
      <c r="H162" s="17" t="s">
        <v>6</v>
      </c>
      <c r="I162" s="17" t="s">
        <v>45</v>
      </c>
      <c r="J162" s="17" t="s">
        <v>8</v>
      </c>
      <c r="K162" s="2" t="s">
        <v>34</v>
      </c>
      <c r="L162" s="2" t="s">
        <v>3</v>
      </c>
      <c r="M162" s="2" t="s">
        <v>2</v>
      </c>
      <c r="N162" s="2" t="s">
        <v>42</v>
      </c>
      <c r="P162" s="1"/>
      <c r="Q162" s="1"/>
      <c r="R162" s="1"/>
      <c r="S162" s="1"/>
    </row>
    <row r="163" spans="1:19" x14ac:dyDescent="0.3">
      <c r="A163" s="71"/>
      <c r="B163" s="19"/>
      <c r="P163" s="1"/>
      <c r="Q163" s="1"/>
      <c r="R163" s="1"/>
      <c r="S163" s="1"/>
    </row>
    <row r="164" spans="1:19" x14ac:dyDescent="0.3">
      <c r="A164" s="71">
        <v>400</v>
      </c>
      <c r="B164" s="19" t="str">
        <f t="shared" ref="B164:E168" si="9">B20</f>
        <v>وحدة سفلية دلفة /دلفتين (بورديوم)</v>
      </c>
      <c r="C164" s="10">
        <f t="shared" si="9"/>
        <v>1</v>
      </c>
      <c r="D164" s="10" t="str">
        <f t="shared" si="9"/>
        <v>بورديوم</v>
      </c>
      <c r="E164" s="10" t="str">
        <f t="shared" si="9"/>
        <v>قاعدة</v>
      </c>
      <c r="F164" s="7" t="str">
        <f>IF(K164=0, "",F20)</f>
        <v/>
      </c>
      <c r="G164" s="7" t="str">
        <f>IF(K164=0, "",G20)</f>
        <v/>
      </c>
      <c r="H164" s="7" t="str">
        <f>IF(K164=0, "",H20)</f>
        <v/>
      </c>
      <c r="I164" s="7" t="str">
        <f>IF(K164=0, "",I20)</f>
        <v/>
      </c>
      <c r="J164" s="7" t="str">
        <f>IF(K164=0, "",J20)</f>
        <v/>
      </c>
      <c r="K164" s="10">
        <f>H15</f>
        <v>0</v>
      </c>
      <c r="L164" s="10">
        <f>I15</f>
        <v>78</v>
      </c>
      <c r="M164" s="10">
        <f>J15</f>
        <v>56</v>
      </c>
      <c r="N164" s="9">
        <f>J13</f>
        <v>1</v>
      </c>
      <c r="P164" s="1"/>
      <c r="Q164" s="1"/>
      <c r="R164" s="1"/>
      <c r="S164" s="1"/>
    </row>
    <row r="165" spans="1:19" x14ac:dyDescent="0.3">
      <c r="A165" s="71">
        <f>A164+1</f>
        <v>401</v>
      </c>
      <c r="B165" s="19" t="str">
        <f t="shared" si="9"/>
        <v>وحدة سفلية دلفة /دلفتين (بورديوم)</v>
      </c>
      <c r="C165" s="10">
        <f t="shared" si="9"/>
        <v>2</v>
      </c>
      <c r="D165" s="10" t="str">
        <f t="shared" si="9"/>
        <v>بورديوم</v>
      </c>
      <c r="E165" s="10" t="str">
        <f t="shared" si="9"/>
        <v>أجناب</v>
      </c>
      <c r="F165" s="7" t="str">
        <f>IF(K165=0, "",F21)</f>
        <v/>
      </c>
      <c r="G165" s="7" t="str">
        <f>IF(K165=0, "",G21)</f>
        <v/>
      </c>
      <c r="H165" s="7" t="str">
        <f>IF(K165=0, "",H21)</f>
        <v/>
      </c>
      <c r="I165" s="7" t="str">
        <f>IF(K165=0, "",I21)</f>
        <v/>
      </c>
      <c r="J165" s="7" t="str">
        <f>IF(K165=0, "",J21)</f>
        <v/>
      </c>
      <c r="K165" s="10">
        <f t="shared" ref="K165:M165" si="10">K164</f>
        <v>0</v>
      </c>
      <c r="L165" s="10">
        <f t="shared" si="10"/>
        <v>78</v>
      </c>
      <c r="M165" s="10">
        <f t="shared" si="10"/>
        <v>56</v>
      </c>
      <c r="N165" s="9">
        <f>N164</f>
        <v>1</v>
      </c>
      <c r="P165" s="1"/>
      <c r="Q165" s="1"/>
      <c r="R165" s="1"/>
      <c r="S165" s="1"/>
    </row>
    <row r="166" spans="1:19" x14ac:dyDescent="0.3">
      <c r="A166" s="71">
        <f t="shared" ref="A166:A168" si="11">A165+1</f>
        <v>402</v>
      </c>
      <c r="B166" s="19" t="str">
        <f t="shared" si="9"/>
        <v>وحدة سفلية دلفة /دلفتين (بورديوم)</v>
      </c>
      <c r="C166" s="10">
        <f t="shared" si="9"/>
        <v>3</v>
      </c>
      <c r="D166" s="10" t="str">
        <f t="shared" si="9"/>
        <v>بورديوم</v>
      </c>
      <c r="E166" s="10" t="str">
        <f t="shared" si="9"/>
        <v>مرايا علوية 1</v>
      </c>
      <c r="F166" s="7" t="str">
        <f>IF(K166=0, "",F22)</f>
        <v/>
      </c>
      <c r="G166" s="7" t="str">
        <f>IF(K166=0, "",G22)</f>
        <v/>
      </c>
      <c r="H166" s="7" t="str">
        <f>IF(K166=0, "",H22)</f>
        <v/>
      </c>
      <c r="I166" s="7" t="str">
        <f>IF(K166=0, "",I22)</f>
        <v/>
      </c>
      <c r="J166" s="7" t="str">
        <f>IF(K166=0, "",J22)</f>
        <v/>
      </c>
      <c r="K166" s="10">
        <f t="shared" ref="K166:M166" si="12">K164</f>
        <v>0</v>
      </c>
      <c r="L166" s="10">
        <f t="shared" si="12"/>
        <v>78</v>
      </c>
      <c r="M166" s="10">
        <f t="shared" si="12"/>
        <v>56</v>
      </c>
      <c r="N166" s="9">
        <f>N164</f>
        <v>1</v>
      </c>
      <c r="P166" s="1"/>
      <c r="Q166" s="1"/>
      <c r="R166" s="1"/>
      <c r="S166" s="1"/>
    </row>
    <row r="167" spans="1:19" x14ac:dyDescent="0.3">
      <c r="A167" s="71">
        <f t="shared" si="11"/>
        <v>403</v>
      </c>
      <c r="B167" s="19" t="str">
        <f t="shared" si="9"/>
        <v>وحدة سفلية دلفة /دلفتين (بورديوم)</v>
      </c>
      <c r="C167" s="10">
        <f t="shared" si="9"/>
        <v>4</v>
      </c>
      <c r="D167" s="10" t="str">
        <f t="shared" si="9"/>
        <v>بورديوم</v>
      </c>
      <c r="E167" s="10" t="str">
        <f t="shared" si="9"/>
        <v>مرايا علوية 2</v>
      </c>
      <c r="F167" s="7" t="str">
        <f>IF(K167=0, "",F23)</f>
        <v/>
      </c>
      <c r="G167" s="7" t="str">
        <f>IF(K167=0, "",G23)</f>
        <v/>
      </c>
      <c r="H167" s="7" t="str">
        <f>IF(K167=0, "",H23)</f>
        <v/>
      </c>
      <c r="I167" s="7" t="str">
        <f>IF(K167=0, "",I23)</f>
        <v/>
      </c>
      <c r="J167" s="7" t="str">
        <f>IF(K167=0, "",J23)</f>
        <v/>
      </c>
      <c r="K167" s="10">
        <f t="shared" ref="K167:M167" si="13">K164</f>
        <v>0</v>
      </c>
      <c r="L167" s="10">
        <f t="shared" si="13"/>
        <v>78</v>
      </c>
      <c r="M167" s="10">
        <f t="shared" si="13"/>
        <v>56</v>
      </c>
      <c r="N167" s="9">
        <f>N164</f>
        <v>1</v>
      </c>
      <c r="P167" s="1"/>
      <c r="Q167" s="1"/>
      <c r="R167" s="1"/>
      <c r="S167" s="1"/>
    </row>
    <row r="168" spans="1:19" x14ac:dyDescent="0.3">
      <c r="A168" s="71">
        <f t="shared" si="11"/>
        <v>404</v>
      </c>
      <c r="B168" s="19" t="str">
        <f t="shared" si="9"/>
        <v>وحدة سفلية دلفة /دلفتين (بورديوم)</v>
      </c>
      <c r="C168" s="10">
        <f t="shared" si="9"/>
        <v>5</v>
      </c>
      <c r="D168" s="10" t="str">
        <f t="shared" si="9"/>
        <v>بورديوم</v>
      </c>
      <c r="E168" s="10" t="str">
        <f t="shared" si="9"/>
        <v>رف</v>
      </c>
      <c r="F168" s="7" t="str">
        <f>IF(K168=0, "",F24)</f>
        <v/>
      </c>
      <c r="G168" s="7" t="str">
        <f>IF(K168=0, "",G24)</f>
        <v/>
      </c>
      <c r="H168" s="7" t="str">
        <f>IF(K168=0, "",H24)</f>
        <v/>
      </c>
      <c r="I168" s="7" t="str">
        <f>IF(K168=0, "",I24)</f>
        <v/>
      </c>
      <c r="J168" s="7" t="str">
        <f>IF(K168=0, "",J24)</f>
        <v/>
      </c>
      <c r="K168" s="10">
        <f t="shared" ref="K168:M168" si="14">K164</f>
        <v>0</v>
      </c>
      <c r="L168" s="10">
        <f t="shared" si="14"/>
        <v>78</v>
      </c>
      <c r="M168" s="10">
        <f t="shared" si="14"/>
        <v>56</v>
      </c>
      <c r="N168" s="9">
        <f>N164</f>
        <v>1</v>
      </c>
      <c r="P168" s="1"/>
      <c r="Q168" s="1"/>
      <c r="R168" s="1"/>
      <c r="S168" s="1"/>
    </row>
    <row r="169" spans="1:19" x14ac:dyDescent="0.3">
      <c r="A169" s="71"/>
      <c r="B169" s="19"/>
      <c r="N169" s="4"/>
      <c r="P169" s="1"/>
      <c r="Q169" s="1"/>
      <c r="R169" s="1"/>
      <c r="S169" s="1"/>
    </row>
    <row r="170" spans="1:19" x14ac:dyDescent="0.3">
      <c r="A170" s="71">
        <f>A168+1</f>
        <v>405</v>
      </c>
      <c r="B170" s="19" t="str">
        <f t="shared" ref="B170:E176" si="15">B38</f>
        <v>وحدة سفلية   درجين / 3 أدراج (بورديوم)</v>
      </c>
      <c r="C170" s="10">
        <f t="shared" si="15"/>
        <v>1</v>
      </c>
      <c r="D170" s="10" t="str">
        <f t="shared" si="15"/>
        <v>بورديوم</v>
      </c>
      <c r="E170" s="10" t="str">
        <f t="shared" si="15"/>
        <v>قاعدة</v>
      </c>
      <c r="F170" s="7" t="str">
        <f t="shared" ref="F170:F176" si="16">IF(K170=0, "",F38)</f>
        <v/>
      </c>
      <c r="G170" s="7" t="str">
        <f t="shared" ref="G170:G176" si="17">IF(K170=0, "",G38)</f>
        <v/>
      </c>
      <c r="H170" s="7" t="str">
        <f t="shared" ref="H170:H176" si="18">IF(K170=0, "",H38)</f>
        <v/>
      </c>
      <c r="I170" s="7" t="str">
        <f t="shared" ref="I170:I176" si="19">IF(K170=0, "",I38)</f>
        <v/>
      </c>
      <c r="J170" s="7" t="str">
        <f t="shared" ref="J170:J176" si="20">IF(K170=0, "",J38)</f>
        <v/>
      </c>
      <c r="K170" s="10">
        <f>H33</f>
        <v>0</v>
      </c>
      <c r="L170" s="10">
        <f>I33</f>
        <v>78</v>
      </c>
      <c r="M170" s="10">
        <f>J33</f>
        <v>56</v>
      </c>
      <c r="N170" s="9">
        <f>J31</f>
        <v>2</v>
      </c>
      <c r="P170" s="1"/>
      <c r="Q170" s="1"/>
      <c r="R170" s="1"/>
      <c r="S170" s="1"/>
    </row>
    <row r="171" spans="1:19" x14ac:dyDescent="0.3">
      <c r="A171" s="71">
        <f>A170+1</f>
        <v>406</v>
      </c>
      <c r="B171" s="19" t="str">
        <f t="shared" si="15"/>
        <v>وحدة سفلية   درجين / 3 أدراج (بورديوم)</v>
      </c>
      <c r="C171" s="10">
        <f t="shared" si="15"/>
        <v>2</v>
      </c>
      <c r="D171" s="10" t="str">
        <f t="shared" si="15"/>
        <v>بورديوم</v>
      </c>
      <c r="E171" s="10" t="str">
        <f t="shared" si="15"/>
        <v>أجناب</v>
      </c>
      <c r="F171" s="7" t="str">
        <f t="shared" si="16"/>
        <v/>
      </c>
      <c r="G171" s="7" t="str">
        <f t="shared" si="17"/>
        <v/>
      </c>
      <c r="H171" s="7" t="str">
        <f t="shared" si="18"/>
        <v/>
      </c>
      <c r="I171" s="7" t="str">
        <f t="shared" si="19"/>
        <v/>
      </c>
      <c r="J171" s="7" t="str">
        <f t="shared" si="20"/>
        <v/>
      </c>
      <c r="K171" s="10">
        <f t="shared" ref="K171:M171" si="21">K170</f>
        <v>0</v>
      </c>
      <c r="L171" s="10">
        <f t="shared" si="21"/>
        <v>78</v>
      </c>
      <c r="M171" s="10">
        <f t="shared" si="21"/>
        <v>56</v>
      </c>
      <c r="N171" s="9">
        <f>N170</f>
        <v>2</v>
      </c>
      <c r="P171" s="1"/>
      <c r="Q171" s="1"/>
      <c r="R171" s="1"/>
      <c r="S171" s="1"/>
    </row>
    <row r="172" spans="1:19" x14ac:dyDescent="0.3">
      <c r="A172" s="71">
        <f t="shared" ref="A172:A176" si="22">A171+1</f>
        <v>407</v>
      </c>
      <c r="B172" s="19" t="str">
        <f t="shared" si="15"/>
        <v>وحدة سفلية   درجين / 3 أدراج (بورديوم)</v>
      </c>
      <c r="C172" s="10">
        <f t="shared" si="15"/>
        <v>3</v>
      </c>
      <c r="D172" s="10" t="str">
        <f t="shared" si="15"/>
        <v>بورديوم</v>
      </c>
      <c r="E172" s="10" t="str">
        <f t="shared" si="15"/>
        <v>مرايا علوية 1</v>
      </c>
      <c r="F172" s="7" t="str">
        <f t="shared" si="16"/>
        <v/>
      </c>
      <c r="G172" s="7" t="str">
        <f t="shared" si="17"/>
        <v/>
      </c>
      <c r="H172" s="7" t="str">
        <f t="shared" si="18"/>
        <v/>
      </c>
      <c r="I172" s="7" t="str">
        <f t="shared" si="19"/>
        <v/>
      </c>
      <c r="J172" s="7" t="str">
        <f t="shared" si="20"/>
        <v/>
      </c>
      <c r="K172" s="10">
        <f t="shared" ref="K172:M172" si="23">K170</f>
        <v>0</v>
      </c>
      <c r="L172" s="10">
        <f t="shared" si="23"/>
        <v>78</v>
      </c>
      <c r="M172" s="10">
        <f t="shared" si="23"/>
        <v>56</v>
      </c>
      <c r="N172" s="9">
        <f>N170</f>
        <v>2</v>
      </c>
      <c r="P172" s="1"/>
      <c r="Q172" s="1"/>
      <c r="R172" s="1"/>
      <c r="S172" s="1"/>
    </row>
    <row r="173" spans="1:19" x14ac:dyDescent="0.3">
      <c r="A173" s="71">
        <f t="shared" si="22"/>
        <v>408</v>
      </c>
      <c r="B173" s="19" t="str">
        <f t="shared" si="15"/>
        <v>وحدة سفلية   درجين / 3 أدراج (بورديوم)</v>
      </c>
      <c r="C173" s="10">
        <f t="shared" si="15"/>
        <v>4</v>
      </c>
      <c r="D173" s="10" t="str">
        <f t="shared" si="15"/>
        <v>بورديوم</v>
      </c>
      <c r="E173" s="10" t="str">
        <f t="shared" si="15"/>
        <v>مرايا علوية 2</v>
      </c>
      <c r="F173" s="7" t="str">
        <f t="shared" si="16"/>
        <v/>
      </c>
      <c r="G173" s="7" t="str">
        <f t="shared" si="17"/>
        <v/>
      </c>
      <c r="H173" s="7" t="str">
        <f t="shared" si="18"/>
        <v/>
      </c>
      <c r="I173" s="7" t="str">
        <f t="shared" si="19"/>
        <v/>
      </c>
      <c r="J173" s="7" t="str">
        <f t="shared" si="20"/>
        <v/>
      </c>
      <c r="K173" s="10">
        <f t="shared" ref="K173:L173" si="24">K170</f>
        <v>0</v>
      </c>
      <c r="L173" s="10">
        <f t="shared" si="24"/>
        <v>78</v>
      </c>
      <c r="M173" s="10">
        <f>M170</f>
        <v>56</v>
      </c>
      <c r="N173" s="9">
        <f>N170</f>
        <v>2</v>
      </c>
      <c r="P173" s="1"/>
      <c r="Q173" s="1"/>
      <c r="R173" s="1"/>
      <c r="S173" s="1"/>
    </row>
    <row r="174" spans="1:19" x14ac:dyDescent="0.3">
      <c r="A174" s="71">
        <f t="shared" si="22"/>
        <v>409</v>
      </c>
      <c r="B174" s="19" t="str">
        <f t="shared" si="15"/>
        <v>وحدة سفلية   درجين / 3 أدراج (بورديوم)</v>
      </c>
      <c r="C174" s="10">
        <f t="shared" si="15"/>
        <v>5</v>
      </c>
      <c r="D174" s="10" t="str">
        <f t="shared" si="15"/>
        <v>بورديوم</v>
      </c>
      <c r="E174" s="10" t="str">
        <f t="shared" si="15"/>
        <v>وش درج داخلى</v>
      </c>
      <c r="F174" s="7" t="str">
        <f t="shared" si="16"/>
        <v/>
      </c>
      <c r="G174" s="7" t="str">
        <f t="shared" si="17"/>
        <v/>
      </c>
      <c r="H174" s="7" t="str">
        <f t="shared" si="18"/>
        <v/>
      </c>
      <c r="I174" s="7" t="str">
        <f t="shared" si="19"/>
        <v/>
      </c>
      <c r="J174" s="7" t="str">
        <f t="shared" si="20"/>
        <v/>
      </c>
      <c r="K174" s="10">
        <f t="shared" ref="K174:L174" si="25">K170</f>
        <v>0</v>
      </c>
      <c r="L174" s="10">
        <f t="shared" si="25"/>
        <v>78</v>
      </c>
      <c r="M174" s="10">
        <f>M170</f>
        <v>56</v>
      </c>
      <c r="N174" s="9">
        <f>N170</f>
        <v>2</v>
      </c>
      <c r="P174" s="1"/>
      <c r="Q174" s="1"/>
      <c r="R174" s="1"/>
      <c r="S174" s="1"/>
    </row>
    <row r="175" spans="1:19" x14ac:dyDescent="0.3">
      <c r="A175" s="71">
        <f t="shared" si="22"/>
        <v>410</v>
      </c>
      <c r="B175" s="19" t="str">
        <f t="shared" si="15"/>
        <v>وحدة سفلية   درجين / 3 أدراج (بورديوم)</v>
      </c>
      <c r="C175" s="10">
        <f t="shared" si="15"/>
        <v>6</v>
      </c>
      <c r="D175" s="10" t="str">
        <f t="shared" si="15"/>
        <v>بورديوم</v>
      </c>
      <c r="E175" s="10" t="str">
        <f t="shared" si="15"/>
        <v>جنب درج داخلى</v>
      </c>
      <c r="F175" s="7" t="str">
        <f t="shared" si="16"/>
        <v/>
      </c>
      <c r="G175" s="7" t="str">
        <f t="shared" si="17"/>
        <v/>
      </c>
      <c r="H175" s="7" t="str">
        <f t="shared" si="18"/>
        <v/>
      </c>
      <c r="I175" s="7" t="str">
        <f t="shared" si="19"/>
        <v/>
      </c>
      <c r="J175" s="7" t="str">
        <f t="shared" si="20"/>
        <v/>
      </c>
      <c r="K175" s="10">
        <f t="shared" ref="K175:L175" si="26">K170</f>
        <v>0</v>
      </c>
      <c r="L175" s="10">
        <f t="shared" si="26"/>
        <v>78</v>
      </c>
      <c r="M175" s="10">
        <f>M170</f>
        <v>56</v>
      </c>
      <c r="N175" s="9">
        <f t="shared" ref="N175:N176" si="27">N171</f>
        <v>2</v>
      </c>
      <c r="P175" s="1"/>
      <c r="Q175" s="1"/>
      <c r="R175" s="1"/>
      <c r="S175" s="1"/>
    </row>
    <row r="176" spans="1:19" x14ac:dyDescent="0.3">
      <c r="A176" s="71">
        <f t="shared" si="22"/>
        <v>411</v>
      </c>
      <c r="B176" s="19" t="str">
        <f t="shared" si="15"/>
        <v>وحدة سفلية   درجين / 3 أدراج (بورديوم)</v>
      </c>
      <c r="C176" s="10">
        <f t="shared" si="15"/>
        <v>7</v>
      </c>
      <c r="D176" s="10" t="str">
        <f t="shared" si="15"/>
        <v>بورديوم</v>
      </c>
      <c r="E176" s="10" t="str">
        <f t="shared" si="15"/>
        <v>ظهر درج داخلى</v>
      </c>
      <c r="F176" s="7" t="str">
        <f t="shared" si="16"/>
        <v/>
      </c>
      <c r="G176" s="7" t="str">
        <f t="shared" si="17"/>
        <v/>
      </c>
      <c r="H176" s="7" t="str">
        <f t="shared" si="18"/>
        <v/>
      </c>
      <c r="I176" s="7" t="str">
        <f t="shared" si="19"/>
        <v/>
      </c>
      <c r="J176" s="7" t="str">
        <f t="shared" si="20"/>
        <v/>
      </c>
      <c r="K176" s="10">
        <f t="shared" ref="K176:L176" si="28">K170</f>
        <v>0</v>
      </c>
      <c r="L176" s="10">
        <f t="shared" si="28"/>
        <v>78</v>
      </c>
      <c r="M176" s="10">
        <f>M170</f>
        <v>56</v>
      </c>
      <c r="N176" s="9">
        <f t="shared" si="27"/>
        <v>2</v>
      </c>
      <c r="P176" s="1"/>
      <c r="Q176" s="1"/>
      <c r="R176" s="1"/>
      <c r="S176" s="1"/>
    </row>
    <row r="177" spans="1:19" x14ac:dyDescent="0.3">
      <c r="A177" s="71"/>
      <c r="B177" s="19"/>
      <c r="P177" s="1"/>
      <c r="Q177" s="1"/>
      <c r="R177" s="1"/>
      <c r="S177" s="1"/>
    </row>
    <row r="178" spans="1:19" x14ac:dyDescent="0.3">
      <c r="A178" s="71">
        <f>A176+1</f>
        <v>412</v>
      </c>
      <c r="B178" s="19" t="str">
        <f t="shared" ref="B178:E187" si="29">B58</f>
        <v>وحدة سفلية   3 أدراج - 3/2 (بورديوم)</v>
      </c>
      <c r="C178" s="10">
        <f t="shared" si="29"/>
        <v>1</v>
      </c>
      <c r="D178" s="10" t="str">
        <f t="shared" si="29"/>
        <v>بورديوم</v>
      </c>
      <c r="E178" s="10" t="str">
        <f t="shared" si="29"/>
        <v>قاعدة</v>
      </c>
      <c r="F178" s="7" t="str">
        <f t="shared" ref="F178:F187" si="30">IF(K178=0, "",F58)</f>
        <v/>
      </c>
      <c r="G178" s="7" t="str">
        <f t="shared" ref="G178:G187" si="31">IF(K178=0, "",G58)</f>
        <v/>
      </c>
      <c r="H178" s="7" t="str">
        <f t="shared" ref="H178:H187" si="32">IF(K178=0, "",H58)</f>
        <v/>
      </c>
      <c r="I178" s="7" t="str">
        <f t="shared" ref="I178:I187" si="33">IF(K178=0, "",I58)</f>
        <v/>
      </c>
      <c r="J178" s="7" t="str">
        <f t="shared" ref="J178:J187" si="34">IF(K178=0, "",J58)</f>
        <v/>
      </c>
      <c r="K178" s="10">
        <f>H53</f>
        <v>0</v>
      </c>
      <c r="L178" s="10">
        <f>I53</f>
        <v>78</v>
      </c>
      <c r="M178" s="10">
        <f>J53</f>
        <v>56</v>
      </c>
      <c r="N178" s="9">
        <f>J51</f>
        <v>3</v>
      </c>
      <c r="P178" s="1"/>
      <c r="Q178" s="1"/>
      <c r="R178" s="1"/>
      <c r="S178" s="1"/>
    </row>
    <row r="179" spans="1:19" x14ac:dyDescent="0.3">
      <c r="A179" s="71">
        <f>A178+1</f>
        <v>413</v>
      </c>
      <c r="B179" s="19" t="str">
        <f t="shared" si="29"/>
        <v>وحدة سفلية   3 أدراج - 3/2 (بورديوم)</v>
      </c>
      <c r="C179" s="10">
        <f t="shared" si="29"/>
        <v>2</v>
      </c>
      <c r="D179" s="10" t="str">
        <f t="shared" si="29"/>
        <v>بورديوم</v>
      </c>
      <c r="E179" s="10" t="str">
        <f t="shared" si="29"/>
        <v>أجناب</v>
      </c>
      <c r="F179" s="7" t="str">
        <f t="shared" si="30"/>
        <v/>
      </c>
      <c r="G179" s="7" t="str">
        <f t="shared" si="31"/>
        <v/>
      </c>
      <c r="H179" s="7" t="str">
        <f t="shared" si="32"/>
        <v/>
      </c>
      <c r="I179" s="7" t="str">
        <f t="shared" si="33"/>
        <v/>
      </c>
      <c r="J179" s="7" t="str">
        <f t="shared" si="34"/>
        <v/>
      </c>
      <c r="K179" s="10">
        <f t="shared" ref="K179:M179" si="35">K178</f>
        <v>0</v>
      </c>
      <c r="L179" s="10">
        <f t="shared" si="35"/>
        <v>78</v>
      </c>
      <c r="M179" s="10">
        <f t="shared" si="35"/>
        <v>56</v>
      </c>
      <c r="N179" s="9">
        <f>N178</f>
        <v>3</v>
      </c>
      <c r="P179" s="1"/>
      <c r="Q179" s="1"/>
      <c r="R179" s="1"/>
      <c r="S179" s="1"/>
    </row>
    <row r="180" spans="1:19" x14ac:dyDescent="0.3">
      <c r="A180" s="71">
        <f>A179+1</f>
        <v>414</v>
      </c>
      <c r="B180" s="19" t="str">
        <f t="shared" si="29"/>
        <v>وحدة سفلية   3 أدراج - 3/2 (بورديوم)</v>
      </c>
      <c r="C180" s="10">
        <f t="shared" si="29"/>
        <v>3</v>
      </c>
      <c r="D180" s="10" t="str">
        <f t="shared" si="29"/>
        <v>بورديوم</v>
      </c>
      <c r="E180" s="10" t="str">
        <f t="shared" si="29"/>
        <v>مرايا علوية 1</v>
      </c>
      <c r="F180" s="7" t="str">
        <f t="shared" si="30"/>
        <v/>
      </c>
      <c r="G180" s="7" t="str">
        <f t="shared" si="31"/>
        <v/>
      </c>
      <c r="H180" s="7" t="str">
        <f t="shared" si="32"/>
        <v/>
      </c>
      <c r="I180" s="7" t="str">
        <f t="shared" si="33"/>
        <v/>
      </c>
      <c r="J180" s="7" t="str">
        <f t="shared" si="34"/>
        <v/>
      </c>
      <c r="K180" s="10">
        <f t="shared" ref="K180:M180" si="36">K178</f>
        <v>0</v>
      </c>
      <c r="L180" s="10">
        <f t="shared" si="36"/>
        <v>78</v>
      </c>
      <c r="M180" s="10">
        <f t="shared" si="36"/>
        <v>56</v>
      </c>
      <c r="N180" s="9">
        <f>N178</f>
        <v>3</v>
      </c>
      <c r="P180" s="1"/>
      <c r="Q180" s="1"/>
      <c r="R180" s="1"/>
      <c r="S180" s="1"/>
    </row>
    <row r="181" spans="1:19" x14ac:dyDescent="0.3">
      <c r="A181" s="71">
        <f t="shared" ref="A181:A187" si="37">A180+1</f>
        <v>415</v>
      </c>
      <c r="B181" s="19" t="str">
        <f t="shared" si="29"/>
        <v>وحدة سفلية   3 أدراج - 3/2 (بورديوم)</v>
      </c>
      <c r="C181" s="10">
        <f t="shared" si="29"/>
        <v>4</v>
      </c>
      <c r="D181" s="10" t="str">
        <f t="shared" si="29"/>
        <v>بورديوم</v>
      </c>
      <c r="E181" s="10" t="str">
        <f t="shared" si="29"/>
        <v>مرايا علوية 2</v>
      </c>
      <c r="F181" s="7" t="str">
        <f t="shared" si="30"/>
        <v/>
      </c>
      <c r="G181" s="7" t="str">
        <f t="shared" si="31"/>
        <v/>
      </c>
      <c r="H181" s="7" t="str">
        <f t="shared" si="32"/>
        <v/>
      </c>
      <c r="I181" s="7" t="str">
        <f t="shared" si="33"/>
        <v/>
      </c>
      <c r="J181" s="7" t="str">
        <f t="shared" si="34"/>
        <v/>
      </c>
      <c r="K181" s="10">
        <f t="shared" ref="K181:L181" si="38">K178</f>
        <v>0</v>
      </c>
      <c r="L181" s="10">
        <f t="shared" si="38"/>
        <v>78</v>
      </c>
      <c r="M181" s="10">
        <f>M178</f>
        <v>56</v>
      </c>
      <c r="N181" s="9">
        <f>N178</f>
        <v>3</v>
      </c>
      <c r="P181" s="1"/>
      <c r="Q181" s="1"/>
      <c r="R181" s="1"/>
      <c r="S181" s="1"/>
    </row>
    <row r="182" spans="1:19" x14ac:dyDescent="0.3">
      <c r="A182" s="71">
        <f t="shared" si="37"/>
        <v>416</v>
      </c>
      <c r="B182" s="19" t="str">
        <f t="shared" si="29"/>
        <v>وحدة سفلية   3 أدراج - 3/2 (بورديوم)</v>
      </c>
      <c r="C182" s="10">
        <f t="shared" si="29"/>
        <v>5</v>
      </c>
      <c r="D182" s="10" t="str">
        <f t="shared" si="29"/>
        <v>بورديوم</v>
      </c>
      <c r="E182" s="10" t="str">
        <f t="shared" si="29"/>
        <v>وش درج داخلى صغير</v>
      </c>
      <c r="F182" s="7" t="str">
        <f t="shared" si="30"/>
        <v/>
      </c>
      <c r="G182" s="7" t="str">
        <f t="shared" si="31"/>
        <v/>
      </c>
      <c r="H182" s="7" t="str">
        <f t="shared" si="32"/>
        <v/>
      </c>
      <c r="I182" s="7" t="str">
        <f t="shared" si="33"/>
        <v/>
      </c>
      <c r="J182" s="7" t="str">
        <f t="shared" si="34"/>
        <v/>
      </c>
      <c r="K182" s="10">
        <f t="shared" ref="K182:L182" si="39">K178</f>
        <v>0</v>
      </c>
      <c r="L182" s="10">
        <f t="shared" si="39"/>
        <v>78</v>
      </c>
      <c r="M182" s="10">
        <f>M178</f>
        <v>56</v>
      </c>
      <c r="N182" s="9">
        <f>N178</f>
        <v>3</v>
      </c>
      <c r="P182" s="1"/>
      <c r="Q182" s="1"/>
      <c r="R182" s="1"/>
      <c r="S182" s="1"/>
    </row>
    <row r="183" spans="1:19" x14ac:dyDescent="0.3">
      <c r="A183" s="71">
        <f t="shared" si="37"/>
        <v>417</v>
      </c>
      <c r="B183" s="19" t="str">
        <f t="shared" si="29"/>
        <v>وحدة سفلية   3 أدراج - 3/2 (بورديوم)</v>
      </c>
      <c r="C183" s="10">
        <f t="shared" si="29"/>
        <v>6</v>
      </c>
      <c r="D183" s="10" t="str">
        <f t="shared" si="29"/>
        <v>بورديوم</v>
      </c>
      <c r="E183" s="10" t="str">
        <f t="shared" si="29"/>
        <v>جنب درج داخلى صغير</v>
      </c>
      <c r="F183" s="7" t="str">
        <f t="shared" si="30"/>
        <v/>
      </c>
      <c r="G183" s="7" t="str">
        <f t="shared" si="31"/>
        <v/>
      </c>
      <c r="H183" s="7" t="str">
        <f t="shared" si="32"/>
        <v/>
      </c>
      <c r="I183" s="7" t="str">
        <f t="shared" si="33"/>
        <v/>
      </c>
      <c r="J183" s="7" t="str">
        <f t="shared" si="34"/>
        <v/>
      </c>
      <c r="K183" s="10">
        <f t="shared" ref="K183:L183" si="40">K178</f>
        <v>0</v>
      </c>
      <c r="L183" s="10">
        <f t="shared" si="40"/>
        <v>78</v>
      </c>
      <c r="M183" s="10">
        <f>M178</f>
        <v>56</v>
      </c>
      <c r="N183" s="9">
        <f t="shared" ref="N183:N187" si="41">N179</f>
        <v>3</v>
      </c>
      <c r="P183" s="1"/>
      <c r="Q183" s="1"/>
      <c r="R183" s="1"/>
      <c r="S183" s="1"/>
    </row>
    <row r="184" spans="1:19" x14ac:dyDescent="0.3">
      <c r="A184" s="71">
        <f t="shared" si="37"/>
        <v>418</v>
      </c>
      <c r="B184" s="19" t="str">
        <f t="shared" si="29"/>
        <v>وحدة سفلية   3 أدراج - 3/2 (بورديوم)</v>
      </c>
      <c r="C184" s="10">
        <f t="shared" si="29"/>
        <v>7</v>
      </c>
      <c r="D184" s="10" t="str">
        <f t="shared" si="29"/>
        <v>بورديوم</v>
      </c>
      <c r="E184" s="10" t="str">
        <f t="shared" si="29"/>
        <v>ظهر درج داخلى صغير</v>
      </c>
      <c r="F184" s="7" t="str">
        <f t="shared" si="30"/>
        <v/>
      </c>
      <c r="G184" s="7" t="str">
        <f t="shared" si="31"/>
        <v/>
      </c>
      <c r="H184" s="7" t="str">
        <f t="shared" si="32"/>
        <v/>
      </c>
      <c r="I184" s="7" t="str">
        <f t="shared" si="33"/>
        <v/>
      </c>
      <c r="J184" s="7" t="str">
        <f t="shared" si="34"/>
        <v/>
      </c>
      <c r="K184" s="10">
        <f t="shared" ref="K184:M187" si="42">K178</f>
        <v>0</v>
      </c>
      <c r="L184" s="10">
        <f t="shared" si="42"/>
        <v>78</v>
      </c>
      <c r="M184" s="10">
        <f>M178</f>
        <v>56</v>
      </c>
      <c r="N184" s="9">
        <f t="shared" si="41"/>
        <v>3</v>
      </c>
      <c r="P184" s="1"/>
      <c r="Q184" s="1"/>
      <c r="R184" s="1"/>
      <c r="S184" s="1"/>
    </row>
    <row r="185" spans="1:19" x14ac:dyDescent="0.3">
      <c r="A185" s="71">
        <f t="shared" si="37"/>
        <v>419</v>
      </c>
      <c r="B185" s="19" t="str">
        <f t="shared" si="29"/>
        <v>وحدة سفلية   3 أدراج - 3/2 (بورديوم)</v>
      </c>
      <c r="C185" s="10">
        <f t="shared" si="29"/>
        <v>8</v>
      </c>
      <c r="D185" s="10" t="str">
        <f t="shared" si="29"/>
        <v>بورديوم</v>
      </c>
      <c r="E185" s="10" t="str">
        <f t="shared" si="29"/>
        <v>وش درج داخلى</v>
      </c>
      <c r="F185" s="7" t="str">
        <f t="shared" si="30"/>
        <v/>
      </c>
      <c r="G185" s="7" t="str">
        <f t="shared" si="31"/>
        <v/>
      </c>
      <c r="H185" s="7" t="str">
        <f t="shared" si="32"/>
        <v/>
      </c>
      <c r="I185" s="7" t="str">
        <f t="shared" si="33"/>
        <v/>
      </c>
      <c r="J185" s="7" t="str">
        <f t="shared" si="34"/>
        <v/>
      </c>
      <c r="K185" s="10">
        <f t="shared" si="42"/>
        <v>0</v>
      </c>
      <c r="L185" s="10">
        <f t="shared" si="42"/>
        <v>78</v>
      </c>
      <c r="M185" s="10">
        <f t="shared" si="42"/>
        <v>56</v>
      </c>
      <c r="N185" s="9">
        <f t="shared" si="41"/>
        <v>3</v>
      </c>
      <c r="P185" s="1"/>
      <c r="Q185" s="1"/>
      <c r="R185" s="1"/>
      <c r="S185" s="1"/>
    </row>
    <row r="186" spans="1:19" x14ac:dyDescent="0.3">
      <c r="A186" s="71">
        <f t="shared" si="37"/>
        <v>420</v>
      </c>
      <c r="B186" s="19" t="str">
        <f t="shared" si="29"/>
        <v>وحدة سفلية   3 أدراج - 3/2 (بورديوم)</v>
      </c>
      <c r="C186" s="10">
        <f t="shared" si="29"/>
        <v>9</v>
      </c>
      <c r="D186" s="10" t="str">
        <f t="shared" si="29"/>
        <v>بورديوم</v>
      </c>
      <c r="E186" s="10" t="str">
        <f t="shared" si="29"/>
        <v>جنب درج داخلى</v>
      </c>
      <c r="F186" s="7" t="str">
        <f t="shared" si="30"/>
        <v/>
      </c>
      <c r="G186" s="7" t="str">
        <f t="shared" si="31"/>
        <v/>
      </c>
      <c r="H186" s="7" t="str">
        <f t="shared" si="32"/>
        <v/>
      </c>
      <c r="I186" s="7" t="str">
        <f t="shared" si="33"/>
        <v/>
      </c>
      <c r="J186" s="7" t="str">
        <f t="shared" si="34"/>
        <v/>
      </c>
      <c r="K186" s="10">
        <f t="shared" si="42"/>
        <v>0</v>
      </c>
      <c r="L186" s="10">
        <f t="shared" si="42"/>
        <v>78</v>
      </c>
      <c r="M186" s="10">
        <f t="shared" si="42"/>
        <v>56</v>
      </c>
      <c r="N186" s="9">
        <f t="shared" si="41"/>
        <v>3</v>
      </c>
      <c r="P186" s="1"/>
      <c r="Q186" s="1"/>
      <c r="R186" s="1"/>
      <c r="S186" s="1"/>
    </row>
    <row r="187" spans="1:19" x14ac:dyDescent="0.3">
      <c r="A187" s="71">
        <f t="shared" si="37"/>
        <v>421</v>
      </c>
      <c r="B187" s="19" t="str">
        <f t="shared" si="29"/>
        <v>وحدة سفلية   3 أدراج - 3/2 (بورديوم)</v>
      </c>
      <c r="C187" s="10">
        <f t="shared" si="29"/>
        <v>10</v>
      </c>
      <c r="D187" s="10" t="str">
        <f t="shared" si="29"/>
        <v>بورديوم</v>
      </c>
      <c r="E187" s="10" t="str">
        <f t="shared" si="29"/>
        <v>ظهر درج داخلى</v>
      </c>
      <c r="F187" s="7" t="str">
        <f t="shared" si="30"/>
        <v/>
      </c>
      <c r="G187" s="7" t="str">
        <f t="shared" si="31"/>
        <v/>
      </c>
      <c r="H187" s="7" t="str">
        <f t="shared" si="32"/>
        <v/>
      </c>
      <c r="I187" s="7" t="str">
        <f t="shared" si="33"/>
        <v/>
      </c>
      <c r="J187" s="7" t="str">
        <f t="shared" si="34"/>
        <v/>
      </c>
      <c r="K187" s="10">
        <f t="shared" si="42"/>
        <v>0</v>
      </c>
      <c r="L187" s="10">
        <f t="shared" si="42"/>
        <v>78</v>
      </c>
      <c r="M187" s="10">
        <f t="shared" si="42"/>
        <v>56</v>
      </c>
      <c r="N187" s="9">
        <f t="shared" si="41"/>
        <v>3</v>
      </c>
      <c r="P187" s="1"/>
      <c r="Q187" s="1"/>
      <c r="R187" s="1"/>
      <c r="S187" s="1"/>
    </row>
    <row r="188" spans="1:19" x14ac:dyDescent="0.3">
      <c r="A188" s="71"/>
      <c r="B188" s="19"/>
      <c r="P188" s="1"/>
      <c r="Q188" s="1"/>
      <c r="R188" s="1"/>
      <c r="S188" s="1"/>
    </row>
    <row r="189" spans="1:19" x14ac:dyDescent="0.3">
      <c r="A189" s="71">
        <f>A187+1</f>
        <v>422</v>
      </c>
      <c r="B189" s="19" t="str">
        <f t="shared" ref="B189:E198" si="43">B81</f>
        <v>وحدة سفلية   درجين - 2/4 (بورديوم)</v>
      </c>
      <c r="C189" s="10">
        <f t="shared" si="43"/>
        <v>1</v>
      </c>
      <c r="D189" s="10" t="str">
        <f t="shared" si="43"/>
        <v>بورديوم</v>
      </c>
      <c r="E189" s="10" t="str">
        <f t="shared" si="43"/>
        <v>قاعدة</v>
      </c>
      <c r="F189" s="7" t="str">
        <f t="shared" ref="F189:F198" si="44">IF(K189=0, "",F81)</f>
        <v/>
      </c>
      <c r="G189" s="7" t="str">
        <f t="shared" ref="G189:G198" si="45">IF(K189=0, "",G81)</f>
        <v/>
      </c>
      <c r="H189" s="7" t="str">
        <f t="shared" ref="H189:H198" si="46">IF(K189=0, "",H81)</f>
        <v/>
      </c>
      <c r="I189" s="7" t="str">
        <f t="shared" ref="I189:I198" si="47">IF(K189=0, "",I81)</f>
        <v/>
      </c>
      <c r="J189" s="7" t="str">
        <f t="shared" ref="J189:J198" si="48">IF(K189=0, "",J81)</f>
        <v/>
      </c>
      <c r="K189" s="10">
        <f>H76</f>
        <v>0</v>
      </c>
      <c r="L189" s="10">
        <f>I76</f>
        <v>78</v>
      </c>
      <c r="M189" s="10">
        <f>J76</f>
        <v>56</v>
      </c>
      <c r="N189" s="9">
        <f>J74</f>
        <v>4</v>
      </c>
      <c r="P189" s="1"/>
      <c r="Q189" s="1"/>
      <c r="R189" s="1"/>
      <c r="S189" s="1"/>
    </row>
    <row r="190" spans="1:19" x14ac:dyDescent="0.3">
      <c r="A190" s="71">
        <f>A189+1</f>
        <v>423</v>
      </c>
      <c r="B190" s="19" t="str">
        <f t="shared" si="43"/>
        <v>وحدة سفلية   درجين - 2/4 (بورديوم)</v>
      </c>
      <c r="C190" s="10">
        <f t="shared" si="43"/>
        <v>2</v>
      </c>
      <c r="D190" s="10" t="str">
        <f t="shared" si="43"/>
        <v>بورديوم</v>
      </c>
      <c r="E190" s="10" t="str">
        <f t="shared" si="43"/>
        <v>أجناب</v>
      </c>
      <c r="F190" s="7" t="str">
        <f t="shared" si="44"/>
        <v/>
      </c>
      <c r="G190" s="7" t="str">
        <f t="shared" si="45"/>
        <v/>
      </c>
      <c r="H190" s="7" t="str">
        <f t="shared" si="46"/>
        <v/>
      </c>
      <c r="I190" s="7" t="str">
        <f t="shared" si="47"/>
        <v/>
      </c>
      <c r="J190" s="7" t="str">
        <f t="shared" si="48"/>
        <v/>
      </c>
      <c r="K190" s="10">
        <f t="shared" ref="K190:M190" si="49">K189</f>
        <v>0</v>
      </c>
      <c r="L190" s="10">
        <f t="shared" si="49"/>
        <v>78</v>
      </c>
      <c r="M190" s="10">
        <f t="shared" si="49"/>
        <v>56</v>
      </c>
      <c r="N190" s="9">
        <f>N189</f>
        <v>4</v>
      </c>
      <c r="P190" s="1"/>
      <c r="Q190" s="1"/>
      <c r="R190" s="1"/>
      <c r="S190" s="1"/>
    </row>
    <row r="191" spans="1:19" x14ac:dyDescent="0.3">
      <c r="A191" s="71">
        <f>A190+1</f>
        <v>424</v>
      </c>
      <c r="B191" s="19" t="str">
        <f t="shared" si="43"/>
        <v>وحدة سفلية   درجين - 2/4 (بورديوم)</v>
      </c>
      <c r="C191" s="10">
        <f t="shared" si="43"/>
        <v>3</v>
      </c>
      <c r="D191" s="10" t="str">
        <f t="shared" si="43"/>
        <v>بورديوم</v>
      </c>
      <c r="E191" s="10" t="str">
        <f t="shared" si="43"/>
        <v>مرايا علوية 1</v>
      </c>
      <c r="F191" s="7" t="str">
        <f t="shared" si="44"/>
        <v/>
      </c>
      <c r="G191" s="7" t="str">
        <f t="shared" si="45"/>
        <v/>
      </c>
      <c r="H191" s="7" t="str">
        <f t="shared" si="46"/>
        <v/>
      </c>
      <c r="I191" s="7" t="str">
        <f t="shared" si="47"/>
        <v/>
      </c>
      <c r="J191" s="7" t="str">
        <f t="shared" si="48"/>
        <v/>
      </c>
      <c r="K191" s="10">
        <f t="shared" ref="K191:M191" si="50">K189</f>
        <v>0</v>
      </c>
      <c r="L191" s="10">
        <f t="shared" si="50"/>
        <v>78</v>
      </c>
      <c r="M191" s="10">
        <f t="shared" si="50"/>
        <v>56</v>
      </c>
      <c r="N191" s="9">
        <f>N189</f>
        <v>4</v>
      </c>
      <c r="P191" s="1"/>
      <c r="Q191" s="1"/>
      <c r="R191" s="1"/>
      <c r="S191" s="1"/>
    </row>
    <row r="192" spans="1:19" x14ac:dyDescent="0.3">
      <c r="A192" s="71">
        <f t="shared" ref="A192:A198" si="51">A191+1</f>
        <v>425</v>
      </c>
      <c r="B192" s="19" t="str">
        <f t="shared" si="43"/>
        <v>وحدة سفلية   درجين - 2/4 (بورديوم)</v>
      </c>
      <c r="C192" s="10">
        <f t="shared" si="43"/>
        <v>4</v>
      </c>
      <c r="D192" s="10" t="str">
        <f t="shared" si="43"/>
        <v>بورديوم</v>
      </c>
      <c r="E192" s="10" t="str">
        <f t="shared" si="43"/>
        <v>مرايا علوية 2</v>
      </c>
      <c r="F192" s="7" t="str">
        <f t="shared" si="44"/>
        <v/>
      </c>
      <c r="G192" s="7" t="str">
        <f t="shared" si="45"/>
        <v/>
      </c>
      <c r="H192" s="7" t="str">
        <f t="shared" si="46"/>
        <v/>
      </c>
      <c r="I192" s="7" t="str">
        <f t="shared" si="47"/>
        <v/>
      </c>
      <c r="J192" s="7" t="str">
        <f t="shared" si="48"/>
        <v/>
      </c>
      <c r="K192" s="10">
        <f t="shared" ref="K192:L192" si="52">K189</f>
        <v>0</v>
      </c>
      <c r="L192" s="10">
        <f t="shared" si="52"/>
        <v>78</v>
      </c>
      <c r="M192" s="10">
        <f>M189</f>
        <v>56</v>
      </c>
      <c r="N192" s="9">
        <f>N189</f>
        <v>4</v>
      </c>
      <c r="P192" s="1"/>
      <c r="Q192" s="1"/>
      <c r="R192" s="1"/>
      <c r="S192" s="1"/>
    </row>
    <row r="193" spans="1:19" x14ac:dyDescent="0.3">
      <c r="A193" s="71">
        <f t="shared" si="51"/>
        <v>426</v>
      </c>
      <c r="B193" s="19" t="str">
        <f t="shared" si="43"/>
        <v>وحدة سفلية   درجين - 2/4 (بورديوم)</v>
      </c>
      <c r="C193" s="10">
        <f t="shared" si="43"/>
        <v>5</v>
      </c>
      <c r="D193" s="10" t="str">
        <f t="shared" si="43"/>
        <v>بورديوم</v>
      </c>
      <c r="E193" s="10" t="str">
        <f t="shared" si="43"/>
        <v>وش درج داخلى صغير</v>
      </c>
      <c r="F193" s="7" t="str">
        <f t="shared" si="44"/>
        <v/>
      </c>
      <c r="G193" s="7" t="str">
        <f t="shared" si="45"/>
        <v/>
      </c>
      <c r="H193" s="7" t="str">
        <f t="shared" si="46"/>
        <v/>
      </c>
      <c r="I193" s="7" t="str">
        <f t="shared" si="47"/>
        <v/>
      </c>
      <c r="J193" s="7" t="str">
        <f t="shared" si="48"/>
        <v/>
      </c>
      <c r="K193" s="10">
        <f t="shared" ref="K193:L193" si="53">K189</f>
        <v>0</v>
      </c>
      <c r="L193" s="10">
        <f t="shared" si="53"/>
        <v>78</v>
      </c>
      <c r="M193" s="10">
        <f>M189</f>
        <v>56</v>
      </c>
      <c r="N193" s="9">
        <f>N189</f>
        <v>4</v>
      </c>
      <c r="P193" s="1"/>
      <c r="Q193" s="1"/>
      <c r="R193" s="1"/>
      <c r="S193" s="1"/>
    </row>
    <row r="194" spans="1:19" x14ac:dyDescent="0.3">
      <c r="A194" s="71">
        <f t="shared" si="51"/>
        <v>427</v>
      </c>
      <c r="B194" s="19" t="str">
        <f t="shared" si="43"/>
        <v>وحدة سفلية   درجين - 2/4 (بورديوم)</v>
      </c>
      <c r="C194" s="10">
        <f t="shared" si="43"/>
        <v>6</v>
      </c>
      <c r="D194" s="10" t="str">
        <f t="shared" si="43"/>
        <v>بورديوم</v>
      </c>
      <c r="E194" s="10" t="str">
        <f t="shared" si="43"/>
        <v>جنب درج داخلى صغير</v>
      </c>
      <c r="F194" s="7" t="str">
        <f t="shared" si="44"/>
        <v/>
      </c>
      <c r="G194" s="7" t="str">
        <f t="shared" si="45"/>
        <v/>
      </c>
      <c r="H194" s="7" t="str">
        <f t="shared" si="46"/>
        <v/>
      </c>
      <c r="I194" s="7" t="str">
        <f t="shared" si="47"/>
        <v/>
      </c>
      <c r="J194" s="7" t="str">
        <f t="shared" si="48"/>
        <v/>
      </c>
      <c r="K194" s="10">
        <f t="shared" ref="K194:L194" si="54">K189</f>
        <v>0</v>
      </c>
      <c r="L194" s="10">
        <f t="shared" si="54"/>
        <v>78</v>
      </c>
      <c r="M194" s="10">
        <f>M189</f>
        <v>56</v>
      </c>
      <c r="N194" s="9">
        <f t="shared" ref="N194:N198" si="55">N190</f>
        <v>4</v>
      </c>
      <c r="P194" s="1"/>
      <c r="Q194" s="1"/>
      <c r="R194" s="1"/>
      <c r="S194" s="1"/>
    </row>
    <row r="195" spans="1:19" x14ac:dyDescent="0.3">
      <c r="A195" s="71">
        <f t="shared" si="51"/>
        <v>428</v>
      </c>
      <c r="B195" s="19" t="str">
        <f t="shared" si="43"/>
        <v>وحدة سفلية   درجين - 2/4 (بورديوم)</v>
      </c>
      <c r="C195" s="10">
        <f t="shared" si="43"/>
        <v>7</v>
      </c>
      <c r="D195" s="10" t="str">
        <f t="shared" si="43"/>
        <v>بورديوم</v>
      </c>
      <c r="E195" s="10" t="str">
        <f t="shared" si="43"/>
        <v>ظهر درج داخلى صغير</v>
      </c>
      <c r="F195" s="7" t="str">
        <f t="shared" si="44"/>
        <v/>
      </c>
      <c r="G195" s="7" t="str">
        <f t="shared" si="45"/>
        <v/>
      </c>
      <c r="H195" s="7" t="str">
        <f t="shared" si="46"/>
        <v/>
      </c>
      <c r="I195" s="7" t="str">
        <f t="shared" si="47"/>
        <v/>
      </c>
      <c r="J195" s="7" t="str">
        <f t="shared" si="48"/>
        <v/>
      </c>
      <c r="K195" s="10">
        <f t="shared" ref="K195:M198" si="56">K189</f>
        <v>0</v>
      </c>
      <c r="L195" s="10">
        <f t="shared" si="56"/>
        <v>78</v>
      </c>
      <c r="M195" s="10">
        <f>M189</f>
        <v>56</v>
      </c>
      <c r="N195" s="9">
        <f t="shared" si="55"/>
        <v>4</v>
      </c>
      <c r="P195" s="1"/>
      <c r="Q195" s="1"/>
      <c r="R195" s="1"/>
      <c r="S195" s="1"/>
    </row>
    <row r="196" spans="1:19" x14ac:dyDescent="0.3">
      <c r="A196" s="71">
        <f t="shared" si="51"/>
        <v>429</v>
      </c>
      <c r="B196" s="19" t="str">
        <f t="shared" si="43"/>
        <v>وحدة سفلية   درجين - 2/4 (بورديوم)</v>
      </c>
      <c r="C196" s="10">
        <f t="shared" si="43"/>
        <v>8</v>
      </c>
      <c r="D196" s="10" t="str">
        <f t="shared" si="43"/>
        <v>بورديوم</v>
      </c>
      <c r="E196" s="10" t="str">
        <f t="shared" si="43"/>
        <v>وش درج داخلى</v>
      </c>
      <c r="F196" s="7" t="str">
        <f t="shared" si="44"/>
        <v/>
      </c>
      <c r="G196" s="7" t="str">
        <f t="shared" si="45"/>
        <v/>
      </c>
      <c r="H196" s="7" t="str">
        <f t="shared" si="46"/>
        <v/>
      </c>
      <c r="I196" s="7" t="str">
        <f t="shared" si="47"/>
        <v/>
      </c>
      <c r="J196" s="7" t="str">
        <f t="shared" si="48"/>
        <v/>
      </c>
      <c r="K196" s="10">
        <f t="shared" si="56"/>
        <v>0</v>
      </c>
      <c r="L196" s="10">
        <f t="shared" si="56"/>
        <v>78</v>
      </c>
      <c r="M196" s="10">
        <f t="shared" si="56"/>
        <v>56</v>
      </c>
      <c r="N196" s="9">
        <f t="shared" si="55"/>
        <v>4</v>
      </c>
      <c r="P196" s="1"/>
      <c r="Q196" s="1"/>
      <c r="R196" s="1"/>
      <c r="S196" s="1"/>
    </row>
    <row r="197" spans="1:19" x14ac:dyDescent="0.3">
      <c r="A197" s="71">
        <f t="shared" si="51"/>
        <v>430</v>
      </c>
      <c r="B197" s="19" t="str">
        <f t="shared" si="43"/>
        <v>وحدة سفلية   درجين - 2/4 (بورديوم)</v>
      </c>
      <c r="C197" s="10">
        <f t="shared" si="43"/>
        <v>9</v>
      </c>
      <c r="D197" s="10" t="str">
        <f t="shared" si="43"/>
        <v>بورديوم</v>
      </c>
      <c r="E197" s="10" t="str">
        <f t="shared" si="43"/>
        <v>جنب درج داخلى</v>
      </c>
      <c r="F197" s="7" t="str">
        <f t="shared" si="44"/>
        <v/>
      </c>
      <c r="G197" s="7" t="str">
        <f t="shared" si="45"/>
        <v/>
      </c>
      <c r="H197" s="7" t="str">
        <f t="shared" si="46"/>
        <v/>
      </c>
      <c r="I197" s="7" t="str">
        <f t="shared" si="47"/>
        <v/>
      </c>
      <c r="J197" s="7" t="str">
        <f t="shared" si="48"/>
        <v/>
      </c>
      <c r="K197" s="10">
        <f t="shared" si="56"/>
        <v>0</v>
      </c>
      <c r="L197" s="10">
        <f t="shared" si="56"/>
        <v>78</v>
      </c>
      <c r="M197" s="10">
        <f t="shared" si="56"/>
        <v>56</v>
      </c>
      <c r="N197" s="9">
        <f t="shared" si="55"/>
        <v>4</v>
      </c>
      <c r="P197" s="1"/>
      <c r="Q197" s="1"/>
      <c r="R197" s="1"/>
      <c r="S197" s="1"/>
    </row>
    <row r="198" spans="1:19" x14ac:dyDescent="0.3">
      <c r="A198" s="71">
        <f t="shared" si="51"/>
        <v>431</v>
      </c>
      <c r="B198" s="19" t="str">
        <f t="shared" si="43"/>
        <v>وحدة سفلية   درجين - 2/4 (بورديوم)</v>
      </c>
      <c r="C198" s="10">
        <f t="shared" si="43"/>
        <v>10</v>
      </c>
      <c r="D198" s="10" t="str">
        <f t="shared" si="43"/>
        <v>بورديوم</v>
      </c>
      <c r="E198" s="10" t="str">
        <f t="shared" si="43"/>
        <v>ظهر درج داخلى</v>
      </c>
      <c r="F198" s="7" t="str">
        <f t="shared" si="44"/>
        <v/>
      </c>
      <c r="G198" s="7" t="str">
        <f t="shared" si="45"/>
        <v/>
      </c>
      <c r="H198" s="7" t="str">
        <f t="shared" si="46"/>
        <v/>
      </c>
      <c r="I198" s="7" t="str">
        <f t="shared" si="47"/>
        <v/>
      </c>
      <c r="J198" s="7" t="str">
        <f t="shared" si="48"/>
        <v/>
      </c>
      <c r="K198" s="10">
        <f t="shared" si="56"/>
        <v>0</v>
      </c>
      <c r="L198" s="10">
        <f t="shared" si="56"/>
        <v>78</v>
      </c>
      <c r="M198" s="10">
        <f t="shared" si="56"/>
        <v>56</v>
      </c>
      <c r="N198" s="9">
        <f t="shared" si="55"/>
        <v>4</v>
      </c>
      <c r="P198" s="1"/>
      <c r="Q198" s="1"/>
      <c r="R198" s="1"/>
      <c r="S198" s="1"/>
    </row>
    <row r="199" spans="1:19" x14ac:dyDescent="0.3">
      <c r="A199" s="71"/>
      <c r="B199" s="19"/>
      <c r="P199" s="1"/>
      <c r="Q199" s="1"/>
      <c r="R199" s="1"/>
      <c r="S199" s="1"/>
    </row>
    <row r="200" spans="1:19" ht="31.2" x14ac:dyDescent="0.3">
      <c r="A200" s="71">
        <f>A198+1</f>
        <v>432</v>
      </c>
      <c r="B200" s="19" t="str">
        <f t="shared" ref="B200:E205" si="57">B104</f>
        <v>وحدة سفلية  تلبيسة دلفة /دلفتين (بورديوم)</v>
      </c>
      <c r="C200" s="10">
        <f t="shared" si="57"/>
        <v>1</v>
      </c>
      <c r="D200" s="10" t="str">
        <f t="shared" si="57"/>
        <v>بورديوم</v>
      </c>
      <c r="E200" s="10" t="str">
        <f t="shared" si="57"/>
        <v>قاعدة</v>
      </c>
      <c r="F200" s="7" t="str">
        <f t="shared" ref="F200:F205" si="58">IF(K200=0, "",F104)</f>
        <v/>
      </c>
      <c r="G200" s="7" t="str">
        <f t="shared" ref="G200:G205" si="59">IF(K200=0, "",G104)</f>
        <v/>
      </c>
      <c r="H200" s="7" t="str">
        <f t="shared" ref="H200:H205" si="60">IF(K200=0, "",H104)</f>
        <v/>
      </c>
      <c r="I200" s="7" t="str">
        <f t="shared" ref="I200:I205" si="61">IF(K200=0, "",I104)</f>
        <v/>
      </c>
      <c r="J200" s="7" t="str">
        <f t="shared" ref="J200:J205" si="62">IF(K200=0, "",J104)</f>
        <v/>
      </c>
      <c r="K200" s="10">
        <f>H99</f>
        <v>0</v>
      </c>
      <c r="L200" s="10">
        <f>I99</f>
        <v>78</v>
      </c>
      <c r="M200" s="10">
        <f>J99</f>
        <v>56</v>
      </c>
      <c r="N200" s="9">
        <f>J97</f>
        <v>5</v>
      </c>
      <c r="P200" s="1"/>
      <c r="Q200" s="1"/>
      <c r="R200" s="1"/>
      <c r="S200" s="1"/>
    </row>
    <row r="201" spans="1:19" ht="31.2" x14ac:dyDescent="0.3">
      <c r="A201" s="71">
        <f>A200+1</f>
        <v>433</v>
      </c>
      <c r="B201" s="19" t="str">
        <f t="shared" si="57"/>
        <v>وحدة سفلية  تلبيسة دلفة /دلفتين (بورديوم)</v>
      </c>
      <c r="C201" s="10">
        <f t="shared" si="57"/>
        <v>2</v>
      </c>
      <c r="D201" s="10" t="str">
        <f t="shared" si="57"/>
        <v>بورديوم</v>
      </c>
      <c r="E201" s="10" t="str">
        <f t="shared" si="57"/>
        <v>أجناب</v>
      </c>
      <c r="F201" s="7" t="str">
        <f t="shared" si="58"/>
        <v/>
      </c>
      <c r="G201" s="7" t="str">
        <f t="shared" si="59"/>
        <v/>
      </c>
      <c r="H201" s="7" t="str">
        <f t="shared" si="60"/>
        <v/>
      </c>
      <c r="I201" s="7" t="str">
        <f t="shared" si="61"/>
        <v/>
      </c>
      <c r="J201" s="7" t="str">
        <f t="shared" si="62"/>
        <v/>
      </c>
      <c r="K201" s="10">
        <f t="shared" ref="K201:M201" si="63">K200</f>
        <v>0</v>
      </c>
      <c r="L201" s="10">
        <f t="shared" si="63"/>
        <v>78</v>
      </c>
      <c r="M201" s="10">
        <f t="shared" si="63"/>
        <v>56</v>
      </c>
      <c r="N201" s="9">
        <f>N200</f>
        <v>5</v>
      </c>
      <c r="P201" s="1"/>
      <c r="Q201" s="1"/>
      <c r="R201" s="1"/>
      <c r="S201" s="1"/>
    </row>
    <row r="202" spans="1:19" ht="31.2" x14ac:dyDescent="0.3">
      <c r="A202" s="71">
        <f>A201+1</f>
        <v>434</v>
      </c>
      <c r="B202" s="19" t="str">
        <f t="shared" si="57"/>
        <v>وحدة سفلية  تلبيسة دلفة /دلفتين (بورديوم)</v>
      </c>
      <c r="C202" s="10">
        <f t="shared" si="57"/>
        <v>3</v>
      </c>
      <c r="D202" s="10" t="str">
        <f t="shared" si="57"/>
        <v>بورديوم</v>
      </c>
      <c r="E202" s="10" t="str">
        <f t="shared" si="57"/>
        <v>مرايا علوية 1</v>
      </c>
      <c r="F202" s="7" t="str">
        <f t="shared" si="58"/>
        <v/>
      </c>
      <c r="G202" s="7" t="str">
        <f t="shared" si="59"/>
        <v/>
      </c>
      <c r="H202" s="7" t="str">
        <f t="shared" si="60"/>
        <v/>
      </c>
      <c r="I202" s="7" t="str">
        <f t="shared" si="61"/>
        <v/>
      </c>
      <c r="J202" s="7" t="str">
        <f t="shared" si="62"/>
        <v/>
      </c>
      <c r="K202" s="10">
        <f t="shared" ref="K202:M202" si="64">K200</f>
        <v>0</v>
      </c>
      <c r="L202" s="10">
        <f t="shared" si="64"/>
        <v>78</v>
      </c>
      <c r="M202" s="10">
        <f t="shared" si="64"/>
        <v>56</v>
      </c>
      <c r="N202" s="9">
        <f>N200</f>
        <v>5</v>
      </c>
      <c r="P202" s="1"/>
      <c r="Q202" s="1"/>
      <c r="R202" s="1"/>
      <c r="S202" s="1"/>
    </row>
    <row r="203" spans="1:19" ht="31.2" x14ac:dyDescent="0.3">
      <c r="A203" s="71">
        <f t="shared" ref="A203:A205" si="65">A202+1</f>
        <v>435</v>
      </c>
      <c r="B203" s="19" t="str">
        <f t="shared" si="57"/>
        <v>وحدة سفلية  تلبيسة دلفة /دلفتين (بورديوم)</v>
      </c>
      <c r="C203" s="10">
        <f t="shared" si="57"/>
        <v>4</v>
      </c>
      <c r="D203" s="10" t="str">
        <f t="shared" si="57"/>
        <v>بورديوم</v>
      </c>
      <c r="E203" s="10" t="str">
        <f t="shared" si="57"/>
        <v>مرايا علوية 2</v>
      </c>
      <c r="F203" s="7" t="str">
        <f t="shared" si="58"/>
        <v/>
      </c>
      <c r="G203" s="7" t="str">
        <f t="shared" si="59"/>
        <v/>
      </c>
      <c r="H203" s="7" t="str">
        <f t="shared" si="60"/>
        <v/>
      </c>
      <c r="I203" s="7" t="str">
        <f t="shared" si="61"/>
        <v/>
      </c>
      <c r="J203" s="7" t="str">
        <f t="shared" si="62"/>
        <v/>
      </c>
      <c r="K203" s="10">
        <f t="shared" ref="K203:L203" si="66">K200</f>
        <v>0</v>
      </c>
      <c r="L203" s="10">
        <f t="shared" si="66"/>
        <v>78</v>
      </c>
      <c r="M203" s="10">
        <f>M200</f>
        <v>56</v>
      </c>
      <c r="N203" s="9">
        <f>N200</f>
        <v>5</v>
      </c>
      <c r="P203" s="1"/>
      <c r="Q203" s="1"/>
      <c r="R203" s="1"/>
      <c r="S203" s="1"/>
    </row>
    <row r="204" spans="1:19" ht="31.2" x14ac:dyDescent="0.3">
      <c r="A204" s="71">
        <f t="shared" si="65"/>
        <v>436</v>
      </c>
      <c r="B204" s="19" t="str">
        <f t="shared" si="57"/>
        <v>وحدة سفلية  تلبيسة دلفة /دلفتين (بورديوم)</v>
      </c>
      <c r="C204" s="10">
        <f t="shared" si="57"/>
        <v>5</v>
      </c>
      <c r="D204" s="10" t="str">
        <f t="shared" si="57"/>
        <v>بورديوم</v>
      </c>
      <c r="E204" s="10" t="str">
        <f t="shared" si="57"/>
        <v>رف</v>
      </c>
      <c r="F204" s="7" t="str">
        <f t="shared" si="58"/>
        <v/>
      </c>
      <c r="G204" s="7" t="str">
        <f t="shared" si="59"/>
        <v/>
      </c>
      <c r="H204" s="7" t="str">
        <f t="shared" si="60"/>
        <v/>
      </c>
      <c r="I204" s="7" t="str">
        <f t="shared" si="61"/>
        <v/>
      </c>
      <c r="J204" s="7" t="str">
        <f t="shared" si="62"/>
        <v/>
      </c>
      <c r="K204" s="10">
        <f t="shared" ref="K204:L204" si="67">K200</f>
        <v>0</v>
      </c>
      <c r="L204" s="10">
        <f t="shared" si="67"/>
        <v>78</v>
      </c>
      <c r="M204" s="10">
        <f>M200</f>
        <v>56</v>
      </c>
      <c r="N204" s="9">
        <f>N200</f>
        <v>5</v>
      </c>
      <c r="P204" s="1"/>
      <c r="Q204" s="1"/>
      <c r="R204" s="1"/>
      <c r="S204" s="1"/>
    </row>
    <row r="205" spans="1:19" ht="31.2" x14ac:dyDescent="0.3">
      <c r="A205" s="71">
        <f t="shared" si="65"/>
        <v>437</v>
      </c>
      <c r="B205" s="19" t="str">
        <f t="shared" si="57"/>
        <v>وحدة سفلية  تلبيسة دلفة /دلفتين (بورديوم)</v>
      </c>
      <c r="C205" s="10">
        <f t="shared" si="57"/>
        <v>6</v>
      </c>
      <c r="D205" s="10" t="str">
        <f t="shared" si="57"/>
        <v>بورديوم</v>
      </c>
      <c r="E205" s="10" t="str">
        <f t="shared" si="57"/>
        <v>تلبيسة</v>
      </c>
      <c r="F205" s="7" t="str">
        <f t="shared" si="58"/>
        <v/>
      </c>
      <c r="G205" s="7" t="str">
        <f t="shared" si="59"/>
        <v/>
      </c>
      <c r="H205" s="7" t="str">
        <f t="shared" si="60"/>
        <v/>
      </c>
      <c r="I205" s="7" t="str">
        <f t="shared" si="61"/>
        <v/>
      </c>
      <c r="J205" s="7" t="str">
        <f t="shared" si="62"/>
        <v/>
      </c>
      <c r="K205" s="10">
        <f t="shared" ref="K205:L205" si="68">K200</f>
        <v>0</v>
      </c>
      <c r="L205" s="10">
        <f t="shared" si="68"/>
        <v>78</v>
      </c>
      <c r="M205" s="10">
        <f>M200</f>
        <v>56</v>
      </c>
      <c r="N205" s="9">
        <f t="shared" ref="N205" si="69">N201</f>
        <v>5</v>
      </c>
      <c r="P205" s="1"/>
      <c r="Q205" s="1"/>
      <c r="R205" s="1"/>
      <c r="S205" s="1"/>
    </row>
    <row r="206" spans="1:19" x14ac:dyDescent="0.3">
      <c r="A206" s="71"/>
      <c r="B206" s="19"/>
      <c r="P206" s="1"/>
      <c r="Q206" s="1"/>
      <c r="R206" s="1"/>
      <c r="S206" s="1"/>
    </row>
    <row r="207" spans="1:19" x14ac:dyDescent="0.3">
      <c r="A207" s="71">
        <f>A205+1</f>
        <v>438</v>
      </c>
      <c r="B207" s="19" t="str">
        <f t="shared" ref="B207:E212" si="70">B125</f>
        <v>وحدة سفلية  زاوية 90 (بورديوم)</v>
      </c>
      <c r="C207" s="10">
        <f t="shared" si="70"/>
        <v>1</v>
      </c>
      <c r="D207" s="10" t="str">
        <f t="shared" si="70"/>
        <v>بورديوم</v>
      </c>
      <c r="E207" s="10" t="str">
        <f t="shared" si="70"/>
        <v>قاعدة</v>
      </c>
      <c r="F207" s="7" t="str">
        <f t="shared" ref="F207:F212" si="71">IF(K207=0, "",F125)</f>
        <v/>
      </c>
      <c r="G207" s="7" t="str">
        <f t="shared" ref="G207:G212" si="72">IF(K207=0, "",G125)</f>
        <v/>
      </c>
      <c r="H207" s="7" t="str">
        <f t="shared" ref="H207:H212" si="73">IF(K207=0, "",H125)</f>
        <v/>
      </c>
      <c r="I207" s="7" t="str">
        <f t="shared" ref="I207:I212" si="74">IF(K207=0, "",I125)</f>
        <v/>
      </c>
      <c r="J207" s="7" t="str">
        <f t="shared" ref="J207:J212" si="75">IF(K207=0, "",J125)</f>
        <v/>
      </c>
      <c r="K207" s="10">
        <f>H119</f>
        <v>0</v>
      </c>
      <c r="L207" s="10">
        <f>I119</f>
        <v>78</v>
      </c>
      <c r="M207" s="10">
        <f>J119</f>
        <v>56</v>
      </c>
      <c r="N207" s="9">
        <f>J117</f>
        <v>6</v>
      </c>
      <c r="P207" s="1"/>
      <c r="Q207" s="1"/>
      <c r="R207" s="1"/>
      <c r="S207" s="1"/>
    </row>
    <row r="208" spans="1:19" x14ac:dyDescent="0.3">
      <c r="A208" s="71">
        <f>A207+1</f>
        <v>439</v>
      </c>
      <c r="B208" s="19" t="str">
        <f t="shared" si="70"/>
        <v>وحدة سفلية  زاوية 90 (بورديوم)</v>
      </c>
      <c r="C208" s="10">
        <f t="shared" si="70"/>
        <v>2</v>
      </c>
      <c r="D208" s="10" t="str">
        <f t="shared" si="70"/>
        <v>بورديوم</v>
      </c>
      <c r="E208" s="10" t="str">
        <f t="shared" si="70"/>
        <v>أجناب</v>
      </c>
      <c r="F208" s="7" t="str">
        <f t="shared" si="71"/>
        <v/>
      </c>
      <c r="G208" s="7" t="str">
        <f t="shared" si="72"/>
        <v/>
      </c>
      <c r="H208" s="7" t="str">
        <f t="shared" si="73"/>
        <v/>
      </c>
      <c r="I208" s="7" t="str">
        <f t="shared" si="74"/>
        <v/>
      </c>
      <c r="J208" s="7" t="str">
        <f t="shared" si="75"/>
        <v/>
      </c>
      <c r="K208" s="10">
        <f t="shared" ref="K208:M208" si="76">K207</f>
        <v>0</v>
      </c>
      <c r="L208" s="10">
        <f t="shared" si="76"/>
        <v>78</v>
      </c>
      <c r="M208" s="10">
        <f t="shared" si="76"/>
        <v>56</v>
      </c>
      <c r="N208" s="9">
        <f>N207</f>
        <v>6</v>
      </c>
      <c r="P208" s="1"/>
      <c r="Q208" s="1"/>
      <c r="R208" s="1"/>
      <c r="S208" s="1"/>
    </row>
    <row r="209" spans="1:19" x14ac:dyDescent="0.3">
      <c r="A209" s="71">
        <f>A208+1</f>
        <v>440</v>
      </c>
      <c r="B209" s="19" t="str">
        <f t="shared" si="70"/>
        <v>وحدة سفلية  زاوية 90 (بورديوم)</v>
      </c>
      <c r="C209" s="10">
        <f t="shared" si="70"/>
        <v>3</v>
      </c>
      <c r="D209" s="10" t="str">
        <f t="shared" si="70"/>
        <v>بورديوم</v>
      </c>
      <c r="E209" s="10" t="str">
        <f t="shared" si="70"/>
        <v>مرايا علوية 1</v>
      </c>
      <c r="F209" s="7" t="str">
        <f t="shared" si="71"/>
        <v/>
      </c>
      <c r="G209" s="7" t="str">
        <f t="shared" si="72"/>
        <v/>
      </c>
      <c r="H209" s="7" t="str">
        <f t="shared" si="73"/>
        <v/>
      </c>
      <c r="I209" s="7" t="str">
        <f t="shared" si="74"/>
        <v/>
      </c>
      <c r="J209" s="7" t="str">
        <f t="shared" si="75"/>
        <v/>
      </c>
      <c r="K209" s="10">
        <f t="shared" ref="K209:M209" si="77">K207</f>
        <v>0</v>
      </c>
      <c r="L209" s="10">
        <f t="shared" si="77"/>
        <v>78</v>
      </c>
      <c r="M209" s="10">
        <f t="shared" si="77"/>
        <v>56</v>
      </c>
      <c r="N209" s="9">
        <f>N207</f>
        <v>6</v>
      </c>
      <c r="P209" s="1"/>
      <c r="Q209" s="1"/>
      <c r="R209" s="1"/>
      <c r="S209" s="1"/>
    </row>
    <row r="210" spans="1:19" x14ac:dyDescent="0.3">
      <c r="A210" s="71">
        <f t="shared" ref="A210:A212" si="78">A209+1</f>
        <v>441</v>
      </c>
      <c r="B210" s="19" t="str">
        <f t="shared" si="70"/>
        <v>وحدة سفلية  زاوية 90 (بورديوم)</v>
      </c>
      <c r="C210" s="10">
        <f t="shared" si="70"/>
        <v>4</v>
      </c>
      <c r="D210" s="10" t="str">
        <f t="shared" si="70"/>
        <v>بورديوم</v>
      </c>
      <c r="E210" s="10" t="str">
        <f t="shared" si="70"/>
        <v>مرايا علوية 2</v>
      </c>
      <c r="F210" s="7" t="str">
        <f t="shared" si="71"/>
        <v/>
      </c>
      <c r="G210" s="7" t="str">
        <f t="shared" si="72"/>
        <v/>
      </c>
      <c r="H210" s="7" t="str">
        <f t="shared" si="73"/>
        <v/>
      </c>
      <c r="I210" s="7" t="str">
        <f t="shared" si="74"/>
        <v/>
      </c>
      <c r="J210" s="7" t="str">
        <f t="shared" si="75"/>
        <v/>
      </c>
      <c r="K210" s="10">
        <f t="shared" ref="K210:L210" si="79">K207</f>
        <v>0</v>
      </c>
      <c r="L210" s="10">
        <f t="shared" si="79"/>
        <v>78</v>
      </c>
      <c r="M210" s="10">
        <f>M207</f>
        <v>56</v>
      </c>
      <c r="N210" s="9">
        <f>N207</f>
        <v>6</v>
      </c>
      <c r="P210" s="1"/>
      <c r="Q210" s="1"/>
      <c r="R210" s="1"/>
      <c r="S210" s="1"/>
    </row>
    <row r="211" spans="1:19" x14ac:dyDescent="0.3">
      <c r="A211" s="71">
        <f t="shared" si="78"/>
        <v>442</v>
      </c>
      <c r="B211" s="19" t="str">
        <f t="shared" si="70"/>
        <v>وحدة سفلية  زاوية 90 (بورديوم)</v>
      </c>
      <c r="C211" s="10">
        <f t="shared" si="70"/>
        <v>5</v>
      </c>
      <c r="D211" s="10" t="str">
        <f t="shared" si="70"/>
        <v>بورديوم</v>
      </c>
      <c r="E211" s="10" t="str">
        <f t="shared" si="70"/>
        <v>قائم خلفى</v>
      </c>
      <c r="F211" s="7" t="str">
        <f t="shared" si="71"/>
        <v/>
      </c>
      <c r="G211" s="7" t="str">
        <f t="shared" si="72"/>
        <v/>
      </c>
      <c r="H211" s="7" t="str">
        <f t="shared" si="73"/>
        <v/>
      </c>
      <c r="I211" s="7" t="str">
        <f t="shared" si="74"/>
        <v/>
      </c>
      <c r="J211" s="7" t="str">
        <f t="shared" si="75"/>
        <v/>
      </c>
      <c r="K211" s="10">
        <f t="shared" ref="K211:L211" si="80">K207</f>
        <v>0</v>
      </c>
      <c r="L211" s="10">
        <f t="shared" si="80"/>
        <v>78</v>
      </c>
      <c r="M211" s="10">
        <f>M207</f>
        <v>56</v>
      </c>
      <c r="N211" s="9">
        <f>N207</f>
        <v>6</v>
      </c>
      <c r="P211" s="1"/>
      <c r="Q211" s="1"/>
      <c r="R211" s="1"/>
      <c r="S211" s="1"/>
    </row>
    <row r="212" spans="1:19" x14ac:dyDescent="0.3">
      <c r="A212" s="71">
        <f t="shared" si="78"/>
        <v>443</v>
      </c>
      <c r="B212" s="19" t="str">
        <f t="shared" si="70"/>
        <v>وحدة سفلية  زاوية 90 (بورديوم)</v>
      </c>
      <c r="C212" s="10">
        <f t="shared" si="70"/>
        <v>6</v>
      </c>
      <c r="D212" s="10" t="str">
        <f t="shared" si="70"/>
        <v>بورديوم</v>
      </c>
      <c r="E212" s="10" t="str">
        <f t="shared" si="70"/>
        <v>رف</v>
      </c>
      <c r="F212" s="7" t="str">
        <f t="shared" si="71"/>
        <v/>
      </c>
      <c r="G212" s="7" t="str">
        <f t="shared" si="72"/>
        <v/>
      </c>
      <c r="H212" s="7" t="str">
        <f t="shared" si="73"/>
        <v/>
      </c>
      <c r="I212" s="7" t="str">
        <f t="shared" si="74"/>
        <v/>
      </c>
      <c r="J212" s="7" t="str">
        <f t="shared" si="75"/>
        <v/>
      </c>
      <c r="K212" s="10">
        <f t="shared" ref="K212:L212" si="81">K207</f>
        <v>0</v>
      </c>
      <c r="L212" s="10">
        <f t="shared" si="81"/>
        <v>78</v>
      </c>
      <c r="M212" s="10">
        <f>M207</f>
        <v>56</v>
      </c>
      <c r="N212" s="9">
        <f t="shared" ref="N212" si="82">N208</f>
        <v>6</v>
      </c>
      <c r="P212" s="1"/>
      <c r="Q212" s="1"/>
      <c r="R212" s="1"/>
      <c r="S212" s="1"/>
    </row>
    <row r="213" spans="1:19" x14ac:dyDescent="0.3">
      <c r="A213" s="71"/>
      <c r="B213" s="19"/>
      <c r="P213" s="1"/>
      <c r="Q213" s="1"/>
      <c r="R213" s="1"/>
      <c r="S213" s="1"/>
    </row>
    <row r="214" spans="1:19" x14ac:dyDescent="0.3">
      <c r="A214" s="71">
        <f>A212+1</f>
        <v>444</v>
      </c>
      <c r="B214" s="19" t="str">
        <f t="shared" ref="B214:E219" si="83">B146</f>
        <v>وحدة سفلية  ركنة 45 (بورديوم)</v>
      </c>
      <c r="C214" s="10">
        <f t="shared" si="83"/>
        <v>1</v>
      </c>
      <c r="D214" s="10" t="str">
        <f t="shared" si="83"/>
        <v>بورديوم</v>
      </c>
      <c r="E214" s="10" t="str">
        <f t="shared" si="83"/>
        <v>قاعدة</v>
      </c>
      <c r="F214" s="7" t="str">
        <f t="shared" ref="F214:F219" si="84">IF(K214=0, "",F146)</f>
        <v/>
      </c>
      <c r="G214" s="7" t="str">
        <f t="shared" ref="G214:G219" si="85">IF(K214=0, "",G146)</f>
        <v/>
      </c>
      <c r="H214" s="7" t="str">
        <f t="shared" ref="H214:H219" si="86">IF(K214=0, "",H146)</f>
        <v/>
      </c>
      <c r="I214" s="7" t="str">
        <f t="shared" ref="I214:I219" si="87">IF(K214=0, "",I146)</f>
        <v/>
      </c>
      <c r="J214" s="7" t="str">
        <f t="shared" ref="J214:J219" si="88">IF(K214=0, "",J146)</f>
        <v/>
      </c>
      <c r="K214" s="10">
        <f>H140</f>
        <v>0</v>
      </c>
      <c r="L214" s="10">
        <f>I140</f>
        <v>78</v>
      </c>
      <c r="M214" s="10">
        <f>J140</f>
        <v>56</v>
      </c>
      <c r="N214" s="9">
        <f>J138</f>
        <v>7</v>
      </c>
      <c r="P214" s="1"/>
      <c r="Q214" s="1"/>
      <c r="R214" s="1"/>
      <c r="S214" s="1"/>
    </row>
    <row r="215" spans="1:19" x14ac:dyDescent="0.3">
      <c r="A215" s="71">
        <f>A214+1</f>
        <v>445</v>
      </c>
      <c r="B215" s="19" t="str">
        <f t="shared" si="83"/>
        <v>وحدة سفلية  ركنة 45 (بورديوم)</v>
      </c>
      <c r="C215" s="10">
        <f t="shared" si="83"/>
        <v>2</v>
      </c>
      <c r="D215" s="10" t="str">
        <f t="shared" si="83"/>
        <v>بورديوم</v>
      </c>
      <c r="E215" s="10" t="str">
        <f t="shared" si="83"/>
        <v>أجناب</v>
      </c>
      <c r="F215" s="7" t="str">
        <f t="shared" si="84"/>
        <v/>
      </c>
      <c r="G215" s="7" t="str">
        <f t="shared" si="85"/>
        <v/>
      </c>
      <c r="H215" s="7" t="str">
        <f t="shared" si="86"/>
        <v/>
      </c>
      <c r="I215" s="7" t="str">
        <f t="shared" si="87"/>
        <v/>
      </c>
      <c r="J215" s="7" t="str">
        <f t="shared" si="88"/>
        <v/>
      </c>
      <c r="K215" s="10">
        <f t="shared" ref="K215:M215" si="89">K214</f>
        <v>0</v>
      </c>
      <c r="L215" s="10">
        <f t="shared" si="89"/>
        <v>78</v>
      </c>
      <c r="M215" s="10">
        <f t="shared" si="89"/>
        <v>56</v>
      </c>
      <c r="N215" s="9">
        <f>N214</f>
        <v>7</v>
      </c>
      <c r="P215" s="1"/>
      <c r="Q215" s="1"/>
      <c r="R215" s="1"/>
      <c r="S215" s="1"/>
    </row>
    <row r="216" spans="1:19" x14ac:dyDescent="0.3">
      <c r="A216" s="71">
        <f>A215+1</f>
        <v>446</v>
      </c>
      <c r="B216" s="19" t="str">
        <f t="shared" si="83"/>
        <v>وحدة سفلية  ركنة 45 (بورديوم)</v>
      </c>
      <c r="C216" s="10">
        <f t="shared" si="83"/>
        <v>3</v>
      </c>
      <c r="D216" s="10" t="str">
        <f t="shared" si="83"/>
        <v>بورديوم</v>
      </c>
      <c r="E216" s="10" t="str">
        <f t="shared" si="83"/>
        <v>مرايا علوية 1</v>
      </c>
      <c r="F216" s="7" t="str">
        <f t="shared" si="84"/>
        <v/>
      </c>
      <c r="G216" s="7" t="str">
        <f t="shared" si="85"/>
        <v/>
      </c>
      <c r="H216" s="7" t="str">
        <f t="shared" si="86"/>
        <v/>
      </c>
      <c r="I216" s="7" t="str">
        <f t="shared" si="87"/>
        <v/>
      </c>
      <c r="J216" s="7" t="str">
        <f t="shared" si="88"/>
        <v/>
      </c>
      <c r="K216" s="10">
        <f t="shared" ref="K216:M216" si="90">K214</f>
        <v>0</v>
      </c>
      <c r="L216" s="10">
        <f t="shared" si="90"/>
        <v>78</v>
      </c>
      <c r="M216" s="10">
        <f t="shared" si="90"/>
        <v>56</v>
      </c>
      <c r="N216" s="9">
        <f>N214</f>
        <v>7</v>
      </c>
      <c r="P216" s="1"/>
      <c r="Q216" s="1"/>
      <c r="R216" s="1"/>
      <c r="S216" s="1"/>
    </row>
    <row r="217" spans="1:19" x14ac:dyDescent="0.3">
      <c r="A217" s="71">
        <f t="shared" ref="A217:A219" si="91">A216+1</f>
        <v>447</v>
      </c>
      <c r="B217" s="19" t="str">
        <f t="shared" si="83"/>
        <v>وحدة سفلية  ركنة 45 (بورديوم)</v>
      </c>
      <c r="C217" s="10">
        <f t="shared" si="83"/>
        <v>4</v>
      </c>
      <c r="D217" s="10" t="str">
        <f t="shared" si="83"/>
        <v>بورديوم</v>
      </c>
      <c r="E217" s="10" t="str">
        <f t="shared" si="83"/>
        <v>مرايا علوية 2</v>
      </c>
      <c r="F217" s="7" t="str">
        <f t="shared" si="84"/>
        <v/>
      </c>
      <c r="G217" s="7" t="str">
        <f t="shared" si="85"/>
        <v/>
      </c>
      <c r="H217" s="7" t="str">
        <f t="shared" si="86"/>
        <v/>
      </c>
      <c r="I217" s="7" t="str">
        <f t="shared" si="87"/>
        <v/>
      </c>
      <c r="J217" s="7" t="str">
        <f t="shared" si="88"/>
        <v/>
      </c>
      <c r="K217" s="10">
        <f t="shared" ref="K217:L217" si="92">K214</f>
        <v>0</v>
      </c>
      <c r="L217" s="10">
        <f t="shared" si="92"/>
        <v>78</v>
      </c>
      <c r="M217" s="10">
        <f>M214</f>
        <v>56</v>
      </c>
      <c r="N217" s="9">
        <f>N214</f>
        <v>7</v>
      </c>
      <c r="P217" s="1"/>
      <c r="Q217" s="1"/>
      <c r="R217" s="1"/>
      <c r="S217" s="1"/>
    </row>
    <row r="218" spans="1:19" x14ac:dyDescent="0.3">
      <c r="A218" s="71">
        <f t="shared" si="91"/>
        <v>448</v>
      </c>
      <c r="B218" s="19" t="str">
        <f t="shared" si="83"/>
        <v>وحدة سفلية  ركنة 45 (بورديوم)</v>
      </c>
      <c r="C218" s="10">
        <f t="shared" si="83"/>
        <v>5</v>
      </c>
      <c r="D218" s="10" t="str">
        <f t="shared" si="83"/>
        <v>بورديوم</v>
      </c>
      <c r="E218" s="10" t="str">
        <f t="shared" si="83"/>
        <v>قائم خلفى</v>
      </c>
      <c r="F218" s="7" t="str">
        <f t="shared" si="84"/>
        <v/>
      </c>
      <c r="G218" s="7" t="str">
        <f t="shared" si="85"/>
        <v/>
      </c>
      <c r="H218" s="7" t="str">
        <f t="shared" si="86"/>
        <v/>
      </c>
      <c r="I218" s="7" t="str">
        <f t="shared" si="87"/>
        <v/>
      </c>
      <c r="J218" s="7" t="str">
        <f t="shared" si="88"/>
        <v/>
      </c>
      <c r="K218" s="10">
        <f t="shared" ref="K218:L218" si="93">K214</f>
        <v>0</v>
      </c>
      <c r="L218" s="10">
        <f t="shared" si="93"/>
        <v>78</v>
      </c>
      <c r="M218" s="10">
        <f>M214</f>
        <v>56</v>
      </c>
      <c r="N218" s="9">
        <f>N214</f>
        <v>7</v>
      </c>
      <c r="P218" s="1"/>
      <c r="Q218" s="1"/>
      <c r="R218" s="1"/>
      <c r="S218" s="1"/>
    </row>
    <row r="219" spans="1:19" x14ac:dyDescent="0.3">
      <c r="A219" s="71">
        <f t="shared" si="91"/>
        <v>449</v>
      </c>
      <c r="B219" s="19" t="str">
        <f t="shared" si="83"/>
        <v>وحدة سفلية  ركنة 45 (بورديوم)</v>
      </c>
      <c r="C219" s="10">
        <f t="shared" si="83"/>
        <v>6</v>
      </c>
      <c r="D219" s="10" t="str">
        <f t="shared" si="83"/>
        <v>بورديوم</v>
      </c>
      <c r="E219" s="10" t="str">
        <f t="shared" si="83"/>
        <v>رف</v>
      </c>
      <c r="F219" s="7" t="str">
        <f t="shared" si="84"/>
        <v/>
      </c>
      <c r="G219" s="7" t="str">
        <f t="shared" si="85"/>
        <v/>
      </c>
      <c r="H219" s="7" t="str">
        <f t="shared" si="86"/>
        <v/>
      </c>
      <c r="I219" s="7" t="str">
        <f t="shared" si="87"/>
        <v/>
      </c>
      <c r="J219" s="7" t="str">
        <f t="shared" si="88"/>
        <v/>
      </c>
      <c r="K219" s="10">
        <f t="shared" ref="K219:L219" si="94">K214</f>
        <v>0</v>
      </c>
      <c r="L219" s="10">
        <f t="shared" si="94"/>
        <v>78</v>
      </c>
      <c r="M219" s="10">
        <f>M214</f>
        <v>56</v>
      </c>
      <c r="N219" s="9">
        <f t="shared" ref="N219" si="95">N215</f>
        <v>7</v>
      </c>
      <c r="P219" s="1"/>
      <c r="Q219" s="1"/>
      <c r="R219" s="1"/>
      <c r="S219" s="1"/>
    </row>
    <row r="220" spans="1:19" x14ac:dyDescent="0.3">
      <c r="A220" s="71"/>
      <c r="B220" s="19"/>
      <c r="P220" s="1"/>
      <c r="Q220" s="1"/>
      <c r="R220" s="1"/>
      <c r="S220" s="1"/>
    </row>
    <row r="221" spans="1:19" x14ac:dyDescent="0.3">
      <c r="A221" s="71"/>
      <c r="B221" s="19"/>
      <c r="P221" s="1"/>
      <c r="Q221" s="1"/>
      <c r="R221" s="1"/>
      <c r="S221" s="1"/>
    </row>
    <row r="222" spans="1:19" ht="21" x14ac:dyDescent="0.3">
      <c r="A222" s="71"/>
      <c r="B222" s="19"/>
      <c r="C222" s="109" t="s">
        <v>44</v>
      </c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P222" s="1"/>
      <c r="Q222" s="1"/>
      <c r="R222" s="1"/>
      <c r="S222" s="1"/>
    </row>
    <row r="223" spans="1:19" x14ac:dyDescent="0.3">
      <c r="A223" s="71"/>
      <c r="B223" s="19"/>
      <c r="P223" s="1"/>
      <c r="Q223" s="1"/>
      <c r="R223" s="1"/>
      <c r="S223" s="1"/>
    </row>
    <row r="224" spans="1:19" ht="36" x14ac:dyDescent="0.3">
      <c r="A224" s="71" t="s">
        <v>123</v>
      </c>
      <c r="B224" s="19" t="s">
        <v>124</v>
      </c>
      <c r="C224" s="16" t="s">
        <v>4</v>
      </c>
      <c r="D224" s="16" t="s">
        <v>9</v>
      </c>
      <c r="E224" s="16" t="s">
        <v>5</v>
      </c>
      <c r="F224" s="17" t="s">
        <v>7</v>
      </c>
      <c r="G224" s="17" t="s">
        <v>1</v>
      </c>
      <c r="H224" s="17" t="s">
        <v>6</v>
      </c>
      <c r="I224" s="17" t="s">
        <v>45</v>
      </c>
      <c r="J224" s="17" t="s">
        <v>8</v>
      </c>
      <c r="K224" s="2" t="s">
        <v>34</v>
      </c>
      <c r="L224" s="2" t="s">
        <v>3</v>
      </c>
      <c r="M224" s="2" t="s">
        <v>2</v>
      </c>
      <c r="N224" s="2" t="s">
        <v>42</v>
      </c>
      <c r="P224" s="1"/>
      <c r="Q224" s="1"/>
      <c r="R224" s="1"/>
      <c r="S224" s="1"/>
    </row>
    <row r="225" spans="1:19" x14ac:dyDescent="0.3">
      <c r="A225" s="71"/>
      <c r="B225" s="19"/>
      <c r="P225" s="1"/>
      <c r="Q225" s="1"/>
      <c r="R225" s="1"/>
      <c r="S225" s="1"/>
    </row>
    <row r="226" spans="1:19" x14ac:dyDescent="0.3">
      <c r="A226" s="71">
        <v>400</v>
      </c>
      <c r="B226" s="19" t="str">
        <f>B26</f>
        <v>وحدة سفلية دلفة /دلفتين (بورديوم)</v>
      </c>
      <c r="C226" s="18">
        <f>C26</f>
        <v>6</v>
      </c>
      <c r="D226" s="18" t="str">
        <f>D26</f>
        <v>يوفيلاك</v>
      </c>
      <c r="E226" s="18" t="str">
        <f>E26</f>
        <v xml:space="preserve">دلف </v>
      </c>
      <c r="F226" s="7" t="str">
        <f>IF(K226=0, "",F26)</f>
        <v/>
      </c>
      <c r="G226" s="7" t="str">
        <f>IF(K226=0, "",G26)</f>
        <v/>
      </c>
      <c r="H226" s="7" t="str">
        <f>IF(K226=0, "",H26)</f>
        <v/>
      </c>
      <c r="I226" s="7" t="str">
        <f>IF(K226=0, "",I26)</f>
        <v/>
      </c>
      <c r="J226" s="7" t="str">
        <f>IF(K226=0, "",J26)</f>
        <v/>
      </c>
      <c r="K226" s="10">
        <f>H15</f>
        <v>0</v>
      </c>
      <c r="L226" s="10">
        <f>I15</f>
        <v>78</v>
      </c>
      <c r="M226" s="10">
        <f>J15</f>
        <v>56</v>
      </c>
      <c r="N226" s="9">
        <f>J13</f>
        <v>1</v>
      </c>
      <c r="P226" s="1"/>
      <c r="Q226" s="1"/>
      <c r="R226" s="1"/>
      <c r="S226" s="1"/>
    </row>
    <row r="227" spans="1:19" x14ac:dyDescent="0.3">
      <c r="A227" s="71">
        <f>A226+1</f>
        <v>401</v>
      </c>
      <c r="B227" s="19" t="str">
        <f>B46</f>
        <v>وحدة سفلية   درجين / 3 أدراج (بورديوم)</v>
      </c>
      <c r="C227" s="18">
        <f>C46</f>
        <v>8</v>
      </c>
      <c r="D227" s="18" t="str">
        <f>D46</f>
        <v>يوفيلاك</v>
      </c>
      <c r="E227" s="18" t="str">
        <f>E46</f>
        <v>وش درج خارجى</v>
      </c>
      <c r="F227" s="7" t="str">
        <f>IF(K227=0, "",F46)</f>
        <v/>
      </c>
      <c r="G227" s="7" t="str">
        <f>IF(K227=0, "",G46)</f>
        <v/>
      </c>
      <c r="H227" s="7" t="str">
        <f>IF(K227=0, "",H46)</f>
        <v/>
      </c>
      <c r="I227" s="7" t="str">
        <f>IF(K227=0, "",I46)</f>
        <v/>
      </c>
      <c r="J227" s="7" t="str">
        <f>IF(K227=0, "",J46)</f>
        <v/>
      </c>
      <c r="K227" s="10">
        <f>H33</f>
        <v>0</v>
      </c>
      <c r="L227" s="10">
        <f>I33</f>
        <v>78</v>
      </c>
      <c r="M227" s="10">
        <f>J33</f>
        <v>56</v>
      </c>
      <c r="N227" s="9">
        <f>J31</f>
        <v>2</v>
      </c>
      <c r="P227" s="1"/>
      <c r="Q227" s="1"/>
      <c r="R227" s="1"/>
      <c r="S227" s="1"/>
    </row>
    <row r="228" spans="1:19" x14ac:dyDescent="0.3">
      <c r="A228" s="71">
        <f>A227+1</f>
        <v>402</v>
      </c>
      <c r="B228" s="19" t="str">
        <f>B69</f>
        <v>وحدة سفلية   3 أدراج - 3/2 (بورديوم)</v>
      </c>
      <c r="C228" s="18">
        <f>C69</f>
        <v>11</v>
      </c>
      <c r="D228" s="18" t="str">
        <f>D69</f>
        <v>يوفيلاك</v>
      </c>
      <c r="E228" s="18" t="str">
        <f>E69</f>
        <v>وش درج خارجى</v>
      </c>
      <c r="F228" s="7" t="str">
        <f>IF(K228=0, "",F69)</f>
        <v/>
      </c>
      <c r="G228" s="7" t="str">
        <f>IF(K228=0, "",G69)</f>
        <v/>
      </c>
      <c r="H228" s="7" t="str">
        <f>IF(K228=0, "",H69)</f>
        <v/>
      </c>
      <c r="I228" s="7" t="str">
        <f>IF(K228=0, "",I69)</f>
        <v/>
      </c>
      <c r="J228" s="7" t="str">
        <f>IF(K228=0, "",J69)</f>
        <v/>
      </c>
      <c r="K228" s="10">
        <f>H53</f>
        <v>0</v>
      </c>
      <c r="L228" s="10">
        <f>I53</f>
        <v>78</v>
      </c>
      <c r="M228" s="10">
        <f>J53</f>
        <v>56</v>
      </c>
      <c r="N228" s="9">
        <f>J51</f>
        <v>3</v>
      </c>
      <c r="P228" s="1"/>
      <c r="Q228" s="1"/>
      <c r="R228" s="1"/>
      <c r="S228" s="1"/>
    </row>
    <row r="229" spans="1:19" x14ac:dyDescent="0.3">
      <c r="A229" s="71">
        <f>A228+1</f>
        <v>403</v>
      </c>
      <c r="B229" s="19" t="str">
        <f>B92</f>
        <v>وحدة سفلية   درجين - 2/4 (بورديوم)</v>
      </c>
      <c r="C229" s="18">
        <f>C92</f>
        <v>11</v>
      </c>
      <c r="D229" s="18" t="str">
        <f>D92</f>
        <v>يوفيلاك</v>
      </c>
      <c r="E229" s="18" t="str">
        <f>E92</f>
        <v>وش درج خارجى</v>
      </c>
      <c r="F229" s="7" t="str">
        <f>IF(K229=0, "",F92)</f>
        <v/>
      </c>
      <c r="G229" s="7" t="str">
        <f>IF(K229=0, "",G92)</f>
        <v/>
      </c>
      <c r="H229" s="7" t="str">
        <f>IF(K229=0, "",H92)</f>
        <v/>
      </c>
      <c r="I229" s="7" t="str">
        <f>IF(K229=0, "",I92)</f>
        <v/>
      </c>
      <c r="J229" s="7" t="str">
        <f>IF(K229=0, "",J92)</f>
        <v/>
      </c>
      <c r="K229" s="10">
        <f>H76</f>
        <v>0</v>
      </c>
      <c r="L229" s="10">
        <f>I76</f>
        <v>78</v>
      </c>
      <c r="M229" s="10">
        <f>J76</f>
        <v>56</v>
      </c>
      <c r="N229" s="9">
        <f>J74</f>
        <v>4</v>
      </c>
      <c r="P229" s="1"/>
      <c r="Q229" s="1"/>
      <c r="R229" s="1"/>
      <c r="S229" s="1"/>
    </row>
    <row r="230" spans="1:19" ht="31.2" x14ac:dyDescent="0.3">
      <c r="A230" s="71">
        <f t="shared" ref="A230:A234" si="96">A229+1</f>
        <v>404</v>
      </c>
      <c r="B230" s="19" t="str">
        <f t="shared" ref="B230:E231" si="97">B111</f>
        <v>وحدة سفلية  تلبيسة دلفة /دلفتين (بورديوم)</v>
      </c>
      <c r="C230" s="18">
        <f t="shared" si="97"/>
        <v>7</v>
      </c>
      <c r="D230" s="18" t="str">
        <f t="shared" si="97"/>
        <v>يوفيلاك</v>
      </c>
      <c r="E230" s="18" t="str">
        <f t="shared" si="97"/>
        <v xml:space="preserve">دلف </v>
      </c>
      <c r="F230" s="7" t="str">
        <f>IF(K230=0, "",F111)</f>
        <v/>
      </c>
      <c r="G230" s="7" t="str">
        <f>IF(K230=0, "",G111)</f>
        <v/>
      </c>
      <c r="H230" s="7" t="str">
        <f>IF(K230=0, "",H111)</f>
        <v/>
      </c>
      <c r="I230" s="7" t="str">
        <f>IF(K230=0, "",I111)</f>
        <v/>
      </c>
      <c r="J230" s="7" t="str">
        <f>IF(K230=0, "",J111)</f>
        <v/>
      </c>
      <c r="K230" s="10">
        <f>H99</f>
        <v>0</v>
      </c>
      <c r="L230" s="10">
        <f>I99</f>
        <v>78</v>
      </c>
      <c r="M230" s="10">
        <f>J99</f>
        <v>56</v>
      </c>
      <c r="N230" s="9">
        <f>J97</f>
        <v>5</v>
      </c>
      <c r="P230" s="1"/>
      <c r="Q230" s="1"/>
      <c r="R230" s="1"/>
      <c r="S230" s="1"/>
    </row>
    <row r="231" spans="1:19" ht="31.2" x14ac:dyDescent="0.3">
      <c r="A231" s="71">
        <f t="shared" si="96"/>
        <v>405</v>
      </c>
      <c r="B231" s="19" t="str">
        <f t="shared" si="97"/>
        <v>وحدة سفلية  تلبيسة دلفة /دلفتين (بورديوم)</v>
      </c>
      <c r="C231" s="18">
        <f t="shared" si="97"/>
        <v>8</v>
      </c>
      <c r="D231" s="18" t="str">
        <f t="shared" si="97"/>
        <v>يوفيلاك</v>
      </c>
      <c r="E231" s="18" t="str">
        <f t="shared" si="97"/>
        <v>تلبييسة ثابتة</v>
      </c>
      <c r="F231" s="7" t="str">
        <f>IF(K231=0, "",F112)</f>
        <v/>
      </c>
      <c r="G231" s="7" t="str">
        <f>IF(K231=0, "",G112)</f>
        <v/>
      </c>
      <c r="H231" s="7" t="str">
        <f>IF(K231=0, "",H112)</f>
        <v/>
      </c>
      <c r="I231" s="7" t="str">
        <f>IF(K231=0, "",I112)</f>
        <v/>
      </c>
      <c r="J231" s="7" t="str">
        <f>IF(K231=0, "",J112)</f>
        <v/>
      </c>
      <c r="K231" s="10">
        <f>H99</f>
        <v>0</v>
      </c>
      <c r="L231" s="10">
        <f>I99</f>
        <v>78</v>
      </c>
      <c r="M231" s="10">
        <f>J99</f>
        <v>56</v>
      </c>
      <c r="N231" s="9">
        <f>J97</f>
        <v>5</v>
      </c>
      <c r="P231" s="1"/>
      <c r="Q231" s="1"/>
      <c r="R231" s="1"/>
      <c r="S231" s="1"/>
    </row>
    <row r="232" spans="1:19" x14ac:dyDescent="0.3">
      <c r="A232" s="71">
        <f t="shared" si="96"/>
        <v>406</v>
      </c>
      <c r="B232" s="19" t="str">
        <f t="shared" ref="B232:E233" si="98">B132</f>
        <v>وحدة سفلية  زاوية 90 (بورديوم)</v>
      </c>
      <c r="C232" s="18">
        <f t="shared" si="98"/>
        <v>7</v>
      </c>
      <c r="D232" s="18" t="str">
        <f t="shared" si="98"/>
        <v>يوفيلاك</v>
      </c>
      <c r="E232" s="18" t="str">
        <f t="shared" si="98"/>
        <v>دلف 1</v>
      </c>
      <c r="F232" s="7" t="str">
        <f>IF(K232=0, "",F132)</f>
        <v/>
      </c>
      <c r="G232" s="7" t="str">
        <f>IF(K232=0, "",G132)</f>
        <v/>
      </c>
      <c r="H232" s="7" t="str">
        <f>IF(K232=0, "",H132)</f>
        <v/>
      </c>
      <c r="I232" s="7" t="str">
        <f>IF(K232=0, "",I132)</f>
        <v/>
      </c>
      <c r="J232" s="7" t="str">
        <f>IF(K232=0, "",J132)</f>
        <v/>
      </c>
      <c r="K232" s="10">
        <f t="shared" ref="K232:M233" si="99">H119</f>
        <v>0</v>
      </c>
      <c r="L232" s="10">
        <f t="shared" si="99"/>
        <v>78</v>
      </c>
      <c r="M232" s="10">
        <f t="shared" si="99"/>
        <v>56</v>
      </c>
      <c r="N232" s="9">
        <f>J117</f>
        <v>6</v>
      </c>
      <c r="P232" s="1"/>
      <c r="Q232" s="1"/>
      <c r="R232" s="1"/>
      <c r="S232" s="1"/>
    </row>
    <row r="233" spans="1:19" x14ac:dyDescent="0.3">
      <c r="A233" s="71">
        <f t="shared" si="96"/>
        <v>407</v>
      </c>
      <c r="B233" s="19" t="str">
        <f t="shared" si="98"/>
        <v>وحدة سفلية  زاوية 90 (بورديوم)</v>
      </c>
      <c r="C233" s="18">
        <f t="shared" si="98"/>
        <v>8</v>
      </c>
      <c r="D233" s="18" t="str">
        <f t="shared" si="98"/>
        <v>يوفيلاك</v>
      </c>
      <c r="E233" s="18" t="str">
        <f t="shared" si="98"/>
        <v>دلف 2</v>
      </c>
      <c r="F233" s="7" t="str">
        <f>IF(K233=0, "",F133)</f>
        <v/>
      </c>
      <c r="G233" s="7" t="str">
        <f>IF(K233=0, "",G133)</f>
        <v/>
      </c>
      <c r="H233" s="7" t="str">
        <f>IF(K233=0, "",H133)</f>
        <v/>
      </c>
      <c r="I233" s="7" t="str">
        <f>IF(K233=0, "",I133)</f>
        <v/>
      </c>
      <c r="J233" s="7" t="str">
        <f>IF(K233=0, "",J133)</f>
        <v/>
      </c>
      <c r="K233" s="10">
        <f t="shared" si="99"/>
        <v>0</v>
      </c>
      <c r="L233" s="10">
        <f t="shared" si="99"/>
        <v>78</v>
      </c>
      <c r="M233" s="10">
        <f t="shared" si="99"/>
        <v>56</v>
      </c>
      <c r="N233" s="9">
        <f>J117</f>
        <v>6</v>
      </c>
      <c r="P233" s="1"/>
      <c r="Q233" s="1"/>
      <c r="R233" s="1"/>
      <c r="S233" s="1"/>
    </row>
    <row r="234" spans="1:19" x14ac:dyDescent="0.3">
      <c r="A234" s="71">
        <f t="shared" si="96"/>
        <v>408</v>
      </c>
      <c r="B234" s="19" t="str">
        <f>B153</f>
        <v>وحدة سفلية  ركنة 45 (بورديوم)</v>
      </c>
      <c r="C234" s="18">
        <f>C153</f>
        <v>7</v>
      </c>
      <c r="D234" s="18" t="str">
        <f>D153</f>
        <v>يوفيلاك</v>
      </c>
      <c r="E234" s="18" t="str">
        <f>E153</f>
        <v>دلف 1</v>
      </c>
      <c r="F234" s="7" t="str">
        <f>IF(K234=0, "",F153)</f>
        <v/>
      </c>
      <c r="G234" s="21" t="str">
        <f>IF(K234=0, "",G153)</f>
        <v/>
      </c>
      <c r="H234" s="7" t="str">
        <f>IF(K234=0, "",H153)</f>
        <v/>
      </c>
      <c r="I234" s="7" t="str">
        <f>IF(K234=0, "",I153)</f>
        <v/>
      </c>
      <c r="J234" s="7" t="str">
        <f>IF(K234=0, "",J153)</f>
        <v/>
      </c>
      <c r="K234" s="10">
        <f>H140</f>
        <v>0</v>
      </c>
      <c r="L234" s="10">
        <f>I140</f>
        <v>78</v>
      </c>
      <c r="M234" s="10">
        <f>J140</f>
        <v>56</v>
      </c>
      <c r="N234" s="9">
        <f>J138</f>
        <v>7</v>
      </c>
      <c r="P234" s="1"/>
      <c r="Q234" s="1"/>
      <c r="R234" s="1"/>
      <c r="S234" s="1"/>
    </row>
    <row r="235" spans="1:19" x14ac:dyDescent="0.3">
      <c r="A235" s="71"/>
      <c r="B235" s="19"/>
      <c r="P235" s="1"/>
      <c r="Q235" s="1"/>
      <c r="R235" s="1"/>
      <c r="S235" s="1"/>
    </row>
    <row r="236" spans="1:19" x14ac:dyDescent="0.3">
      <c r="A236" s="71"/>
      <c r="B236" s="19"/>
      <c r="P236" s="1"/>
      <c r="Q236" s="1"/>
      <c r="R236" s="1"/>
      <c r="S236" s="1"/>
    </row>
    <row r="237" spans="1:19" ht="21" x14ac:dyDescent="0.3">
      <c r="A237" s="71"/>
      <c r="B237" s="19"/>
      <c r="C237" s="106" t="s">
        <v>70</v>
      </c>
      <c r="D237" s="107"/>
      <c r="E237" s="107"/>
      <c r="F237" s="107"/>
      <c r="G237" s="107"/>
      <c r="H237" s="107"/>
      <c r="I237" s="107"/>
      <c r="J237" s="107"/>
      <c r="K237" s="107"/>
      <c r="L237" s="107"/>
      <c r="M237" s="107"/>
      <c r="N237" s="108"/>
      <c r="P237" s="1"/>
      <c r="Q237" s="1"/>
      <c r="R237" s="1"/>
      <c r="S237" s="1"/>
    </row>
    <row r="238" spans="1:19" x14ac:dyDescent="0.3">
      <c r="A238" s="71"/>
      <c r="B238" s="19"/>
      <c r="P238" s="1"/>
      <c r="Q238" s="1"/>
      <c r="R238" s="1"/>
      <c r="S238" s="1"/>
    </row>
    <row r="239" spans="1:19" ht="36" x14ac:dyDescent="0.3">
      <c r="A239" s="71" t="s">
        <v>123</v>
      </c>
      <c r="B239" s="19" t="s">
        <v>124</v>
      </c>
      <c r="C239" s="26" t="s">
        <v>4</v>
      </c>
      <c r="D239" s="26" t="s">
        <v>9</v>
      </c>
      <c r="E239" s="26" t="s">
        <v>5</v>
      </c>
      <c r="F239" s="17" t="s">
        <v>7</v>
      </c>
      <c r="G239" s="17" t="s">
        <v>1</v>
      </c>
      <c r="H239" s="17" t="s">
        <v>6</v>
      </c>
      <c r="I239" s="17" t="s">
        <v>45</v>
      </c>
      <c r="J239" s="17" t="s">
        <v>8</v>
      </c>
      <c r="K239" s="2" t="s">
        <v>34</v>
      </c>
      <c r="L239" s="2" t="s">
        <v>3</v>
      </c>
      <c r="M239" s="2" t="s">
        <v>2</v>
      </c>
      <c r="N239" s="2" t="s">
        <v>42</v>
      </c>
      <c r="P239" s="1"/>
      <c r="Q239" s="1"/>
      <c r="R239" s="1"/>
      <c r="S239" s="1"/>
    </row>
    <row r="240" spans="1:19" x14ac:dyDescent="0.3">
      <c r="A240" s="71"/>
      <c r="B240" s="19"/>
      <c r="C240" s="27"/>
      <c r="D240" s="27"/>
      <c r="E240" s="27"/>
      <c r="P240" s="1"/>
      <c r="Q240" s="1"/>
      <c r="R240" s="1"/>
      <c r="S240" s="1"/>
    </row>
    <row r="241" spans="1:14" x14ac:dyDescent="0.3">
      <c r="A241" s="71">
        <f>A234+1</f>
        <v>409</v>
      </c>
      <c r="B241" s="19" t="str">
        <f>B28</f>
        <v/>
      </c>
      <c r="C241" s="28" t="str">
        <f>C28</f>
        <v/>
      </c>
      <c r="D241" s="28" t="str">
        <f>D28</f>
        <v/>
      </c>
      <c r="E241" s="28" t="str">
        <f>E28</f>
        <v/>
      </c>
      <c r="F241" s="7" t="str">
        <f>IF(K241=0, "",F28)</f>
        <v/>
      </c>
      <c r="G241" s="7" t="str">
        <f>IF(K241=0, "",G28)</f>
        <v/>
      </c>
      <c r="H241" s="7" t="str">
        <f>IF(K241=0, "",H28)</f>
        <v/>
      </c>
      <c r="I241" s="7" t="str">
        <f>IF(K241=0, "",I28)</f>
        <v/>
      </c>
      <c r="J241" s="7" t="str">
        <f>IF(O242=0, "",J28)</f>
        <v/>
      </c>
      <c r="K241" s="10">
        <f>H15</f>
        <v>0</v>
      </c>
      <c r="L241" s="10">
        <f>I15</f>
        <v>78</v>
      </c>
      <c r="M241" s="10">
        <f>J15</f>
        <v>56</v>
      </c>
      <c r="N241" s="9">
        <f>J13</f>
        <v>1</v>
      </c>
    </row>
    <row r="242" spans="1:14" x14ac:dyDescent="0.3">
      <c r="A242" s="71">
        <f>A241+1</f>
        <v>410</v>
      </c>
      <c r="B242" s="19" t="str">
        <f>B48</f>
        <v/>
      </c>
      <c r="C242" s="28" t="str">
        <f>C48</f>
        <v/>
      </c>
      <c r="D242" s="28" t="str">
        <f>D48</f>
        <v/>
      </c>
      <c r="E242" s="28" t="str">
        <f>E48</f>
        <v/>
      </c>
      <c r="F242" s="7" t="str">
        <f>IF(K242=0, "",F48)</f>
        <v/>
      </c>
      <c r="G242" s="7" t="str">
        <f>IF(K242=0, "",G48)</f>
        <v/>
      </c>
      <c r="H242" s="7" t="str">
        <f>IF(K242=0, "",H48)</f>
        <v/>
      </c>
      <c r="I242" s="7" t="str">
        <f>IF(K242=0, "",I48)</f>
        <v/>
      </c>
      <c r="J242" s="7" t="str">
        <f>IF(O261=0, "",J48)</f>
        <v/>
      </c>
      <c r="K242" s="10">
        <f>H33</f>
        <v>0</v>
      </c>
      <c r="L242" s="10">
        <f>I33</f>
        <v>78</v>
      </c>
      <c r="M242" s="10">
        <f>J33</f>
        <v>56</v>
      </c>
      <c r="N242" s="9">
        <f>J31</f>
        <v>2</v>
      </c>
    </row>
    <row r="243" spans="1:14" x14ac:dyDescent="0.3">
      <c r="A243" s="71">
        <f>A242+1</f>
        <v>411</v>
      </c>
      <c r="B243" s="19" t="str">
        <f>B71</f>
        <v/>
      </c>
      <c r="C243" s="28" t="str">
        <f>C71</f>
        <v/>
      </c>
      <c r="D243" s="28" t="str">
        <f>D71</f>
        <v/>
      </c>
      <c r="E243" s="28" t="str">
        <f>E71</f>
        <v/>
      </c>
      <c r="F243" s="7" t="str">
        <f>IF(K243=0, "",F71)</f>
        <v/>
      </c>
      <c r="G243" s="7" t="str">
        <f>IF(K243=0, "",G71)</f>
        <v/>
      </c>
      <c r="H243" s="7" t="str">
        <f>IF(K243=0, "",H71)</f>
        <v/>
      </c>
      <c r="I243" s="7" t="str">
        <f>IF(K243=0, "",I71)</f>
        <v/>
      </c>
      <c r="J243" s="7" t="str">
        <f>IF(K243=0, "",J71)</f>
        <v/>
      </c>
      <c r="K243" s="10">
        <f>H53</f>
        <v>0</v>
      </c>
      <c r="L243" s="10">
        <f>I53</f>
        <v>78</v>
      </c>
      <c r="M243" s="10">
        <f>J53</f>
        <v>56</v>
      </c>
      <c r="N243" s="9">
        <f>J51</f>
        <v>3</v>
      </c>
    </row>
    <row r="244" spans="1:14" x14ac:dyDescent="0.3">
      <c r="A244" s="71">
        <f>A243+1</f>
        <v>412</v>
      </c>
      <c r="B244" s="19" t="str">
        <f>B94</f>
        <v/>
      </c>
      <c r="C244" s="28" t="str">
        <f>C94</f>
        <v/>
      </c>
      <c r="D244" s="28" t="str">
        <f>D94</f>
        <v/>
      </c>
      <c r="E244" s="28" t="str">
        <f>E94</f>
        <v/>
      </c>
      <c r="F244" s="7" t="str">
        <f>IF(K244=0, "",F94)</f>
        <v/>
      </c>
      <c r="G244" s="7" t="str">
        <f>IF(K244=0, "",G94)</f>
        <v/>
      </c>
      <c r="H244" s="7" t="str">
        <f>IF(K244=0, "",H94)</f>
        <v/>
      </c>
      <c r="I244" s="7" t="str">
        <f>IF(K244=0, "",I94)</f>
        <v/>
      </c>
      <c r="J244" s="7" t="str">
        <f>IF(K244=0, "",J94)</f>
        <v/>
      </c>
      <c r="K244" s="10">
        <f>H76</f>
        <v>0</v>
      </c>
      <c r="L244" s="10">
        <f>I76</f>
        <v>78</v>
      </c>
      <c r="M244" s="10">
        <f>J76</f>
        <v>56</v>
      </c>
      <c r="N244" s="9">
        <f>J74</f>
        <v>4</v>
      </c>
    </row>
    <row r="245" spans="1:14" x14ac:dyDescent="0.3">
      <c r="A245" s="71">
        <f>A244+1</f>
        <v>413</v>
      </c>
      <c r="B245" s="19" t="str">
        <f>B114</f>
        <v/>
      </c>
      <c r="C245" s="28" t="str">
        <f>C114</f>
        <v/>
      </c>
      <c r="D245" s="28" t="str">
        <f>D114</f>
        <v/>
      </c>
      <c r="E245" s="28" t="str">
        <f>E114</f>
        <v/>
      </c>
      <c r="F245" s="7" t="str">
        <f>IF(K245=0, "",F114)</f>
        <v/>
      </c>
      <c r="G245" s="7" t="str">
        <f>IF(K245=0, "",G114)</f>
        <v/>
      </c>
      <c r="H245" s="7" t="str">
        <f>IF(K245=0, "",H114)</f>
        <v/>
      </c>
      <c r="I245" s="7" t="str">
        <f>IF(K245=0, "",I114)</f>
        <v/>
      </c>
      <c r="J245" s="7" t="str">
        <f>IF(K245=0, "",J114)</f>
        <v/>
      </c>
      <c r="K245" s="10">
        <f>H99</f>
        <v>0</v>
      </c>
      <c r="L245" s="10">
        <f>I99</f>
        <v>78</v>
      </c>
      <c r="M245" s="10">
        <f>J99</f>
        <v>56</v>
      </c>
      <c r="N245" s="9">
        <f>J97</f>
        <v>5</v>
      </c>
    </row>
    <row r="246" spans="1:14" x14ac:dyDescent="0.3">
      <c r="A246" s="71">
        <f t="shared" ref="A246:A247" si="100">A245+1</f>
        <v>414</v>
      </c>
      <c r="B246" s="19" t="str">
        <f>B135</f>
        <v/>
      </c>
      <c r="C246" s="28" t="str">
        <f>C135</f>
        <v/>
      </c>
      <c r="D246" s="28" t="str">
        <f>D135</f>
        <v/>
      </c>
      <c r="E246" s="28" t="str">
        <f>E135</f>
        <v/>
      </c>
      <c r="F246" s="7" t="str">
        <f>IF(K246=0, "",F135)</f>
        <v/>
      </c>
      <c r="G246" s="7" t="str">
        <f>IF(K246=0, "",G135)</f>
        <v/>
      </c>
      <c r="H246" s="7" t="str">
        <f>IF(K246=0, "",H135)</f>
        <v/>
      </c>
      <c r="I246" s="7" t="str">
        <f>IF(K246=0, "",I135)</f>
        <v/>
      </c>
      <c r="J246" s="7" t="str">
        <f>IF(K246=0, "",J135)</f>
        <v/>
      </c>
      <c r="K246" s="10">
        <f>H120</f>
        <v>0</v>
      </c>
      <c r="L246" s="10">
        <f>I120</f>
        <v>78</v>
      </c>
      <c r="M246" s="10">
        <f>J120</f>
        <v>56</v>
      </c>
      <c r="N246" s="9">
        <f>J117</f>
        <v>6</v>
      </c>
    </row>
    <row r="247" spans="1:14" x14ac:dyDescent="0.3">
      <c r="A247" s="71">
        <f t="shared" si="100"/>
        <v>415</v>
      </c>
      <c r="B247" s="19" t="str">
        <f>B155</f>
        <v/>
      </c>
      <c r="C247" s="28" t="str">
        <f>C155</f>
        <v/>
      </c>
      <c r="D247" s="28" t="str">
        <f>D155</f>
        <v/>
      </c>
      <c r="E247" s="28" t="str">
        <f>E155</f>
        <v/>
      </c>
      <c r="F247" s="7" t="str">
        <f>IF(K247=0, "",F155)</f>
        <v/>
      </c>
      <c r="G247" s="7" t="str">
        <f>IF(K247=0, "",G155)</f>
        <v/>
      </c>
      <c r="H247" s="7" t="str">
        <f>IF(K247=0, "",H155)</f>
        <v/>
      </c>
      <c r="I247" s="7" t="str">
        <f>IF(K247=0, "",I155)</f>
        <v/>
      </c>
      <c r="J247" s="7" t="str">
        <f>IF(K247=0, "",J155)</f>
        <v/>
      </c>
      <c r="K247" s="10">
        <f>H140</f>
        <v>0</v>
      </c>
      <c r="L247" s="10">
        <f>I140</f>
        <v>78</v>
      </c>
      <c r="M247" s="10">
        <f>J140</f>
        <v>56</v>
      </c>
      <c r="N247" s="9">
        <f>J138</f>
        <v>7</v>
      </c>
    </row>
    <row r="248" spans="1:14" x14ac:dyDescent="0.3">
      <c r="A248" s="71"/>
      <c r="B248" s="19"/>
      <c r="C248" s="28"/>
      <c r="D248" s="28"/>
      <c r="E248" s="28"/>
      <c r="F248" s="7"/>
      <c r="G248" s="7"/>
      <c r="H248" s="7"/>
      <c r="I248" s="7"/>
      <c r="J248" s="7"/>
      <c r="K248" s="10"/>
      <c r="L248" s="10"/>
      <c r="M248" s="10"/>
      <c r="N248" s="9"/>
    </row>
    <row r="249" spans="1:14" x14ac:dyDescent="0.3">
      <c r="A249" s="71"/>
      <c r="B249" s="19"/>
      <c r="C249" s="28"/>
      <c r="D249" s="28"/>
      <c r="E249" s="28"/>
      <c r="F249" s="7"/>
      <c r="G249" s="21"/>
      <c r="H249" s="7"/>
      <c r="I249" s="7"/>
      <c r="J249" s="7"/>
      <c r="K249" s="10"/>
      <c r="L249" s="10"/>
      <c r="M249" s="10"/>
      <c r="N249" s="9"/>
    </row>
    <row r="250" spans="1:14" x14ac:dyDescent="0.3">
      <c r="A250" s="71"/>
      <c r="B250" s="19"/>
    </row>
  </sheetData>
  <mergeCells count="13">
    <mergeCell ref="C222:N222"/>
    <mergeCell ref="C237:N237"/>
    <mergeCell ref="C2:J2"/>
    <mergeCell ref="E117:H117"/>
    <mergeCell ref="G98:G99"/>
    <mergeCell ref="E97:H97"/>
    <mergeCell ref="C160:N160"/>
    <mergeCell ref="E138:H138"/>
    <mergeCell ref="G14:G15"/>
    <mergeCell ref="E13:H13"/>
    <mergeCell ref="E74:H74"/>
    <mergeCell ref="E51:H51"/>
    <mergeCell ref="E31:H31"/>
  </mergeCells>
  <pageMargins left="0.7" right="0.7" top="0.75" bottom="0.75" header="0.3" footer="0.3"/>
  <pageSetup orientation="portrait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C242"/>
  <sheetViews>
    <sheetView topLeftCell="B1" zoomScale="70" zoomScaleNormal="70" workbookViewId="0"/>
  </sheetViews>
  <sheetFormatPr defaultRowHeight="14.4" x14ac:dyDescent="0.3"/>
  <cols>
    <col min="1" max="1" width="10.77734375" style="71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hidden="1" customWidth="1"/>
    <col min="13" max="13" width="7.6640625" style="3" hidden="1" customWidth="1"/>
    <col min="14" max="14" width="12.88671875" style="3" hidden="1" customWidth="1"/>
    <col min="15" max="15" width="9.88671875" style="3" hidden="1" customWidth="1"/>
    <col min="16" max="17" width="0" style="3" hidden="1" customWidth="1"/>
    <col min="18" max="18" width="18.6640625" style="3" hidden="1" customWidth="1"/>
    <col min="19" max="19" width="20.88671875" style="3" hidden="1" customWidth="1"/>
    <col min="20" max="20" width="24.5546875" style="3" hidden="1" customWidth="1"/>
    <col min="21" max="21" width="15.77734375" style="3" hidden="1" customWidth="1"/>
    <col min="22" max="22" width="15.6640625" style="3" hidden="1" customWidth="1"/>
    <col min="23" max="23" width="25.44140625" style="3" hidden="1" customWidth="1"/>
    <col min="24" max="24" width="8.77734375" style="3" hidden="1" customWidth="1"/>
    <col min="25" max="48" width="0" style="3" hidden="1" customWidth="1"/>
    <col min="49" max="49" width="10.33203125" style="3" hidden="1" customWidth="1"/>
    <col min="50" max="50" width="12" style="3" hidden="1" customWidth="1"/>
    <col min="51" max="52" width="0" style="3" hidden="1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71" customFormat="1" x14ac:dyDescent="0.3">
      <c r="A1" s="71">
        <v>34</v>
      </c>
      <c r="B1" s="94"/>
      <c r="P1" s="82"/>
      <c r="Q1" s="82"/>
      <c r="R1" s="82"/>
      <c r="S1" s="82"/>
      <c r="T1" s="82"/>
      <c r="U1" s="82"/>
      <c r="V1" s="82"/>
      <c r="W1" s="82"/>
      <c r="X1" s="82"/>
    </row>
    <row r="2" spans="1:81" s="71" customFormat="1" ht="31.2" x14ac:dyDescent="0.3">
      <c r="A2" s="71">
        <v>54</v>
      </c>
      <c r="B2" s="94"/>
      <c r="C2" s="113" t="s">
        <v>55</v>
      </c>
      <c r="D2" s="113"/>
      <c r="E2" s="113"/>
      <c r="F2" s="113"/>
      <c r="G2" s="113"/>
      <c r="H2" s="113"/>
      <c r="I2" s="113"/>
      <c r="J2" s="113"/>
      <c r="P2" s="82"/>
      <c r="Q2" s="82"/>
      <c r="R2" s="85" t="s">
        <v>146</v>
      </c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</row>
    <row r="3" spans="1:81" s="71" customFormat="1" x14ac:dyDescent="0.3">
      <c r="B3" s="94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P3" s="82"/>
      <c r="Q3" s="82"/>
      <c r="R3" s="70" t="s">
        <v>56</v>
      </c>
      <c r="S3" s="70" t="s">
        <v>62</v>
      </c>
      <c r="T3" s="70" t="s">
        <v>57</v>
      </c>
      <c r="U3" s="70" t="s">
        <v>58</v>
      </c>
      <c r="V3" s="77" t="s">
        <v>59</v>
      </c>
      <c r="W3" s="77" t="s">
        <v>121</v>
      </c>
      <c r="X3" s="77"/>
      <c r="Y3" s="77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2"/>
      <c r="CC3" s="82"/>
    </row>
    <row r="4" spans="1:81" s="71" customFormat="1" x14ac:dyDescent="0.3"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P4" s="82"/>
      <c r="Q4" s="82"/>
      <c r="R4" s="70">
        <v>1</v>
      </c>
      <c r="S4" s="70">
        <f>upperBlockTypes[[#This Row],[وحدة علوية دلفة /دلفتين ]]+1</f>
        <v>2</v>
      </c>
      <c r="T4" s="70">
        <f>upperBlockTypes[[#This Row],[وحدة علوية  قلاب / 2 قلاب]]+1</f>
        <v>3</v>
      </c>
      <c r="U4" s="70">
        <f>upperBlockTypes[[#This Row],[وحدة علوية  تلبيسة دلفة /دلفتين ]]+1</f>
        <v>4</v>
      </c>
      <c r="V4" s="70">
        <f>upperBlockTypes[[#This Row],[وحدة علوية  زاوية 90]]+1</f>
        <v>5</v>
      </c>
      <c r="W4" s="70">
        <f>upperBlockTypes[[#This Row],[وحدة علوية  ركنة 45]]+1</f>
        <v>6</v>
      </c>
      <c r="X4" s="70"/>
      <c r="Y4" s="70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2"/>
      <c r="CA4" s="82"/>
      <c r="CB4" s="82"/>
      <c r="CC4" s="82"/>
    </row>
    <row r="5" spans="1:81" s="71" customFormat="1" x14ac:dyDescent="0.3">
      <c r="B5" s="94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2"/>
      <c r="BV5" s="82"/>
      <c r="BW5" s="82"/>
      <c r="BX5" s="82"/>
      <c r="BY5" s="82"/>
      <c r="BZ5" s="82"/>
      <c r="CA5" s="82"/>
      <c r="CB5" s="82"/>
      <c r="CC5" s="82"/>
    </row>
    <row r="6" spans="1:81" s="71" customFormat="1" x14ac:dyDescent="0.3">
      <c r="B6" s="94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  <c r="BX6" s="82"/>
      <c r="BY6" s="82"/>
      <c r="BZ6" s="82"/>
      <c r="CA6" s="82"/>
      <c r="CB6" s="82"/>
      <c r="CC6" s="82"/>
    </row>
    <row r="7" spans="1:81" s="71" customFormat="1" x14ac:dyDescent="0.3">
      <c r="B7" s="94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2"/>
      <c r="CA7" s="82"/>
      <c r="CB7" s="82"/>
      <c r="CC7" s="82"/>
    </row>
    <row r="8" spans="1:81" s="74" customFormat="1" ht="18" x14ac:dyDescent="0.3">
      <c r="A8" s="71"/>
      <c r="B8" s="94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2"/>
      <c r="BV8" s="82"/>
      <c r="BW8" s="82"/>
      <c r="BX8" s="82"/>
      <c r="BY8" s="82"/>
      <c r="BZ8" s="82"/>
      <c r="CA8" s="82"/>
      <c r="CB8" s="82"/>
      <c r="CC8" s="82"/>
    </row>
    <row r="9" spans="1:81" s="71" customFormat="1" x14ac:dyDescent="0.3">
      <c r="B9" s="94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2"/>
      <c r="CC9" s="82"/>
    </row>
    <row r="10" spans="1:81" s="71" customFormat="1" x14ac:dyDescent="0.3">
      <c r="B10" s="94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2"/>
      <c r="CC10" s="82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86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71" cm="1">
        <f t="array" ref="A13">upperBlockTypes[وحدة علوية دلفة /دلفتين ]</f>
        <v>1</v>
      </c>
      <c r="B13" s="3"/>
      <c r="C13" s="16">
        <v>1</v>
      </c>
      <c r="D13" s="30" t="s">
        <v>71</v>
      </c>
      <c r="E13" s="110" t="str">
        <f>upperBlockTypes[[#Headers],[وحدة علوية دلفة /دلفتين ]]</f>
        <v xml:space="preserve">وحدة علوية دلفة /دلفتين </v>
      </c>
      <c r="F13" s="111"/>
      <c r="G13" s="111"/>
      <c r="H13" s="112"/>
      <c r="I13" s="2" t="s">
        <v>42</v>
      </c>
      <c r="J13" s="2">
        <f>A13</f>
        <v>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71" t="s">
        <v>151</v>
      </c>
      <c r="C14" s="9" t="s">
        <v>66</v>
      </c>
      <c r="D14" s="9" t="s">
        <v>67</v>
      </c>
      <c r="E14" s="23" t="s">
        <v>19</v>
      </c>
      <c r="F14" s="9" t="s">
        <v>17</v>
      </c>
      <c r="G14" s="9" t="s">
        <v>133</v>
      </c>
      <c r="H14" s="9" t="s">
        <v>34</v>
      </c>
      <c r="I14" s="9" t="s">
        <v>3</v>
      </c>
      <c r="J14" s="9" t="s">
        <v>128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71" t="s">
        <v>151</v>
      </c>
      <c r="C15" s="10">
        <v>1</v>
      </c>
      <c r="D15" s="10">
        <v>0</v>
      </c>
      <c r="E15" s="10">
        <v>1</v>
      </c>
      <c r="F15" s="43">
        <f>INDEX(upperCommon[[#All],[Column1]],MATCH(F14,upperCommon[[#All],[Column2]],0))</f>
        <v>3.5</v>
      </c>
      <c r="G15" s="43">
        <f>INDEX(upperCommon[[#All],[Column1]],MATCH(G14,upperCommon[[#All],[Column2]],0))</f>
        <v>0</v>
      </c>
      <c r="H15" s="10"/>
      <c r="I15" s="43">
        <f>INDEX(upperCommon[[#All],[Column1]],MATCH(I14,upperCommon[[#All],[Column2]],0))</f>
        <v>70</v>
      </c>
      <c r="J15" s="43">
        <f>INDEX(upperCommon[[#All],[Column1]],MATCH(J14,upperCommon[[#All],[Column2]],0))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71" t="s">
        <v>151</v>
      </c>
      <c r="C16" s="11" t="b">
        <f>C15=0</f>
        <v>0</v>
      </c>
      <c r="D16" s="11" t="b">
        <f>D15=0</f>
        <v>1</v>
      </c>
      <c r="E16" s="9" t="s">
        <v>118</v>
      </c>
      <c r="F16" s="119" t="b">
        <f>NOT(AND(F15&gt;0,G15&gt;0))</f>
        <v>1</v>
      </c>
      <c r="G16" s="119"/>
      <c r="H16" s="3" t="b">
        <f>_xlfn.XOR(H15&lt;=50,C17=2)</f>
        <v>1</v>
      </c>
      <c r="I16" s="83"/>
      <c r="J16" s="10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71" t="s">
        <v>151</v>
      </c>
      <c r="C17" s="118">
        <f>C15+D15</f>
        <v>1</v>
      </c>
      <c r="D17" s="118"/>
      <c r="E17" s="41">
        <v>10</v>
      </c>
      <c r="F17" s="120" t="str">
        <f>IF(F16,"المقابض مظبوطة","مينفعش مقبض مخفي مع بيلت ان")</f>
        <v>المقابض مظبوطة</v>
      </c>
      <c r="G17" s="120"/>
      <c r="H17" s="119" t="str">
        <f>IF(H16,"عدد الدلف صحيح","عدد الدلف غير صحيح")</f>
        <v>عدد الدلف صحيح</v>
      </c>
      <c r="I17" s="119"/>
      <c r="J17" s="119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71" t="s">
        <v>151</v>
      </c>
      <c r="C18" s="119" t="b">
        <f>C17&lt;=2</f>
        <v>1</v>
      </c>
      <c r="D18" s="119"/>
      <c r="E18" s="10"/>
      <c r="F18" s="10"/>
      <c r="G18" s="10"/>
      <c r="H18" s="10"/>
      <c r="I18" s="10"/>
      <c r="J18" s="10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71" t="s">
        <v>151</v>
      </c>
      <c r="C19" s="10"/>
      <c r="D19" s="43" t="str">
        <f>INDEX(choosenMaterials[[#All],[Column1]],MATCH(E19,choosenMaterials[[#All],[Column2]],0))</f>
        <v>ظهر</v>
      </c>
      <c r="E19" s="9" t="s">
        <v>70</v>
      </c>
      <c r="F19" s="43" t="str">
        <f>INDEX(choosenMaterials[[#All],[Column1]],MATCH(G19,choosenMaterials[[#All],[Column2]],0))</f>
        <v>يوفيلاك</v>
      </c>
      <c r="G19" s="9" t="s">
        <v>44</v>
      </c>
      <c r="H19" s="43" t="str">
        <f>INDEX(choosenMaterials[[#All],[Column1]],MATCH(I19,choosenMaterials[[#All],[Column2]],0))</f>
        <v>HPL</v>
      </c>
      <c r="I19" s="9" t="s">
        <v>43</v>
      </c>
      <c r="J19" s="34" t="s">
        <v>126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71" t="s">
        <v>155</v>
      </c>
      <c r="C20" s="1"/>
      <c r="D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71" t="s">
        <v>152</v>
      </c>
      <c r="C21" s="7" t="s">
        <v>4</v>
      </c>
      <c r="D21" s="7" t="s">
        <v>9</v>
      </c>
      <c r="E21" s="7" t="s">
        <v>5</v>
      </c>
      <c r="F21" s="7" t="s">
        <v>7</v>
      </c>
      <c r="G21" s="7" t="s">
        <v>1</v>
      </c>
      <c r="H21" s="7" t="s">
        <v>6</v>
      </c>
      <c r="I21" s="7" t="s">
        <v>45</v>
      </c>
      <c r="J21" s="7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71" t="s">
        <v>155</v>
      </c>
      <c r="C22" s="7"/>
      <c r="D22" s="7"/>
      <c r="E22" s="7"/>
      <c r="F22" s="7"/>
      <c r="G22" s="7"/>
      <c r="H22" s="7"/>
      <c r="I22" s="7"/>
      <c r="J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71" t="s">
        <v>156</v>
      </c>
      <c r="B23" s="3" t="str">
        <f>E13</f>
        <v xml:space="preserve">وحدة علوية دلفة /دلفتين </v>
      </c>
      <c r="C23" s="7">
        <v>1</v>
      </c>
      <c r="D23" s="7" t="str">
        <f>H19</f>
        <v>HPL</v>
      </c>
      <c r="E23" s="7" t="s">
        <v>61</v>
      </c>
      <c r="F23" s="7">
        <f>H15-3.6</f>
        <v>-3.6</v>
      </c>
      <c r="G23" s="7">
        <f>J15-E17</f>
        <v>20</v>
      </c>
      <c r="H23" s="7">
        <f>1*C13</f>
        <v>1</v>
      </c>
      <c r="I23" s="7">
        <f>HLOOKUP(D23, materials[], 2,FALSE)</f>
        <v>2</v>
      </c>
      <c r="J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71" t="s">
        <v>156</v>
      </c>
      <c r="B24" s="3" t="str">
        <f>B23</f>
        <v xml:space="preserve">وحدة علوية دلفة /دلفتين </v>
      </c>
      <c r="C24" s="7">
        <f>C23+1</f>
        <v>2</v>
      </c>
      <c r="D24" s="7" t="str">
        <f>H19</f>
        <v>HPL</v>
      </c>
      <c r="E24" s="7" t="s">
        <v>10</v>
      </c>
      <c r="F24" s="7">
        <f>H15-3.6</f>
        <v>-3.6</v>
      </c>
      <c r="G24" s="7">
        <f>J15-G15-E17</f>
        <v>20</v>
      </c>
      <c r="H24" s="7">
        <f>1*C13</f>
        <v>1</v>
      </c>
      <c r="I24" s="7">
        <f>HLOOKUP(D24, materials[], 2,FALSE)</f>
        <v>2</v>
      </c>
      <c r="J24" s="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71" t="s">
        <v>156</v>
      </c>
      <c r="B25" s="3" t="str">
        <f>B23</f>
        <v xml:space="preserve">وحدة علوية دلفة /دلفتين </v>
      </c>
      <c r="C25" s="7">
        <f t="shared" ref="C25:C26" si="0">C24+1</f>
        <v>3</v>
      </c>
      <c r="D25" s="7" t="str">
        <f>H19</f>
        <v>HPL</v>
      </c>
      <c r="E25" s="7" t="s">
        <v>11</v>
      </c>
      <c r="F25" s="7">
        <f>I15</f>
        <v>70</v>
      </c>
      <c r="G25" s="7">
        <f>J15</f>
        <v>30</v>
      </c>
      <c r="H25" s="7">
        <f>2*C13</f>
        <v>2</v>
      </c>
      <c r="I25" s="7">
        <f>HLOOKUP(D25, materials[], 2,FALSE)</f>
        <v>2</v>
      </c>
      <c r="J25" s="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71" t="s">
        <v>156</v>
      </c>
      <c r="B26" s="3" t="str">
        <f>B23</f>
        <v xml:space="preserve">وحدة علوية دلفة /دلفتين </v>
      </c>
      <c r="C26" s="7">
        <f t="shared" si="0"/>
        <v>4</v>
      </c>
      <c r="D26" s="7" t="str">
        <f>H19</f>
        <v>HPL</v>
      </c>
      <c r="E26" s="7" t="s">
        <v>18</v>
      </c>
      <c r="F26" s="7">
        <f>H15-3.8</f>
        <v>-3.8</v>
      </c>
      <c r="G26" s="7">
        <f>J15-5-E17</f>
        <v>15</v>
      </c>
      <c r="H26" s="7">
        <f>E15*C13</f>
        <v>1</v>
      </c>
      <c r="I26" s="7">
        <f>HLOOKUP(D26, materials[], 2,FALSE)</f>
        <v>2</v>
      </c>
      <c r="J26" s="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71" t="s">
        <v>155</v>
      </c>
      <c r="C27" s="7"/>
      <c r="D27" s="7"/>
      <c r="E27" s="7"/>
      <c r="F27" s="7"/>
      <c r="G27" s="7"/>
      <c r="H27" s="7"/>
      <c r="I27" s="7"/>
      <c r="J27" s="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71" t="s">
        <v>153</v>
      </c>
      <c r="B28" s="3" t="str">
        <f>B23</f>
        <v xml:space="preserve">وحدة علوية دلفة /دلفتين </v>
      </c>
      <c r="C28" s="11">
        <f>C26+1</f>
        <v>5</v>
      </c>
      <c r="D28" s="11" t="str">
        <f>F19</f>
        <v>يوفيلاك</v>
      </c>
      <c r="E28" s="11" t="s">
        <v>64</v>
      </c>
      <c r="F28" s="11">
        <f>IF(C16,"",I15-0.5-F15)</f>
        <v>66</v>
      </c>
      <c r="G28" s="11">
        <f>IF(C16,"",(H15/C17)-0.5)</f>
        <v>-0.5</v>
      </c>
      <c r="H28" s="11">
        <f>C15*C13</f>
        <v>1</v>
      </c>
      <c r="I28" s="11">
        <f>HLOOKUP(D28, materials[], 2,FALSE)</f>
        <v>6</v>
      </c>
      <c r="J28" s="1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71" t="s">
        <v>153</v>
      </c>
      <c r="B29" s="3" t="str">
        <f>B23</f>
        <v xml:space="preserve">وحدة علوية دلفة /دلفتين </v>
      </c>
      <c r="C29" s="11">
        <f>C28+1</f>
        <v>6</v>
      </c>
      <c r="D29" s="11" t="s">
        <v>65</v>
      </c>
      <c r="E29" s="11" t="s">
        <v>83</v>
      </c>
      <c r="F29" s="11">
        <f>I15-0.5</f>
        <v>69.5</v>
      </c>
      <c r="G29" s="11">
        <f>(H15/C17)-0.5</f>
        <v>-0.5</v>
      </c>
      <c r="H29" s="11">
        <f>C13*D15</f>
        <v>0</v>
      </c>
      <c r="I29" s="11"/>
      <c r="J29" s="1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71" t="s">
        <v>155</v>
      </c>
      <c r="C30" s="7"/>
      <c r="D30" s="7"/>
      <c r="E30" s="7"/>
      <c r="F30" s="7"/>
      <c r="G30" s="7"/>
      <c r="H30" s="7"/>
      <c r="I30" s="7"/>
      <c r="J30" s="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71" t="s">
        <v>154</v>
      </c>
      <c r="B31" s="3" t="str">
        <f>B23</f>
        <v xml:space="preserve">وحدة علوية دلفة /دلفتين </v>
      </c>
      <c r="C31" s="24">
        <f>C29+1</f>
        <v>7</v>
      </c>
      <c r="D31" s="24" t="str">
        <f>D19</f>
        <v>ظهر</v>
      </c>
      <c r="E31" s="24" t="s">
        <v>70</v>
      </c>
      <c r="F31" s="24">
        <f>I15-2</f>
        <v>68</v>
      </c>
      <c r="G31" s="24">
        <f>H15-2</f>
        <v>-2</v>
      </c>
      <c r="H31" s="24">
        <f>1*C13</f>
        <v>1</v>
      </c>
      <c r="I31" s="24">
        <f>HLOOKUP(D31, materials[], 2,FALSE)</f>
        <v>2</v>
      </c>
      <c r="J31" s="24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71" t="s">
        <v>150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71" t="s">
        <v>150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71" cm="1">
        <f t="array" ref="A34">upperBlockTypes[وحدة علوية  قلاب / 2 قلاب]</f>
        <v>2</v>
      </c>
      <c r="C34" s="16">
        <v>1</v>
      </c>
      <c r="D34" s="30" t="s">
        <v>71</v>
      </c>
      <c r="E34" s="110" t="str">
        <f>upperBlockTypes[[#Headers],[وحدة علوية  قلاب / 2 قلاب]]</f>
        <v>وحدة علوية  قلاب / 2 قلاب</v>
      </c>
      <c r="F34" s="111"/>
      <c r="G34" s="111"/>
      <c r="H34" s="112"/>
      <c r="I34" s="2" t="s">
        <v>42</v>
      </c>
      <c r="J34" s="2">
        <f>A34</f>
        <v>2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71" t="s">
        <v>151</v>
      </c>
      <c r="C35" s="9" t="s">
        <v>66</v>
      </c>
      <c r="D35" s="9" t="s">
        <v>67</v>
      </c>
      <c r="E35" s="9" t="s">
        <v>63</v>
      </c>
      <c r="F35" s="9" t="s">
        <v>17</v>
      </c>
      <c r="G35" s="9" t="s">
        <v>133</v>
      </c>
      <c r="H35" s="9" t="s">
        <v>34</v>
      </c>
      <c r="I35" s="9" t="s">
        <v>3</v>
      </c>
      <c r="J35" s="9" t="s">
        <v>128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71" t="s">
        <v>151</v>
      </c>
      <c r="C36" s="10">
        <v>2</v>
      </c>
      <c r="D36" s="10">
        <v>0</v>
      </c>
      <c r="E36" s="9">
        <v>1</v>
      </c>
      <c r="F36" s="43">
        <f>INDEX(upperCommon[[#All],[Column1]],MATCH(F35,upperCommon[[#All],[Column2]],0))</f>
        <v>3.5</v>
      </c>
      <c r="G36" s="43">
        <f>INDEX(upperCommon[[#All],[Column1]],MATCH(G35,upperCommon[[#All],[Column2]],0))</f>
        <v>0</v>
      </c>
      <c r="H36" s="10"/>
      <c r="I36" s="43">
        <f>INDEX(upperCommon[[#All],[Column1]],MATCH(I35,upperCommon[[#All],[Column2]],0))</f>
        <v>70</v>
      </c>
      <c r="J36" s="43">
        <f>INDEX(upperCommon[[#All],[Column1]],MATCH(J35,upperCommon[[#All],[Column2]],0))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71" t="s">
        <v>151</v>
      </c>
      <c r="C37" s="11" t="b">
        <f>C36=0</f>
        <v>0</v>
      </c>
      <c r="D37" s="11" t="b">
        <f>D36=0</f>
        <v>1</v>
      </c>
      <c r="E37" s="83"/>
      <c r="F37" s="121" t="b">
        <f>NOT(AND(F36&gt;0,G36&gt;0))</f>
        <v>1</v>
      </c>
      <c r="G37" s="121"/>
      <c r="H37" s="10"/>
      <c r="I37" s="3" t="b">
        <f>_xlfn.XOR(I36&lt;=50,C38=2)</f>
        <v>1</v>
      </c>
      <c r="J37" s="10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71" t="s">
        <v>151</v>
      </c>
      <c r="C38" s="118">
        <f>C36+D36</f>
        <v>2</v>
      </c>
      <c r="D38" s="118"/>
      <c r="E38" s="66"/>
      <c r="F38" s="122" t="str">
        <f>IF(F37,"المقابض مظبوطة","مينفعش مقبض مخفي مع بيلت ان")</f>
        <v>المقابض مظبوطة</v>
      </c>
      <c r="G38" s="122"/>
      <c r="H38" s="66"/>
      <c r="I38" s="68" t="str">
        <f>IF(I37,"عدد الدلف صحيح","عدد الدلف غير صحيح")</f>
        <v>عدد الدلف صحيح</v>
      </c>
      <c r="J38" s="10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71" t="s">
        <v>151</v>
      </c>
      <c r="C39" s="119" t="b">
        <f>C38&lt;=2</f>
        <v>1</v>
      </c>
      <c r="D39" s="119"/>
      <c r="E39" s="83"/>
      <c r="F39" s="10"/>
      <c r="G39" s="10"/>
      <c r="H39" s="10"/>
      <c r="I39" s="10"/>
      <c r="J39" s="10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71" t="s">
        <v>151</v>
      </c>
      <c r="C40" s="10"/>
      <c r="D40" s="43" t="str">
        <f>INDEX(choosenMaterials[[#All],[Column1]],MATCH(E40,choosenMaterials[[#All],[Column2]],0))</f>
        <v>ظهر</v>
      </c>
      <c r="E40" s="9" t="s">
        <v>70</v>
      </c>
      <c r="F40" s="43" t="str">
        <f>INDEX(choosenMaterials[[#All],[Column1]],MATCH(G40,choosenMaterials[[#All],[Column2]],0))</f>
        <v>يوفيلاك</v>
      </c>
      <c r="G40" s="9" t="s">
        <v>44</v>
      </c>
      <c r="H40" s="43" t="str">
        <f>INDEX(choosenMaterials[[#All],[Column1]],MATCH(I40,choosenMaterials[[#All],[Column2]],0))</f>
        <v>HPL</v>
      </c>
      <c r="I40" s="9" t="s">
        <v>43</v>
      </c>
      <c r="J40" s="34" t="s">
        <v>126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71" t="s">
        <v>155</v>
      </c>
      <c r="C41" s="1"/>
      <c r="D41" s="1"/>
      <c r="E41" s="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71" t="s">
        <v>152</v>
      </c>
      <c r="C42" s="7" t="s">
        <v>4</v>
      </c>
      <c r="D42" s="7" t="s">
        <v>9</v>
      </c>
      <c r="E42" s="7" t="s">
        <v>5</v>
      </c>
      <c r="F42" s="7" t="s">
        <v>7</v>
      </c>
      <c r="G42" s="7" t="s">
        <v>1</v>
      </c>
      <c r="H42" s="7" t="s">
        <v>6</v>
      </c>
      <c r="I42" s="7" t="s">
        <v>45</v>
      </c>
      <c r="J42" s="7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71" t="s">
        <v>155</v>
      </c>
      <c r="C43" s="7"/>
      <c r="D43" s="7"/>
      <c r="E43" s="7"/>
      <c r="F43" s="7"/>
      <c r="G43" s="7"/>
      <c r="H43" s="7"/>
      <c r="I43" s="7"/>
      <c r="J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71" t="s">
        <v>156</v>
      </c>
      <c r="B44" s="3" t="str">
        <f>E34</f>
        <v>وحدة علوية  قلاب / 2 قلاب</v>
      </c>
      <c r="C44" s="7">
        <v>1</v>
      </c>
      <c r="D44" s="7" t="str">
        <f>H40</f>
        <v>HPL</v>
      </c>
      <c r="E44" s="7" t="s">
        <v>61</v>
      </c>
      <c r="F44" s="7">
        <f>H36-3.6</f>
        <v>-3.6</v>
      </c>
      <c r="G44" s="7">
        <f>J36</f>
        <v>30</v>
      </c>
      <c r="H44" s="7">
        <f>1*C34</f>
        <v>1</v>
      </c>
      <c r="I44" s="7">
        <f>HLOOKUP(D44, materials[], 2,FALSE)</f>
        <v>2</v>
      </c>
      <c r="J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71" t="s">
        <v>156</v>
      </c>
      <c r="B45" s="3" t="str">
        <f>B44</f>
        <v>وحدة علوية  قلاب / 2 قلاب</v>
      </c>
      <c r="C45" s="7">
        <f>C44+1</f>
        <v>2</v>
      </c>
      <c r="D45" s="7" t="str">
        <f>H40</f>
        <v>HPL</v>
      </c>
      <c r="E45" s="7" t="s">
        <v>10</v>
      </c>
      <c r="F45" s="7">
        <f>H36-3.6</f>
        <v>-3.6</v>
      </c>
      <c r="G45" s="7">
        <f>J36-G36</f>
        <v>30</v>
      </c>
      <c r="H45" s="7">
        <f>1*C34</f>
        <v>1</v>
      </c>
      <c r="I45" s="7">
        <f>HLOOKUP(D45, materials[], 2,FALSE)</f>
        <v>2</v>
      </c>
      <c r="J45" s="7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71" t="s">
        <v>156</v>
      </c>
      <c r="B46" s="3" t="str">
        <f>B44</f>
        <v>وحدة علوية  قلاب / 2 قلاب</v>
      </c>
      <c r="C46" s="7">
        <f t="shared" ref="C46:C47" si="1">C45+1</f>
        <v>3</v>
      </c>
      <c r="D46" s="7" t="str">
        <f>H40</f>
        <v>HPL</v>
      </c>
      <c r="E46" s="7" t="s">
        <v>11</v>
      </c>
      <c r="F46" s="7">
        <f>I36</f>
        <v>70</v>
      </c>
      <c r="G46" s="7">
        <f>J36</f>
        <v>30</v>
      </c>
      <c r="H46" s="7">
        <f>2*C34</f>
        <v>2</v>
      </c>
      <c r="I46" s="7">
        <f>HLOOKUP(D46, materials[], 2,FALSE)</f>
        <v>2</v>
      </c>
      <c r="J46" s="7"/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71" t="s">
        <v>156</v>
      </c>
      <c r="B47" s="3" t="str">
        <f>B44</f>
        <v>وحدة علوية  قلاب / 2 قلاب</v>
      </c>
      <c r="C47" s="7">
        <f t="shared" si="1"/>
        <v>4</v>
      </c>
      <c r="D47" s="7" t="str">
        <f>H40</f>
        <v>HPL</v>
      </c>
      <c r="E47" s="7" t="s">
        <v>63</v>
      </c>
      <c r="F47" s="7">
        <f>(H36-3.6)*E36</f>
        <v>-3.6</v>
      </c>
      <c r="G47" s="7">
        <f>(J36-2.5)*E36</f>
        <v>27.5</v>
      </c>
      <c r="H47" s="7">
        <f>E36*C34</f>
        <v>1</v>
      </c>
      <c r="I47" s="7">
        <f>HLOOKUP(D47, materials[], 2,FALSE)</f>
        <v>2</v>
      </c>
      <c r="J47" s="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71" t="s">
        <v>155</v>
      </c>
      <c r="B48" s="3" t="str">
        <f>B44</f>
        <v>وحدة علوية  قلاب / 2 قلاب</v>
      </c>
      <c r="C48" s="7"/>
      <c r="D48" s="7"/>
      <c r="E48" s="7"/>
      <c r="F48" s="7"/>
      <c r="G48" s="7"/>
      <c r="H48" s="7"/>
      <c r="I48" s="7"/>
      <c r="J48" s="7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71" t="s">
        <v>153</v>
      </c>
      <c r="B49" s="3" t="str">
        <f>B44</f>
        <v>وحدة علوية  قلاب / 2 قلاب</v>
      </c>
      <c r="C49" s="11">
        <f>C47+1</f>
        <v>5</v>
      </c>
      <c r="D49" s="11" t="str">
        <f>F40</f>
        <v>يوفيلاك</v>
      </c>
      <c r="E49" s="11" t="s">
        <v>68</v>
      </c>
      <c r="F49" s="11">
        <f>(I36/C38)-0.5-F36</f>
        <v>31</v>
      </c>
      <c r="G49" s="11">
        <f>H36-0.5</f>
        <v>-0.5</v>
      </c>
      <c r="H49" s="11">
        <f>C36*C34</f>
        <v>2</v>
      </c>
      <c r="I49" s="11">
        <f>HLOOKUP(D49, materials[], 2,FALSE)</f>
        <v>6</v>
      </c>
      <c r="J49" s="11"/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71" t="s">
        <v>153</v>
      </c>
      <c r="B50" s="3" t="str">
        <f>B44</f>
        <v>وحدة علوية  قلاب / 2 قلاب</v>
      </c>
      <c r="C50" s="11">
        <f>C49+1</f>
        <v>6</v>
      </c>
      <c r="D50" s="11" t="s">
        <v>65</v>
      </c>
      <c r="E50" s="11" t="s">
        <v>69</v>
      </c>
      <c r="F50" s="11">
        <f>(I36/C38)-0.5</f>
        <v>34.5</v>
      </c>
      <c r="G50" s="11">
        <f>H36-0.5</f>
        <v>-0.5</v>
      </c>
      <c r="H50" s="11">
        <f>C34*D36</f>
        <v>0</v>
      </c>
      <c r="I50" s="11"/>
      <c r="J50" s="1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71" t="s">
        <v>155</v>
      </c>
      <c r="C51" s="7"/>
      <c r="D51" s="7"/>
      <c r="E51" s="7"/>
      <c r="F51" s="7"/>
      <c r="G51" s="7"/>
      <c r="H51" s="7"/>
      <c r="I51" s="7"/>
      <c r="J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71" t="s">
        <v>154</v>
      </c>
      <c r="B52" s="3" t="str">
        <f>B44</f>
        <v>وحدة علوية  قلاب / 2 قلاب</v>
      </c>
      <c r="C52" s="24">
        <f>C50+1</f>
        <v>7</v>
      </c>
      <c r="D52" s="24" t="str">
        <f>D40</f>
        <v>ظهر</v>
      </c>
      <c r="E52" s="24" t="s">
        <v>70</v>
      </c>
      <c r="F52" s="24">
        <f>I36-2</f>
        <v>68</v>
      </c>
      <c r="G52" s="24">
        <f>H36-2</f>
        <v>-2</v>
      </c>
      <c r="H52" s="24">
        <f>1*C34</f>
        <v>1</v>
      </c>
      <c r="I52" s="24">
        <f>HLOOKUP(D52, materials[], 2,FALSE)</f>
        <v>2</v>
      </c>
      <c r="J52" s="24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71" t="s">
        <v>150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71" t="s">
        <v>150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71" cm="1">
        <f t="array" ref="A55">upperBlockTypes[وحدة علوية  تلبيسة دلفة /دلفتين ]</f>
        <v>3</v>
      </c>
      <c r="C55" s="16">
        <v>1</v>
      </c>
      <c r="D55" s="30" t="s">
        <v>71</v>
      </c>
      <c r="E55" s="110" t="str">
        <f>upperBlockTypes[[#Headers],[وحدة علوية  تلبيسة دلفة /دلفتين ]]</f>
        <v xml:space="preserve">وحدة علوية  تلبيسة دلفة /دلفتين </v>
      </c>
      <c r="F55" s="111"/>
      <c r="G55" s="111"/>
      <c r="H55" s="112"/>
      <c r="I55" s="2" t="s">
        <v>42</v>
      </c>
      <c r="J55" s="2">
        <f>A55</f>
        <v>3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71" t="s">
        <v>151</v>
      </c>
      <c r="C56" s="9" t="s">
        <v>12</v>
      </c>
      <c r="D56" s="9"/>
      <c r="E56" s="9" t="s">
        <v>19</v>
      </c>
      <c r="F56" s="9" t="s">
        <v>17</v>
      </c>
      <c r="G56" s="9" t="s">
        <v>133</v>
      </c>
      <c r="H56" s="9" t="s">
        <v>34</v>
      </c>
      <c r="I56" s="9" t="s">
        <v>3</v>
      </c>
      <c r="J56" s="9" t="s">
        <v>128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71" t="s">
        <v>151</v>
      </c>
      <c r="C57" s="10">
        <v>2</v>
      </c>
      <c r="D57" s="10"/>
      <c r="E57" s="10">
        <v>1</v>
      </c>
      <c r="F57" s="43">
        <f>INDEX(upperCommon[[#All],[Column1]],MATCH(F56,upperCommon[[#All],[Column2]],0))</f>
        <v>3.5</v>
      </c>
      <c r="G57" s="43">
        <f>INDEX(upperCommon[[#All],[Column1]],MATCH(G56,upperCommon[[#All],[Column2]],0))</f>
        <v>0</v>
      </c>
      <c r="H57" s="10"/>
      <c r="I57" s="43">
        <f>INDEX(upperCommon[[#All],[Column1]],MATCH(I56,upperCommon[[#All],[Column2]],0))</f>
        <v>70</v>
      </c>
      <c r="J57" s="43">
        <f>INDEX(upperCommon[[#All],[Column1]],MATCH(J56,upperCommon[[#All],[Column2]],0))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71" t="s">
        <v>151</v>
      </c>
      <c r="C58" s="11" t="b">
        <f>C57=0</f>
        <v>0</v>
      </c>
      <c r="D58" s="11" t="b">
        <f>E57=0</f>
        <v>0</v>
      </c>
      <c r="E58" s="3" t="b">
        <f>_xlfn.XOR(I57&lt;=50,E57=1)</f>
        <v>1</v>
      </c>
      <c r="F58" s="119" t="b">
        <f>NOT(AND(F57&gt;0,G57&gt;0))</f>
        <v>1</v>
      </c>
      <c r="G58" s="116"/>
      <c r="H58" s="9" t="s">
        <v>36</v>
      </c>
      <c r="I58" s="3" t="b">
        <f>_xlfn.XOR(I57&lt;=50,C59=2)</f>
        <v>0</v>
      </c>
      <c r="J58" s="10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71" t="s">
        <v>151</v>
      </c>
      <c r="C59" s="118">
        <f>C57+E57</f>
        <v>3</v>
      </c>
      <c r="D59" s="118"/>
      <c r="E59" s="66"/>
      <c r="F59" s="123" t="str">
        <f>IF(F58,"المقابض مظبوطة","مينفعش مقبض مخفي مع بيلت ان")</f>
        <v>المقابض مظبوطة</v>
      </c>
      <c r="G59" s="123"/>
      <c r="H59" s="9">
        <v>15</v>
      </c>
      <c r="I59" s="69" t="str">
        <f>IF(I58,"عدد الدلف صحيح","عدد الدلف غير صحيح")</f>
        <v>عدد الدلف غير صحيح</v>
      </c>
      <c r="J59" s="10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x14ac:dyDescent="0.3">
      <c r="A60" s="71" t="s">
        <v>151</v>
      </c>
      <c r="C60" s="119" t="b">
        <f>C59&lt;=2</f>
        <v>0</v>
      </c>
      <c r="D60" s="119"/>
      <c r="E60" s="83"/>
      <c r="F60" s="10"/>
      <c r="G60" s="10"/>
      <c r="H60" s="10"/>
      <c r="I60" s="10"/>
      <c r="J60" s="10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71" t="s">
        <v>151</v>
      </c>
      <c r="B61" s="1"/>
      <c r="C61" s="10"/>
      <c r="D61" s="43" t="str">
        <f>INDEX(choosenMaterials[[#All],[Column1]],MATCH(E61,choosenMaterials[[#All],[Column2]],0))</f>
        <v>ظهر</v>
      </c>
      <c r="E61" s="9" t="s">
        <v>70</v>
      </c>
      <c r="F61" s="43" t="str">
        <f>INDEX(choosenMaterials[[#All],[Column1]],MATCH(G61,choosenMaterials[[#All],[Column2]],0))</f>
        <v>يوفيلاك</v>
      </c>
      <c r="G61" s="9" t="s">
        <v>44</v>
      </c>
      <c r="H61" s="43" t="str">
        <f>INDEX(choosenMaterials[[#All],[Column1]],MATCH(I61,choosenMaterials[[#All],[Column2]],0))</f>
        <v>HPL</v>
      </c>
      <c r="I61" s="9" t="s">
        <v>43</v>
      </c>
      <c r="J61" s="34" t="s">
        <v>126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71" t="s">
        <v>155</v>
      </c>
      <c r="B62" s="1"/>
      <c r="C62" s="1"/>
      <c r="D62" s="1"/>
      <c r="E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71" t="s">
        <v>152</v>
      </c>
      <c r="C63" s="7" t="s">
        <v>4</v>
      </c>
      <c r="D63" s="7" t="s">
        <v>9</v>
      </c>
      <c r="E63" s="7" t="s">
        <v>5</v>
      </c>
      <c r="F63" s="7" t="s">
        <v>7</v>
      </c>
      <c r="G63" s="7" t="s">
        <v>1</v>
      </c>
      <c r="H63" s="7" t="s">
        <v>6</v>
      </c>
      <c r="I63" s="7" t="s">
        <v>45</v>
      </c>
      <c r="J63" s="7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71" t="s">
        <v>155</v>
      </c>
      <c r="C64" s="7"/>
      <c r="D64" s="7"/>
      <c r="E64" s="7"/>
      <c r="F64" s="7"/>
      <c r="G64" s="7"/>
      <c r="H64" s="7"/>
      <c r="I64" s="7"/>
      <c r="J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71" t="s">
        <v>156</v>
      </c>
      <c r="B65" s="3" t="str">
        <f>E55</f>
        <v xml:space="preserve">وحدة علوية  تلبيسة دلفة /دلفتين </v>
      </c>
      <c r="C65" s="7">
        <v>1</v>
      </c>
      <c r="D65" s="7" t="str">
        <f>H61</f>
        <v>HPL</v>
      </c>
      <c r="E65" s="7" t="s">
        <v>61</v>
      </c>
      <c r="F65" s="7">
        <f>H57-3.6</f>
        <v>-3.6</v>
      </c>
      <c r="G65" s="7">
        <f>J57</f>
        <v>30</v>
      </c>
      <c r="H65" s="7">
        <f>1*C55</f>
        <v>1</v>
      </c>
      <c r="I65" s="7">
        <f>HLOOKUP(D65, materials[], 2,FALSE)</f>
        <v>2</v>
      </c>
      <c r="J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71" t="s">
        <v>156</v>
      </c>
      <c r="B66" s="3" t="str">
        <f>B65</f>
        <v xml:space="preserve">وحدة علوية  تلبيسة دلفة /دلفتين </v>
      </c>
      <c r="C66" s="7">
        <f t="shared" ref="C66:C69" si="2">C65+1</f>
        <v>2</v>
      </c>
      <c r="D66" s="7" t="str">
        <f>H61</f>
        <v>HPL</v>
      </c>
      <c r="E66" s="7" t="s">
        <v>10</v>
      </c>
      <c r="F66" s="7">
        <f>H57-3.6</f>
        <v>-3.6</v>
      </c>
      <c r="G66" s="7">
        <f>J57-G57</f>
        <v>30</v>
      </c>
      <c r="H66" s="7">
        <f>1*C55</f>
        <v>1</v>
      </c>
      <c r="I66" s="7">
        <f>HLOOKUP(D66, materials[], 2,FALSE)</f>
        <v>2</v>
      </c>
      <c r="J66" s="7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71" t="s">
        <v>156</v>
      </c>
      <c r="B67" s="3" t="str">
        <f>B65</f>
        <v xml:space="preserve">وحدة علوية  تلبيسة دلفة /دلفتين </v>
      </c>
      <c r="C67" s="7">
        <f t="shared" si="2"/>
        <v>3</v>
      </c>
      <c r="D67" s="7" t="str">
        <f>H61</f>
        <v>HPL</v>
      </c>
      <c r="E67" s="7" t="s">
        <v>11</v>
      </c>
      <c r="F67" s="7">
        <f>I57</f>
        <v>70</v>
      </c>
      <c r="G67" s="7">
        <f>J57</f>
        <v>30</v>
      </c>
      <c r="H67" s="7">
        <f>2*C55</f>
        <v>2</v>
      </c>
      <c r="I67" s="7">
        <f>HLOOKUP(D67, materials[], 2,FALSE)</f>
        <v>2</v>
      </c>
      <c r="J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71" t="s">
        <v>156</v>
      </c>
      <c r="B68" s="3" t="str">
        <f>B65</f>
        <v xml:space="preserve">وحدة علوية  تلبيسة دلفة /دلفتين </v>
      </c>
      <c r="C68" s="7">
        <f t="shared" si="2"/>
        <v>4</v>
      </c>
      <c r="D68" s="7" t="str">
        <f>H61</f>
        <v>HPL</v>
      </c>
      <c r="E68" s="7" t="s">
        <v>18</v>
      </c>
      <c r="F68" s="7">
        <f>H57-3.8</f>
        <v>-3.8</v>
      </c>
      <c r="G68" s="7">
        <f>J57-6</f>
        <v>24</v>
      </c>
      <c r="H68" s="7">
        <f>E57*C55</f>
        <v>1</v>
      </c>
      <c r="I68" s="7">
        <f>HLOOKUP(D68, materials[], 2,FALSE)</f>
        <v>2</v>
      </c>
      <c r="J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71" t="s">
        <v>156</v>
      </c>
      <c r="B69" s="3" t="str">
        <f>B65</f>
        <v xml:space="preserve">وحدة علوية  تلبيسة دلفة /دلفتين </v>
      </c>
      <c r="C69" s="7">
        <f t="shared" si="2"/>
        <v>5</v>
      </c>
      <c r="D69" s="7" t="str">
        <f>H61</f>
        <v>HPL</v>
      </c>
      <c r="E69" s="7" t="s">
        <v>36</v>
      </c>
      <c r="F69" s="7">
        <f>I57</f>
        <v>70</v>
      </c>
      <c r="G69" s="7">
        <f>H59</f>
        <v>15</v>
      </c>
      <c r="H69" s="7">
        <f>1*C55</f>
        <v>1</v>
      </c>
      <c r="I69" s="7">
        <f>HLOOKUP(D69, materials[], 2,FALSE)</f>
        <v>2</v>
      </c>
      <c r="J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71" t="s">
        <v>155</v>
      </c>
      <c r="C70" s="7"/>
      <c r="D70" s="7"/>
      <c r="E70" s="7"/>
      <c r="F70" s="7"/>
      <c r="G70" s="7"/>
      <c r="H70" s="7"/>
      <c r="I70" s="7"/>
      <c r="J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71" t="s">
        <v>153</v>
      </c>
      <c r="B71" s="3" t="str">
        <f>B65</f>
        <v xml:space="preserve">وحدة علوية  تلبيسة دلفة /دلفتين </v>
      </c>
      <c r="C71" s="11">
        <f>C69+1</f>
        <v>6</v>
      </c>
      <c r="D71" s="11" t="str">
        <f>F61</f>
        <v>يوفيلاك</v>
      </c>
      <c r="E71" s="11" t="s">
        <v>15</v>
      </c>
      <c r="F71" s="11">
        <f>I57-0.5-F57</f>
        <v>66</v>
      </c>
      <c r="G71" s="11">
        <f>(H57-H59-G72)/C57-0.5</f>
        <v>-10</v>
      </c>
      <c r="H71" s="11">
        <f>C57*C55</f>
        <v>2</v>
      </c>
      <c r="I71" s="11">
        <f>HLOOKUP(D71, materials[], 2,FALSE)</f>
        <v>6</v>
      </c>
      <c r="J71" s="1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71" t="s">
        <v>153</v>
      </c>
      <c r="B72" s="3" t="str">
        <f>B65</f>
        <v xml:space="preserve">وحدة علوية  تلبيسة دلفة /دلفتين </v>
      </c>
      <c r="C72" s="11">
        <f t="shared" ref="C72" si="3">C71+1</f>
        <v>7</v>
      </c>
      <c r="D72" s="11" t="str">
        <f>F61</f>
        <v>يوفيلاك</v>
      </c>
      <c r="E72" s="11" t="s">
        <v>37</v>
      </c>
      <c r="F72" s="11">
        <f>I57</f>
        <v>70</v>
      </c>
      <c r="G72" s="11">
        <v>4</v>
      </c>
      <c r="H72" s="11">
        <f>1*C55</f>
        <v>1</v>
      </c>
      <c r="I72" s="11">
        <f>HLOOKUP(D72, materials[], 2,FALSE)</f>
        <v>6</v>
      </c>
      <c r="J72" s="1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71" t="s">
        <v>155</v>
      </c>
      <c r="C73" s="7"/>
      <c r="D73" s="7"/>
      <c r="E73" s="7"/>
      <c r="F73" s="7"/>
      <c r="G73" s="7"/>
      <c r="H73" s="7"/>
      <c r="I73" s="7"/>
      <c r="J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71" t="s">
        <v>154</v>
      </c>
      <c r="B74" s="3" t="str">
        <f>B65</f>
        <v xml:space="preserve">وحدة علوية  تلبيسة دلفة /دلفتين </v>
      </c>
      <c r="C74" s="24">
        <f>C72+1</f>
        <v>8</v>
      </c>
      <c r="D74" s="24" t="str">
        <f>D61</f>
        <v>ظهر</v>
      </c>
      <c r="E74" s="24" t="s">
        <v>70</v>
      </c>
      <c r="F74" s="24">
        <f>I57-2</f>
        <v>68</v>
      </c>
      <c r="G74" s="24">
        <f>H57-2</f>
        <v>-2</v>
      </c>
      <c r="H74" s="24">
        <f>1*C55</f>
        <v>1</v>
      </c>
      <c r="I74" s="24">
        <f>HLOOKUP(D74, materials[], 2,FALSE)</f>
        <v>2</v>
      </c>
      <c r="J74" s="2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71" t="s">
        <v>150</v>
      </c>
      <c r="C75" s="1"/>
      <c r="D75" s="1"/>
      <c r="E75" s="1"/>
      <c r="F75" s="1"/>
      <c r="G75" s="1"/>
      <c r="H75" s="1"/>
      <c r="I75" s="1"/>
      <c r="J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71" t="s">
        <v>150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ht="36" x14ac:dyDescent="0.3">
      <c r="A77" s="71" cm="1">
        <f t="array" ref="A77">upperBlockTypes[وحدة علوية  زاوية 90]</f>
        <v>4</v>
      </c>
      <c r="C77" s="16">
        <v>1</v>
      </c>
      <c r="D77" s="30" t="s">
        <v>71</v>
      </c>
      <c r="E77" s="110" t="str">
        <f>upperBlockTypes[[#Headers],[وحدة علوية  زاوية 90]]</f>
        <v>وحدة علوية  زاوية 90</v>
      </c>
      <c r="F77" s="111"/>
      <c r="G77" s="111"/>
      <c r="H77" s="112"/>
      <c r="I77" s="2" t="s">
        <v>42</v>
      </c>
      <c r="J77" s="2">
        <f>A77</f>
        <v>4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ht="31.2" x14ac:dyDescent="0.3">
      <c r="A78" s="71" t="s">
        <v>151</v>
      </c>
      <c r="C78" s="9"/>
      <c r="D78" s="9" t="s">
        <v>19</v>
      </c>
      <c r="E78" s="9"/>
      <c r="F78" s="9" t="s">
        <v>17</v>
      </c>
      <c r="G78" s="9" t="s">
        <v>133</v>
      </c>
      <c r="H78" s="9" t="s">
        <v>34</v>
      </c>
      <c r="I78" s="9" t="s">
        <v>3</v>
      </c>
      <c r="J78" s="9" t="s">
        <v>128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15.6" x14ac:dyDescent="0.3">
      <c r="A79" s="71" t="s">
        <v>151</v>
      </c>
      <c r="C79" s="10"/>
      <c r="D79" s="10">
        <v>2</v>
      </c>
      <c r="E79" s="10"/>
      <c r="F79" s="43">
        <f>INDEX(upperCommon[[#All],[Column1]],MATCH(F78,upperCommon[[#All],[Column2]],0))</f>
        <v>3.5</v>
      </c>
      <c r="G79" s="43">
        <f>INDEX(upperCommon[[#All],[Column1]],MATCH(G78,upperCommon[[#All],[Column2]],0))</f>
        <v>0</v>
      </c>
      <c r="H79" s="10"/>
      <c r="I79" s="43">
        <f>INDEX(upperCommon[[#All],[Column1]],MATCH(I78,upperCommon[[#All],[Column2]],0))</f>
        <v>70</v>
      </c>
      <c r="J79" s="43">
        <f>INDEX(upperCommon[[#All],[Column1]],MATCH(J78,upperCommon[[#All],[Column2]],0))</f>
        <v>30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15.6" x14ac:dyDescent="0.3">
      <c r="A80" s="71" t="s">
        <v>151</v>
      </c>
      <c r="C80" s="10"/>
      <c r="D80" s="10"/>
      <c r="E80" s="10"/>
      <c r="F80" s="119" t="b">
        <f>NOT(AND(F79&gt;0,G79&gt;0))</f>
        <v>1</v>
      </c>
      <c r="G80" s="119"/>
      <c r="H80" s="10"/>
      <c r="I80" s="43">
        <f>INDEX(upperCommon[[#All],[Column1]],MATCH(I78,upperCommon[[#All],[Column2]],0))</f>
        <v>70</v>
      </c>
      <c r="J80" s="43">
        <f>INDEX(upperCommon[[#All],[Column1]],MATCH(J78,upperCommon[[#All],[Column2]],0))</f>
        <v>30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71" t="s">
        <v>151</v>
      </c>
      <c r="C81" s="10"/>
      <c r="D81" s="10"/>
      <c r="E81" s="10"/>
      <c r="F81" s="122" t="str">
        <f>IF(F80,"المقابض مظبوطة","مينفعش مقبض مخفي مع بيلت ان")</f>
        <v>المقابض مظبوطة</v>
      </c>
      <c r="G81" s="122"/>
      <c r="H81" s="10"/>
      <c r="I81" s="10"/>
      <c r="J81" s="10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31.2" x14ac:dyDescent="0.3">
      <c r="A82" s="71" t="s">
        <v>151</v>
      </c>
      <c r="C82" s="10"/>
      <c r="D82" s="43" t="str">
        <f>INDEX(choosenMaterials[[#All],[Column1]],MATCH(E82,choosenMaterials[[#All],[Column2]],0))</f>
        <v>ظهر</v>
      </c>
      <c r="E82" s="9" t="s">
        <v>70</v>
      </c>
      <c r="F82" s="43" t="str">
        <f>INDEX(choosenMaterials[[#All],[Column1]],MATCH(G82,choosenMaterials[[#All],[Column2]],0))</f>
        <v>يوفيلاك</v>
      </c>
      <c r="G82" s="9" t="s">
        <v>44</v>
      </c>
      <c r="H82" s="43" t="str">
        <f>INDEX(choosenMaterials[[#All],[Column1]],MATCH(I82,choosenMaterials[[#All],[Column2]],0))</f>
        <v>HPL</v>
      </c>
      <c r="I82" s="9" t="s">
        <v>43</v>
      </c>
      <c r="J82" s="34" t="s">
        <v>126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x14ac:dyDescent="0.3">
      <c r="A83" s="71" t="s">
        <v>155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x14ac:dyDescent="0.3">
      <c r="A84" s="71" t="s">
        <v>152</v>
      </c>
      <c r="C84" s="7" t="s">
        <v>4</v>
      </c>
      <c r="D84" s="7" t="s">
        <v>9</v>
      </c>
      <c r="E84" s="7" t="s">
        <v>5</v>
      </c>
      <c r="F84" s="7" t="s">
        <v>7</v>
      </c>
      <c r="G84" s="7" t="s">
        <v>1</v>
      </c>
      <c r="H84" s="7" t="s">
        <v>6</v>
      </c>
      <c r="I84" s="7" t="s">
        <v>45</v>
      </c>
      <c r="J84" s="7" t="s">
        <v>8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customHeight="1" x14ac:dyDescent="0.3">
      <c r="A85" s="71" t="s">
        <v>155</v>
      </c>
      <c r="C85" s="7"/>
      <c r="D85" s="7"/>
      <c r="E85" s="7"/>
      <c r="F85" s="7"/>
      <c r="G85" s="7"/>
      <c r="H85" s="7"/>
      <c r="I85" s="7"/>
      <c r="J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customHeight="1" x14ac:dyDescent="0.3">
      <c r="A86" s="71" t="s">
        <v>156</v>
      </c>
      <c r="B86" s="3" t="str">
        <f>E77</f>
        <v>وحدة علوية  زاوية 90</v>
      </c>
      <c r="C86" s="7">
        <v>1</v>
      </c>
      <c r="D86" s="7" t="str">
        <f>H82</f>
        <v>HPL</v>
      </c>
      <c r="E86" s="7" t="s">
        <v>61</v>
      </c>
      <c r="F86" s="7">
        <f>H79-1.8</f>
        <v>-1.8</v>
      </c>
      <c r="G86" s="7">
        <f>H80-1.8</f>
        <v>-1.8</v>
      </c>
      <c r="H86" s="7">
        <f>1*C77</f>
        <v>1</v>
      </c>
      <c r="I86" s="7">
        <f>HLOOKUP(D86, materials[], 2,FALSE)</f>
        <v>2</v>
      </c>
      <c r="J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customHeight="1" x14ac:dyDescent="0.3">
      <c r="A87" s="71" t="s">
        <v>156</v>
      </c>
      <c r="B87" s="3" t="str">
        <f>B86</f>
        <v>وحدة علوية  زاوية 90</v>
      </c>
      <c r="C87" s="7">
        <f>C86+1</f>
        <v>2</v>
      </c>
      <c r="D87" s="7" t="str">
        <f>H82</f>
        <v>HPL</v>
      </c>
      <c r="E87" s="7" t="s">
        <v>10</v>
      </c>
      <c r="F87" s="7">
        <f>H79-1.8</f>
        <v>-1.8</v>
      </c>
      <c r="G87" s="7">
        <f>H80-1.8</f>
        <v>-1.8</v>
      </c>
      <c r="H87" s="7">
        <f>1*C77</f>
        <v>1</v>
      </c>
      <c r="I87" s="7">
        <f>HLOOKUP(D87, materials[], 2,FALSE)</f>
        <v>2</v>
      </c>
      <c r="J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71" t="s">
        <v>156</v>
      </c>
      <c r="B88" s="3" t="str">
        <f>B86</f>
        <v>وحدة علوية  زاوية 90</v>
      </c>
      <c r="C88" s="7">
        <f>C87+1</f>
        <v>3</v>
      </c>
      <c r="D88" s="7" t="str">
        <f>H82</f>
        <v>HPL</v>
      </c>
      <c r="E88" s="7" t="s">
        <v>74</v>
      </c>
      <c r="F88" s="7">
        <f>I79</f>
        <v>70</v>
      </c>
      <c r="G88" s="7">
        <f>J79</f>
        <v>30</v>
      </c>
      <c r="H88" s="7">
        <f>1*C77</f>
        <v>1</v>
      </c>
      <c r="I88" s="7">
        <f>HLOOKUP(D88, materials[], 2,FALSE)</f>
        <v>2</v>
      </c>
      <c r="J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71" t="s">
        <v>156</v>
      </c>
      <c r="B89" s="3" t="str">
        <f>B86</f>
        <v>وحدة علوية  زاوية 90</v>
      </c>
      <c r="C89" s="7">
        <f>C88+1</f>
        <v>4</v>
      </c>
      <c r="D89" s="7" t="str">
        <f>H82</f>
        <v>HPL</v>
      </c>
      <c r="E89" s="7" t="s">
        <v>75</v>
      </c>
      <c r="F89" s="7">
        <f>I80</f>
        <v>70</v>
      </c>
      <c r="G89" s="7">
        <f>J80</f>
        <v>30</v>
      </c>
      <c r="H89" s="7">
        <f>1*C77</f>
        <v>1</v>
      </c>
      <c r="I89" s="7">
        <f>HLOOKUP(D89, materials[], 2,FALSE)</f>
        <v>2</v>
      </c>
      <c r="J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71" t="s">
        <v>156</v>
      </c>
      <c r="B90" s="3" t="str">
        <f>B86</f>
        <v>وحدة علوية  زاوية 90</v>
      </c>
      <c r="C90" s="7">
        <f>C89+1</f>
        <v>5</v>
      </c>
      <c r="D90" s="7" t="str">
        <f>H82</f>
        <v>HPL</v>
      </c>
      <c r="E90" s="7" t="s">
        <v>39</v>
      </c>
      <c r="F90" s="7">
        <f>I79</f>
        <v>70</v>
      </c>
      <c r="G90" s="7">
        <v>10</v>
      </c>
      <c r="H90" s="7">
        <f>1*C77</f>
        <v>1</v>
      </c>
      <c r="I90" s="7">
        <f>HLOOKUP(D90, materials[], 2,FALSE)</f>
        <v>2</v>
      </c>
      <c r="J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71" t="s">
        <v>156</v>
      </c>
      <c r="B91" s="3" t="str">
        <f>B86</f>
        <v>وحدة علوية  زاوية 90</v>
      </c>
      <c r="C91" s="7">
        <f t="shared" ref="C91" si="4">C90+1</f>
        <v>6</v>
      </c>
      <c r="D91" s="7" t="str">
        <f>H82</f>
        <v>HPL</v>
      </c>
      <c r="E91" s="7" t="s">
        <v>18</v>
      </c>
      <c r="F91" s="7">
        <f>H79-3.8</f>
        <v>-3.8</v>
      </c>
      <c r="G91" s="7">
        <f>H80-3.8</f>
        <v>-3.8</v>
      </c>
      <c r="H91" s="7">
        <f>D79*C77</f>
        <v>2</v>
      </c>
      <c r="I91" s="7">
        <f>HLOOKUP(D91, materials[], 2,FALSE)</f>
        <v>2</v>
      </c>
      <c r="J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x14ac:dyDescent="0.3">
      <c r="A92" s="71" t="s">
        <v>155</v>
      </c>
      <c r="C92" s="7"/>
      <c r="D92" s="7"/>
      <c r="E92" s="7"/>
      <c r="F92" s="7"/>
      <c r="G92" s="7"/>
      <c r="H92" s="7"/>
      <c r="I92" s="7"/>
      <c r="J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71" t="s">
        <v>153</v>
      </c>
      <c r="B93" s="3" t="str">
        <f>B86</f>
        <v>وحدة علوية  زاوية 90</v>
      </c>
      <c r="C93" s="11">
        <f>C91+1</f>
        <v>7</v>
      </c>
      <c r="D93" s="11" t="str">
        <f>F82</f>
        <v>يوفيلاك</v>
      </c>
      <c r="E93" s="11" t="s">
        <v>40</v>
      </c>
      <c r="F93" s="11">
        <f>I79-0.5-F79</f>
        <v>66</v>
      </c>
      <c r="G93" s="11">
        <f>H79-J79-3</f>
        <v>-33</v>
      </c>
      <c r="H93" s="11">
        <f>1*C77</f>
        <v>1</v>
      </c>
      <c r="I93" s="11">
        <f>HLOOKUP(D93, materials[], 2,FALSE)</f>
        <v>6</v>
      </c>
      <c r="J93" s="1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71" t="s">
        <v>153</v>
      </c>
      <c r="B94" s="3" t="str">
        <f>B86</f>
        <v>وحدة علوية  زاوية 90</v>
      </c>
      <c r="C94" s="11">
        <f t="shared" ref="C94" si="5">C93+1</f>
        <v>8</v>
      </c>
      <c r="D94" s="11" t="str">
        <f>F82</f>
        <v>يوفيلاك</v>
      </c>
      <c r="E94" s="11" t="s">
        <v>53</v>
      </c>
      <c r="F94" s="11">
        <f>I80-0.5-F79</f>
        <v>66</v>
      </c>
      <c r="G94" s="11">
        <f>H80-J80-3</f>
        <v>-33</v>
      </c>
      <c r="H94" s="11">
        <f>1*C77</f>
        <v>1</v>
      </c>
      <c r="I94" s="11">
        <f>HLOOKUP(D94, materials[], 2,FALSE)</f>
        <v>6</v>
      </c>
      <c r="J94" s="1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71" t="s">
        <v>155</v>
      </c>
      <c r="C95" s="7"/>
      <c r="D95" s="7"/>
      <c r="E95" s="7"/>
      <c r="F95" s="7"/>
      <c r="G95" s="7"/>
      <c r="H95" s="7"/>
      <c r="I95" s="7"/>
      <c r="J95" s="7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71" t="s">
        <v>154</v>
      </c>
      <c r="B96" s="3" t="str">
        <f>B86</f>
        <v>وحدة علوية  زاوية 90</v>
      </c>
      <c r="C96" s="24">
        <f>C94+1</f>
        <v>9</v>
      </c>
      <c r="D96" s="24" t="str">
        <f>D82</f>
        <v>ظهر</v>
      </c>
      <c r="E96" s="24" t="s">
        <v>119</v>
      </c>
      <c r="F96" s="24">
        <f>I79-2</f>
        <v>68</v>
      </c>
      <c r="G96" s="24">
        <f>H79-2</f>
        <v>-2</v>
      </c>
      <c r="H96" s="24">
        <f>1*C77</f>
        <v>1</v>
      </c>
      <c r="I96" s="24">
        <f>HLOOKUP(D96, materials[], 2,FALSE)</f>
        <v>2</v>
      </c>
      <c r="J96" s="24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71" t="s">
        <v>154</v>
      </c>
      <c r="B97" s="3" t="str">
        <f>B86</f>
        <v>وحدة علوية  زاوية 90</v>
      </c>
      <c r="C97" s="24">
        <f>C96+1</f>
        <v>10</v>
      </c>
      <c r="D97" s="24" t="str">
        <f>D82</f>
        <v>ظهر</v>
      </c>
      <c r="E97" s="24" t="s">
        <v>120</v>
      </c>
      <c r="F97" s="24">
        <f>I80-2</f>
        <v>68</v>
      </c>
      <c r="G97" s="24">
        <f>H80-2</f>
        <v>-2</v>
      </c>
      <c r="H97" s="24">
        <f>1*C77</f>
        <v>1</v>
      </c>
      <c r="I97" s="24">
        <f>HLOOKUP(D97, materials[], 2,FALSE)</f>
        <v>2</v>
      </c>
      <c r="J97" s="24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71" t="s">
        <v>150</v>
      </c>
      <c r="C98" s="1"/>
      <c r="D98" s="1"/>
      <c r="E98" s="1"/>
      <c r="F98" s="1"/>
      <c r="G98" s="1"/>
      <c r="H98" s="1"/>
      <c r="I98" s="1"/>
      <c r="J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71" t="s">
        <v>150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36" x14ac:dyDescent="0.3">
      <c r="A100" s="71" cm="1">
        <f t="array" ref="A100">upperBlockTypes[وحدة علوية  ركنة 45]</f>
        <v>5</v>
      </c>
      <c r="C100" s="16">
        <v>1</v>
      </c>
      <c r="D100" s="30" t="s">
        <v>71</v>
      </c>
      <c r="E100" s="110" t="str">
        <f>upperBlockTypes[[#Headers],[وحدة علوية  ركنة 45]]</f>
        <v>وحدة علوية  ركنة 45</v>
      </c>
      <c r="F100" s="111"/>
      <c r="G100" s="111"/>
      <c r="H100" s="112"/>
      <c r="I100" s="2" t="s">
        <v>42</v>
      </c>
      <c r="J100" s="2">
        <f>A100</f>
        <v>5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31.2" x14ac:dyDescent="0.3">
      <c r="A101" s="71" t="s">
        <v>151</v>
      </c>
      <c r="C101" s="9"/>
      <c r="D101" s="9" t="s">
        <v>19</v>
      </c>
      <c r="E101" s="9"/>
      <c r="F101" s="9" t="s">
        <v>17</v>
      </c>
      <c r="G101" s="9" t="s">
        <v>133</v>
      </c>
      <c r="H101" s="9" t="s">
        <v>34</v>
      </c>
      <c r="I101" s="9" t="s">
        <v>3</v>
      </c>
      <c r="J101" s="9" t="s">
        <v>128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ht="15.6" x14ac:dyDescent="0.3">
      <c r="A102" s="71" t="s">
        <v>151</v>
      </c>
      <c r="C102" s="10"/>
      <c r="D102" s="10">
        <v>1</v>
      </c>
      <c r="E102" s="10"/>
      <c r="F102" s="43">
        <f>INDEX(upperCommon[[#All],[Column1]],MATCH(F101,upperCommon[[#All],[Column2]],0))</f>
        <v>3.5</v>
      </c>
      <c r="G102" s="43">
        <f>INDEX(upperCommon[[#All],[Column1]],MATCH(G101,upperCommon[[#All],[Column2]],0))</f>
        <v>0</v>
      </c>
      <c r="H102" s="10"/>
      <c r="I102" s="43">
        <f>INDEX(upperCommon[[#All],[Column1]],MATCH(I101,upperCommon[[#All],[Column2]],0))</f>
        <v>70</v>
      </c>
      <c r="J102" s="43">
        <f>INDEX(upperCommon[[#All],[Column1]],MATCH(J101,upperCommon[[#All],[Column2]],0))</f>
        <v>30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15.6" x14ac:dyDescent="0.3">
      <c r="A103" s="71" t="s">
        <v>151</v>
      </c>
      <c r="C103" s="10"/>
      <c r="D103" s="10"/>
      <c r="E103" s="10"/>
      <c r="F103" s="119" t="b">
        <f>NOT(AND(F102&gt;0,G102&gt;0))</f>
        <v>1</v>
      </c>
      <c r="G103" s="119"/>
      <c r="H103" s="10"/>
      <c r="I103" s="43">
        <f>INDEX(upperCommon[[#All],[Column1]],MATCH(I101,upperCommon[[#All],[Column2]],0))</f>
        <v>70</v>
      </c>
      <c r="J103" s="43">
        <f>INDEX(upperCommon[[#All],[Column1]],MATCH(J101,upperCommon[[#All],[Column2]],0))</f>
        <v>30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71" t="s">
        <v>151</v>
      </c>
      <c r="C104" s="10"/>
      <c r="D104" s="10"/>
      <c r="E104" s="10"/>
      <c r="F104" s="122" t="str">
        <f>IF(F103,"المقابض مظبوطة","مينفعش مقبض مخفي مع بيلت ان")</f>
        <v>المقابض مظبوطة</v>
      </c>
      <c r="G104" s="122"/>
      <c r="H104" s="10"/>
      <c r="I104" s="10"/>
      <c r="J104" s="10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31.2" x14ac:dyDescent="0.3">
      <c r="A105" s="71" t="s">
        <v>151</v>
      </c>
      <c r="C105" s="10"/>
      <c r="D105" s="43" t="str">
        <f>INDEX(choosenMaterials[[#All],[Column1]],MATCH(E105,choosenMaterials[[#All],[Column2]],0))</f>
        <v>ظهر</v>
      </c>
      <c r="E105" s="9" t="s">
        <v>70</v>
      </c>
      <c r="F105" s="43" t="str">
        <f>INDEX(choosenMaterials[[#All],[Column1]],MATCH(G105,choosenMaterials[[#All],[Column2]],0))</f>
        <v>يوفيلاك</v>
      </c>
      <c r="G105" s="9" t="s">
        <v>44</v>
      </c>
      <c r="H105" s="43" t="str">
        <f>INDEX(choosenMaterials[[#All],[Column1]],MATCH(I105,choosenMaterials[[#All],[Column2]],0))</f>
        <v>HPL</v>
      </c>
      <c r="I105" s="9" t="s">
        <v>43</v>
      </c>
      <c r="J105" s="34" t="s">
        <v>126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71" t="s">
        <v>155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71" t="s">
        <v>152</v>
      </c>
      <c r="C107" s="7" t="s">
        <v>4</v>
      </c>
      <c r="D107" s="7" t="s">
        <v>9</v>
      </c>
      <c r="E107" s="7" t="s">
        <v>5</v>
      </c>
      <c r="F107" s="7" t="s">
        <v>7</v>
      </c>
      <c r="G107" s="7" t="s">
        <v>1</v>
      </c>
      <c r="H107" s="7" t="s">
        <v>6</v>
      </c>
      <c r="I107" s="7" t="s">
        <v>45</v>
      </c>
      <c r="J107" s="7" t="s">
        <v>8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15.6" customHeight="1" x14ac:dyDescent="0.3">
      <c r="A108" s="71" t="s">
        <v>155</v>
      </c>
      <c r="C108" s="7"/>
      <c r="D108" s="7"/>
      <c r="E108" s="7"/>
      <c r="F108" s="7"/>
      <c r="G108" s="7"/>
      <c r="H108" s="7"/>
      <c r="I108" s="7"/>
      <c r="J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customHeight="1" x14ac:dyDescent="0.3">
      <c r="A109" s="71" t="s">
        <v>156</v>
      </c>
      <c r="B109" s="3" t="str">
        <f>E100</f>
        <v>وحدة علوية  ركنة 45</v>
      </c>
      <c r="C109" s="7">
        <v>1</v>
      </c>
      <c r="D109" s="7" t="str">
        <f>H105</f>
        <v>HPL</v>
      </c>
      <c r="E109" s="7" t="s">
        <v>61</v>
      </c>
      <c r="F109" s="7">
        <f>H102-1.8</f>
        <v>-1.8</v>
      </c>
      <c r="G109" s="7">
        <f>H103-1.8</f>
        <v>-1.8</v>
      </c>
      <c r="H109" s="7">
        <f>1*C100</f>
        <v>1</v>
      </c>
      <c r="I109" s="7">
        <f>HLOOKUP(D109, materials[], 2,FALSE)</f>
        <v>2</v>
      </c>
      <c r="J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customHeight="1" x14ac:dyDescent="0.3">
      <c r="A110" s="71" t="s">
        <v>156</v>
      </c>
      <c r="B110" s="3" t="str">
        <f>B109</f>
        <v>وحدة علوية  ركنة 45</v>
      </c>
      <c r="C110" s="7">
        <f>C109+1</f>
        <v>2</v>
      </c>
      <c r="D110" s="7" t="str">
        <f>H105</f>
        <v>HPL</v>
      </c>
      <c r="E110" s="7" t="s">
        <v>10</v>
      </c>
      <c r="F110" s="7">
        <f>H102-1.8</f>
        <v>-1.8</v>
      </c>
      <c r="G110" s="7">
        <f>H103-1.8</f>
        <v>-1.8</v>
      </c>
      <c r="H110" s="7">
        <f>1*C100</f>
        <v>1</v>
      </c>
      <c r="I110" s="7">
        <f>HLOOKUP(D110, materials[], 2,FALSE)</f>
        <v>2</v>
      </c>
      <c r="J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71" t="s">
        <v>156</v>
      </c>
      <c r="B111" s="3" t="str">
        <f>B109</f>
        <v>وحدة علوية  ركنة 45</v>
      </c>
      <c r="C111" s="7">
        <f>C110+1</f>
        <v>3</v>
      </c>
      <c r="D111" s="7" t="str">
        <f>H105</f>
        <v>HPL</v>
      </c>
      <c r="E111" s="7" t="s">
        <v>74</v>
      </c>
      <c r="F111" s="7">
        <f>I102</f>
        <v>70</v>
      </c>
      <c r="G111" s="7">
        <f>J102</f>
        <v>30</v>
      </c>
      <c r="H111" s="7">
        <f>1*C100</f>
        <v>1</v>
      </c>
      <c r="I111" s="7">
        <f>HLOOKUP(D111, materials[], 2,FALSE)</f>
        <v>2</v>
      </c>
      <c r="J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71" t="s">
        <v>156</v>
      </c>
      <c r="B112" s="3" t="str">
        <f>B109</f>
        <v>وحدة علوية  ركنة 45</v>
      </c>
      <c r="C112" s="7">
        <f>C111+1</f>
        <v>4</v>
      </c>
      <c r="D112" s="7" t="str">
        <f>H105</f>
        <v>HPL</v>
      </c>
      <c r="E112" s="7" t="s">
        <v>75</v>
      </c>
      <c r="F112" s="7">
        <f>I103</f>
        <v>70</v>
      </c>
      <c r="G112" s="7">
        <f>J103</f>
        <v>30</v>
      </c>
      <c r="H112" s="7">
        <f>1*C100</f>
        <v>1</v>
      </c>
      <c r="I112" s="7">
        <f>HLOOKUP(D112, materials[], 2,FALSE)</f>
        <v>2</v>
      </c>
      <c r="J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71" t="s">
        <v>156</v>
      </c>
      <c r="B113" s="3" t="str">
        <f>B109</f>
        <v>وحدة علوية  ركنة 45</v>
      </c>
      <c r="C113" s="7">
        <f>C112+1</f>
        <v>5</v>
      </c>
      <c r="D113" s="7" t="str">
        <f>H105</f>
        <v>HPL</v>
      </c>
      <c r="E113" s="7" t="s">
        <v>39</v>
      </c>
      <c r="F113" s="7">
        <f>I102</f>
        <v>70</v>
      </c>
      <c r="G113" s="7">
        <v>10</v>
      </c>
      <c r="H113" s="7">
        <f>1*C100</f>
        <v>1</v>
      </c>
      <c r="I113" s="7">
        <f>HLOOKUP(D113, materials[], 2,FALSE)</f>
        <v>2</v>
      </c>
      <c r="J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71" t="s">
        <v>156</v>
      </c>
      <c r="B114" s="3" t="str">
        <f>B109</f>
        <v>وحدة علوية  ركنة 45</v>
      </c>
      <c r="C114" s="7">
        <f t="shared" ref="C114" si="6">C113+1</f>
        <v>6</v>
      </c>
      <c r="D114" s="7" t="str">
        <f>H105</f>
        <v>HPL</v>
      </c>
      <c r="E114" s="7" t="s">
        <v>18</v>
      </c>
      <c r="F114" s="7">
        <f>H102-3.8</f>
        <v>-3.8</v>
      </c>
      <c r="G114" s="7">
        <f>H103-3.8</f>
        <v>-3.8</v>
      </c>
      <c r="H114" s="7">
        <f>D102*C100</f>
        <v>1</v>
      </c>
      <c r="I114" s="7">
        <f>HLOOKUP(D114, materials[], 2,FALSE)</f>
        <v>2</v>
      </c>
      <c r="J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x14ac:dyDescent="0.3">
      <c r="A115" s="71" t="s">
        <v>155</v>
      </c>
      <c r="C115" s="7"/>
      <c r="D115" s="7"/>
      <c r="E115" s="7"/>
      <c r="F115" s="7"/>
      <c r="G115" s="7"/>
      <c r="H115" s="7"/>
      <c r="I115" s="7"/>
      <c r="J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x14ac:dyDescent="0.3">
      <c r="A116" s="71" t="s">
        <v>153</v>
      </c>
      <c r="B116" s="3" t="str">
        <f>B109</f>
        <v>وحدة علوية  ركنة 45</v>
      </c>
      <c r="C116" s="11">
        <f>C114+1</f>
        <v>7</v>
      </c>
      <c r="D116" s="11" t="str">
        <f>F105</f>
        <v>يوفيلاك</v>
      </c>
      <c r="E116" s="11" t="s">
        <v>40</v>
      </c>
      <c r="F116" s="11">
        <f>I102-0.5-F102</f>
        <v>66</v>
      </c>
      <c r="G116" s="22">
        <f>(SQRT((H102-J102)^2+(H103-J103)^2))-2</f>
        <v>40.426406871192853</v>
      </c>
      <c r="H116" s="11">
        <f>1*C100</f>
        <v>1</v>
      </c>
      <c r="I116" s="11">
        <f>HLOOKUP(D116, materials[], 2,FALSE)</f>
        <v>6</v>
      </c>
      <c r="J116" s="1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71" t="s">
        <v>155</v>
      </c>
      <c r="C117" s="7"/>
      <c r="D117" s="7"/>
      <c r="E117" s="7"/>
      <c r="F117" s="7"/>
      <c r="G117" s="7"/>
      <c r="H117" s="7"/>
      <c r="I117" s="7"/>
      <c r="J117" s="7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71" t="s">
        <v>154</v>
      </c>
      <c r="B118" s="3" t="str">
        <f>B109</f>
        <v>وحدة علوية  ركنة 45</v>
      </c>
      <c r="C118" s="24">
        <f>C116+1</f>
        <v>8</v>
      </c>
      <c r="D118" s="24" t="str">
        <f>D105</f>
        <v>ظهر</v>
      </c>
      <c r="E118" s="24" t="s">
        <v>70</v>
      </c>
      <c r="F118" s="24">
        <f>I102-2</f>
        <v>68</v>
      </c>
      <c r="G118" s="24">
        <f>H102-2</f>
        <v>-2</v>
      </c>
      <c r="H118" s="24">
        <f>1*C100</f>
        <v>1</v>
      </c>
      <c r="I118" s="24">
        <f>HLOOKUP(D118, materials[], 2,FALSE)</f>
        <v>2</v>
      </c>
      <c r="J118" s="24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71" t="s">
        <v>150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71" t="s">
        <v>150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ht="36" x14ac:dyDescent="0.3">
      <c r="A121" s="71" cm="1">
        <f t="array" ref="A121">upperBlockTypes[وحدة علوية ميكروويف دلفة /دلفتين ]</f>
        <v>6</v>
      </c>
      <c r="C121" s="16">
        <v>1</v>
      </c>
      <c r="D121" s="30" t="s">
        <v>71</v>
      </c>
      <c r="E121" s="110" t="str">
        <f>upperBlockTypes[[#Headers],[وحدة علوية ميكروويف دلفة /دلفتين ]]</f>
        <v xml:space="preserve">وحدة علوية ميكروويف دلفة /دلفتين </v>
      </c>
      <c r="F121" s="111"/>
      <c r="G121" s="111"/>
      <c r="H121" s="112"/>
      <c r="I121" s="2" t="s">
        <v>42</v>
      </c>
      <c r="J121" s="2">
        <f>A121</f>
        <v>6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ht="31.2" x14ac:dyDescent="0.3">
      <c r="A122" s="71" t="s">
        <v>151</v>
      </c>
      <c r="C122" s="9" t="s">
        <v>66</v>
      </c>
      <c r="D122" s="9" t="s">
        <v>67</v>
      </c>
      <c r="E122" s="23" t="s">
        <v>19</v>
      </c>
      <c r="F122" s="9" t="s">
        <v>17</v>
      </c>
      <c r="G122" s="9" t="s">
        <v>133</v>
      </c>
      <c r="H122" s="9" t="s">
        <v>34</v>
      </c>
      <c r="I122" s="9" t="s">
        <v>3</v>
      </c>
      <c r="J122" s="9" t="s">
        <v>128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ht="15.6" x14ac:dyDescent="0.3">
      <c r="A123" s="71" t="s">
        <v>151</v>
      </c>
      <c r="C123" s="10">
        <v>1</v>
      </c>
      <c r="D123" s="10">
        <v>0</v>
      </c>
      <c r="E123" s="10">
        <v>2</v>
      </c>
      <c r="F123" s="43">
        <f>INDEX(upperCommon[[#All],[Column1]],MATCH(F122,upperCommon[[#All],[Column2]],0))</f>
        <v>3.5</v>
      </c>
      <c r="G123" s="43">
        <f>INDEX(upperCommon[[#All],[Column1]],MATCH(G122,upperCommon[[#All],[Column2]],0))</f>
        <v>0</v>
      </c>
      <c r="H123" s="10"/>
      <c r="I123" s="43">
        <f>INDEX(upperCommon[[#All],[Column1]],MATCH(I122,upperCommon[[#All],[Column2]],0))</f>
        <v>70</v>
      </c>
      <c r="J123" s="43">
        <f>INDEX(upperCommon[[#All],[Column1]],MATCH(J122,upperCommon[[#All],[Column2]],0))</f>
        <v>30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ht="15.6" x14ac:dyDescent="0.3">
      <c r="A124" s="71" t="s">
        <v>151</v>
      </c>
      <c r="C124" s="11" t="b">
        <f>C123=0</f>
        <v>0</v>
      </c>
      <c r="D124" s="11" t="b">
        <f>D123=0</f>
        <v>1</v>
      </c>
      <c r="E124" s="9" t="s">
        <v>118</v>
      </c>
      <c r="F124" s="7" t="b">
        <f>NOT(AND(F123&gt;0,G123&gt;0))</f>
        <v>1</v>
      </c>
      <c r="G124" s="10"/>
      <c r="H124" s="7" t="b">
        <f>_xlfn.XOR(H123&lt;=50,C125=2)</f>
        <v>1</v>
      </c>
      <c r="I124" s="83"/>
      <c r="J124" s="9" t="s">
        <v>122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ht="28.8" x14ac:dyDescent="0.3">
      <c r="A125" s="71" t="s">
        <v>151</v>
      </c>
      <c r="C125" s="114">
        <f>C123+D123</f>
        <v>1</v>
      </c>
      <c r="D125" s="115"/>
      <c r="E125" s="9">
        <v>0</v>
      </c>
      <c r="F125" s="7" t="str">
        <f>IF(F124,"المقابض مظبوطة","مينفعش مقبض مخفي مع بيلت ان")</f>
        <v>المقابض مظبوطة</v>
      </c>
      <c r="G125" s="10"/>
      <c r="H125" s="7" t="str">
        <f>IF(H124,"عدد الدلف صحيح","عدد الدلف غير صحيح")</f>
        <v>عدد الدلف صحيح</v>
      </c>
      <c r="I125" s="10"/>
      <c r="J125" s="10">
        <v>32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71" t="s">
        <v>151</v>
      </c>
      <c r="C126" s="116" t="b">
        <f>C125&lt;=2</f>
        <v>1</v>
      </c>
      <c r="D126" s="117"/>
      <c r="E126" s="10"/>
      <c r="F126" s="10"/>
      <c r="G126" s="10"/>
      <c r="H126" s="10"/>
      <c r="I126" s="10"/>
      <c r="J126" s="10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ht="31.2" x14ac:dyDescent="0.3">
      <c r="A127" s="71" t="s">
        <v>151</v>
      </c>
      <c r="C127" s="10"/>
      <c r="D127" s="43" t="str">
        <f>INDEX(choosenMaterials[[#All],[Column1]],MATCH(E127,choosenMaterials[[#All],[Column2]],0))</f>
        <v>ظهر</v>
      </c>
      <c r="E127" s="9" t="s">
        <v>70</v>
      </c>
      <c r="F127" s="43" t="str">
        <f>INDEX(choosenMaterials[[#All],[Column1]],MATCH(G127,choosenMaterials[[#All],[Column2]],0))</f>
        <v>يوفيلاك</v>
      </c>
      <c r="G127" s="9" t="s">
        <v>44</v>
      </c>
      <c r="H127" s="43" t="str">
        <f>INDEX(choosenMaterials[[#All],[Column1]],MATCH(I127,choosenMaterials[[#All],[Column2]],0))</f>
        <v>HPL</v>
      </c>
      <c r="I127" s="9" t="s">
        <v>43</v>
      </c>
      <c r="J127" s="34" t="s">
        <v>126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71" t="s">
        <v>155</v>
      </c>
      <c r="C128" s="1"/>
      <c r="D128" s="1"/>
      <c r="E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71" t="s">
        <v>152</v>
      </c>
      <c r="C129" s="7" t="s">
        <v>4</v>
      </c>
      <c r="D129" s="7" t="s">
        <v>9</v>
      </c>
      <c r="E129" s="7" t="s">
        <v>5</v>
      </c>
      <c r="F129" s="7" t="s">
        <v>7</v>
      </c>
      <c r="G129" s="7" t="s">
        <v>1</v>
      </c>
      <c r="H129" s="7" t="s">
        <v>6</v>
      </c>
      <c r="I129" s="7" t="s">
        <v>45</v>
      </c>
      <c r="J129" s="7" t="s">
        <v>8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71" t="s">
        <v>155</v>
      </c>
      <c r="C130" s="7"/>
      <c r="D130" s="7"/>
      <c r="E130" s="7"/>
      <c r="F130" s="7"/>
      <c r="G130" s="7"/>
      <c r="H130" s="7"/>
      <c r="I130" s="7"/>
      <c r="J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71" t="s">
        <v>156</v>
      </c>
      <c r="B131" s="3" t="str">
        <f>E121</f>
        <v xml:space="preserve">وحدة علوية ميكروويف دلفة /دلفتين </v>
      </c>
      <c r="C131" s="7">
        <v>1</v>
      </c>
      <c r="D131" s="7" t="str">
        <f>H127</f>
        <v>HPL</v>
      </c>
      <c r="E131" s="7" t="s">
        <v>61</v>
      </c>
      <c r="F131" s="7">
        <f>H123-3.6</f>
        <v>-3.6</v>
      </c>
      <c r="G131" s="7">
        <f>J123-E125</f>
        <v>30</v>
      </c>
      <c r="H131" s="7">
        <f>1*C121</f>
        <v>1</v>
      </c>
      <c r="I131" s="7">
        <f>HLOOKUP(D131, materials[], 2,FALSE)</f>
        <v>2</v>
      </c>
      <c r="J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71" t="s">
        <v>156</v>
      </c>
      <c r="B132" s="3" t="str">
        <f>B131</f>
        <v xml:space="preserve">وحدة علوية ميكروويف دلفة /دلفتين </v>
      </c>
      <c r="C132" s="7">
        <f>C131+1</f>
        <v>2</v>
      </c>
      <c r="D132" s="7" t="str">
        <f>H127</f>
        <v>HPL</v>
      </c>
      <c r="E132" s="7" t="s">
        <v>10</v>
      </c>
      <c r="F132" s="7">
        <f>H123-3.6</f>
        <v>-3.6</v>
      </c>
      <c r="G132" s="7">
        <f>40-G123-E125</f>
        <v>40</v>
      </c>
      <c r="H132" s="7">
        <f>1*C121</f>
        <v>1</v>
      </c>
      <c r="I132" s="7">
        <f>HLOOKUP(D132, materials[], 2,FALSE)</f>
        <v>2</v>
      </c>
      <c r="J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71" t="s">
        <v>156</v>
      </c>
      <c r="B133" s="3" t="str">
        <f>B131</f>
        <v xml:space="preserve">وحدة علوية ميكروويف دلفة /دلفتين </v>
      </c>
      <c r="C133" s="7">
        <f t="shared" ref="C133:C135" si="7">C132+1</f>
        <v>3</v>
      </c>
      <c r="D133" s="7" t="str">
        <f>H127</f>
        <v>HPL</v>
      </c>
      <c r="E133" s="7" t="s">
        <v>11</v>
      </c>
      <c r="F133" s="7">
        <f>I123</f>
        <v>70</v>
      </c>
      <c r="G133" s="7">
        <f>J123</f>
        <v>30</v>
      </c>
      <c r="H133" s="7">
        <f>2*C121</f>
        <v>2</v>
      </c>
      <c r="I133" s="7">
        <f>HLOOKUP(D133, materials[], 2,FALSE)</f>
        <v>2</v>
      </c>
      <c r="J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x14ac:dyDescent="0.3">
      <c r="A134" s="71" t="s">
        <v>156</v>
      </c>
      <c r="B134" s="3" t="str">
        <f>B131</f>
        <v xml:space="preserve">وحدة علوية ميكروويف دلفة /دلفتين </v>
      </c>
      <c r="C134" s="7">
        <f t="shared" si="7"/>
        <v>4</v>
      </c>
      <c r="D134" s="7" t="str">
        <f>H127</f>
        <v>HPL</v>
      </c>
      <c r="E134" s="7" t="s">
        <v>18</v>
      </c>
      <c r="F134" s="7">
        <f>H123-3.8</f>
        <v>-3.8</v>
      </c>
      <c r="G134" s="7">
        <f>J123-5-E125</f>
        <v>25</v>
      </c>
      <c r="H134" s="7">
        <f>E123*C121</f>
        <v>2</v>
      </c>
      <c r="I134" s="7">
        <f>HLOOKUP(D134, materials[], 2,FALSE)</f>
        <v>2</v>
      </c>
      <c r="J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71" t="s">
        <v>156</v>
      </c>
      <c r="B135" s="3" t="str">
        <f>B131</f>
        <v xml:space="preserve">وحدة علوية ميكروويف دلفة /دلفتين </v>
      </c>
      <c r="C135" s="7">
        <f t="shared" si="7"/>
        <v>5</v>
      </c>
      <c r="D135" s="7" t="str">
        <f>H127</f>
        <v>HPL</v>
      </c>
      <c r="E135" s="7" t="s">
        <v>63</v>
      </c>
      <c r="F135" s="7">
        <f>H123-3.6</f>
        <v>-3.6</v>
      </c>
      <c r="G135" s="7">
        <f>J123-G123-E125</f>
        <v>30</v>
      </c>
      <c r="H135" s="7">
        <f>1*C121</f>
        <v>1</v>
      </c>
      <c r="I135" s="7">
        <f>HLOOKUP(D135, materials[], 2,FALSE)</f>
        <v>2</v>
      </c>
      <c r="J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71" t="s">
        <v>155</v>
      </c>
      <c r="C136" s="7"/>
      <c r="D136" s="7"/>
      <c r="E136" s="7"/>
      <c r="F136" s="7"/>
      <c r="G136" s="7"/>
      <c r="H136" s="7"/>
      <c r="I136" s="7"/>
      <c r="J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x14ac:dyDescent="0.3">
      <c r="A137" s="71" t="s">
        <v>153</v>
      </c>
      <c r="B137" s="3" t="str">
        <f>B131</f>
        <v xml:space="preserve">وحدة علوية ميكروويف دلفة /دلفتين </v>
      </c>
      <c r="C137" s="11">
        <f>C135+1</f>
        <v>6</v>
      </c>
      <c r="D137" s="11" t="str">
        <f>F127</f>
        <v>يوفيلاك</v>
      </c>
      <c r="E137" s="11" t="s">
        <v>64</v>
      </c>
      <c r="F137" s="11">
        <f>IF(C124,"",I123-0.5-F123)</f>
        <v>66</v>
      </c>
      <c r="G137" s="11">
        <f>IF(C124,"",(H123/C125)-0.5)</f>
        <v>-0.5</v>
      </c>
      <c r="H137" s="11">
        <f>C123*C121</f>
        <v>1</v>
      </c>
      <c r="I137" s="11">
        <f>HLOOKUP(D137, materials[], 2,FALSE)</f>
        <v>6</v>
      </c>
      <c r="J137" s="1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x14ac:dyDescent="0.3">
      <c r="A138" s="71" t="s">
        <v>153</v>
      </c>
      <c r="B138" s="3" t="str">
        <f>B131</f>
        <v xml:space="preserve">وحدة علوية ميكروويف دلفة /دلفتين </v>
      </c>
      <c r="C138" s="11">
        <f>C137+1</f>
        <v>7</v>
      </c>
      <c r="D138" s="11" t="s">
        <v>65</v>
      </c>
      <c r="E138" s="11" t="s">
        <v>83</v>
      </c>
      <c r="F138" s="11">
        <f>I123-0.5-J125</f>
        <v>37.5</v>
      </c>
      <c r="G138" s="11">
        <f>(H123/C125)-0.5</f>
        <v>-0.5</v>
      </c>
      <c r="H138" s="11">
        <f>C121*D123</f>
        <v>0</v>
      </c>
      <c r="I138" s="11"/>
      <c r="J138" s="1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71" t="s">
        <v>155</v>
      </c>
      <c r="C139" s="7"/>
      <c r="D139" s="7"/>
      <c r="E139" s="7"/>
      <c r="F139" s="7"/>
      <c r="G139" s="7"/>
      <c r="H139" s="7"/>
      <c r="I139" s="7"/>
      <c r="J139" s="7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71" t="s">
        <v>154</v>
      </c>
      <c r="B140" s="3" t="str">
        <f>B131</f>
        <v xml:space="preserve">وحدة علوية ميكروويف دلفة /دلفتين </v>
      </c>
      <c r="C140" s="24">
        <f>C138+1</f>
        <v>8</v>
      </c>
      <c r="D140" s="24" t="str">
        <f>D127</f>
        <v>ظهر</v>
      </c>
      <c r="E140" s="24" t="s">
        <v>70</v>
      </c>
      <c r="F140" s="24">
        <f>I123-2</f>
        <v>68</v>
      </c>
      <c r="G140" s="24">
        <f>H123-2</f>
        <v>-2</v>
      </c>
      <c r="H140" s="24">
        <f>1*C121</f>
        <v>1</v>
      </c>
      <c r="I140" s="24">
        <f>HLOOKUP(D140, materials[], 2,FALSE)</f>
        <v>2</v>
      </c>
      <c r="J140" s="24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x14ac:dyDescent="0.3">
      <c r="A141" s="71" t="s">
        <v>150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x14ac:dyDescent="0.3">
      <c r="A142" s="71" t="s">
        <v>150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3:81" x14ac:dyDescent="0.3"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3:81" x14ac:dyDescent="0.3"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3:81" x14ac:dyDescent="0.3"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3:81" x14ac:dyDescent="0.3"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3:81" x14ac:dyDescent="0.3"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3:81" x14ac:dyDescent="0.3"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3:81" x14ac:dyDescent="0.3"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3:81" x14ac:dyDescent="0.3"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3:81" x14ac:dyDescent="0.3"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3:81" x14ac:dyDescent="0.3"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3:81" x14ac:dyDescent="0.3"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3:81" x14ac:dyDescent="0.3"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3:81" x14ac:dyDescent="0.3"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3:81" x14ac:dyDescent="0.3"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3:81" x14ac:dyDescent="0.3"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3:81" ht="21" customHeight="1" x14ac:dyDescent="0.3">
      <c r="C160" s="109" t="s">
        <v>43</v>
      </c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6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s="5" customFormat="1" ht="18" x14ac:dyDescent="0.3">
      <c r="A162" s="71" t="s">
        <v>123</v>
      </c>
      <c r="B162" s="3" t="s">
        <v>124</v>
      </c>
      <c r="C162" s="16" t="s">
        <v>4</v>
      </c>
      <c r="D162" s="16" t="s">
        <v>9</v>
      </c>
      <c r="E162" s="16" t="s">
        <v>5</v>
      </c>
      <c r="F162" s="17" t="s">
        <v>7</v>
      </c>
      <c r="G162" s="17" t="s">
        <v>1</v>
      </c>
      <c r="H162" s="17" t="s">
        <v>6</v>
      </c>
      <c r="I162" s="17" t="s">
        <v>45</v>
      </c>
      <c r="J162" s="17" t="s">
        <v>8</v>
      </c>
      <c r="K162" s="2" t="s">
        <v>34</v>
      </c>
      <c r="L162" s="2" t="s">
        <v>3</v>
      </c>
      <c r="M162" s="2" t="s">
        <v>2</v>
      </c>
      <c r="N162" s="2" t="s">
        <v>42</v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ht="15.6" customHeight="1" x14ac:dyDescent="0.3">
      <c r="A164" s="71">
        <v>501</v>
      </c>
      <c r="B164" s="3" t="str">
        <f t="shared" ref="B164:E167" si="8">B23</f>
        <v xml:space="preserve">وحدة علوية دلفة /دلفتين </v>
      </c>
      <c r="C164" s="18">
        <f t="shared" si="8"/>
        <v>1</v>
      </c>
      <c r="D164" s="18" t="str">
        <f t="shared" si="8"/>
        <v>HPL</v>
      </c>
      <c r="E164" s="18" t="str">
        <f t="shared" si="8"/>
        <v>قرصة</v>
      </c>
      <c r="F164" s="7" t="str">
        <f>IF(K164=0, "",F23)</f>
        <v/>
      </c>
      <c r="G164" s="7" t="str">
        <f>IF(K164=0, "",G23)</f>
        <v/>
      </c>
      <c r="H164" s="7" t="str">
        <f>IF(K164=0, "",H23)</f>
        <v/>
      </c>
      <c r="I164" s="7" t="str">
        <f>IF(K164=0, "",I23)</f>
        <v/>
      </c>
      <c r="J164" s="7" t="str">
        <f>IF(K164=0, "",J23)</f>
        <v/>
      </c>
      <c r="K164" s="10">
        <f>H15</f>
        <v>0</v>
      </c>
      <c r="L164" s="10">
        <f>I15</f>
        <v>70</v>
      </c>
      <c r="M164" s="10">
        <f>J15</f>
        <v>30</v>
      </c>
      <c r="N164" s="9">
        <f>J13</f>
        <v>1</v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ht="15.6" customHeight="1" x14ac:dyDescent="0.3">
      <c r="A165" s="71">
        <f>A164+1</f>
        <v>502</v>
      </c>
      <c r="B165" s="3" t="str">
        <f t="shared" si="8"/>
        <v xml:space="preserve">وحدة علوية دلفة /دلفتين </v>
      </c>
      <c r="C165" s="18">
        <f t="shared" si="8"/>
        <v>2</v>
      </c>
      <c r="D165" s="18" t="str">
        <f t="shared" si="8"/>
        <v>HPL</v>
      </c>
      <c r="E165" s="18" t="str">
        <f t="shared" si="8"/>
        <v>قاعدة</v>
      </c>
      <c r="F165" s="7" t="str">
        <f>IF(K165=0, "",F24)</f>
        <v/>
      </c>
      <c r="G165" s="7" t="str">
        <f>IF(K165=0, "",G24)</f>
        <v/>
      </c>
      <c r="H165" s="7" t="str">
        <f>IF(K165=0, "",H24)</f>
        <v/>
      </c>
      <c r="I165" s="7" t="str">
        <f>IF(K165=0, "",I24)</f>
        <v/>
      </c>
      <c r="J165" s="7" t="str">
        <f>IF(K165=0, "",J24)</f>
        <v/>
      </c>
      <c r="K165" s="10">
        <f t="shared" ref="K165:M165" si="9">K164</f>
        <v>0</v>
      </c>
      <c r="L165" s="10">
        <f t="shared" si="9"/>
        <v>70</v>
      </c>
      <c r="M165" s="10">
        <f t="shared" si="9"/>
        <v>30</v>
      </c>
      <c r="N165" s="9">
        <f>N164</f>
        <v>1</v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ht="15.6" customHeight="1" x14ac:dyDescent="0.3">
      <c r="A166" s="71">
        <f t="shared" ref="A166:A168" si="10">A165+1</f>
        <v>503</v>
      </c>
      <c r="B166" s="3" t="str">
        <f t="shared" si="8"/>
        <v xml:space="preserve">وحدة علوية دلفة /دلفتين </v>
      </c>
      <c r="C166" s="18">
        <f t="shared" si="8"/>
        <v>3</v>
      </c>
      <c r="D166" s="18" t="str">
        <f t="shared" si="8"/>
        <v>HPL</v>
      </c>
      <c r="E166" s="18" t="str">
        <f t="shared" si="8"/>
        <v>أجناب</v>
      </c>
      <c r="F166" s="7" t="str">
        <f>IF(K166=0, "",F25)</f>
        <v/>
      </c>
      <c r="G166" s="7" t="str">
        <f>IF(K166=0, "",G25)</f>
        <v/>
      </c>
      <c r="H166" s="7" t="str">
        <f>IF(K166=0, "",H25)</f>
        <v/>
      </c>
      <c r="I166" s="7" t="str">
        <f>IF(K166=0, "",I25)</f>
        <v/>
      </c>
      <c r="J166" s="7" t="str">
        <f>IF(K166=0, "",J25)</f>
        <v/>
      </c>
      <c r="K166" s="10">
        <f t="shared" ref="K166:M166" si="11">K164</f>
        <v>0</v>
      </c>
      <c r="L166" s="10">
        <f t="shared" si="11"/>
        <v>70</v>
      </c>
      <c r="M166" s="10">
        <f t="shared" si="11"/>
        <v>30</v>
      </c>
      <c r="N166" s="9">
        <f>N164</f>
        <v>1</v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ht="15.6" customHeight="1" x14ac:dyDescent="0.3">
      <c r="A167" s="71">
        <f t="shared" si="10"/>
        <v>504</v>
      </c>
      <c r="B167" s="3" t="str">
        <f t="shared" si="8"/>
        <v xml:space="preserve">وحدة علوية دلفة /دلفتين </v>
      </c>
      <c r="C167" s="18">
        <f t="shared" si="8"/>
        <v>4</v>
      </c>
      <c r="D167" s="18" t="str">
        <f t="shared" si="8"/>
        <v>HPL</v>
      </c>
      <c r="E167" s="18" t="str">
        <f t="shared" si="8"/>
        <v>رف</v>
      </c>
      <c r="F167" s="7" t="str">
        <f>IF(K167=0, "",F26)</f>
        <v/>
      </c>
      <c r="G167" s="7" t="str">
        <f>IF(K167=0, "",G26)</f>
        <v/>
      </c>
      <c r="H167" s="7" t="str">
        <f>IF(K167=0, "",H26)</f>
        <v/>
      </c>
      <c r="I167" s="7" t="str">
        <f>IF(K167=0, "",I26)</f>
        <v/>
      </c>
      <c r="J167" s="7" t="str">
        <f>IF(K167=0, "",J26)</f>
        <v/>
      </c>
      <c r="K167" s="10">
        <f t="shared" ref="K167:M167" si="12">K164</f>
        <v>0</v>
      </c>
      <c r="L167" s="10">
        <f t="shared" si="12"/>
        <v>70</v>
      </c>
      <c r="M167" s="10">
        <f t="shared" si="12"/>
        <v>30</v>
      </c>
      <c r="N167" s="9">
        <f>N164</f>
        <v>1</v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ht="15.6" customHeight="1" x14ac:dyDescent="0.3">
      <c r="A168" s="71">
        <f t="shared" si="10"/>
        <v>505</v>
      </c>
      <c r="B168" s="3" t="str">
        <f>B26</f>
        <v xml:space="preserve">وحدة علوية دلفة /دلفتين </v>
      </c>
      <c r="C168" s="18">
        <f>C26</f>
        <v>4</v>
      </c>
      <c r="D168" s="18" t="str">
        <f>D26</f>
        <v>HPL</v>
      </c>
      <c r="E168" s="18" t="str">
        <f>E26</f>
        <v>رف</v>
      </c>
      <c r="F168" s="7" t="str">
        <f>IF(K168=0, "",F26)</f>
        <v/>
      </c>
      <c r="G168" s="7" t="str">
        <f>IF(K168=0, "",G26)</f>
        <v/>
      </c>
      <c r="H168" s="7" t="str">
        <f>IF(K168=0, "",H26)</f>
        <v/>
      </c>
      <c r="I168" s="7" t="str">
        <f>IF(K168=0, "",I26)</f>
        <v/>
      </c>
      <c r="J168" s="7" t="str">
        <f>IF(K168=0, "",J26)</f>
        <v/>
      </c>
      <c r="K168" s="10">
        <f t="shared" ref="K168:M168" si="13">K164</f>
        <v>0</v>
      </c>
      <c r="L168" s="10">
        <f t="shared" si="13"/>
        <v>70</v>
      </c>
      <c r="M168" s="10">
        <f t="shared" si="13"/>
        <v>30</v>
      </c>
      <c r="N168" s="9">
        <f>N164</f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ht="15.6" customHeight="1" x14ac:dyDescent="0.3">
      <c r="C169" s="33"/>
      <c r="D169" s="33"/>
      <c r="E169" s="33"/>
      <c r="K169" s="14"/>
      <c r="L169" s="14"/>
      <c r="M169" s="14"/>
      <c r="N169" s="15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ht="15.6" x14ac:dyDescent="0.3">
      <c r="N170" s="4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ht="15.6" customHeight="1" x14ac:dyDescent="0.3">
      <c r="A171" s="71">
        <f>A168+1</f>
        <v>506</v>
      </c>
      <c r="B171" s="3" t="str">
        <f t="shared" ref="B171:E174" si="14">B44</f>
        <v>وحدة علوية  قلاب / 2 قلاب</v>
      </c>
      <c r="C171" s="18">
        <f t="shared" si="14"/>
        <v>1</v>
      </c>
      <c r="D171" s="18" t="str">
        <f t="shared" si="14"/>
        <v>HPL</v>
      </c>
      <c r="E171" s="18" t="str">
        <f t="shared" si="14"/>
        <v>قرصة</v>
      </c>
      <c r="F171" s="7" t="str">
        <f>IF(K171=0, "",F44)</f>
        <v/>
      </c>
      <c r="G171" s="7" t="str">
        <f>IF(K171=0, "",G44)</f>
        <v/>
      </c>
      <c r="H171" s="7" t="str">
        <f>IF(K171=0, "",H44)</f>
        <v/>
      </c>
      <c r="I171" s="7" t="str">
        <f>IF(K171=0, "",I44)</f>
        <v/>
      </c>
      <c r="J171" s="7" t="str">
        <f>IF(K171=0, "",J44)</f>
        <v/>
      </c>
      <c r="K171" s="10">
        <f>H36</f>
        <v>0</v>
      </c>
      <c r="L171" s="10">
        <f>I36</f>
        <v>70</v>
      </c>
      <c r="M171" s="10">
        <f>J36</f>
        <v>30</v>
      </c>
      <c r="N171" s="9">
        <f>J34</f>
        <v>2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ht="15.6" customHeight="1" x14ac:dyDescent="0.3">
      <c r="A172" s="71">
        <f t="shared" ref="A172:A174" si="15">A171+1</f>
        <v>507</v>
      </c>
      <c r="B172" s="3" t="str">
        <f t="shared" si="14"/>
        <v>وحدة علوية  قلاب / 2 قلاب</v>
      </c>
      <c r="C172" s="18">
        <f t="shared" si="14"/>
        <v>2</v>
      </c>
      <c r="D172" s="18" t="str">
        <f t="shared" si="14"/>
        <v>HPL</v>
      </c>
      <c r="E172" s="18" t="str">
        <f t="shared" si="14"/>
        <v>قاعدة</v>
      </c>
      <c r="F172" s="7" t="str">
        <f>IF(K172=0, "",F45)</f>
        <v/>
      </c>
      <c r="G172" s="7" t="str">
        <f>IF(K172=0, "",G45)</f>
        <v/>
      </c>
      <c r="H172" s="7" t="str">
        <f>IF(K172=0, "",H45)</f>
        <v/>
      </c>
      <c r="I172" s="7" t="str">
        <f>IF(K172=0, "",I45)</f>
        <v/>
      </c>
      <c r="J172" s="7" t="str">
        <f>IF(K172=0, "",J45)</f>
        <v/>
      </c>
      <c r="K172" s="10">
        <f>H36</f>
        <v>0</v>
      </c>
      <c r="L172" s="10">
        <f>I36</f>
        <v>70</v>
      </c>
      <c r="M172" s="10">
        <f>J36</f>
        <v>30</v>
      </c>
      <c r="N172" s="9">
        <f>J34</f>
        <v>2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ht="15.6" customHeight="1" x14ac:dyDescent="0.3">
      <c r="A173" s="71">
        <f t="shared" si="15"/>
        <v>508</v>
      </c>
      <c r="B173" s="3" t="str">
        <f t="shared" si="14"/>
        <v>وحدة علوية  قلاب / 2 قلاب</v>
      </c>
      <c r="C173" s="18">
        <f t="shared" si="14"/>
        <v>3</v>
      </c>
      <c r="D173" s="18" t="str">
        <f t="shared" si="14"/>
        <v>HPL</v>
      </c>
      <c r="E173" s="18" t="str">
        <f t="shared" si="14"/>
        <v>أجناب</v>
      </c>
      <c r="F173" s="7" t="str">
        <f>IF(K173=0, "",F46)</f>
        <v/>
      </c>
      <c r="G173" s="7" t="str">
        <f>IF(K173=0, "",G46)</f>
        <v/>
      </c>
      <c r="H173" s="7" t="str">
        <f>IF(K173=0, "",H46)</f>
        <v/>
      </c>
      <c r="I173" s="7" t="str">
        <f>IF(K173=0, "",I46)</f>
        <v/>
      </c>
      <c r="J173" s="7" t="str">
        <f>IF(K173=0, "",J46)</f>
        <v/>
      </c>
      <c r="K173" s="10">
        <f t="shared" ref="K173:M173" si="16">K171</f>
        <v>0</v>
      </c>
      <c r="L173" s="10">
        <f t="shared" si="16"/>
        <v>70</v>
      </c>
      <c r="M173" s="10">
        <f t="shared" si="16"/>
        <v>30</v>
      </c>
      <c r="N173" s="9">
        <f>N171</f>
        <v>2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ht="15.6" customHeight="1" x14ac:dyDescent="0.3">
      <c r="A174" s="71">
        <f t="shared" si="15"/>
        <v>509</v>
      </c>
      <c r="B174" s="3" t="str">
        <f t="shared" si="14"/>
        <v>وحدة علوية  قلاب / 2 قلاب</v>
      </c>
      <c r="C174" s="18">
        <f t="shared" si="14"/>
        <v>4</v>
      </c>
      <c r="D174" s="18" t="str">
        <f t="shared" si="14"/>
        <v>HPL</v>
      </c>
      <c r="E174" s="18" t="str">
        <f t="shared" si="14"/>
        <v>قاطوع</v>
      </c>
      <c r="F174" s="7" t="str">
        <f>IF(K174=0, "",F47)</f>
        <v/>
      </c>
      <c r="G174" s="7" t="str">
        <f>IF(K174=0, "",G47)</f>
        <v/>
      </c>
      <c r="H174" s="7" t="str">
        <f>IF(K174=0, "",H47)</f>
        <v/>
      </c>
      <c r="I174" s="7" t="str">
        <f>IF(K174=0, "",I47)</f>
        <v/>
      </c>
      <c r="J174" s="7" t="str">
        <f>IF(K174=0, "",J47)</f>
        <v/>
      </c>
      <c r="K174" s="10">
        <f t="shared" ref="K174:M174" si="17">K171</f>
        <v>0</v>
      </c>
      <c r="L174" s="10">
        <f t="shared" si="17"/>
        <v>70</v>
      </c>
      <c r="M174" s="10">
        <f t="shared" si="17"/>
        <v>30</v>
      </c>
      <c r="N174" s="9">
        <f>N171</f>
        <v>2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ht="15.6" customHeight="1" x14ac:dyDescent="0.3">
      <c r="A176" s="71">
        <f>A174+1</f>
        <v>510</v>
      </c>
      <c r="B176" s="3" t="str">
        <f t="shared" ref="B176:E180" si="18">B65</f>
        <v xml:space="preserve">وحدة علوية  تلبيسة دلفة /دلفتين </v>
      </c>
      <c r="C176" s="18">
        <f t="shared" si="18"/>
        <v>1</v>
      </c>
      <c r="D176" s="18" t="str">
        <f t="shared" si="18"/>
        <v>HPL</v>
      </c>
      <c r="E176" s="18" t="str">
        <f t="shared" si="18"/>
        <v>قرصة</v>
      </c>
      <c r="F176" s="7" t="str">
        <f>IF(K176=0, "",F65)</f>
        <v/>
      </c>
      <c r="G176" s="7" t="str">
        <f>IF(K176=0, "",G65)</f>
        <v/>
      </c>
      <c r="H176" s="7" t="str">
        <f>IF(K176=0, "",H65)</f>
        <v/>
      </c>
      <c r="I176" s="7" t="str">
        <f>IF(K176=0, "",I65)</f>
        <v/>
      </c>
      <c r="J176" s="7" t="str">
        <f>IF(K176=0, "",J65)</f>
        <v/>
      </c>
      <c r="K176" s="10">
        <f>H57</f>
        <v>0</v>
      </c>
      <c r="L176" s="10">
        <f>I57</f>
        <v>70</v>
      </c>
      <c r="M176" s="10">
        <f>J57</f>
        <v>30</v>
      </c>
      <c r="N176" s="9">
        <f>J55</f>
        <v>3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1:81" ht="15.6" customHeight="1" x14ac:dyDescent="0.3">
      <c r="A177" s="71">
        <f>A176+1</f>
        <v>511</v>
      </c>
      <c r="B177" s="3" t="str">
        <f t="shared" si="18"/>
        <v xml:space="preserve">وحدة علوية  تلبيسة دلفة /دلفتين </v>
      </c>
      <c r="C177" s="18">
        <f t="shared" si="18"/>
        <v>2</v>
      </c>
      <c r="D177" s="18" t="str">
        <f t="shared" si="18"/>
        <v>HPL</v>
      </c>
      <c r="E177" s="18" t="str">
        <f t="shared" si="18"/>
        <v>قاعدة</v>
      </c>
      <c r="F177" s="7" t="str">
        <f>IF(K177=0, "",F66)</f>
        <v/>
      </c>
      <c r="G177" s="7" t="str">
        <f>IF(K177=0, "",G66)</f>
        <v/>
      </c>
      <c r="H177" s="7" t="str">
        <f>IF(K177=0, "",H66)</f>
        <v/>
      </c>
      <c r="I177" s="7" t="str">
        <f>IF(K177=0, "",I66)</f>
        <v/>
      </c>
      <c r="J177" s="7" t="str">
        <f>IF(K177=0, "",J66)</f>
        <v/>
      </c>
      <c r="K177" s="10">
        <f t="shared" ref="K177:M177" si="19">K176</f>
        <v>0</v>
      </c>
      <c r="L177" s="10">
        <f t="shared" si="19"/>
        <v>70</v>
      </c>
      <c r="M177" s="10">
        <f t="shared" si="19"/>
        <v>30</v>
      </c>
      <c r="N177" s="9">
        <f>N176</f>
        <v>3</v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1:81" ht="15.6" customHeight="1" x14ac:dyDescent="0.3">
      <c r="A178" s="71">
        <f>A177+1</f>
        <v>512</v>
      </c>
      <c r="B178" s="3" t="str">
        <f t="shared" si="18"/>
        <v xml:space="preserve">وحدة علوية  تلبيسة دلفة /دلفتين </v>
      </c>
      <c r="C178" s="18">
        <f t="shared" si="18"/>
        <v>3</v>
      </c>
      <c r="D178" s="18" t="str">
        <f t="shared" si="18"/>
        <v>HPL</v>
      </c>
      <c r="E178" s="18" t="str">
        <f t="shared" si="18"/>
        <v>أجناب</v>
      </c>
      <c r="F178" s="7" t="str">
        <f>IF(K178=0, "",F67)</f>
        <v/>
      </c>
      <c r="G178" s="7" t="str">
        <f>IF(K178=0, "",G67)</f>
        <v/>
      </c>
      <c r="H178" s="7" t="str">
        <f>IF(K178=0, "",H67)</f>
        <v/>
      </c>
      <c r="I178" s="7" t="str">
        <f>IF(K178=0, "",I67)</f>
        <v/>
      </c>
      <c r="J178" s="7" t="str">
        <f>IF(K178=0, "",J67)</f>
        <v/>
      </c>
      <c r="K178" s="10">
        <f t="shared" ref="K178:M178" si="20">K176</f>
        <v>0</v>
      </c>
      <c r="L178" s="10">
        <f t="shared" si="20"/>
        <v>70</v>
      </c>
      <c r="M178" s="10">
        <f t="shared" si="20"/>
        <v>30</v>
      </c>
      <c r="N178" s="9">
        <f>N176</f>
        <v>3</v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1:81" ht="15.6" customHeight="1" x14ac:dyDescent="0.3">
      <c r="A179" s="71">
        <f t="shared" ref="A179:A180" si="21">A178+1</f>
        <v>513</v>
      </c>
      <c r="B179" s="3" t="str">
        <f t="shared" si="18"/>
        <v xml:space="preserve">وحدة علوية  تلبيسة دلفة /دلفتين </v>
      </c>
      <c r="C179" s="18">
        <f t="shared" si="18"/>
        <v>4</v>
      </c>
      <c r="D179" s="18" t="str">
        <f t="shared" si="18"/>
        <v>HPL</v>
      </c>
      <c r="E179" s="18" t="str">
        <f t="shared" si="18"/>
        <v>رف</v>
      </c>
      <c r="F179" s="7" t="str">
        <f>IF(K179=0, "",F68)</f>
        <v/>
      </c>
      <c r="G179" s="7" t="str">
        <f>IF(K179=0, "",G68)</f>
        <v/>
      </c>
      <c r="H179" s="7" t="str">
        <f>IF(K179=0, "",H68)</f>
        <v/>
      </c>
      <c r="I179" s="7" t="str">
        <f>IF(K179=0, "",I68)</f>
        <v/>
      </c>
      <c r="J179" s="7" t="str">
        <f>IF(K179=0, "",J68)</f>
        <v/>
      </c>
      <c r="K179" s="10">
        <f t="shared" ref="K179:L179" si="22">K176</f>
        <v>0</v>
      </c>
      <c r="L179" s="10">
        <f t="shared" si="22"/>
        <v>70</v>
      </c>
      <c r="M179" s="10">
        <f>M176</f>
        <v>30</v>
      </c>
      <c r="N179" s="9">
        <f>N176</f>
        <v>3</v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ht="15.6" customHeight="1" x14ac:dyDescent="0.3">
      <c r="A180" s="71">
        <f t="shared" si="21"/>
        <v>514</v>
      </c>
      <c r="B180" s="3" t="str">
        <f t="shared" si="18"/>
        <v xml:space="preserve">وحدة علوية  تلبيسة دلفة /دلفتين </v>
      </c>
      <c r="C180" s="18">
        <f t="shared" si="18"/>
        <v>5</v>
      </c>
      <c r="D180" s="18" t="str">
        <f t="shared" si="18"/>
        <v>HPL</v>
      </c>
      <c r="E180" s="18" t="str">
        <f t="shared" si="18"/>
        <v>تلبيسة</v>
      </c>
      <c r="F180" s="7" t="str">
        <f>IF(K180=0, "",F69)</f>
        <v/>
      </c>
      <c r="G180" s="7" t="str">
        <f>IF(K180=0, "",G69)</f>
        <v/>
      </c>
      <c r="H180" s="7" t="str">
        <f>IF(K180=0, "",H69)</f>
        <v/>
      </c>
      <c r="I180" s="7" t="str">
        <f>IF(K180=0, "",I69)</f>
        <v/>
      </c>
      <c r="J180" s="7" t="str">
        <f>IF(K180=0, "",J69)</f>
        <v/>
      </c>
      <c r="K180" s="10">
        <f t="shared" ref="K180:L180" si="23">K176</f>
        <v>0</v>
      </c>
      <c r="L180" s="10">
        <f t="shared" si="23"/>
        <v>70</v>
      </c>
      <c r="M180" s="10">
        <f>M176</f>
        <v>30</v>
      </c>
      <c r="N180" s="9">
        <f>N176</f>
        <v>3</v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1:81" ht="15.6" customHeight="1" x14ac:dyDescent="0.3">
      <c r="A182" s="71">
        <f>A180+1</f>
        <v>515</v>
      </c>
      <c r="B182" s="3" t="str">
        <f t="shared" ref="B182:E187" si="24">B86</f>
        <v>وحدة علوية  زاوية 90</v>
      </c>
      <c r="C182" s="18">
        <f t="shared" si="24"/>
        <v>1</v>
      </c>
      <c r="D182" s="18" t="str">
        <f t="shared" si="24"/>
        <v>HPL</v>
      </c>
      <c r="E182" s="18" t="str">
        <f t="shared" si="24"/>
        <v>قرصة</v>
      </c>
      <c r="F182" s="7" t="str">
        <f t="shared" ref="F182:F187" si="25">IF(K182=0, "",F86)</f>
        <v/>
      </c>
      <c r="G182" s="7" t="str">
        <f t="shared" ref="G182:G187" si="26">IF(K182=0, "",G86)</f>
        <v/>
      </c>
      <c r="H182" s="7" t="str">
        <f t="shared" ref="H182:H187" si="27">IF(K182=0, "",H86)</f>
        <v/>
      </c>
      <c r="I182" s="7" t="str">
        <f t="shared" ref="I182:I187" si="28">IF(K182=0, "",I86)</f>
        <v/>
      </c>
      <c r="J182" s="7" t="str">
        <f t="shared" ref="J182:J187" si="29">IF(K182=0, "",J86)</f>
        <v/>
      </c>
      <c r="K182" s="10">
        <f>H79</f>
        <v>0</v>
      </c>
      <c r="L182" s="10">
        <f>I79</f>
        <v>70</v>
      </c>
      <c r="M182" s="10">
        <f>J79</f>
        <v>30</v>
      </c>
      <c r="N182" s="9">
        <f>J77</f>
        <v>4</v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1:81" ht="15.6" customHeight="1" x14ac:dyDescent="0.3">
      <c r="A183" s="71">
        <f>A182+1</f>
        <v>516</v>
      </c>
      <c r="B183" s="3" t="str">
        <f t="shared" si="24"/>
        <v>وحدة علوية  زاوية 90</v>
      </c>
      <c r="C183" s="18">
        <f t="shared" si="24"/>
        <v>2</v>
      </c>
      <c r="D183" s="18" t="str">
        <f t="shared" si="24"/>
        <v>HPL</v>
      </c>
      <c r="E183" s="18" t="str">
        <f t="shared" si="24"/>
        <v>قاعدة</v>
      </c>
      <c r="F183" s="7" t="str">
        <f t="shared" si="25"/>
        <v/>
      </c>
      <c r="G183" s="7" t="str">
        <f t="shared" si="26"/>
        <v/>
      </c>
      <c r="H183" s="7" t="str">
        <f t="shared" si="27"/>
        <v/>
      </c>
      <c r="I183" s="7" t="str">
        <f t="shared" si="28"/>
        <v/>
      </c>
      <c r="J183" s="7" t="str">
        <f t="shared" si="29"/>
        <v/>
      </c>
      <c r="K183" s="10">
        <f t="shared" ref="K183:M183" si="30">K182</f>
        <v>0</v>
      </c>
      <c r="L183" s="10">
        <f t="shared" si="30"/>
        <v>70</v>
      </c>
      <c r="M183" s="10">
        <f t="shared" si="30"/>
        <v>30</v>
      </c>
      <c r="N183" s="9">
        <f>N182</f>
        <v>4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1:81" ht="15.6" customHeight="1" x14ac:dyDescent="0.3">
      <c r="A184" s="71">
        <f>A183+1</f>
        <v>517</v>
      </c>
      <c r="B184" s="3" t="str">
        <f t="shared" si="24"/>
        <v>وحدة علوية  زاوية 90</v>
      </c>
      <c r="C184" s="18">
        <f t="shared" si="24"/>
        <v>3</v>
      </c>
      <c r="D184" s="18" t="str">
        <f t="shared" si="24"/>
        <v>HPL</v>
      </c>
      <c r="E184" s="18" t="str">
        <f t="shared" si="24"/>
        <v>جنب 1</v>
      </c>
      <c r="F184" s="7" t="str">
        <f t="shared" si="25"/>
        <v/>
      </c>
      <c r="G184" s="7" t="str">
        <f t="shared" si="26"/>
        <v/>
      </c>
      <c r="H184" s="7" t="str">
        <f t="shared" si="27"/>
        <v/>
      </c>
      <c r="I184" s="7" t="str">
        <f t="shared" si="28"/>
        <v/>
      </c>
      <c r="J184" s="7" t="str">
        <f t="shared" si="29"/>
        <v/>
      </c>
      <c r="K184" s="10">
        <f t="shared" ref="K184:M184" si="31">K182</f>
        <v>0</v>
      </c>
      <c r="L184" s="10">
        <f t="shared" si="31"/>
        <v>70</v>
      </c>
      <c r="M184" s="10">
        <f t="shared" si="31"/>
        <v>30</v>
      </c>
      <c r="N184" s="9">
        <f>N182</f>
        <v>4</v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1:81" ht="15.6" customHeight="1" x14ac:dyDescent="0.3">
      <c r="A185" s="71">
        <f t="shared" ref="A185:A187" si="32">A184+1</f>
        <v>518</v>
      </c>
      <c r="B185" s="3" t="str">
        <f t="shared" si="24"/>
        <v>وحدة علوية  زاوية 90</v>
      </c>
      <c r="C185" s="18">
        <f t="shared" si="24"/>
        <v>4</v>
      </c>
      <c r="D185" s="18" t="str">
        <f t="shared" si="24"/>
        <v>HPL</v>
      </c>
      <c r="E185" s="18" t="str">
        <f t="shared" si="24"/>
        <v>جنب 2</v>
      </c>
      <c r="F185" s="7" t="str">
        <f t="shared" si="25"/>
        <v/>
      </c>
      <c r="G185" s="7" t="str">
        <f t="shared" si="26"/>
        <v/>
      </c>
      <c r="H185" s="7" t="str">
        <f t="shared" si="27"/>
        <v/>
      </c>
      <c r="I185" s="7" t="str">
        <f t="shared" si="28"/>
        <v/>
      </c>
      <c r="J185" s="7" t="str">
        <f t="shared" si="29"/>
        <v/>
      </c>
      <c r="K185" s="10">
        <f t="shared" ref="K185:L185" si="33">K182</f>
        <v>0</v>
      </c>
      <c r="L185" s="10">
        <f t="shared" si="33"/>
        <v>70</v>
      </c>
      <c r="M185" s="10">
        <f>M182</f>
        <v>30</v>
      </c>
      <c r="N185" s="9">
        <f>N182</f>
        <v>4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1:81" ht="15.6" customHeight="1" x14ac:dyDescent="0.3">
      <c r="A186" s="71">
        <f t="shared" si="32"/>
        <v>519</v>
      </c>
      <c r="B186" s="3" t="str">
        <f t="shared" si="24"/>
        <v>وحدة علوية  زاوية 90</v>
      </c>
      <c r="C186" s="18">
        <f t="shared" si="24"/>
        <v>5</v>
      </c>
      <c r="D186" s="18" t="str">
        <f t="shared" si="24"/>
        <v>HPL</v>
      </c>
      <c r="E186" s="18" t="str">
        <f t="shared" si="24"/>
        <v>قائم خلفى</v>
      </c>
      <c r="F186" s="7" t="str">
        <f t="shared" si="25"/>
        <v/>
      </c>
      <c r="G186" s="7" t="str">
        <f t="shared" si="26"/>
        <v/>
      </c>
      <c r="H186" s="7" t="str">
        <f t="shared" si="27"/>
        <v/>
      </c>
      <c r="I186" s="7" t="str">
        <f t="shared" si="28"/>
        <v/>
      </c>
      <c r="J186" s="7" t="str">
        <f t="shared" si="29"/>
        <v/>
      </c>
      <c r="K186" s="10">
        <f t="shared" ref="K186:L186" si="34">K182</f>
        <v>0</v>
      </c>
      <c r="L186" s="10">
        <f t="shared" si="34"/>
        <v>70</v>
      </c>
      <c r="M186" s="10">
        <f>M182</f>
        <v>30</v>
      </c>
      <c r="N186" s="9">
        <f>N182</f>
        <v>4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1:81" ht="15.6" customHeight="1" x14ac:dyDescent="0.3">
      <c r="A187" s="71">
        <f t="shared" si="32"/>
        <v>520</v>
      </c>
      <c r="B187" s="3" t="str">
        <f t="shared" si="24"/>
        <v>وحدة علوية  زاوية 90</v>
      </c>
      <c r="C187" s="18">
        <f t="shared" si="24"/>
        <v>6</v>
      </c>
      <c r="D187" s="18" t="str">
        <f t="shared" si="24"/>
        <v>HPL</v>
      </c>
      <c r="E187" s="18" t="str">
        <f t="shared" si="24"/>
        <v>رف</v>
      </c>
      <c r="F187" s="7" t="str">
        <f t="shared" si="25"/>
        <v/>
      </c>
      <c r="G187" s="7" t="str">
        <f t="shared" si="26"/>
        <v/>
      </c>
      <c r="H187" s="7" t="str">
        <f t="shared" si="27"/>
        <v/>
      </c>
      <c r="I187" s="7" t="str">
        <f t="shared" si="28"/>
        <v/>
      </c>
      <c r="J187" s="7" t="str">
        <f t="shared" si="29"/>
        <v/>
      </c>
      <c r="K187" s="10">
        <f t="shared" ref="K187:L187" si="35">K182</f>
        <v>0</v>
      </c>
      <c r="L187" s="10">
        <f t="shared" si="35"/>
        <v>70</v>
      </c>
      <c r="M187" s="10">
        <f>M182</f>
        <v>30</v>
      </c>
      <c r="N187" s="9">
        <f t="shared" ref="N187" si="36">N183</f>
        <v>4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1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1:81" ht="15.6" customHeight="1" x14ac:dyDescent="0.3">
      <c r="A189" s="71">
        <f>A187+1</f>
        <v>521</v>
      </c>
      <c r="B189" s="3" t="str">
        <f t="shared" ref="B189:E194" si="37">B109</f>
        <v>وحدة علوية  ركنة 45</v>
      </c>
      <c r="C189" s="18">
        <f t="shared" si="37"/>
        <v>1</v>
      </c>
      <c r="D189" s="18" t="str">
        <f t="shared" si="37"/>
        <v>HPL</v>
      </c>
      <c r="E189" s="18" t="str">
        <f t="shared" si="37"/>
        <v>قرصة</v>
      </c>
      <c r="F189" s="7" t="str">
        <f t="shared" ref="F189:F194" si="38">IF(K189=0, "",F109)</f>
        <v/>
      </c>
      <c r="G189" s="7" t="str">
        <f t="shared" ref="G189:G194" si="39">IF(K189=0, "",G109)</f>
        <v/>
      </c>
      <c r="H189" s="7" t="str">
        <f t="shared" ref="H189:H194" si="40">IF(K189=0, "",H109)</f>
        <v/>
      </c>
      <c r="I189" s="7" t="str">
        <f t="shared" ref="I189:I194" si="41">IF(K189=0, "",I109)</f>
        <v/>
      </c>
      <c r="J189" s="7" t="str">
        <f t="shared" ref="J189:J194" si="42">IF(K189=0, "",J109)</f>
        <v/>
      </c>
      <c r="K189" s="10">
        <f>H102</f>
        <v>0</v>
      </c>
      <c r="L189" s="10">
        <f>I102</f>
        <v>70</v>
      </c>
      <c r="M189" s="10">
        <f>J102</f>
        <v>30</v>
      </c>
      <c r="N189" s="9">
        <f>J100</f>
        <v>5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1:81" ht="15.6" customHeight="1" x14ac:dyDescent="0.3">
      <c r="A190" s="71">
        <f>A189+1</f>
        <v>522</v>
      </c>
      <c r="B190" s="3" t="str">
        <f t="shared" si="37"/>
        <v>وحدة علوية  ركنة 45</v>
      </c>
      <c r="C190" s="18">
        <f t="shared" si="37"/>
        <v>2</v>
      </c>
      <c r="D190" s="18" t="str">
        <f t="shared" si="37"/>
        <v>HPL</v>
      </c>
      <c r="E190" s="18" t="str">
        <f t="shared" si="37"/>
        <v>قاعدة</v>
      </c>
      <c r="F190" s="7" t="str">
        <f t="shared" si="38"/>
        <v/>
      </c>
      <c r="G190" s="7" t="str">
        <f t="shared" si="39"/>
        <v/>
      </c>
      <c r="H190" s="7" t="str">
        <f t="shared" si="40"/>
        <v/>
      </c>
      <c r="I190" s="7" t="str">
        <f t="shared" si="41"/>
        <v/>
      </c>
      <c r="J190" s="7" t="str">
        <f t="shared" si="42"/>
        <v/>
      </c>
      <c r="K190" s="10">
        <f t="shared" ref="K190:M190" si="43">K189</f>
        <v>0</v>
      </c>
      <c r="L190" s="10">
        <f t="shared" si="43"/>
        <v>70</v>
      </c>
      <c r="M190" s="10">
        <f t="shared" si="43"/>
        <v>30</v>
      </c>
      <c r="N190" s="9">
        <f>N189</f>
        <v>5</v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1:81" ht="15.6" customHeight="1" x14ac:dyDescent="0.3">
      <c r="A191" s="71">
        <f>A190+1</f>
        <v>523</v>
      </c>
      <c r="B191" s="3" t="str">
        <f t="shared" si="37"/>
        <v>وحدة علوية  ركنة 45</v>
      </c>
      <c r="C191" s="18">
        <f t="shared" si="37"/>
        <v>3</v>
      </c>
      <c r="D191" s="18" t="str">
        <f t="shared" si="37"/>
        <v>HPL</v>
      </c>
      <c r="E191" s="18" t="str">
        <f t="shared" si="37"/>
        <v>جنب 1</v>
      </c>
      <c r="F191" s="7" t="str">
        <f t="shared" si="38"/>
        <v/>
      </c>
      <c r="G191" s="7" t="str">
        <f t="shared" si="39"/>
        <v/>
      </c>
      <c r="H191" s="7" t="str">
        <f t="shared" si="40"/>
        <v/>
      </c>
      <c r="I191" s="7" t="str">
        <f t="shared" si="41"/>
        <v/>
      </c>
      <c r="J191" s="7" t="str">
        <f t="shared" si="42"/>
        <v/>
      </c>
      <c r="K191" s="10">
        <f t="shared" ref="K191:M191" si="44">K189</f>
        <v>0</v>
      </c>
      <c r="L191" s="10">
        <f t="shared" si="44"/>
        <v>70</v>
      </c>
      <c r="M191" s="10">
        <f t="shared" si="44"/>
        <v>30</v>
      </c>
      <c r="N191" s="9">
        <f>N189</f>
        <v>5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  <row r="192" spans="1:81" ht="15.6" customHeight="1" x14ac:dyDescent="0.3">
      <c r="A192" s="71">
        <f t="shared" ref="A192:A194" si="45">A191+1</f>
        <v>524</v>
      </c>
      <c r="B192" s="3" t="str">
        <f t="shared" si="37"/>
        <v>وحدة علوية  ركنة 45</v>
      </c>
      <c r="C192" s="18">
        <f t="shared" si="37"/>
        <v>4</v>
      </c>
      <c r="D192" s="18" t="str">
        <f t="shared" si="37"/>
        <v>HPL</v>
      </c>
      <c r="E192" s="18" t="str">
        <f t="shared" si="37"/>
        <v>جنب 2</v>
      </c>
      <c r="F192" s="7" t="str">
        <f t="shared" si="38"/>
        <v/>
      </c>
      <c r="G192" s="7" t="str">
        <f t="shared" si="39"/>
        <v/>
      </c>
      <c r="H192" s="7" t="str">
        <f t="shared" si="40"/>
        <v/>
      </c>
      <c r="I192" s="7" t="str">
        <f t="shared" si="41"/>
        <v/>
      </c>
      <c r="J192" s="7" t="str">
        <f t="shared" si="42"/>
        <v/>
      </c>
      <c r="K192" s="10">
        <f t="shared" ref="K192:L192" si="46">K189</f>
        <v>0</v>
      </c>
      <c r="L192" s="10">
        <f t="shared" si="46"/>
        <v>70</v>
      </c>
      <c r="M192" s="10">
        <f>M189</f>
        <v>30</v>
      </c>
      <c r="N192" s="9">
        <f>N189</f>
        <v>5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</row>
    <row r="193" spans="1:81" ht="15.6" customHeight="1" x14ac:dyDescent="0.3">
      <c r="A193" s="71">
        <f t="shared" si="45"/>
        <v>525</v>
      </c>
      <c r="B193" s="3" t="str">
        <f t="shared" si="37"/>
        <v>وحدة علوية  ركنة 45</v>
      </c>
      <c r="C193" s="18">
        <f t="shared" si="37"/>
        <v>5</v>
      </c>
      <c r="D193" s="18" t="str">
        <f t="shared" si="37"/>
        <v>HPL</v>
      </c>
      <c r="E193" s="18" t="str">
        <f t="shared" si="37"/>
        <v>قائم خلفى</v>
      </c>
      <c r="F193" s="7" t="str">
        <f t="shared" si="38"/>
        <v/>
      </c>
      <c r="G193" s="7" t="str">
        <f t="shared" si="39"/>
        <v/>
      </c>
      <c r="H193" s="7" t="str">
        <f t="shared" si="40"/>
        <v/>
      </c>
      <c r="I193" s="7" t="str">
        <f t="shared" si="41"/>
        <v/>
      </c>
      <c r="J193" s="7" t="str">
        <f t="shared" si="42"/>
        <v/>
      </c>
      <c r="K193" s="10">
        <f t="shared" ref="K193:L193" si="47">K189</f>
        <v>0</v>
      </c>
      <c r="L193" s="10">
        <f t="shared" si="47"/>
        <v>70</v>
      </c>
      <c r="M193" s="10">
        <f>M189</f>
        <v>30</v>
      </c>
      <c r="N193" s="9">
        <f>N189</f>
        <v>5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</row>
    <row r="194" spans="1:81" ht="15.6" customHeight="1" x14ac:dyDescent="0.3">
      <c r="A194" s="71">
        <f t="shared" si="45"/>
        <v>526</v>
      </c>
      <c r="B194" s="3" t="str">
        <f t="shared" si="37"/>
        <v>وحدة علوية  ركنة 45</v>
      </c>
      <c r="C194" s="18">
        <f t="shared" si="37"/>
        <v>6</v>
      </c>
      <c r="D194" s="18" t="str">
        <f t="shared" si="37"/>
        <v>HPL</v>
      </c>
      <c r="E194" s="18" t="str">
        <f t="shared" si="37"/>
        <v>رف</v>
      </c>
      <c r="F194" s="7" t="str">
        <f t="shared" si="38"/>
        <v/>
      </c>
      <c r="G194" s="7" t="str">
        <f t="shared" si="39"/>
        <v/>
      </c>
      <c r="H194" s="7" t="str">
        <f t="shared" si="40"/>
        <v/>
      </c>
      <c r="I194" s="7" t="str">
        <f t="shared" si="41"/>
        <v/>
      </c>
      <c r="J194" s="7" t="str">
        <f t="shared" si="42"/>
        <v/>
      </c>
      <c r="K194" s="10">
        <f t="shared" ref="K194:L194" si="48">K189</f>
        <v>0</v>
      </c>
      <c r="L194" s="10">
        <f t="shared" si="48"/>
        <v>70</v>
      </c>
      <c r="M194" s="10">
        <f>M189</f>
        <v>30</v>
      </c>
      <c r="N194" s="9">
        <f t="shared" ref="N194" si="49">N190</f>
        <v>5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x14ac:dyDescent="0.3"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ht="15.6" x14ac:dyDescent="0.3">
      <c r="A196" s="71">
        <f>A194+1</f>
        <v>527</v>
      </c>
      <c r="B196" s="3" t="str">
        <f t="shared" ref="B196:E200" si="50">B131</f>
        <v xml:space="preserve">وحدة علوية ميكروويف دلفة /دلفتين </v>
      </c>
      <c r="C196" s="18">
        <f t="shared" si="50"/>
        <v>1</v>
      </c>
      <c r="D196" s="18" t="str">
        <f t="shared" si="50"/>
        <v>HPL</v>
      </c>
      <c r="E196" s="18" t="str">
        <f t="shared" si="50"/>
        <v>قرصة</v>
      </c>
      <c r="F196" s="7" t="str">
        <f>IF(K196=0, "",F131)</f>
        <v/>
      </c>
      <c r="G196" s="7" t="str">
        <f>IF(K196=0, "",G131)</f>
        <v/>
      </c>
      <c r="H196" s="7" t="str">
        <f>IF(K196=0, "",H131)</f>
        <v/>
      </c>
      <c r="I196" s="7" t="str">
        <f>IF(K196=0, "",I131)</f>
        <v/>
      </c>
      <c r="J196" s="7" t="str">
        <f>IF(K196=0, "",J131)</f>
        <v/>
      </c>
      <c r="K196" s="10">
        <f>H123</f>
        <v>0</v>
      </c>
      <c r="L196" s="10">
        <f>I123</f>
        <v>70</v>
      </c>
      <c r="M196" s="10">
        <f>J123</f>
        <v>30</v>
      </c>
      <c r="N196" s="9">
        <f>J121</f>
        <v>6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ht="15.6" x14ac:dyDescent="0.3">
      <c r="A197" s="71">
        <f>A196+1</f>
        <v>528</v>
      </c>
      <c r="B197" s="3" t="str">
        <f t="shared" si="50"/>
        <v xml:space="preserve">وحدة علوية ميكروويف دلفة /دلفتين </v>
      </c>
      <c r="C197" s="18">
        <f t="shared" si="50"/>
        <v>2</v>
      </c>
      <c r="D197" s="18" t="str">
        <f t="shared" si="50"/>
        <v>HPL</v>
      </c>
      <c r="E197" s="18" t="str">
        <f t="shared" si="50"/>
        <v>قاعدة</v>
      </c>
      <c r="F197" s="7" t="str">
        <f>IF(K197=0, "",F132)</f>
        <v/>
      </c>
      <c r="G197" s="7" t="str">
        <f>IF(K197=0, "",G132)</f>
        <v/>
      </c>
      <c r="H197" s="7" t="str">
        <f>IF(K197=0, "",H132)</f>
        <v/>
      </c>
      <c r="I197" s="7" t="str">
        <f>IF(K197=0, "",I132)</f>
        <v/>
      </c>
      <c r="J197" s="7" t="str">
        <f>IF(K197=0, "",J132)</f>
        <v/>
      </c>
      <c r="K197" s="10">
        <f t="shared" ref="K197:M197" si="51">K196</f>
        <v>0</v>
      </c>
      <c r="L197" s="10">
        <f t="shared" si="51"/>
        <v>70</v>
      </c>
      <c r="M197" s="10">
        <f t="shared" si="51"/>
        <v>30</v>
      </c>
      <c r="N197" s="9">
        <f t="shared" ref="N197" si="52">N196</f>
        <v>6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</row>
    <row r="198" spans="1:81" ht="15.6" x14ac:dyDescent="0.3">
      <c r="A198" s="71">
        <f>A197+1</f>
        <v>529</v>
      </c>
      <c r="B198" s="3" t="str">
        <f t="shared" si="50"/>
        <v xml:space="preserve">وحدة علوية ميكروويف دلفة /دلفتين </v>
      </c>
      <c r="C198" s="18">
        <f t="shared" si="50"/>
        <v>3</v>
      </c>
      <c r="D198" s="18" t="str">
        <f t="shared" si="50"/>
        <v>HPL</v>
      </c>
      <c r="E198" s="18" t="str">
        <f t="shared" si="50"/>
        <v>أجناب</v>
      </c>
      <c r="F198" s="7" t="str">
        <f>IF(K198=0, "",F133)</f>
        <v/>
      </c>
      <c r="G198" s="7" t="str">
        <f>IF(K198=0, "",G133)</f>
        <v/>
      </c>
      <c r="H198" s="7" t="str">
        <f>IF(K198=0, "",H133)</f>
        <v/>
      </c>
      <c r="I198" s="7" t="str">
        <f>IF(K198=0, "",I133)</f>
        <v/>
      </c>
      <c r="J198" s="7" t="str">
        <f>IF(K198=0, "",J133)</f>
        <v/>
      </c>
      <c r="K198" s="10">
        <f t="shared" ref="K198:M198" si="53">K196</f>
        <v>0</v>
      </c>
      <c r="L198" s="10">
        <f t="shared" si="53"/>
        <v>70</v>
      </c>
      <c r="M198" s="10">
        <f t="shared" si="53"/>
        <v>30</v>
      </c>
      <c r="N198" s="9">
        <f t="shared" ref="N198" si="54">N196</f>
        <v>6</v>
      </c>
      <c r="P198" s="1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</row>
    <row r="199" spans="1:81" ht="15.6" x14ac:dyDescent="0.3">
      <c r="A199" s="71">
        <f t="shared" ref="A199:A200" si="55">A198+1</f>
        <v>530</v>
      </c>
      <c r="B199" s="3" t="str">
        <f t="shared" si="50"/>
        <v xml:space="preserve">وحدة علوية ميكروويف دلفة /دلفتين </v>
      </c>
      <c r="C199" s="18">
        <f t="shared" si="50"/>
        <v>4</v>
      </c>
      <c r="D199" s="18" t="str">
        <f t="shared" si="50"/>
        <v>HPL</v>
      </c>
      <c r="E199" s="18" t="str">
        <f t="shared" si="50"/>
        <v>رف</v>
      </c>
      <c r="F199" s="7" t="str">
        <f>IF(K199=0, "",F134)</f>
        <v/>
      </c>
      <c r="G199" s="7" t="str">
        <f>IF(K199=0, "",G134)</f>
        <v/>
      </c>
      <c r="H199" s="7" t="str">
        <f>IF(K199=0, "",H134)</f>
        <v/>
      </c>
      <c r="I199" s="7" t="str">
        <f>IF(K199=0, "",I134)</f>
        <v/>
      </c>
      <c r="J199" s="7" t="str">
        <f>IF(K199=0, "",J134)</f>
        <v/>
      </c>
      <c r="K199" s="10">
        <f t="shared" ref="K199:L199" si="56">K196</f>
        <v>0</v>
      </c>
      <c r="L199" s="10">
        <f t="shared" si="56"/>
        <v>70</v>
      </c>
      <c r="M199" s="10">
        <f>M196</f>
        <v>30</v>
      </c>
      <c r="N199" s="9">
        <f>N196</f>
        <v>6</v>
      </c>
      <c r="P199" s="1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</row>
    <row r="200" spans="1:81" ht="15.6" x14ac:dyDescent="0.3">
      <c r="A200" s="71">
        <f t="shared" si="55"/>
        <v>531</v>
      </c>
      <c r="B200" s="3" t="str">
        <f t="shared" si="50"/>
        <v xml:space="preserve">وحدة علوية ميكروويف دلفة /دلفتين </v>
      </c>
      <c r="C200" s="18">
        <f t="shared" si="50"/>
        <v>5</v>
      </c>
      <c r="D200" s="18" t="str">
        <f t="shared" si="50"/>
        <v>HPL</v>
      </c>
      <c r="E200" s="18" t="str">
        <f t="shared" si="50"/>
        <v>قاطوع</v>
      </c>
      <c r="F200" s="7" t="str">
        <f>IF(K200=0, "",F135)</f>
        <v/>
      </c>
      <c r="G200" s="7" t="str">
        <f>IF(K200=0, "",G135)</f>
        <v/>
      </c>
      <c r="H200" s="7" t="str">
        <f>IF(K200=0, "",H135)</f>
        <v/>
      </c>
      <c r="I200" s="7" t="str">
        <f>IF(K200=0, "",I135)</f>
        <v/>
      </c>
      <c r="J200" s="7" t="str">
        <f>IF(K200=0, "",J135)</f>
        <v/>
      </c>
      <c r="K200" s="10">
        <f t="shared" ref="K200:L200" si="57">K196</f>
        <v>0</v>
      </c>
      <c r="L200" s="10">
        <f t="shared" si="57"/>
        <v>70</v>
      </c>
      <c r="M200" s="10">
        <f>M196</f>
        <v>30</v>
      </c>
      <c r="N200" s="9">
        <f>N196</f>
        <v>6</v>
      </c>
      <c r="P200" s="1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</row>
    <row r="201" spans="1:81" ht="15.6" x14ac:dyDescent="0.3">
      <c r="P201" s="19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</row>
    <row r="202" spans="1:81" ht="15.6" x14ac:dyDescent="0.3">
      <c r="P202" s="19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</row>
    <row r="203" spans="1:81" ht="15.6" x14ac:dyDescent="0.3">
      <c r="P203" s="19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</row>
    <row r="204" spans="1:81" ht="21" customHeight="1" x14ac:dyDescent="0.3">
      <c r="C204" s="109" t="s">
        <v>44</v>
      </c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P204" s="19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</row>
    <row r="205" spans="1:81" ht="15.6" x14ac:dyDescent="0.3">
      <c r="P205" s="19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</row>
    <row r="206" spans="1:81" ht="18" x14ac:dyDescent="0.3">
      <c r="A206" s="71" t="s">
        <v>123</v>
      </c>
      <c r="B206" s="3" t="s">
        <v>124</v>
      </c>
      <c r="C206" s="16" t="s">
        <v>4</v>
      </c>
      <c r="D206" s="16" t="s">
        <v>9</v>
      </c>
      <c r="E206" s="16" t="s">
        <v>5</v>
      </c>
      <c r="F206" s="17" t="s">
        <v>7</v>
      </c>
      <c r="G206" s="17" t="s">
        <v>1</v>
      </c>
      <c r="H206" s="17" t="s">
        <v>6</v>
      </c>
      <c r="I206" s="17" t="s">
        <v>45</v>
      </c>
      <c r="J206" s="17" t="s">
        <v>8</v>
      </c>
      <c r="K206" s="2" t="s">
        <v>34</v>
      </c>
      <c r="L206" s="2" t="s">
        <v>3</v>
      </c>
      <c r="M206" s="2" t="s">
        <v>2</v>
      </c>
      <c r="N206" s="2" t="s">
        <v>42</v>
      </c>
      <c r="P206" s="19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</row>
    <row r="207" spans="1:81" ht="15.6" x14ac:dyDescent="0.3">
      <c r="P207" s="19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</row>
    <row r="208" spans="1:81" ht="15.6" x14ac:dyDescent="0.3">
      <c r="A208" s="71">
        <v>500</v>
      </c>
      <c r="B208" s="3" t="str">
        <f>B28</f>
        <v xml:space="preserve">وحدة علوية دلفة /دلفتين </v>
      </c>
      <c r="C208" s="18">
        <f>C28</f>
        <v>5</v>
      </c>
      <c r="D208" s="18" t="str">
        <f>D28</f>
        <v>يوفيلاك</v>
      </c>
      <c r="E208" s="18" t="str">
        <f>E28</f>
        <v>دلفه خشب</v>
      </c>
      <c r="F208" s="7" t="str">
        <f>IF(K208=0, "",F28)</f>
        <v/>
      </c>
      <c r="G208" s="7" t="str">
        <f>IF(K208=0, "",G28)</f>
        <v/>
      </c>
      <c r="H208" s="7" t="str">
        <f>IF(K208=0, "",H28)</f>
        <v/>
      </c>
      <c r="I208" s="7" t="str">
        <f>IF(K208=0, "",H15)</f>
        <v/>
      </c>
      <c r="J208" s="7" t="str">
        <f>IF(K208=0, "",J23)</f>
        <v/>
      </c>
      <c r="K208" s="10">
        <f>H15</f>
        <v>0</v>
      </c>
      <c r="L208" s="10">
        <f>I15</f>
        <v>70</v>
      </c>
      <c r="M208" s="10">
        <f>J15</f>
        <v>30</v>
      </c>
      <c r="N208" s="9">
        <f>J13</f>
        <v>1</v>
      </c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</row>
    <row r="209" spans="1:81" ht="15.6" x14ac:dyDescent="0.3">
      <c r="A209" s="71">
        <f>A208+1</f>
        <v>501</v>
      </c>
      <c r="B209" s="3" t="str">
        <f>B49</f>
        <v>وحدة علوية  قلاب / 2 قلاب</v>
      </c>
      <c r="C209" s="18">
        <f>C49</f>
        <v>5</v>
      </c>
      <c r="D209" s="18" t="str">
        <f>D49</f>
        <v>يوفيلاك</v>
      </c>
      <c r="E209" s="18" t="str">
        <f>E49</f>
        <v>دلفة قلاب خشب</v>
      </c>
      <c r="F209" s="7" t="str">
        <f>IF(K209=0, "",F49)</f>
        <v/>
      </c>
      <c r="G209" s="7" t="str">
        <f>IF(K209=0, "",G49)</f>
        <v/>
      </c>
      <c r="H209" s="7" t="str">
        <f>IF(K209=0, "",H49)</f>
        <v/>
      </c>
      <c r="I209" s="7" t="str">
        <f>IF(K209=0, "",I49)</f>
        <v/>
      </c>
      <c r="J209" s="7" t="str">
        <f>IF(K209=0, "",J49)</f>
        <v/>
      </c>
      <c r="K209" s="10">
        <f>H36</f>
        <v>0</v>
      </c>
      <c r="L209" s="10">
        <f>I36</f>
        <v>70</v>
      </c>
      <c r="M209" s="10">
        <f>J36</f>
        <v>30</v>
      </c>
      <c r="N209" s="9">
        <f>J34</f>
        <v>2</v>
      </c>
      <c r="P209" s="19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</row>
    <row r="210" spans="1:81" ht="15.6" x14ac:dyDescent="0.3">
      <c r="A210" s="71">
        <f>A209+1</f>
        <v>502</v>
      </c>
      <c r="B210" s="3" t="str">
        <f t="shared" ref="B210:E211" si="58">B71</f>
        <v xml:space="preserve">وحدة علوية  تلبيسة دلفة /دلفتين </v>
      </c>
      <c r="C210" s="18">
        <f t="shared" si="58"/>
        <v>6</v>
      </c>
      <c r="D210" s="18" t="str">
        <f t="shared" si="58"/>
        <v>يوفيلاك</v>
      </c>
      <c r="E210" s="18" t="str">
        <f t="shared" si="58"/>
        <v xml:space="preserve">دلف </v>
      </c>
      <c r="F210" s="7" t="str">
        <f>IF(K210=0, "",F71)</f>
        <v/>
      </c>
      <c r="G210" s="7" t="str">
        <f>IF(K210=0, "",G71)</f>
        <v/>
      </c>
      <c r="H210" s="7" t="str">
        <f>IF(K210=0, "",H71)</f>
        <v/>
      </c>
      <c r="I210" s="7" t="str">
        <f>IF(K210=0, "",I71)</f>
        <v/>
      </c>
      <c r="J210" s="7" t="str">
        <f>IF(K210=0, "",J71)</f>
        <v/>
      </c>
      <c r="K210" s="10">
        <f>H57</f>
        <v>0</v>
      </c>
      <c r="L210" s="10">
        <f>I57</f>
        <v>70</v>
      </c>
      <c r="M210" s="10">
        <f>J57</f>
        <v>30</v>
      </c>
      <c r="N210" s="9">
        <f>J55</f>
        <v>3</v>
      </c>
      <c r="P210" s="19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ht="15.6" x14ac:dyDescent="0.3">
      <c r="A211" s="71">
        <f t="shared" ref="A211:A215" si="59">A210+1</f>
        <v>503</v>
      </c>
      <c r="B211" s="3" t="str">
        <f t="shared" si="58"/>
        <v xml:space="preserve">وحدة علوية  تلبيسة دلفة /دلفتين </v>
      </c>
      <c r="C211" s="18">
        <f t="shared" si="58"/>
        <v>7</v>
      </c>
      <c r="D211" s="18" t="str">
        <f t="shared" si="58"/>
        <v>يوفيلاك</v>
      </c>
      <c r="E211" s="18" t="str">
        <f t="shared" si="58"/>
        <v>تلبييسة ثابتة</v>
      </c>
      <c r="F211" s="7" t="str">
        <f>IF(K211=0, "",F72)</f>
        <v/>
      </c>
      <c r="G211" s="7" t="str">
        <f>IF(K211=0, "",G72)</f>
        <v/>
      </c>
      <c r="H211" s="7" t="str">
        <f>IF(K211=0, "",H72)</f>
        <v/>
      </c>
      <c r="I211" s="7" t="str">
        <f>IF(K211=0, "",I72)</f>
        <v/>
      </c>
      <c r="J211" s="7" t="str">
        <f>IF(K211=0, "",J72)</f>
        <v/>
      </c>
      <c r="K211" s="10">
        <f>H57</f>
        <v>0</v>
      </c>
      <c r="L211" s="10">
        <f>I57</f>
        <v>70</v>
      </c>
      <c r="M211" s="10">
        <f>J57</f>
        <v>30</v>
      </c>
      <c r="N211" s="9">
        <f>J55</f>
        <v>3</v>
      </c>
      <c r="P211" s="19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ht="15.6" x14ac:dyDescent="0.3">
      <c r="A212" s="71">
        <f t="shared" si="59"/>
        <v>504</v>
      </c>
      <c r="B212" s="3" t="str">
        <f t="shared" ref="B212:E213" si="60">B93</f>
        <v>وحدة علوية  زاوية 90</v>
      </c>
      <c r="C212" s="18">
        <f t="shared" si="60"/>
        <v>7</v>
      </c>
      <c r="D212" s="18" t="str">
        <f t="shared" si="60"/>
        <v>يوفيلاك</v>
      </c>
      <c r="E212" s="18" t="str">
        <f t="shared" si="60"/>
        <v>دلف 1</v>
      </c>
      <c r="F212" s="7" t="str">
        <f>IF(K212=0, "",F93)</f>
        <v/>
      </c>
      <c r="G212" s="7" t="str">
        <f>IF(K212=0, "",G93)</f>
        <v/>
      </c>
      <c r="H212" s="7" t="str">
        <f>IF(K212=0, "",H93)</f>
        <v/>
      </c>
      <c r="I212" s="7" t="str">
        <f>IF(K212=0, "",I93)</f>
        <v/>
      </c>
      <c r="J212" s="7" t="str">
        <f>IF(K212=0, "",J93)</f>
        <v/>
      </c>
      <c r="K212" s="10">
        <f t="shared" ref="K212:M213" si="61">H79</f>
        <v>0</v>
      </c>
      <c r="L212" s="10">
        <f t="shared" si="61"/>
        <v>70</v>
      </c>
      <c r="M212" s="10">
        <f t="shared" si="61"/>
        <v>30</v>
      </c>
      <c r="N212" s="9">
        <f>J77</f>
        <v>4</v>
      </c>
      <c r="P212" s="19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ht="15.6" x14ac:dyDescent="0.3">
      <c r="A213" s="71">
        <f t="shared" si="59"/>
        <v>505</v>
      </c>
      <c r="B213" s="3" t="str">
        <f t="shared" si="60"/>
        <v>وحدة علوية  زاوية 90</v>
      </c>
      <c r="C213" s="18">
        <f t="shared" si="60"/>
        <v>8</v>
      </c>
      <c r="D213" s="18" t="str">
        <f t="shared" si="60"/>
        <v>يوفيلاك</v>
      </c>
      <c r="E213" s="18" t="str">
        <f t="shared" si="60"/>
        <v>دلف 2</v>
      </c>
      <c r="F213" s="7" t="str">
        <f>IF(K213=0, "",F94)</f>
        <v/>
      </c>
      <c r="G213" s="7" t="str">
        <f>IF(K213=0, "",G94)</f>
        <v/>
      </c>
      <c r="H213" s="7" t="str">
        <f>IF(K213=0, "",H94)</f>
        <v/>
      </c>
      <c r="I213" s="7" t="str">
        <f>IF(K213=0, "",I94)</f>
        <v/>
      </c>
      <c r="J213" s="7" t="str">
        <f>IF(K213=0, "",J94)</f>
        <v/>
      </c>
      <c r="K213" s="10">
        <f t="shared" si="61"/>
        <v>0</v>
      </c>
      <c r="L213" s="10">
        <f t="shared" si="61"/>
        <v>70</v>
      </c>
      <c r="M213" s="10">
        <f t="shared" si="61"/>
        <v>30</v>
      </c>
      <c r="N213" s="9">
        <f>J77</f>
        <v>4</v>
      </c>
      <c r="P213" s="19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</row>
    <row r="214" spans="1:81" ht="15.6" x14ac:dyDescent="0.3">
      <c r="A214" s="71">
        <f t="shared" si="59"/>
        <v>506</v>
      </c>
      <c r="B214" s="3" t="str">
        <f>B116</f>
        <v>وحدة علوية  ركنة 45</v>
      </c>
      <c r="C214" s="18">
        <f>C116</f>
        <v>7</v>
      </c>
      <c r="D214" s="18" t="str">
        <f>D116</f>
        <v>يوفيلاك</v>
      </c>
      <c r="E214" s="18" t="str">
        <f>E116</f>
        <v>دلف 1</v>
      </c>
      <c r="F214" s="7" t="str">
        <f>IF(K214=0, "",F116)</f>
        <v/>
      </c>
      <c r="G214" s="21" t="str">
        <f>IF(K214=0, "",G116)</f>
        <v/>
      </c>
      <c r="H214" s="7" t="str">
        <f>IF(K214=0, "",H116)</f>
        <v/>
      </c>
      <c r="I214" s="7" t="str">
        <f>IF(K214=0, "",I116)</f>
        <v/>
      </c>
      <c r="J214" s="7" t="str">
        <f>IF(K214=0, "",J116)</f>
        <v/>
      </c>
      <c r="K214" s="10">
        <f>H102</f>
        <v>0</v>
      </c>
      <c r="L214" s="10">
        <f>I102</f>
        <v>70</v>
      </c>
      <c r="M214" s="10">
        <f>J102</f>
        <v>30</v>
      </c>
      <c r="N214" s="9">
        <f>J100</f>
        <v>5</v>
      </c>
      <c r="P214" s="19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</row>
    <row r="215" spans="1:81" ht="15.6" x14ac:dyDescent="0.3">
      <c r="A215" s="71">
        <f t="shared" si="59"/>
        <v>507</v>
      </c>
      <c r="B215" s="3" t="str">
        <f>B137</f>
        <v xml:space="preserve">وحدة علوية ميكروويف دلفة /دلفتين </v>
      </c>
      <c r="C215" s="18">
        <f>C137</f>
        <v>6</v>
      </c>
      <c r="D215" s="18" t="str">
        <f>D137</f>
        <v>يوفيلاك</v>
      </c>
      <c r="E215" s="18" t="str">
        <f>E137</f>
        <v>دلفه خشب</v>
      </c>
      <c r="F215" s="7" t="str">
        <f>IF(K215=0, "",F137)</f>
        <v/>
      </c>
      <c r="G215" s="7" t="str">
        <f>IF(K215=0, "",G137)</f>
        <v/>
      </c>
      <c r="H215" s="7" t="str">
        <f>IF(K215=0, "",H137)</f>
        <v/>
      </c>
      <c r="I215" s="7" t="str">
        <f>IF(K215=0, "",I137)</f>
        <v/>
      </c>
      <c r="J215" s="7" t="str">
        <f>IF(K215=0, "",J137)</f>
        <v/>
      </c>
      <c r="K215" s="10">
        <f>H123</f>
        <v>0</v>
      </c>
      <c r="L215" s="10">
        <f>I123</f>
        <v>70</v>
      </c>
      <c r="M215" s="10">
        <f>J123</f>
        <v>30</v>
      </c>
      <c r="N215" s="9">
        <f>J121</f>
        <v>6</v>
      </c>
      <c r="P215" s="19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</row>
    <row r="216" spans="1:81" ht="15.6" x14ac:dyDescent="0.3">
      <c r="P216" s="19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</row>
    <row r="217" spans="1:81" ht="21" x14ac:dyDescent="0.3">
      <c r="C217" s="106" t="s">
        <v>70</v>
      </c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8"/>
      <c r="P217" s="19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</row>
    <row r="218" spans="1:81" ht="15.6" x14ac:dyDescent="0.3">
      <c r="P218" s="19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</row>
    <row r="219" spans="1:81" ht="18" x14ac:dyDescent="0.3">
      <c r="A219" s="71" t="s">
        <v>123</v>
      </c>
      <c r="B219" s="3" t="s">
        <v>124</v>
      </c>
      <c r="C219" s="26" t="s">
        <v>4</v>
      </c>
      <c r="D219" s="26" t="s">
        <v>9</v>
      </c>
      <c r="E219" s="26" t="s">
        <v>5</v>
      </c>
      <c r="F219" s="17" t="s">
        <v>7</v>
      </c>
      <c r="G219" s="17" t="s">
        <v>1</v>
      </c>
      <c r="H219" s="17" t="s">
        <v>6</v>
      </c>
      <c r="I219" s="17" t="s">
        <v>45</v>
      </c>
      <c r="J219" s="17" t="s">
        <v>8</v>
      </c>
      <c r="K219" s="2" t="s">
        <v>34</v>
      </c>
      <c r="L219" s="2" t="s">
        <v>3</v>
      </c>
      <c r="M219" s="2" t="s">
        <v>2</v>
      </c>
      <c r="N219" s="2" t="s">
        <v>42</v>
      </c>
      <c r="P219" s="19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</row>
    <row r="220" spans="1:81" ht="15.6" x14ac:dyDescent="0.3">
      <c r="C220" s="27"/>
      <c r="D220" s="27"/>
      <c r="E220" s="27"/>
      <c r="P220" s="19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</row>
    <row r="221" spans="1:81" ht="15.6" x14ac:dyDescent="0.3">
      <c r="A221" s="71">
        <v>500</v>
      </c>
      <c r="B221" s="3" t="str">
        <f>B31</f>
        <v xml:space="preserve">وحدة علوية دلفة /دلفتين </v>
      </c>
      <c r="C221" s="28">
        <f>C31</f>
        <v>7</v>
      </c>
      <c r="D221" s="28" t="str">
        <f>D31</f>
        <v>ظهر</v>
      </c>
      <c r="E221" s="28" t="str">
        <f>E31</f>
        <v>ظهر</v>
      </c>
      <c r="F221" s="7" t="str">
        <f>IF(K221=0, "",F31)</f>
        <v/>
      </c>
      <c r="G221" s="7" t="str">
        <f>IF(K221=0, "",G31)</f>
        <v/>
      </c>
      <c r="H221" s="7" t="str">
        <f>IF(K221=0, "",H31)</f>
        <v/>
      </c>
      <c r="I221" s="7" t="str">
        <f>IF(K221=0, "",I31)</f>
        <v/>
      </c>
      <c r="J221" s="7">
        <f>IF(L221=0, "",J31)</f>
        <v>0</v>
      </c>
      <c r="K221" s="10">
        <f>H15</f>
        <v>0</v>
      </c>
      <c r="L221" s="10">
        <f>I15</f>
        <v>70</v>
      </c>
      <c r="M221" s="10">
        <f>J15</f>
        <v>30</v>
      </c>
      <c r="N221" s="9">
        <f>J13</f>
        <v>1</v>
      </c>
      <c r="P221" s="19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</row>
    <row r="222" spans="1:81" ht="15.6" x14ac:dyDescent="0.3">
      <c r="A222" s="71">
        <f>A221+1</f>
        <v>501</v>
      </c>
      <c r="B222" s="3" t="str">
        <f>B52</f>
        <v>وحدة علوية  قلاب / 2 قلاب</v>
      </c>
      <c r="C222" s="28">
        <f>C52</f>
        <v>7</v>
      </c>
      <c r="D222" s="28" t="str">
        <f>D52</f>
        <v>ظهر</v>
      </c>
      <c r="E222" s="28" t="str">
        <f>E52</f>
        <v>ظهر</v>
      </c>
      <c r="F222" s="7" t="str">
        <f>IF(K222=0, "",F52)</f>
        <v/>
      </c>
      <c r="G222" s="7" t="str">
        <f>IF(K222=0, "",G52)</f>
        <v/>
      </c>
      <c r="H222" s="7" t="str">
        <f>IF(K222=0, "",H52)</f>
        <v/>
      </c>
      <c r="I222" s="7" t="str">
        <f>IF(K222=0, "",I52)</f>
        <v/>
      </c>
      <c r="J222" s="7" t="str">
        <f>IF(K222=0, "",J52)</f>
        <v/>
      </c>
      <c r="K222" s="10">
        <f>H36</f>
        <v>0</v>
      </c>
      <c r="L222" s="10">
        <f>I36</f>
        <v>70</v>
      </c>
      <c r="M222" s="10">
        <f>J36</f>
        <v>30</v>
      </c>
      <c r="N222" s="9">
        <f>J34</f>
        <v>2</v>
      </c>
      <c r="P222" s="19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</row>
    <row r="223" spans="1:81" ht="15.6" x14ac:dyDescent="0.3">
      <c r="A223" s="71">
        <f>A222+1</f>
        <v>502</v>
      </c>
      <c r="B223" s="3" t="str">
        <f>B74</f>
        <v xml:space="preserve">وحدة علوية  تلبيسة دلفة /دلفتين </v>
      </c>
      <c r="C223" s="28">
        <f>C74</f>
        <v>8</v>
      </c>
      <c r="D223" s="28" t="str">
        <f>D74</f>
        <v>ظهر</v>
      </c>
      <c r="E223" s="28" t="str">
        <f>E74</f>
        <v>ظهر</v>
      </c>
      <c r="F223" s="7" t="str">
        <f>IF(K223=0, "",F74)</f>
        <v/>
      </c>
      <c r="G223" s="7" t="str">
        <f>IF(K223=0, "",G74)</f>
        <v/>
      </c>
      <c r="H223" s="7" t="str">
        <f>IF(K223=0, "",H74)</f>
        <v/>
      </c>
      <c r="I223" s="7" t="str">
        <f>IF(K223=0, "",I74)</f>
        <v/>
      </c>
      <c r="J223" s="7">
        <f>IF(L223=0, "",J74)</f>
        <v>0</v>
      </c>
      <c r="K223" s="10">
        <f>H57</f>
        <v>0</v>
      </c>
      <c r="L223" s="10">
        <f>I57</f>
        <v>70</v>
      </c>
      <c r="M223" s="10">
        <f>J57</f>
        <v>30</v>
      </c>
      <c r="N223" s="9">
        <f>J55</f>
        <v>3</v>
      </c>
      <c r="P223" s="19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</row>
    <row r="224" spans="1:81" ht="15.6" x14ac:dyDescent="0.3">
      <c r="A224" s="71">
        <f>A223+1</f>
        <v>503</v>
      </c>
      <c r="B224" s="3" t="str">
        <f t="shared" ref="B224:E225" si="62">B96</f>
        <v>وحدة علوية  زاوية 90</v>
      </c>
      <c r="C224" s="28">
        <f t="shared" si="62"/>
        <v>9</v>
      </c>
      <c r="D224" s="28" t="str">
        <f t="shared" si="62"/>
        <v>ظهر</v>
      </c>
      <c r="E224" s="28" t="str">
        <f t="shared" si="62"/>
        <v>ظهر 1</v>
      </c>
      <c r="F224" s="7" t="str">
        <f>IF(K224=0, "",F96)</f>
        <v/>
      </c>
      <c r="G224" s="7" t="str">
        <f>IF(K224=0, "",G96)</f>
        <v/>
      </c>
      <c r="H224" s="7" t="str">
        <f>IF(K224=0, "",H96)</f>
        <v/>
      </c>
      <c r="I224" s="7" t="str">
        <f>IF(K224=0, "",I96)</f>
        <v/>
      </c>
      <c r="J224" s="7">
        <f>IF(L224=0, "",J96)</f>
        <v>0</v>
      </c>
      <c r="K224" s="10">
        <f t="shared" ref="K224:M225" si="63">H79</f>
        <v>0</v>
      </c>
      <c r="L224" s="10">
        <f t="shared" si="63"/>
        <v>70</v>
      </c>
      <c r="M224" s="10">
        <f t="shared" si="63"/>
        <v>30</v>
      </c>
      <c r="N224" s="9">
        <f>J77</f>
        <v>4</v>
      </c>
      <c r="P224" s="19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</row>
    <row r="225" spans="1:81" ht="15.6" x14ac:dyDescent="0.3">
      <c r="A225" s="71">
        <f t="shared" ref="A225:A227" si="64">A224+1</f>
        <v>504</v>
      </c>
      <c r="B225" s="3" t="str">
        <f t="shared" si="62"/>
        <v>وحدة علوية  زاوية 90</v>
      </c>
      <c r="C225" s="28">
        <f t="shared" si="62"/>
        <v>10</v>
      </c>
      <c r="D225" s="28" t="str">
        <f t="shared" si="62"/>
        <v>ظهر</v>
      </c>
      <c r="E225" s="28" t="str">
        <f t="shared" si="62"/>
        <v>ظهر 2</v>
      </c>
      <c r="F225" s="7" t="str">
        <f>IF(K225=0, "",F97)</f>
        <v/>
      </c>
      <c r="G225" s="7" t="str">
        <f>IF(K225=0, "",G97)</f>
        <v/>
      </c>
      <c r="H225" s="7" t="str">
        <f>IF(K225=0, "",H97)</f>
        <v/>
      </c>
      <c r="I225" s="7" t="str">
        <f>IF(K225=0, "",I97)</f>
        <v/>
      </c>
      <c r="J225" s="7">
        <f>IF(L225=0, "",J97)</f>
        <v>0</v>
      </c>
      <c r="K225" s="10">
        <f t="shared" si="63"/>
        <v>0</v>
      </c>
      <c r="L225" s="10">
        <f t="shared" si="63"/>
        <v>70</v>
      </c>
      <c r="M225" s="10">
        <f t="shared" si="63"/>
        <v>30</v>
      </c>
      <c r="N225" s="9">
        <f>J77</f>
        <v>4</v>
      </c>
      <c r="P225" s="19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</row>
    <row r="226" spans="1:81" ht="15.6" x14ac:dyDescent="0.3">
      <c r="A226" s="71">
        <f t="shared" si="64"/>
        <v>505</v>
      </c>
      <c r="B226" s="3" t="str">
        <f>B118</f>
        <v>وحدة علوية  ركنة 45</v>
      </c>
      <c r="C226" s="28">
        <f>C118</f>
        <v>8</v>
      </c>
      <c r="D226" s="28" t="str">
        <f>D118</f>
        <v>ظهر</v>
      </c>
      <c r="E226" s="28" t="str">
        <f>E118</f>
        <v>ظهر</v>
      </c>
      <c r="F226" s="7" t="str">
        <f>IF(K226=0, "",F118)</f>
        <v/>
      </c>
      <c r="G226" s="7" t="str">
        <f>IF(K226=0, "",G118)</f>
        <v/>
      </c>
      <c r="H226" s="7" t="str">
        <f>IF(K226=0, "",H118)</f>
        <v/>
      </c>
      <c r="I226" s="7" t="str">
        <f>IF(K226=0, "",I118)</f>
        <v/>
      </c>
      <c r="J226" s="7">
        <f>IF(L226=0, "",J118)</f>
        <v>0</v>
      </c>
      <c r="K226" s="10">
        <f>H102</f>
        <v>0</v>
      </c>
      <c r="L226" s="10">
        <f>I102</f>
        <v>70</v>
      </c>
      <c r="M226" s="10">
        <f>J102</f>
        <v>30</v>
      </c>
      <c r="N226" s="9">
        <f>J100</f>
        <v>5</v>
      </c>
      <c r="P226" s="19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ht="15.6" x14ac:dyDescent="0.3">
      <c r="A227" s="71">
        <f t="shared" si="64"/>
        <v>506</v>
      </c>
      <c r="B227" s="3" t="str">
        <f>B140</f>
        <v xml:space="preserve">وحدة علوية ميكروويف دلفة /دلفتين </v>
      </c>
      <c r="C227" s="28">
        <f>C140</f>
        <v>8</v>
      </c>
      <c r="D227" s="28" t="str">
        <f>D140</f>
        <v>ظهر</v>
      </c>
      <c r="E227" s="28" t="str">
        <f>E140</f>
        <v>ظهر</v>
      </c>
      <c r="F227" s="7" t="str">
        <f>IF(K227=0, "",F140)</f>
        <v/>
      </c>
      <c r="G227" s="7" t="str">
        <f>IF(K227=0, "",G140)</f>
        <v/>
      </c>
      <c r="H227" s="7" t="str">
        <f>IF(K227=0, "",H140)</f>
        <v/>
      </c>
      <c r="I227" s="7" t="str">
        <f>IF(K227=0, "",I140)</f>
        <v/>
      </c>
      <c r="J227" s="7" t="str">
        <f>IF(K227=0, "",J140)</f>
        <v/>
      </c>
      <c r="K227" s="10">
        <f>H123</f>
        <v>0</v>
      </c>
      <c r="L227" s="10">
        <f>I123</f>
        <v>70</v>
      </c>
      <c r="M227" s="10">
        <f>J123</f>
        <v>30</v>
      </c>
      <c r="N227" s="9">
        <f>J121</f>
        <v>6</v>
      </c>
      <c r="P227" s="19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ht="15.6" x14ac:dyDescent="0.3">
      <c r="P228" s="19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ht="15.6" x14ac:dyDescent="0.3">
      <c r="P229" s="19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</row>
    <row r="230" spans="1:81" ht="15.6" x14ac:dyDescent="0.3">
      <c r="P230" s="19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</row>
    <row r="231" spans="1:81" ht="15.6" x14ac:dyDescent="0.3">
      <c r="P231" s="19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</row>
    <row r="232" spans="1:81" ht="21" x14ac:dyDescent="0.3">
      <c r="C232" s="109" t="s">
        <v>67</v>
      </c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P232" s="19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</row>
    <row r="233" spans="1:81" ht="15.6" x14ac:dyDescent="0.3">
      <c r="P233" s="19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</row>
    <row r="234" spans="1:81" ht="18" x14ac:dyDescent="0.3">
      <c r="A234" s="71" t="s">
        <v>123</v>
      </c>
      <c r="B234" s="3" t="s">
        <v>124</v>
      </c>
      <c r="C234" s="26" t="s">
        <v>4</v>
      </c>
      <c r="D234" s="26" t="s">
        <v>9</v>
      </c>
      <c r="E234" s="26" t="s">
        <v>5</v>
      </c>
      <c r="F234" s="17" t="s">
        <v>7</v>
      </c>
      <c r="G234" s="17" t="s">
        <v>1</v>
      </c>
      <c r="H234" s="17" t="s">
        <v>6</v>
      </c>
      <c r="I234" s="17" t="s">
        <v>45</v>
      </c>
      <c r="J234" s="17" t="s">
        <v>8</v>
      </c>
      <c r="K234" s="2" t="s">
        <v>34</v>
      </c>
      <c r="L234" s="2" t="s">
        <v>3</v>
      </c>
      <c r="M234" s="2" t="s">
        <v>2</v>
      </c>
      <c r="N234" s="2" t="s">
        <v>42</v>
      </c>
      <c r="P234" s="19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</row>
    <row r="235" spans="1:81" ht="15.6" x14ac:dyDescent="0.3">
      <c r="P235" s="19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</row>
    <row r="236" spans="1:81" ht="15.6" x14ac:dyDescent="0.3">
      <c r="A236" s="71">
        <f>A231+1</f>
        <v>1</v>
      </c>
      <c r="B236" s="3" t="str">
        <f>B29</f>
        <v xml:space="preserve">وحدة علوية دلفة /دلفتين </v>
      </c>
      <c r="C236" s="11">
        <f>C29</f>
        <v>6</v>
      </c>
      <c r="D236" s="11" t="str">
        <f>D29</f>
        <v>دلفة زجاج</v>
      </c>
      <c r="E236" s="11" t="str">
        <f>E29</f>
        <v>دلفة  زجاج</v>
      </c>
      <c r="F236" s="7" t="str">
        <f>IF(K236=0, "",F29)</f>
        <v/>
      </c>
      <c r="G236" s="7" t="str">
        <f>IF(K236=0, "",G29)</f>
        <v/>
      </c>
      <c r="H236" s="7" t="str">
        <f>IF(K236=0, "",H29)</f>
        <v/>
      </c>
      <c r="I236" s="7" t="str">
        <f>IF(K236=0, "",I29)</f>
        <v/>
      </c>
      <c r="J236" s="7"/>
      <c r="K236" s="10">
        <f>H15</f>
        <v>0</v>
      </c>
      <c r="L236" s="10">
        <f>I15</f>
        <v>70</v>
      </c>
      <c r="M236" s="10">
        <f>J15</f>
        <v>30</v>
      </c>
      <c r="N236" s="9">
        <f>J13</f>
        <v>1</v>
      </c>
      <c r="P236" s="19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</row>
    <row r="237" spans="1:81" ht="15.6" x14ac:dyDescent="0.3">
      <c r="A237" s="71">
        <f>A236+1</f>
        <v>2</v>
      </c>
      <c r="B237" s="3" t="str">
        <f>B50</f>
        <v>وحدة علوية  قلاب / 2 قلاب</v>
      </c>
      <c r="C237" s="11">
        <f>C50</f>
        <v>6</v>
      </c>
      <c r="D237" s="11" t="str">
        <f>D50</f>
        <v>دلفة زجاج</v>
      </c>
      <c r="E237" s="11" t="str">
        <f>E50</f>
        <v>دلفة قلاب زجاج</v>
      </c>
      <c r="F237" s="7" t="str">
        <f>IF(K237=0, "",F50)</f>
        <v/>
      </c>
      <c r="G237" s="7" t="str">
        <f>IF(K237=0, "",G50)</f>
        <v/>
      </c>
      <c r="H237" s="7" t="str">
        <f>IF(K237=0, "",H50)</f>
        <v/>
      </c>
      <c r="I237" s="7" t="str">
        <f>IF(K237=0, "",I50)</f>
        <v/>
      </c>
      <c r="J237" s="7"/>
      <c r="K237" s="10">
        <f>H36</f>
        <v>0</v>
      </c>
      <c r="L237" s="10">
        <f>I36</f>
        <v>70</v>
      </c>
      <c r="M237" s="10">
        <f>J36</f>
        <v>30</v>
      </c>
      <c r="N237" s="9">
        <f>J34</f>
        <v>2</v>
      </c>
      <c r="P237" s="19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</row>
    <row r="238" spans="1:81" ht="15.6" x14ac:dyDescent="0.3">
      <c r="A238" s="71">
        <f>A237+1</f>
        <v>3</v>
      </c>
      <c r="B238" s="3" t="str">
        <f>B138</f>
        <v xml:space="preserve">وحدة علوية ميكروويف دلفة /دلفتين </v>
      </c>
      <c r="C238" s="11">
        <f>C138</f>
        <v>7</v>
      </c>
      <c r="D238" s="11" t="str">
        <f>D138</f>
        <v>دلفة زجاج</v>
      </c>
      <c r="E238" s="11" t="str">
        <f>E138</f>
        <v>دلفة  زجاج</v>
      </c>
      <c r="F238" s="7" t="str">
        <f>IF(K238=0, "",F138)</f>
        <v/>
      </c>
      <c r="G238" s="7" t="str">
        <f>IF(K238=0, "",G138)</f>
        <v/>
      </c>
      <c r="H238" s="7" t="str">
        <f>IF(K238=0, "",H138)</f>
        <v/>
      </c>
      <c r="I238" s="7" t="str">
        <f>IF(K238=0, "",I138)</f>
        <v/>
      </c>
      <c r="J238" s="7" t="str">
        <f>IF(K238=0, "",J138)</f>
        <v/>
      </c>
      <c r="K238" s="10">
        <f>H123</f>
        <v>0</v>
      </c>
      <c r="L238" s="10">
        <f>I123</f>
        <v>70</v>
      </c>
      <c r="M238" s="10">
        <f>J123</f>
        <v>30</v>
      </c>
      <c r="N238" s="9">
        <f>J121</f>
        <v>6</v>
      </c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</row>
    <row r="239" spans="1:81" x14ac:dyDescent="0.3"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</row>
    <row r="240" spans="1:81" x14ac:dyDescent="0.3"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</row>
    <row r="241" spans="17:81" x14ac:dyDescent="0.3"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</row>
    <row r="242" spans="17:81" x14ac:dyDescent="0.3"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</sheetData>
  <mergeCells count="30">
    <mergeCell ref="C232:N232"/>
    <mergeCell ref="C217:N217"/>
    <mergeCell ref="C204:N204"/>
    <mergeCell ref="E121:H121"/>
    <mergeCell ref="C38:D38"/>
    <mergeCell ref="C39:D39"/>
    <mergeCell ref="C60:D60"/>
    <mergeCell ref="E77:H77"/>
    <mergeCell ref="F80:G80"/>
    <mergeCell ref="F81:G81"/>
    <mergeCell ref="C160:N160"/>
    <mergeCell ref="E100:H100"/>
    <mergeCell ref="F103:G103"/>
    <mergeCell ref="F104:G104"/>
    <mergeCell ref="C2:J2"/>
    <mergeCell ref="C125:D125"/>
    <mergeCell ref="C126:D126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159" priority="91" operator="equal">
      <formula>TRUE</formula>
    </cfRule>
    <cfRule type="cellIs" dxfId="158" priority="92" operator="equal">
      <formula>FALSE</formula>
    </cfRule>
  </conditionalFormatting>
  <conditionalFormatting sqref="C126">
    <cfRule type="cellIs" dxfId="157" priority="11" operator="equal">
      <formula>TRUE</formula>
    </cfRule>
    <cfRule type="cellIs" dxfId="156" priority="12" operator="equal">
      <formula>FALSE</formula>
    </cfRule>
  </conditionalFormatting>
  <conditionalFormatting sqref="E58:F58">
    <cfRule type="cellIs" dxfId="155" priority="81" operator="equal">
      <formula>TRUE</formula>
    </cfRule>
    <cfRule type="cellIs" dxfId="154" priority="82" operator="equal">
      <formula>FALSE</formula>
    </cfRule>
  </conditionalFormatting>
  <conditionalFormatting sqref="F16">
    <cfRule type="cellIs" dxfId="153" priority="89" operator="equal">
      <formula>TRUE</formula>
    </cfRule>
    <cfRule type="cellIs" dxfId="152" priority="90" operator="equal">
      <formula>FALSE</formula>
    </cfRule>
  </conditionalFormatting>
  <conditionalFormatting sqref="F80">
    <cfRule type="cellIs" dxfId="151" priority="79" operator="equal">
      <formula>TRUE</formula>
    </cfRule>
    <cfRule type="cellIs" dxfId="150" priority="80" operator="equal">
      <formula>FALSE</formula>
    </cfRule>
  </conditionalFormatting>
  <conditionalFormatting sqref="F103">
    <cfRule type="cellIs" dxfId="149" priority="77" operator="equal">
      <formula>TRUE</formula>
    </cfRule>
    <cfRule type="cellIs" dxfId="148" priority="78" operator="equal">
      <formula>FALSE</formula>
    </cfRule>
  </conditionalFormatting>
  <conditionalFormatting sqref="F124">
    <cfRule type="cellIs" dxfId="147" priority="9" operator="equal">
      <formula>TRUE</formula>
    </cfRule>
    <cfRule type="cellIs" dxfId="146" priority="10" operator="equal">
      <formula>FALSE</formula>
    </cfRule>
  </conditionalFormatting>
  <conditionalFormatting sqref="H16">
    <cfRule type="cellIs" dxfId="145" priority="87" operator="equal">
      <formula>TRUE</formula>
    </cfRule>
    <cfRule type="cellIs" dxfId="144" priority="88" operator="equal">
      <formula>FALSE</formula>
    </cfRule>
  </conditionalFormatting>
  <conditionalFormatting sqref="H124">
    <cfRule type="cellIs" dxfId="143" priority="7" operator="equal">
      <formula>TRUE</formula>
    </cfRule>
    <cfRule type="cellIs" dxfId="142" priority="8" operator="equal">
      <formula>FALSE</formula>
    </cfRule>
  </conditionalFormatting>
  <conditionalFormatting sqref="I58 C60">
    <cfRule type="cellIs" dxfId="141" priority="83" operator="equal">
      <formula>TRUE</formula>
    </cfRule>
    <cfRule type="cellIs" dxfId="140" priority="84" operator="equal">
      <formula>FALSE</formula>
    </cfRule>
  </conditionalFormatting>
  <conditionalFormatting sqref="F37 I37 C39">
    <cfRule type="cellIs" dxfId="139" priority="93" operator="equal">
      <formula>TRUE</formula>
    </cfRule>
    <cfRule type="cellIs" dxfId="138" priority="94" operator="equal">
      <formula>FALSE</formula>
    </cfRule>
  </conditionalFormatting>
  <pageMargins left="0.7" right="0.7" top="0.75" bottom="0.75" header="0.3" footer="0.3"/>
  <pageSetup orientation="portrait" verticalDpi="0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273"/>
  <sheetViews>
    <sheetView topLeftCell="B1" zoomScale="70" zoomScaleNormal="70" workbookViewId="0"/>
  </sheetViews>
  <sheetFormatPr defaultRowHeight="14.4" x14ac:dyDescent="0.3"/>
  <cols>
    <col min="1" max="1" width="10.6640625" style="71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hidden="1" customWidth="1"/>
    <col min="13" max="13" width="7.6640625" style="3" hidden="1" customWidth="1"/>
    <col min="14" max="14" width="12.88671875" style="3" hidden="1" customWidth="1"/>
    <col min="15" max="15" width="10.6640625" style="3" hidden="1" customWidth="1"/>
    <col min="16" max="17" width="0" style="3" hidden="1" customWidth="1"/>
    <col min="18" max="18" width="19.6640625" style="3" hidden="1" customWidth="1"/>
    <col min="19" max="19" width="21.44140625" style="3" hidden="1" customWidth="1"/>
    <col min="20" max="52" width="0" style="3" hidden="1" customWidth="1"/>
    <col min="53" max="16384" width="8.88671875" style="3"/>
  </cols>
  <sheetData>
    <row r="1" spans="1:23" s="71" customFormat="1" x14ac:dyDescent="0.3">
      <c r="A1" s="71">
        <v>13</v>
      </c>
      <c r="B1" s="94"/>
    </row>
    <row r="2" spans="1:23" s="71" customFormat="1" ht="31.2" x14ac:dyDescent="0.3">
      <c r="A2" s="71">
        <v>39</v>
      </c>
      <c r="B2" s="94"/>
      <c r="C2" s="113" t="s">
        <v>76</v>
      </c>
      <c r="D2" s="113"/>
      <c r="E2" s="113"/>
      <c r="F2" s="113"/>
      <c r="G2" s="113"/>
      <c r="H2" s="113"/>
      <c r="I2" s="113"/>
      <c r="J2" s="113"/>
      <c r="R2" s="87" t="s">
        <v>147</v>
      </c>
    </row>
    <row r="3" spans="1:23" s="71" customFormat="1" x14ac:dyDescent="0.3">
      <c r="B3" s="94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R3" s="70" t="s">
        <v>77</v>
      </c>
      <c r="S3" s="70" t="s">
        <v>88</v>
      </c>
      <c r="T3" s="70"/>
      <c r="U3" s="70"/>
      <c r="V3" s="77"/>
      <c r="W3" s="77"/>
    </row>
    <row r="4" spans="1:23" s="71" customFormat="1" x14ac:dyDescent="0.3"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R4" s="70">
        <v>1</v>
      </c>
      <c r="S4" s="70">
        <f>drawersBlockTypes[[#This Row],[دواليب دلفة /دلفتين ]]+1</f>
        <v>2</v>
      </c>
      <c r="T4" s="70"/>
      <c r="U4" s="70"/>
      <c r="V4" s="70"/>
      <c r="W4" s="70"/>
    </row>
    <row r="5" spans="1:23" s="71" customFormat="1" x14ac:dyDescent="0.3">
      <c r="B5" s="94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</row>
    <row r="6" spans="1:23" s="71" customFormat="1" x14ac:dyDescent="0.3">
      <c r="B6" s="94"/>
    </row>
    <row r="7" spans="1:23" s="71" customFormat="1" ht="18" x14ac:dyDescent="0.3">
      <c r="B7" s="94"/>
      <c r="C7" s="73"/>
      <c r="D7" s="73"/>
      <c r="E7" s="82"/>
      <c r="F7" s="82"/>
      <c r="G7" s="82"/>
      <c r="H7" s="82"/>
      <c r="I7" s="82"/>
      <c r="J7" s="82"/>
      <c r="K7" s="73"/>
      <c r="L7" s="73"/>
      <c r="M7" s="73"/>
      <c r="N7" s="73"/>
    </row>
    <row r="8" spans="1:23" s="74" customFormat="1" ht="18" x14ac:dyDescent="0.3">
      <c r="A8" s="71"/>
      <c r="B8" s="94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</row>
    <row r="9" spans="1:23" s="71" customFormat="1" x14ac:dyDescent="0.3">
      <c r="B9" s="94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</row>
    <row r="10" spans="1:23" s="71" customFormat="1" x14ac:dyDescent="0.3">
      <c r="B10" s="94"/>
      <c r="E10" s="82"/>
      <c r="F10" s="82"/>
      <c r="G10" s="82"/>
      <c r="H10" s="82"/>
      <c r="I10" s="82"/>
      <c r="J10" s="82"/>
    </row>
    <row r="13" spans="1:23" s="4" customFormat="1" ht="36" x14ac:dyDescent="0.3">
      <c r="A13" s="71" cm="1">
        <f t="array" ref="A13">drawersBlockTypes[دواليب دلفة /دلفتين ]</f>
        <v>1</v>
      </c>
      <c r="B13" s="3"/>
      <c r="C13" s="16">
        <v>1</v>
      </c>
      <c r="D13" s="30" t="s">
        <v>71</v>
      </c>
      <c r="E13" s="124" t="str">
        <f>drawersBlockTypes[[#Headers],[دواليب دلفة /دلفتين ]]</f>
        <v xml:space="preserve">دواليب دلفة /دلفتين </v>
      </c>
      <c r="F13" s="124"/>
      <c r="G13" s="124"/>
      <c r="H13" s="124"/>
      <c r="I13" s="2" t="s">
        <v>42</v>
      </c>
      <c r="J13" s="2">
        <f>A13</f>
        <v>1</v>
      </c>
    </row>
    <row r="14" spans="1:23" ht="31.2" x14ac:dyDescent="0.3">
      <c r="A14" s="71" t="s">
        <v>151</v>
      </c>
      <c r="C14" s="23"/>
      <c r="D14" s="23"/>
      <c r="E14" s="23" t="s">
        <v>19</v>
      </c>
      <c r="F14" s="9" t="s">
        <v>63</v>
      </c>
      <c r="G14" s="9" t="s">
        <v>17</v>
      </c>
      <c r="H14" s="9" t="s">
        <v>34</v>
      </c>
      <c r="I14" s="9" t="s">
        <v>3</v>
      </c>
      <c r="J14" s="9" t="s">
        <v>2</v>
      </c>
    </row>
    <row r="15" spans="1:23" x14ac:dyDescent="0.3">
      <c r="A15" s="71" t="s">
        <v>151</v>
      </c>
      <c r="C15" s="23"/>
      <c r="D15" s="23"/>
      <c r="E15" s="10">
        <v>2</v>
      </c>
      <c r="F15" s="10">
        <v>1</v>
      </c>
      <c r="G15" s="10">
        <v>3.5</v>
      </c>
      <c r="H15" s="10"/>
      <c r="I15" s="10">
        <v>210</v>
      </c>
      <c r="J15" s="10">
        <v>56</v>
      </c>
    </row>
    <row r="16" spans="1:23" ht="15.6" x14ac:dyDescent="0.3">
      <c r="A16" s="71" t="s">
        <v>151</v>
      </c>
      <c r="C16" s="10"/>
      <c r="D16" s="10"/>
      <c r="E16" s="10"/>
      <c r="F16" s="10"/>
      <c r="G16" s="9" t="s">
        <v>66</v>
      </c>
      <c r="H16" s="9" t="s">
        <v>67</v>
      </c>
      <c r="I16" s="10"/>
      <c r="J16" s="10"/>
    </row>
    <row r="17" spans="1:13" x14ac:dyDescent="0.3">
      <c r="A17" s="71" t="s">
        <v>151</v>
      </c>
      <c r="C17" s="10"/>
      <c r="D17" s="10"/>
      <c r="E17" s="10"/>
      <c r="F17" s="10"/>
      <c r="G17" s="10">
        <v>1</v>
      </c>
      <c r="H17" s="10">
        <v>1</v>
      </c>
      <c r="I17" s="10">
        <v>140</v>
      </c>
      <c r="J17" s="10" t="s">
        <v>81</v>
      </c>
    </row>
    <row r="18" spans="1:13" ht="25.8" customHeight="1" x14ac:dyDescent="0.3">
      <c r="A18" s="71" t="s">
        <v>151</v>
      </c>
      <c r="C18" s="11" t="b">
        <f>G17=0</f>
        <v>0</v>
      </c>
      <c r="D18" s="11" t="b">
        <f>H17=0</f>
        <v>0</v>
      </c>
      <c r="E18" s="10"/>
      <c r="F18" s="83"/>
      <c r="G18" s="10">
        <v>1</v>
      </c>
      <c r="H18" s="10">
        <v>1</v>
      </c>
      <c r="I18" s="10">
        <v>70</v>
      </c>
      <c r="J18" s="10" t="s">
        <v>82</v>
      </c>
    </row>
    <row r="19" spans="1:13" x14ac:dyDescent="0.3">
      <c r="A19" s="71" t="s">
        <v>151</v>
      </c>
      <c r="C19" s="118">
        <f>G17+H17</f>
        <v>2</v>
      </c>
      <c r="D19" s="118"/>
      <c r="E19" s="10"/>
      <c r="F19" s="83"/>
      <c r="G19" s="83"/>
      <c r="H19" s="83"/>
      <c r="I19" s="10">
        <f>SUM(I17:I18)</f>
        <v>210</v>
      </c>
      <c r="J19" s="122" t="str">
        <f>IF(I20,"مقاس الدلف صحيح","مقاس الدلف غير صحيح")</f>
        <v>مقاس الدلف صحيح</v>
      </c>
    </row>
    <row r="20" spans="1:13" x14ac:dyDescent="0.3">
      <c r="A20" s="71" t="s">
        <v>151</v>
      </c>
      <c r="C20" s="119" t="b">
        <f>C19&lt;=2</f>
        <v>1</v>
      </c>
      <c r="D20" s="119"/>
      <c r="E20" s="10"/>
      <c r="F20" s="10"/>
      <c r="G20" s="10"/>
      <c r="H20" s="10"/>
      <c r="I20" s="7" t="b">
        <f>I19=I15</f>
        <v>1</v>
      </c>
      <c r="J20" s="122"/>
    </row>
    <row r="21" spans="1:13" ht="31.2" x14ac:dyDescent="0.3">
      <c r="A21" s="71" t="s">
        <v>151</v>
      </c>
      <c r="B21" s="1"/>
      <c r="C21" s="10"/>
      <c r="D21" s="43" t="str">
        <f>INDEX(choosenMaterials[[#All],[Column1]],MATCH(E21,choosenMaterials[[#All],[Column2]],0))</f>
        <v>ظهر</v>
      </c>
      <c r="E21" s="9" t="s">
        <v>70</v>
      </c>
      <c r="F21" s="43" t="str">
        <f>INDEX(choosenMaterials[[#All],[Column1]],MATCH(G21,choosenMaterials[[#All],[Column2]],0))</f>
        <v>يوفيلاك</v>
      </c>
      <c r="G21" s="9" t="s">
        <v>44</v>
      </c>
      <c r="H21" s="43" t="str">
        <f>INDEX(choosenMaterials[[#All],[Column1]],MATCH(I21,choosenMaterials[[#All],[Column2]],0))</f>
        <v>HPL</v>
      </c>
      <c r="I21" s="9" t="s">
        <v>43</v>
      </c>
      <c r="J21" s="34" t="s">
        <v>126</v>
      </c>
    </row>
    <row r="22" spans="1:13" x14ac:dyDescent="0.3">
      <c r="A22" s="71" t="s">
        <v>155</v>
      </c>
      <c r="B22" s="1"/>
      <c r="C22" s="1"/>
      <c r="D22" s="1"/>
      <c r="E22" s="1"/>
      <c r="F22" s="1"/>
      <c r="G22" s="1"/>
      <c r="H22" s="1"/>
      <c r="I22" s="1"/>
      <c r="J22" s="1"/>
    </row>
    <row r="23" spans="1:13" x14ac:dyDescent="0.3">
      <c r="A23" s="71" t="s">
        <v>152</v>
      </c>
      <c r="C23" s="7" t="s">
        <v>4</v>
      </c>
      <c r="D23" s="7" t="s">
        <v>9</v>
      </c>
      <c r="E23" s="7" t="s">
        <v>5</v>
      </c>
      <c r="F23" s="7" t="s">
        <v>7</v>
      </c>
      <c r="G23" s="7" t="s">
        <v>1</v>
      </c>
      <c r="H23" s="7" t="s">
        <v>6</v>
      </c>
      <c r="I23" s="7" t="s">
        <v>45</v>
      </c>
      <c r="J23" s="7" t="s">
        <v>8</v>
      </c>
    </row>
    <row r="24" spans="1:13" x14ac:dyDescent="0.3">
      <c r="A24" s="71" t="s">
        <v>155</v>
      </c>
      <c r="C24" s="7"/>
      <c r="D24" s="7"/>
      <c r="E24" s="7"/>
      <c r="F24" s="7"/>
      <c r="G24" s="7"/>
      <c r="H24" s="7"/>
      <c r="I24" s="7"/>
      <c r="J24" s="7"/>
    </row>
    <row r="25" spans="1:13" ht="15.6" customHeight="1" x14ac:dyDescent="0.3">
      <c r="A25" s="71" t="s">
        <v>156</v>
      </c>
      <c r="B25" s="3" t="str">
        <f>E13</f>
        <v xml:space="preserve">دواليب دلفة /دلفتين </v>
      </c>
      <c r="C25" s="7">
        <v>1</v>
      </c>
      <c r="D25" s="7" t="str">
        <f>H21</f>
        <v>HPL</v>
      </c>
      <c r="E25" s="7" t="s">
        <v>61</v>
      </c>
      <c r="F25" s="7">
        <f>H15-3.6</f>
        <v>-3.6</v>
      </c>
      <c r="G25" s="7">
        <f>J15</f>
        <v>56</v>
      </c>
      <c r="H25" s="7">
        <f>1*C13</f>
        <v>1</v>
      </c>
      <c r="I25" s="7">
        <f>HLOOKUP(D25, materials[], 2,FALSE)</f>
        <v>2</v>
      </c>
      <c r="J25" s="7"/>
    </row>
    <row r="26" spans="1:13" ht="15.6" customHeight="1" x14ac:dyDescent="0.3">
      <c r="A26" s="71" t="s">
        <v>156</v>
      </c>
      <c r="B26" s="3" t="str">
        <f>B25</f>
        <v xml:space="preserve">دواليب دلفة /دلفتين </v>
      </c>
      <c r="C26" s="7">
        <f>C25+1</f>
        <v>2</v>
      </c>
      <c r="D26" s="7" t="str">
        <f>H21</f>
        <v>HPL</v>
      </c>
      <c r="E26" s="7" t="s">
        <v>10</v>
      </c>
      <c r="F26" s="7">
        <f>H15-3.6</f>
        <v>-3.6</v>
      </c>
      <c r="G26" s="7">
        <f>J15</f>
        <v>56</v>
      </c>
      <c r="H26" s="7">
        <f>1*C13</f>
        <v>1</v>
      </c>
      <c r="I26" s="7">
        <f>HLOOKUP(D26, materials[], 2,FALSE)</f>
        <v>2</v>
      </c>
      <c r="J26" s="7"/>
    </row>
    <row r="27" spans="1:13" ht="15.6" customHeight="1" x14ac:dyDescent="0.3">
      <c r="A27" s="71" t="s">
        <v>156</v>
      </c>
      <c r="B27" s="3" t="str">
        <f>B25</f>
        <v xml:space="preserve">دواليب دلفة /دلفتين </v>
      </c>
      <c r="C27" s="7">
        <f>C26+1</f>
        <v>3</v>
      </c>
      <c r="D27" s="7" t="str">
        <f>H21</f>
        <v>HPL</v>
      </c>
      <c r="E27" s="7" t="s">
        <v>63</v>
      </c>
      <c r="F27" s="7">
        <f>H15-3.6</f>
        <v>-3.6</v>
      </c>
      <c r="G27" s="7">
        <f>J15-2.5</f>
        <v>53.5</v>
      </c>
      <c r="H27" s="7">
        <f>1*C13*F15</f>
        <v>1</v>
      </c>
      <c r="I27" s="7">
        <f>HLOOKUP(D27, materials[], 2,FALSE)</f>
        <v>2</v>
      </c>
      <c r="J27" s="7"/>
    </row>
    <row r="28" spans="1:13" ht="15.6" customHeight="1" x14ac:dyDescent="0.3">
      <c r="A28" s="71" t="s">
        <v>156</v>
      </c>
      <c r="B28" s="3" t="str">
        <f>B25</f>
        <v xml:space="preserve">دواليب دلفة /دلفتين </v>
      </c>
      <c r="C28" s="7">
        <f>C27+1</f>
        <v>4</v>
      </c>
      <c r="D28" s="7" t="str">
        <f>H21</f>
        <v>HPL</v>
      </c>
      <c r="E28" s="7" t="s">
        <v>11</v>
      </c>
      <c r="F28" s="7">
        <f>I15</f>
        <v>210</v>
      </c>
      <c r="G28" s="7">
        <f>J15</f>
        <v>56</v>
      </c>
      <c r="H28" s="7">
        <f>2*C13</f>
        <v>2</v>
      </c>
      <c r="I28" s="7">
        <f>HLOOKUP(D28, materials[], 2,FALSE)</f>
        <v>2</v>
      </c>
      <c r="J28" s="7"/>
    </row>
    <row r="29" spans="1:13" x14ac:dyDescent="0.3">
      <c r="A29" s="71" t="s">
        <v>156</v>
      </c>
      <c r="B29" s="3" t="str">
        <f>B25</f>
        <v xml:space="preserve">دواليب دلفة /دلفتين </v>
      </c>
      <c r="C29" s="7">
        <f t="shared" ref="C29" si="0">C28+1</f>
        <v>5</v>
      </c>
      <c r="D29" s="7" t="str">
        <f>H21</f>
        <v>HPL</v>
      </c>
      <c r="E29" s="7" t="s">
        <v>18</v>
      </c>
      <c r="F29" s="7">
        <f>H15-3.8</f>
        <v>-3.8</v>
      </c>
      <c r="G29" s="7">
        <f>J15-5</f>
        <v>51</v>
      </c>
      <c r="H29" s="7">
        <f>E15*C13</f>
        <v>2</v>
      </c>
      <c r="I29" s="7">
        <f>HLOOKUP(D29, materials[], 2,FALSE)</f>
        <v>2</v>
      </c>
      <c r="J29" s="7"/>
    </row>
    <row r="30" spans="1:13" x14ac:dyDescent="0.3">
      <c r="A30" s="71" t="s">
        <v>155</v>
      </c>
      <c r="C30" s="7"/>
      <c r="D30" s="7"/>
      <c r="E30" s="7"/>
      <c r="F30" s="7"/>
      <c r="G30" s="7"/>
      <c r="H30" s="7"/>
      <c r="I30" s="7"/>
      <c r="J30" s="7"/>
      <c r="M30" s="3" t="str">
        <f>IF(K170=0, "",F56)</f>
        <v/>
      </c>
    </row>
    <row r="31" spans="1:13" x14ac:dyDescent="0.3">
      <c r="A31" s="71" t="s">
        <v>153</v>
      </c>
      <c r="B31" s="3" t="str">
        <f>B25</f>
        <v xml:space="preserve">دواليب دلفة /دلفتين </v>
      </c>
      <c r="C31" s="11">
        <f>C29+1</f>
        <v>6</v>
      </c>
      <c r="D31" s="11" t="str">
        <f>F21</f>
        <v>يوفيلاك</v>
      </c>
      <c r="E31" s="11" t="s">
        <v>84</v>
      </c>
      <c r="F31" s="11">
        <f>I17-0.5-G15</f>
        <v>136</v>
      </c>
      <c r="G31" s="11">
        <f>(H15/C19)-0.5</f>
        <v>-0.5</v>
      </c>
      <c r="H31" s="11">
        <f>G17*C13</f>
        <v>1</v>
      </c>
      <c r="I31" s="11">
        <f>HLOOKUP(D31, materials[], 2,FALSE)</f>
        <v>6</v>
      </c>
      <c r="J31" s="7"/>
    </row>
    <row r="32" spans="1:13" x14ac:dyDescent="0.3">
      <c r="A32" s="71" t="s">
        <v>153</v>
      </c>
      <c r="B32" s="3" t="str">
        <f>B25</f>
        <v xml:space="preserve">دواليب دلفة /دلفتين </v>
      </c>
      <c r="C32" s="11">
        <f>C31+1</f>
        <v>7</v>
      </c>
      <c r="D32" s="11" t="str">
        <f>F21</f>
        <v>يوفيلاك</v>
      </c>
      <c r="E32" s="11" t="s">
        <v>85</v>
      </c>
      <c r="F32" s="11">
        <f>I18-0.5-G15</f>
        <v>66</v>
      </c>
      <c r="G32" s="11">
        <f>(H15/C19)-0.5</f>
        <v>-0.5</v>
      </c>
      <c r="H32" s="11">
        <f>G18*C13</f>
        <v>1</v>
      </c>
      <c r="I32" s="11">
        <f>HLOOKUP(D32, materials[], 2,FALSE)</f>
        <v>6</v>
      </c>
      <c r="J32" s="7"/>
    </row>
    <row r="33" spans="1:13" x14ac:dyDescent="0.3">
      <c r="A33" s="71" t="s">
        <v>155</v>
      </c>
      <c r="C33" s="7"/>
      <c r="D33" s="7"/>
      <c r="E33" s="7"/>
      <c r="F33" s="7"/>
      <c r="G33" s="7"/>
      <c r="H33" s="7"/>
      <c r="I33" s="7"/>
      <c r="J33" s="7"/>
    </row>
    <row r="34" spans="1:13" x14ac:dyDescent="0.3">
      <c r="A34" s="71" t="s">
        <v>153</v>
      </c>
      <c r="B34" s="3" t="str">
        <f>B25</f>
        <v xml:space="preserve">دواليب دلفة /دلفتين </v>
      </c>
      <c r="C34" s="11">
        <f>C32+1</f>
        <v>8</v>
      </c>
      <c r="D34" s="11" t="s">
        <v>65</v>
      </c>
      <c r="E34" s="11" t="s">
        <v>86</v>
      </c>
      <c r="F34" s="11">
        <f>I17-0.5</f>
        <v>139.5</v>
      </c>
      <c r="G34" s="11">
        <f>(H15/C19)-0.5</f>
        <v>-0.5</v>
      </c>
      <c r="H34" s="11">
        <f>H17*C13</f>
        <v>1</v>
      </c>
      <c r="I34" s="11"/>
      <c r="J34" s="11"/>
    </row>
    <row r="35" spans="1:13" x14ac:dyDescent="0.3">
      <c r="A35" s="71" t="s">
        <v>153</v>
      </c>
      <c r="B35" s="3" t="str">
        <f>B25</f>
        <v xml:space="preserve">دواليب دلفة /دلفتين </v>
      </c>
      <c r="C35" s="11">
        <f>C34+1</f>
        <v>9</v>
      </c>
      <c r="D35" s="11" t="s">
        <v>65</v>
      </c>
      <c r="E35" s="11" t="s">
        <v>87</v>
      </c>
      <c r="F35" s="11">
        <f>I18-0.5</f>
        <v>69.5</v>
      </c>
      <c r="G35" s="11">
        <f>(H15/C19)-0.5</f>
        <v>-0.5</v>
      </c>
      <c r="H35" s="11">
        <f>H18*C13</f>
        <v>1</v>
      </c>
      <c r="I35" s="11"/>
      <c r="J35" s="11"/>
    </row>
    <row r="36" spans="1:13" x14ac:dyDescent="0.3">
      <c r="A36" s="71" t="s">
        <v>155</v>
      </c>
      <c r="C36" s="7"/>
      <c r="D36" s="7"/>
      <c r="E36" s="7"/>
      <c r="F36" s="7"/>
      <c r="G36" s="7"/>
      <c r="H36" s="7"/>
      <c r="I36" s="7"/>
      <c r="J36" s="7"/>
    </row>
    <row r="37" spans="1:13" x14ac:dyDescent="0.3">
      <c r="A37" s="71" t="s">
        <v>154</v>
      </c>
      <c r="B37" s="3" t="str">
        <f>B25</f>
        <v xml:space="preserve">دواليب دلفة /دلفتين </v>
      </c>
      <c r="C37" s="24">
        <f>C35+1</f>
        <v>10</v>
      </c>
      <c r="D37" s="24" t="str">
        <f>D21</f>
        <v>ظهر</v>
      </c>
      <c r="E37" s="24" t="s">
        <v>70</v>
      </c>
      <c r="F37" s="24">
        <f>I15-2</f>
        <v>208</v>
      </c>
      <c r="G37" s="24">
        <f>H15-2</f>
        <v>-2</v>
      </c>
      <c r="H37" s="24">
        <f>1*C13</f>
        <v>1</v>
      </c>
      <c r="I37" s="24">
        <f>HLOOKUP(D37, materials[], 2,FALSE)</f>
        <v>2</v>
      </c>
      <c r="J37" s="24"/>
    </row>
    <row r="38" spans="1:13" x14ac:dyDescent="0.3">
      <c r="A38" s="71" t="s">
        <v>150</v>
      </c>
    </row>
    <row r="39" spans="1:13" x14ac:dyDescent="0.3">
      <c r="A39" s="71" t="s">
        <v>150</v>
      </c>
      <c r="K39" s="1"/>
      <c r="L39" s="1"/>
      <c r="M39" s="1"/>
    </row>
    <row r="40" spans="1:13" ht="36" x14ac:dyDescent="0.3">
      <c r="A40" s="71" cm="1">
        <f t="array" ref="A40">drawersBlockTypes[دواليب منوع /فرن /أدراج]</f>
        <v>2</v>
      </c>
      <c r="C40" s="16">
        <v>1</v>
      </c>
      <c r="D40" s="30" t="s">
        <v>71</v>
      </c>
      <c r="E40" s="124" t="str">
        <f>drawersBlockTypes[[#Headers],[دواليب منوع /فرن /أدراج]]</f>
        <v>دواليب منوع /فرن /أدراج</v>
      </c>
      <c r="F40" s="124"/>
      <c r="G40" s="124"/>
      <c r="H40" s="124"/>
      <c r="I40" s="2" t="s">
        <v>42</v>
      </c>
      <c r="J40" s="2">
        <f>A40</f>
        <v>2</v>
      </c>
      <c r="K40" s="1"/>
      <c r="L40" s="1"/>
      <c r="M40" s="1"/>
    </row>
    <row r="41" spans="1:13" ht="31.2" x14ac:dyDescent="0.3">
      <c r="A41" s="71" t="s">
        <v>151</v>
      </c>
      <c r="C41" s="23"/>
      <c r="D41" s="20" t="s">
        <v>22</v>
      </c>
      <c r="E41" s="23" t="s">
        <v>19</v>
      </c>
      <c r="F41" s="9" t="s">
        <v>63</v>
      </c>
      <c r="G41" s="9" t="s">
        <v>17</v>
      </c>
      <c r="H41" s="9" t="s">
        <v>34</v>
      </c>
      <c r="I41" s="9" t="s">
        <v>3</v>
      </c>
      <c r="J41" s="9" t="s">
        <v>2</v>
      </c>
      <c r="K41" s="1"/>
      <c r="L41" s="1"/>
      <c r="M41" s="1"/>
    </row>
    <row r="42" spans="1:13" x14ac:dyDescent="0.3">
      <c r="A42" s="71" t="s">
        <v>151</v>
      </c>
      <c r="C42" s="23"/>
      <c r="D42" s="11">
        <v>45</v>
      </c>
      <c r="E42" s="10">
        <v>2</v>
      </c>
      <c r="F42" s="10">
        <v>1</v>
      </c>
      <c r="G42" s="10">
        <v>3.5</v>
      </c>
      <c r="H42" s="10"/>
      <c r="I42" s="10">
        <v>78</v>
      </c>
      <c r="J42" s="10">
        <v>56</v>
      </c>
      <c r="K42" s="1"/>
      <c r="L42" s="1"/>
      <c r="M42" s="1"/>
    </row>
    <row r="43" spans="1:13" ht="15.6" x14ac:dyDescent="0.3">
      <c r="A43" s="71" t="s">
        <v>151</v>
      </c>
      <c r="C43" s="10"/>
      <c r="D43" s="10"/>
      <c r="E43" s="10"/>
      <c r="F43" s="10"/>
      <c r="G43" s="9" t="s">
        <v>66</v>
      </c>
      <c r="H43" s="9" t="s">
        <v>67</v>
      </c>
      <c r="I43" s="10"/>
      <c r="J43" s="10"/>
      <c r="K43" s="1"/>
      <c r="L43" s="1"/>
      <c r="M43" s="1"/>
    </row>
    <row r="44" spans="1:13" ht="15.6" x14ac:dyDescent="0.3">
      <c r="A44" s="71" t="s">
        <v>151</v>
      </c>
      <c r="C44" s="10"/>
      <c r="D44" s="10"/>
      <c r="E44" s="10"/>
      <c r="F44" s="10"/>
      <c r="G44" s="9"/>
      <c r="H44" s="9"/>
      <c r="I44" s="10"/>
      <c r="J44" s="10" t="s">
        <v>89</v>
      </c>
    </row>
    <row r="45" spans="1:13" ht="15.6" x14ac:dyDescent="0.3">
      <c r="A45" s="71" t="s">
        <v>151</v>
      </c>
      <c r="C45" s="10"/>
      <c r="D45" s="10"/>
      <c r="E45" s="10"/>
      <c r="F45" s="10"/>
      <c r="G45" s="9"/>
      <c r="H45" s="9"/>
      <c r="I45" s="10"/>
      <c r="J45" s="10" t="s">
        <v>90</v>
      </c>
      <c r="K45" s="1"/>
      <c r="L45" s="1"/>
      <c r="M45" s="1"/>
    </row>
    <row r="46" spans="1:13" ht="15.6" x14ac:dyDescent="0.3">
      <c r="A46" s="71" t="s">
        <v>151</v>
      </c>
      <c r="C46" s="10"/>
      <c r="D46" s="10"/>
      <c r="E46" s="10"/>
      <c r="F46" s="10"/>
      <c r="G46" s="9"/>
      <c r="H46" s="9"/>
      <c r="I46" s="10"/>
      <c r="J46" s="10" t="s">
        <v>91</v>
      </c>
      <c r="K46" s="1"/>
      <c r="L46" s="1"/>
      <c r="M46" s="1"/>
    </row>
    <row r="47" spans="1:13" x14ac:dyDescent="0.3">
      <c r="A47" s="71" t="s">
        <v>151</v>
      </c>
      <c r="C47" s="10"/>
      <c r="D47" s="10"/>
      <c r="E47" s="10"/>
      <c r="F47" s="10"/>
      <c r="G47" s="10"/>
      <c r="H47" s="10"/>
      <c r="I47" s="10"/>
      <c r="J47" s="10" t="s">
        <v>81</v>
      </c>
      <c r="K47" s="1"/>
      <c r="L47" s="1"/>
      <c r="M47" s="1"/>
    </row>
    <row r="48" spans="1:13" x14ac:dyDescent="0.3">
      <c r="A48" s="71" t="s">
        <v>151</v>
      </c>
      <c r="C48" s="10"/>
      <c r="D48" s="10"/>
      <c r="E48" s="10"/>
      <c r="F48" s="10"/>
      <c r="G48" s="10"/>
      <c r="H48" s="10"/>
      <c r="I48" s="10"/>
      <c r="J48" s="10" t="s">
        <v>92</v>
      </c>
      <c r="K48" s="1"/>
      <c r="L48" s="1"/>
      <c r="M48" s="1"/>
    </row>
    <row r="49" spans="1:13" x14ac:dyDescent="0.3">
      <c r="A49" s="71" t="s">
        <v>151</v>
      </c>
      <c r="C49" s="10"/>
      <c r="D49" s="10"/>
      <c r="E49" s="10"/>
      <c r="F49" s="10"/>
      <c r="G49" s="10"/>
      <c r="H49" s="10"/>
      <c r="I49" s="10"/>
      <c r="J49" s="10" t="s">
        <v>93</v>
      </c>
      <c r="K49" s="1"/>
      <c r="L49" s="1"/>
      <c r="M49" s="1"/>
    </row>
    <row r="50" spans="1:13" x14ac:dyDescent="0.3">
      <c r="A50" s="71" t="s">
        <v>151</v>
      </c>
      <c r="C50" s="10"/>
      <c r="D50" s="10"/>
      <c r="E50" s="10"/>
      <c r="F50" s="10"/>
      <c r="G50" s="10"/>
      <c r="H50" s="10"/>
      <c r="I50" s="10"/>
      <c r="J50" s="10" t="s">
        <v>94</v>
      </c>
      <c r="K50" s="1"/>
      <c r="L50" s="1"/>
      <c r="M50" s="1"/>
    </row>
    <row r="51" spans="1:13" x14ac:dyDescent="0.3">
      <c r="A51" s="71" t="s">
        <v>151</v>
      </c>
      <c r="C51" s="11" t="b">
        <f>G47=0</f>
        <v>1</v>
      </c>
      <c r="D51" s="11" t="b">
        <f>H47=0</f>
        <v>1</v>
      </c>
      <c r="E51" s="10"/>
      <c r="F51" s="83"/>
      <c r="G51" s="10"/>
      <c r="H51" s="10"/>
      <c r="I51" s="10"/>
      <c r="J51" s="10" t="s">
        <v>95</v>
      </c>
      <c r="K51" s="1"/>
      <c r="L51" s="1"/>
      <c r="M51" s="1"/>
    </row>
    <row r="52" spans="1:13" x14ac:dyDescent="0.3">
      <c r="A52" s="71" t="s">
        <v>151</v>
      </c>
      <c r="C52" s="118">
        <f>G47+H47</f>
        <v>0</v>
      </c>
      <c r="D52" s="118"/>
      <c r="E52" s="10"/>
      <c r="F52" s="83"/>
      <c r="G52" s="83"/>
      <c r="H52" s="83"/>
      <c r="I52" s="10">
        <f>SUM(I44:I51)</f>
        <v>0</v>
      </c>
      <c r="J52" s="122" t="str">
        <f>IF(I53,"مقاس الدلف صحيح","مقاس الدلف غير صحيح")</f>
        <v>مقاس الدلف غير صحيح</v>
      </c>
      <c r="K52" s="1"/>
      <c r="L52" s="1"/>
      <c r="M52" s="1"/>
    </row>
    <row r="53" spans="1:13" x14ac:dyDescent="0.3">
      <c r="A53" s="71" t="s">
        <v>151</v>
      </c>
      <c r="C53" s="119" t="b">
        <f>C52&lt;=2</f>
        <v>1</v>
      </c>
      <c r="D53" s="119"/>
      <c r="E53" s="10"/>
      <c r="F53" s="10"/>
      <c r="G53" s="10"/>
      <c r="H53" s="10"/>
      <c r="I53" s="7" t="b">
        <f>I52=I42</f>
        <v>0</v>
      </c>
      <c r="J53" s="122"/>
      <c r="K53" s="1"/>
      <c r="L53" s="1"/>
      <c r="M53" s="1"/>
    </row>
    <row r="54" spans="1:13" ht="31.2" x14ac:dyDescent="0.3">
      <c r="A54" s="71" t="s">
        <v>151</v>
      </c>
      <c r="B54" s="1"/>
      <c r="C54" s="10"/>
      <c r="D54" s="43" t="str">
        <f>INDEX(choosenMaterials[[#All],[Column1]],MATCH(E54,choosenMaterials[[#All],[Column2]],0))</f>
        <v>ظهر</v>
      </c>
      <c r="E54" s="9" t="s">
        <v>70</v>
      </c>
      <c r="F54" s="43" t="str">
        <f>INDEX(choosenMaterials[[#All],[Column1]],MATCH(G54,choosenMaterials[[#All],[Column2]],0))</f>
        <v>يوفيلاك</v>
      </c>
      <c r="G54" s="9" t="s">
        <v>44</v>
      </c>
      <c r="H54" s="43" t="str">
        <f>INDEX(choosenMaterials[[#All],[Column1]],MATCH(I54,choosenMaterials[[#All],[Column2]],0))</f>
        <v>HPL</v>
      </c>
      <c r="I54" s="9" t="s">
        <v>43</v>
      </c>
      <c r="J54" s="34" t="s">
        <v>126</v>
      </c>
      <c r="K54" s="1"/>
      <c r="L54" s="1"/>
      <c r="M54" s="1"/>
    </row>
    <row r="55" spans="1:13" ht="15.6" customHeight="1" x14ac:dyDescent="0.3">
      <c r="A55" s="71" t="s">
        <v>155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t="15.6" customHeight="1" x14ac:dyDescent="0.3">
      <c r="A56" s="71" t="s">
        <v>152</v>
      </c>
      <c r="C56" s="7" t="s">
        <v>4</v>
      </c>
      <c r="D56" s="7" t="s">
        <v>9</v>
      </c>
      <c r="E56" s="7" t="s">
        <v>5</v>
      </c>
      <c r="F56" s="7" t="s">
        <v>7</v>
      </c>
      <c r="G56" s="7" t="s">
        <v>1</v>
      </c>
      <c r="H56" s="7" t="s">
        <v>6</v>
      </c>
      <c r="I56" s="7" t="s">
        <v>45</v>
      </c>
      <c r="J56" s="7" t="s">
        <v>8</v>
      </c>
      <c r="K56" s="1"/>
      <c r="L56" s="1"/>
      <c r="M56" s="1"/>
    </row>
    <row r="57" spans="1:13" ht="15.6" customHeight="1" x14ac:dyDescent="0.3">
      <c r="A57" s="71" t="s">
        <v>155</v>
      </c>
      <c r="C57" s="7"/>
      <c r="D57" s="7"/>
      <c r="E57" s="7"/>
      <c r="F57" s="7"/>
      <c r="G57" s="7"/>
      <c r="H57" s="7"/>
      <c r="I57" s="7"/>
      <c r="J57" s="7"/>
      <c r="K57" s="1"/>
      <c r="L57" s="1"/>
      <c r="M57" s="1"/>
    </row>
    <row r="58" spans="1:13" ht="15.6" customHeight="1" x14ac:dyDescent="0.3">
      <c r="A58" s="71" t="s">
        <v>156</v>
      </c>
      <c r="B58" s="3" t="str">
        <f>E40</f>
        <v>دواليب منوع /فرن /أدراج</v>
      </c>
      <c r="C58" s="7">
        <v>1</v>
      </c>
      <c r="D58" s="7" t="str">
        <f>H54</f>
        <v>HPL</v>
      </c>
      <c r="E58" s="7" t="s">
        <v>61</v>
      </c>
      <c r="F58" s="7">
        <f>H42-3.6</f>
        <v>-3.6</v>
      </c>
      <c r="G58" s="7">
        <f>J42</f>
        <v>56</v>
      </c>
      <c r="H58" s="7">
        <f>1*C40</f>
        <v>1</v>
      </c>
      <c r="I58" s="7">
        <f>HLOOKUP(D58, materials[], 2,FALSE)</f>
        <v>2</v>
      </c>
      <c r="J58" s="7"/>
      <c r="K58" s="1"/>
      <c r="L58" s="1"/>
      <c r="M58" s="1"/>
    </row>
    <row r="59" spans="1:13" x14ac:dyDescent="0.3">
      <c r="A59" s="71" t="s">
        <v>156</v>
      </c>
      <c r="B59" s="3" t="str">
        <f>B58</f>
        <v>دواليب منوع /فرن /أدراج</v>
      </c>
      <c r="C59" s="7">
        <f>C58+1</f>
        <v>2</v>
      </c>
      <c r="D59" s="7" t="str">
        <f>H54</f>
        <v>HPL</v>
      </c>
      <c r="E59" s="7" t="s">
        <v>10</v>
      </c>
      <c r="F59" s="7">
        <f>H42-3.6</f>
        <v>-3.6</v>
      </c>
      <c r="G59" s="7">
        <f>J42</f>
        <v>56</v>
      </c>
      <c r="H59" s="7">
        <f>1*C40</f>
        <v>1</v>
      </c>
      <c r="I59" s="7">
        <f>HLOOKUP(D59, materials[], 2,FALSE)</f>
        <v>2</v>
      </c>
      <c r="J59" s="7"/>
      <c r="K59" s="1"/>
      <c r="L59" s="1"/>
      <c r="M59" s="1"/>
    </row>
    <row r="60" spans="1:13" x14ac:dyDescent="0.3">
      <c r="A60" s="71" t="s">
        <v>156</v>
      </c>
      <c r="B60" s="3" t="str">
        <f>B58</f>
        <v>دواليب منوع /فرن /أدراج</v>
      </c>
      <c r="C60" s="7">
        <f>C59+1</f>
        <v>3</v>
      </c>
      <c r="D60" s="7" t="str">
        <f>H54</f>
        <v>HPL</v>
      </c>
      <c r="E60" s="7" t="s">
        <v>63</v>
      </c>
      <c r="F60" s="7">
        <f>H42-3.6</f>
        <v>-3.6</v>
      </c>
      <c r="G60" s="7">
        <f>J42-2.5</f>
        <v>53.5</v>
      </c>
      <c r="H60" s="7">
        <f>1*C40*F42</f>
        <v>1</v>
      </c>
      <c r="I60" s="7">
        <f>HLOOKUP(D60, materials[], 2,FALSE)</f>
        <v>2</v>
      </c>
      <c r="J60" s="7"/>
      <c r="K60" s="1"/>
      <c r="L60" s="1"/>
      <c r="M60" s="1"/>
    </row>
    <row r="61" spans="1:13" ht="15.6" customHeight="1" x14ac:dyDescent="0.3">
      <c r="A61" s="71" t="s">
        <v>156</v>
      </c>
      <c r="B61" s="3" t="str">
        <f>B58</f>
        <v>دواليب منوع /فرن /أدراج</v>
      </c>
      <c r="C61" s="7">
        <f>C60+1</f>
        <v>4</v>
      </c>
      <c r="D61" s="7" t="str">
        <f>H54</f>
        <v>HPL</v>
      </c>
      <c r="E61" s="7" t="s">
        <v>11</v>
      </c>
      <c r="F61" s="7">
        <f>I42</f>
        <v>78</v>
      </c>
      <c r="G61" s="7">
        <f>J42</f>
        <v>56</v>
      </c>
      <c r="H61" s="7">
        <f>2*C40</f>
        <v>2</v>
      </c>
      <c r="I61" s="7">
        <f>HLOOKUP(D61, materials[], 2,FALSE)</f>
        <v>2</v>
      </c>
      <c r="J61" s="7"/>
      <c r="K61" s="1"/>
      <c r="L61" s="1"/>
      <c r="M61" s="1"/>
    </row>
    <row r="62" spans="1:13" x14ac:dyDescent="0.3">
      <c r="A62" s="71" t="s">
        <v>156</v>
      </c>
      <c r="B62" s="3" t="str">
        <f>B58</f>
        <v>دواليب منوع /فرن /أدراج</v>
      </c>
      <c r="C62" s="7">
        <f t="shared" ref="C62" si="1">C61+1</f>
        <v>5</v>
      </c>
      <c r="D62" s="7" t="str">
        <f>H54</f>
        <v>HPL</v>
      </c>
      <c r="E62" s="7" t="s">
        <v>18</v>
      </c>
      <c r="F62" s="7">
        <f>H42-3.8</f>
        <v>-3.8</v>
      </c>
      <c r="G62" s="7">
        <f>J42-5</f>
        <v>51</v>
      </c>
      <c r="H62" s="7">
        <f>E42*C40</f>
        <v>2</v>
      </c>
      <c r="I62" s="7">
        <f>HLOOKUP(D62, materials[], 2,FALSE)</f>
        <v>2</v>
      </c>
      <c r="J62" s="7"/>
      <c r="K62" s="1"/>
      <c r="L62" s="1"/>
      <c r="M62" s="1"/>
    </row>
    <row r="63" spans="1:13" x14ac:dyDescent="0.3">
      <c r="A63" s="71" t="s">
        <v>155</v>
      </c>
      <c r="C63" s="7"/>
      <c r="D63" s="7"/>
      <c r="E63" s="7"/>
      <c r="F63" s="7"/>
      <c r="G63" s="7"/>
      <c r="H63" s="7"/>
      <c r="I63" s="7"/>
      <c r="J63" s="7"/>
      <c r="K63" s="1"/>
      <c r="L63" s="1"/>
      <c r="M63" s="1"/>
    </row>
    <row r="64" spans="1:13" x14ac:dyDescent="0.3">
      <c r="A64" s="71" t="s">
        <v>156</v>
      </c>
      <c r="B64" s="3" t="str">
        <f>B58</f>
        <v>دواليب منوع /فرن /أدراج</v>
      </c>
      <c r="C64" s="28">
        <f>C62+1</f>
        <v>6</v>
      </c>
      <c r="D64" s="28" t="str">
        <f>H54</f>
        <v>HPL</v>
      </c>
      <c r="E64" s="28" t="s">
        <v>96</v>
      </c>
      <c r="F64" s="28" t="str">
        <f>IF(H64=0, "",(H42-3.6-3.6-2.5))</f>
        <v/>
      </c>
      <c r="G64" s="28" t="str">
        <f>IF(H64=0, "",(I44-6))</f>
        <v/>
      </c>
      <c r="H64" s="28">
        <f>G44*C40</f>
        <v>0</v>
      </c>
      <c r="I64" s="28">
        <f>HLOOKUP(D64, materials[], 2,FALSE)</f>
        <v>2</v>
      </c>
      <c r="J64" s="7"/>
    </row>
    <row r="65" spans="1:12" x14ac:dyDescent="0.3">
      <c r="A65" s="71" t="s">
        <v>156</v>
      </c>
      <c r="B65" s="3" t="str">
        <f>B58</f>
        <v>دواليب منوع /فرن /أدراج</v>
      </c>
      <c r="C65" s="28">
        <f>C64+1</f>
        <v>7</v>
      </c>
      <c r="D65" s="28" t="str">
        <f>H54</f>
        <v>HPL</v>
      </c>
      <c r="E65" s="28" t="s">
        <v>97</v>
      </c>
      <c r="F65" s="28" t="str">
        <f>IF(H65=0, "",D42)</f>
        <v/>
      </c>
      <c r="G65" s="28" t="str">
        <f>IF(H65=0, "",(I44-6))</f>
        <v/>
      </c>
      <c r="H65" s="28">
        <f>2*G44*C40</f>
        <v>0</v>
      </c>
      <c r="I65" s="28">
        <f>HLOOKUP(D65, materials[], 2,FALSE)</f>
        <v>2</v>
      </c>
      <c r="J65" s="7"/>
    </row>
    <row r="66" spans="1:12" x14ac:dyDescent="0.3">
      <c r="A66" s="71" t="s">
        <v>156</v>
      </c>
      <c r="B66" s="3" t="str">
        <f>B58</f>
        <v>دواليب منوع /فرن /أدراج</v>
      </c>
      <c r="C66" s="28">
        <f t="shared" ref="C66:C72" si="2">C65+1</f>
        <v>8</v>
      </c>
      <c r="D66" s="28" t="str">
        <f>H54</f>
        <v>HPL</v>
      </c>
      <c r="E66" s="28" t="s">
        <v>98</v>
      </c>
      <c r="F66" s="28" t="str">
        <f>IF(H66=0, "",(H42-3.6-3.6-2.5))</f>
        <v/>
      </c>
      <c r="G66" s="28" t="str">
        <f>IF(H66=0, "",(I44-6-3))</f>
        <v/>
      </c>
      <c r="H66" s="28">
        <f>G44*C40</f>
        <v>0</v>
      </c>
      <c r="I66" s="28">
        <f>HLOOKUP(D66, materials[], 2,FALSE)</f>
        <v>2</v>
      </c>
      <c r="J66" s="7"/>
    </row>
    <row r="67" spans="1:12" x14ac:dyDescent="0.3">
      <c r="A67" s="71" t="s">
        <v>156</v>
      </c>
      <c r="B67" s="3" t="str">
        <f>B58</f>
        <v>دواليب منوع /فرن /أدراج</v>
      </c>
      <c r="C67" s="12">
        <f t="shared" si="2"/>
        <v>9</v>
      </c>
      <c r="D67" s="12" t="str">
        <f>H54</f>
        <v>HPL</v>
      </c>
      <c r="E67" s="12" t="s">
        <v>99</v>
      </c>
      <c r="F67" s="12" t="str">
        <f>IF(H67=0, "",(H42-3.6-3.6-2.5))</f>
        <v/>
      </c>
      <c r="G67" s="12" t="str">
        <f>IF(H67=0, "",(I45-6))</f>
        <v/>
      </c>
      <c r="H67" s="12">
        <f>G45*C40</f>
        <v>0</v>
      </c>
      <c r="I67" s="12">
        <f>HLOOKUP(D67, materials[], 2,FALSE)</f>
        <v>2</v>
      </c>
      <c r="J67" s="7"/>
    </row>
    <row r="68" spans="1:12" x14ac:dyDescent="0.3">
      <c r="A68" s="71" t="s">
        <v>156</v>
      </c>
      <c r="B68" s="3" t="str">
        <f>B58</f>
        <v>دواليب منوع /فرن /أدراج</v>
      </c>
      <c r="C68" s="12">
        <f t="shared" si="2"/>
        <v>10</v>
      </c>
      <c r="D68" s="12" t="str">
        <f>H54</f>
        <v>HPL</v>
      </c>
      <c r="E68" s="12" t="s">
        <v>100</v>
      </c>
      <c r="F68" s="12" t="str">
        <f>IF(H68=0, "",D42)</f>
        <v/>
      </c>
      <c r="G68" s="12" t="str">
        <f>IF(H68=0, "",(I45-6))</f>
        <v/>
      </c>
      <c r="H68" s="12">
        <f>2*G45*C40</f>
        <v>0</v>
      </c>
      <c r="I68" s="12">
        <f>HLOOKUP(D68, materials[], 2,FALSE)</f>
        <v>2</v>
      </c>
      <c r="J68" s="7"/>
    </row>
    <row r="69" spans="1:12" x14ac:dyDescent="0.3">
      <c r="A69" s="71" t="s">
        <v>156</v>
      </c>
      <c r="B69" s="3" t="str">
        <f>B58</f>
        <v>دواليب منوع /فرن /أدراج</v>
      </c>
      <c r="C69" s="12">
        <f t="shared" si="2"/>
        <v>11</v>
      </c>
      <c r="D69" s="12" t="str">
        <f>H54</f>
        <v>HPL</v>
      </c>
      <c r="E69" s="12" t="s">
        <v>101</v>
      </c>
      <c r="F69" s="12" t="str">
        <f>IF(H69=0, "",(H42-3.6-3.6-2.5))</f>
        <v/>
      </c>
      <c r="G69" s="12" t="str">
        <f>IF(H69=0, "",(I45-6-3))</f>
        <v/>
      </c>
      <c r="H69" s="12">
        <f>G45*C40</f>
        <v>0</v>
      </c>
      <c r="I69" s="12">
        <f>HLOOKUP(D69, materials[], 2,FALSE)</f>
        <v>2</v>
      </c>
      <c r="J69" s="7"/>
    </row>
    <row r="70" spans="1:12" x14ac:dyDescent="0.3">
      <c r="A70" s="71" t="s">
        <v>156</v>
      </c>
      <c r="B70" s="3" t="str">
        <f>B58</f>
        <v>دواليب منوع /فرن /أدراج</v>
      </c>
      <c r="C70" s="28">
        <f t="shared" si="2"/>
        <v>12</v>
      </c>
      <c r="D70" s="28" t="str">
        <f>H54</f>
        <v>HPL</v>
      </c>
      <c r="E70" s="28" t="s">
        <v>102</v>
      </c>
      <c r="F70" s="28" t="str">
        <f>IF(H70=0, "",(H42-3.6-3.6-2.5))</f>
        <v/>
      </c>
      <c r="G70" s="28" t="str">
        <f>IF(H70=0, "",(I46-6))</f>
        <v/>
      </c>
      <c r="H70" s="28">
        <f>G46*C40</f>
        <v>0</v>
      </c>
      <c r="I70" s="28">
        <f>HLOOKUP(D70, materials[], 2,FALSE)</f>
        <v>2</v>
      </c>
      <c r="J70" s="7"/>
    </row>
    <row r="71" spans="1:12" x14ac:dyDescent="0.3">
      <c r="A71" s="71" t="s">
        <v>156</v>
      </c>
      <c r="B71" s="3" t="str">
        <f>B58</f>
        <v>دواليب منوع /فرن /أدراج</v>
      </c>
      <c r="C71" s="28">
        <f t="shared" si="2"/>
        <v>13</v>
      </c>
      <c r="D71" s="28" t="str">
        <f>H54</f>
        <v>HPL</v>
      </c>
      <c r="E71" s="28" t="s">
        <v>103</v>
      </c>
      <c r="F71" s="28" t="str">
        <f>IF(H71=0, "",D42)</f>
        <v/>
      </c>
      <c r="G71" s="28" t="str">
        <f>IF(H71=0, "",(I46-6))</f>
        <v/>
      </c>
      <c r="H71" s="28">
        <f>2*G46*C40</f>
        <v>0</v>
      </c>
      <c r="I71" s="28">
        <f>HLOOKUP(D71, materials[], 2,FALSE)</f>
        <v>2</v>
      </c>
      <c r="J71" s="7"/>
    </row>
    <row r="72" spans="1:12" x14ac:dyDescent="0.3">
      <c r="A72" s="71" t="s">
        <v>156</v>
      </c>
      <c r="B72" s="3" t="str">
        <f>B58</f>
        <v>دواليب منوع /فرن /أدراج</v>
      </c>
      <c r="C72" s="28">
        <f t="shared" si="2"/>
        <v>14</v>
      </c>
      <c r="D72" s="28" t="str">
        <f>H54</f>
        <v>HPL</v>
      </c>
      <c r="E72" s="28" t="s">
        <v>104</v>
      </c>
      <c r="F72" s="28" t="str">
        <f>IF(H72=0, "",(H42-3.6-3.6-2.5))</f>
        <v/>
      </c>
      <c r="G72" s="28" t="str">
        <f>IF(H72=0, "",(I46-6-3))</f>
        <v/>
      </c>
      <c r="H72" s="28">
        <f>G46*C40</f>
        <v>0</v>
      </c>
      <c r="I72" s="28">
        <f>HLOOKUP(D72, materials[], 2,FALSE)</f>
        <v>2</v>
      </c>
      <c r="J72" s="7"/>
    </row>
    <row r="73" spans="1:12" x14ac:dyDescent="0.3">
      <c r="A73" s="71" t="s">
        <v>155</v>
      </c>
      <c r="C73" s="7"/>
      <c r="D73" s="7"/>
      <c r="E73" s="7"/>
      <c r="F73" s="7"/>
      <c r="G73" s="7"/>
      <c r="H73" s="7"/>
      <c r="I73" s="7"/>
      <c r="J73" s="7"/>
      <c r="L73" s="3" t="str">
        <f>IF(H74=0, "",(I44-0.5-G42))</f>
        <v/>
      </c>
    </row>
    <row r="74" spans="1:12" x14ac:dyDescent="0.3">
      <c r="A74" s="71" t="s">
        <v>153</v>
      </c>
      <c r="B74" s="3" t="str">
        <f>B58</f>
        <v>دواليب منوع /فرن /أدراج</v>
      </c>
      <c r="C74" s="11">
        <f>C72+1</f>
        <v>15</v>
      </c>
      <c r="D74" s="11" t="str">
        <f>F54</f>
        <v>يوفيلاك</v>
      </c>
      <c r="E74" s="11" t="s">
        <v>107</v>
      </c>
      <c r="F74" s="11" t="str">
        <f>IF(H74=0, "",(I44-0.5-G42))</f>
        <v/>
      </c>
      <c r="G74" s="11" t="str">
        <f>IF(H74=0, "",(H42-0.5))</f>
        <v/>
      </c>
      <c r="H74" s="11">
        <f>G44*C40</f>
        <v>0</v>
      </c>
      <c r="I74" s="11">
        <f>HLOOKUP(D74, materials[], 2,FALSE)</f>
        <v>6</v>
      </c>
      <c r="J74" s="7"/>
      <c r="L74" s="3" t="str">
        <f>IF(H75=0, "",(I45-0.5-G43))</f>
        <v/>
      </c>
    </row>
    <row r="75" spans="1:12" x14ac:dyDescent="0.3">
      <c r="A75" s="71" t="s">
        <v>153</v>
      </c>
      <c r="B75" s="3" t="str">
        <f>B58</f>
        <v>دواليب منوع /فرن /أدراج</v>
      </c>
      <c r="C75" s="11">
        <f t="shared" ref="C75:C82" si="3">C74+1</f>
        <v>16</v>
      </c>
      <c r="D75" s="11" t="str">
        <f>F54</f>
        <v>يوفيلاك</v>
      </c>
      <c r="E75" s="11" t="s">
        <v>108</v>
      </c>
      <c r="F75" s="11" t="str">
        <f>IF(H75=0, "",(I45-0.5-G42))</f>
        <v/>
      </c>
      <c r="G75" s="11" t="str">
        <f>IF(H75=0, "",(H42-0.5))</f>
        <v/>
      </c>
      <c r="H75" s="11">
        <f>G45*C40</f>
        <v>0</v>
      </c>
      <c r="I75" s="11">
        <f>HLOOKUP(D75, materials[], 2,FALSE)</f>
        <v>6</v>
      </c>
      <c r="J75" s="7"/>
      <c r="L75" s="3" t="str">
        <f>IF(H76=0, "",(I46-0.5-G44))</f>
        <v/>
      </c>
    </row>
    <row r="76" spans="1:12" x14ac:dyDescent="0.3">
      <c r="A76" s="71" t="s">
        <v>153</v>
      </c>
      <c r="B76" s="3" t="str">
        <f>B58</f>
        <v>دواليب منوع /فرن /أدراج</v>
      </c>
      <c r="C76" s="11">
        <f t="shared" si="3"/>
        <v>17</v>
      </c>
      <c r="D76" s="11" t="str">
        <f>F54</f>
        <v>يوفيلاك</v>
      </c>
      <c r="E76" s="11" t="s">
        <v>109</v>
      </c>
      <c r="F76" s="11" t="str">
        <f>IF(H76=0, "",(I46-0.5-G42))</f>
        <v/>
      </c>
      <c r="G76" s="11" t="str">
        <f>IF(H76=0, "",(H42-0.5))</f>
        <v/>
      </c>
      <c r="H76" s="11">
        <f>G46*C40</f>
        <v>0</v>
      </c>
      <c r="I76" s="11">
        <f>HLOOKUP(D76, materials[], 2,FALSE)</f>
        <v>6</v>
      </c>
      <c r="J76" s="7"/>
    </row>
    <row r="77" spans="1:12" x14ac:dyDescent="0.3">
      <c r="A77" s="71" t="s">
        <v>153</v>
      </c>
      <c r="B77" s="3" t="str">
        <f>B58</f>
        <v>دواليب منوع /فرن /أدراج</v>
      </c>
      <c r="C77" s="11">
        <f t="shared" si="3"/>
        <v>18</v>
      </c>
      <c r="D77" s="11" t="str">
        <f>F54</f>
        <v>يوفيلاك</v>
      </c>
      <c r="E77" s="11" t="s">
        <v>84</v>
      </c>
      <c r="F77" s="11" t="str">
        <f>IF(H77=0, "",(I47-0.5-G42))</f>
        <v/>
      </c>
      <c r="G77" s="11" t="str">
        <f>IF(H77=0, "",((H42/G47)-0.5))</f>
        <v/>
      </c>
      <c r="H77" s="11">
        <f>(G47+H47)*C40</f>
        <v>0</v>
      </c>
      <c r="I77" s="11">
        <f>HLOOKUP(D77, materials[], 2,FALSE)</f>
        <v>6</v>
      </c>
      <c r="J77" s="7"/>
      <c r="L77" s="3" t="str">
        <f>IF(H78=0, "",(I48-0.5-G46))</f>
        <v/>
      </c>
    </row>
    <row r="78" spans="1:12" x14ac:dyDescent="0.3">
      <c r="A78" s="71" t="s">
        <v>153</v>
      </c>
      <c r="B78" s="3" t="str">
        <f>B58</f>
        <v>دواليب منوع /فرن /أدراج</v>
      </c>
      <c r="C78" s="11">
        <f t="shared" si="3"/>
        <v>19</v>
      </c>
      <c r="D78" s="11" t="str">
        <f>F54</f>
        <v>يوفيلاك</v>
      </c>
      <c r="E78" s="11" t="s">
        <v>110</v>
      </c>
      <c r="F78" s="11" t="str">
        <f>IF(H78=0, "",(H42-0.5))</f>
        <v/>
      </c>
      <c r="G78" s="32" t="str">
        <f>IF(H78=0, "",(I48-59))</f>
        <v/>
      </c>
      <c r="H78" s="11">
        <f>G48*C40</f>
        <v>0</v>
      </c>
      <c r="I78" s="11">
        <f>HLOOKUP(D78, materials[], 2,FALSE)</f>
        <v>6</v>
      </c>
      <c r="J78" s="7"/>
      <c r="L78" s="3" t="str">
        <f>IF(H79=0, "",(I49-0.5-G47))</f>
        <v/>
      </c>
    </row>
    <row r="79" spans="1:12" x14ac:dyDescent="0.3">
      <c r="A79" s="71" t="s">
        <v>153</v>
      </c>
      <c r="B79" s="3" t="str">
        <f>B58</f>
        <v>دواليب منوع /فرن /أدراج</v>
      </c>
      <c r="C79" s="11">
        <f t="shared" si="3"/>
        <v>20</v>
      </c>
      <c r="D79" s="11" t="str">
        <f>F54</f>
        <v>يوفيلاك</v>
      </c>
      <c r="E79" s="11" t="s">
        <v>111</v>
      </c>
      <c r="F79" s="11"/>
      <c r="G79" s="11"/>
      <c r="H79" s="11"/>
      <c r="I79" s="11">
        <f>HLOOKUP(D79, materials[], 2,FALSE)</f>
        <v>6</v>
      </c>
      <c r="J79" s="7"/>
      <c r="L79" s="3" t="str">
        <f>IF(H80=0, "",(I50-0.5-G48))</f>
        <v/>
      </c>
    </row>
    <row r="80" spans="1:12" x14ac:dyDescent="0.3">
      <c r="A80" s="71" t="s">
        <v>153</v>
      </c>
      <c r="B80" s="3" t="str">
        <f>B58</f>
        <v>دواليب منوع /فرن /أدراج</v>
      </c>
      <c r="C80" s="11">
        <f t="shared" si="3"/>
        <v>21</v>
      </c>
      <c r="D80" s="11" t="str">
        <f>F54</f>
        <v>يوفيلاك</v>
      </c>
      <c r="E80" s="11" t="s">
        <v>112</v>
      </c>
      <c r="F80" s="11"/>
      <c r="G80" s="11"/>
      <c r="H80" s="11"/>
      <c r="I80" s="11">
        <f>HLOOKUP(D80, materials[], 2,FALSE)</f>
        <v>6</v>
      </c>
      <c r="J80" s="7"/>
    </row>
    <row r="81" spans="1:10" x14ac:dyDescent="0.3">
      <c r="A81" s="71" t="s">
        <v>153</v>
      </c>
      <c r="B81" s="3" t="str">
        <f>B58</f>
        <v>دواليب منوع /فرن /أدراج</v>
      </c>
      <c r="C81" s="11">
        <f t="shared" si="3"/>
        <v>22</v>
      </c>
      <c r="D81" s="11" t="str">
        <f>F54</f>
        <v>يوفيلاك</v>
      </c>
      <c r="E81" s="11" t="s">
        <v>105</v>
      </c>
      <c r="F81" s="11" t="str">
        <f>IF(H81=0, "",(I50-0.5))</f>
        <v/>
      </c>
      <c r="G81" s="11" t="str">
        <f>IF(H81=0, "",((H42/G50)-0.5))</f>
        <v/>
      </c>
      <c r="H81" s="11">
        <f>G50*C40</f>
        <v>0</v>
      </c>
      <c r="I81" s="11">
        <f>HLOOKUP(D81, materials[], 2,FALSE)</f>
        <v>6</v>
      </c>
      <c r="J81" s="7"/>
    </row>
    <row r="82" spans="1:10" x14ac:dyDescent="0.3">
      <c r="A82" s="71" t="s">
        <v>153</v>
      </c>
      <c r="B82" s="3" t="str">
        <f>B58</f>
        <v>دواليب منوع /فرن /أدراج</v>
      </c>
      <c r="C82" s="11">
        <f t="shared" si="3"/>
        <v>23</v>
      </c>
      <c r="D82" s="11" t="str">
        <f>F54</f>
        <v>يوفيلاك</v>
      </c>
      <c r="E82" s="11" t="s">
        <v>106</v>
      </c>
      <c r="F82" s="11" t="str">
        <f>IF(H82=0, "",(I51-0.5))</f>
        <v/>
      </c>
      <c r="G82" s="11" t="str">
        <f>IF(H82=0, "",((H42/G51)-0.5))</f>
        <v/>
      </c>
      <c r="H82" s="11">
        <f>G51*C40</f>
        <v>0</v>
      </c>
      <c r="I82" s="11">
        <f>HLOOKUP(D82, materials[], 2,FALSE)</f>
        <v>6</v>
      </c>
      <c r="J82" s="7"/>
    </row>
    <row r="83" spans="1:10" x14ac:dyDescent="0.3">
      <c r="A83" s="71" t="s">
        <v>155</v>
      </c>
      <c r="C83" s="7"/>
      <c r="D83" s="7"/>
      <c r="E83" s="7"/>
      <c r="F83" s="7"/>
      <c r="G83" s="7"/>
      <c r="H83" s="7"/>
      <c r="I83" s="7"/>
      <c r="J83" s="7"/>
    </row>
    <row r="84" spans="1:10" x14ac:dyDescent="0.3">
      <c r="A84" s="71" t="s">
        <v>155</v>
      </c>
      <c r="C84" s="7"/>
      <c r="D84" s="7"/>
      <c r="E84" s="7"/>
      <c r="F84" s="7"/>
      <c r="G84" s="7"/>
      <c r="H84" s="7"/>
      <c r="I84" s="7"/>
      <c r="J84" s="7"/>
    </row>
    <row r="85" spans="1:10" x14ac:dyDescent="0.3">
      <c r="A85" s="71" t="s">
        <v>153</v>
      </c>
      <c r="B85" s="3" t="str">
        <f>B58</f>
        <v>دواليب منوع /فرن /أدراج</v>
      </c>
      <c r="C85" s="11">
        <f>C81+1</f>
        <v>23</v>
      </c>
      <c r="D85" s="11" t="s">
        <v>65</v>
      </c>
      <c r="E85" s="11" t="s">
        <v>86</v>
      </c>
      <c r="F85" s="11" t="str">
        <f>IF(H85=0, "",(I47-0.5-G42))</f>
        <v/>
      </c>
      <c r="G85" s="11" t="str">
        <f>IF(H85=0, "",((H42/G47)-0.5))</f>
        <v/>
      </c>
      <c r="H85" s="11">
        <f>H47*C40</f>
        <v>0</v>
      </c>
      <c r="I85" s="11"/>
      <c r="J85" s="11"/>
    </row>
    <row r="86" spans="1:10" x14ac:dyDescent="0.3">
      <c r="A86" s="71" t="s">
        <v>153</v>
      </c>
      <c r="B86" s="3" t="str">
        <f>B58</f>
        <v>دواليب منوع /فرن /أدراج</v>
      </c>
      <c r="C86" s="11">
        <f>C85+1</f>
        <v>24</v>
      </c>
      <c r="D86" s="11" t="s">
        <v>65</v>
      </c>
      <c r="E86" s="11" t="s">
        <v>113</v>
      </c>
      <c r="F86" s="11" t="str">
        <f>IF(H86=0, "",(I50-0.5))</f>
        <v/>
      </c>
      <c r="G86" s="11" t="str">
        <f>IF(H86=0, "",((H42/H50)-0.5))</f>
        <v/>
      </c>
      <c r="H86" s="11">
        <f>H50*C40</f>
        <v>0</v>
      </c>
      <c r="I86" s="11"/>
      <c r="J86" s="11"/>
    </row>
    <row r="87" spans="1:10" x14ac:dyDescent="0.3">
      <c r="A87" s="71" t="s">
        <v>153</v>
      </c>
      <c r="B87" s="3" t="str">
        <f>B58</f>
        <v>دواليب منوع /فرن /أدراج</v>
      </c>
      <c r="C87" s="11">
        <f>C86+1</f>
        <v>25</v>
      </c>
      <c r="D87" s="11" t="s">
        <v>65</v>
      </c>
      <c r="E87" s="11" t="s">
        <v>114</v>
      </c>
      <c r="F87" s="11" t="str">
        <f>IF(H87=0, "",(I51-0.5))</f>
        <v/>
      </c>
      <c r="G87" s="11" t="str">
        <f>IF(H87=0, "",((H42/H51)-0.5))</f>
        <v/>
      </c>
      <c r="H87" s="11">
        <f>H51*C40</f>
        <v>0</v>
      </c>
      <c r="I87" s="11"/>
      <c r="J87" s="11"/>
    </row>
    <row r="88" spans="1:10" x14ac:dyDescent="0.3">
      <c r="A88" s="71" t="s">
        <v>155</v>
      </c>
      <c r="C88" s="7"/>
      <c r="D88" s="7"/>
      <c r="E88" s="7"/>
      <c r="F88" s="7"/>
      <c r="G88" s="7"/>
      <c r="H88" s="7"/>
      <c r="I88" s="7"/>
      <c r="J88" s="7"/>
    </row>
    <row r="89" spans="1:10" x14ac:dyDescent="0.3">
      <c r="A89" s="71" t="s">
        <v>154</v>
      </c>
      <c r="B89" s="3" t="str">
        <f>B58</f>
        <v>دواليب منوع /فرن /أدراج</v>
      </c>
      <c r="C89" s="24">
        <f>C86+1</f>
        <v>25</v>
      </c>
      <c r="D89" s="24" t="str">
        <f>D54</f>
        <v>ظهر</v>
      </c>
      <c r="E89" s="24" t="s">
        <v>70</v>
      </c>
      <c r="F89" s="24">
        <f>I42-2</f>
        <v>76</v>
      </c>
      <c r="G89" s="24">
        <f>H42-2</f>
        <v>-2</v>
      </c>
      <c r="H89" s="24">
        <f>1*C40</f>
        <v>1</v>
      </c>
      <c r="I89" s="24">
        <f>HLOOKUP(D89, materials[], 2,FALSE)</f>
        <v>2</v>
      </c>
      <c r="J89" s="24"/>
    </row>
    <row r="90" spans="1:10" x14ac:dyDescent="0.3">
      <c r="A90" s="71" t="s">
        <v>150</v>
      </c>
    </row>
    <row r="91" spans="1:10" x14ac:dyDescent="0.3">
      <c r="A91" s="71" t="s">
        <v>150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6">
        <v>2</v>
      </c>
      <c r="D98" s="30" t="s">
        <v>71</v>
      </c>
      <c r="E98" s="110" t="s">
        <v>78</v>
      </c>
      <c r="F98" s="111"/>
      <c r="G98" s="111"/>
      <c r="H98" s="112"/>
      <c r="I98" s="2" t="s">
        <v>42</v>
      </c>
      <c r="J98" s="2">
        <f>J40+1</f>
        <v>3</v>
      </c>
    </row>
    <row r="99" spans="2:10" ht="31.2" hidden="1" customHeight="1" x14ac:dyDescent="0.3">
      <c r="C99" s="9" t="s">
        <v>12</v>
      </c>
      <c r="D99" s="9"/>
      <c r="E99" s="9" t="s">
        <v>19</v>
      </c>
      <c r="F99" s="9" t="s">
        <v>17</v>
      </c>
      <c r="G99" s="9" t="s">
        <v>60</v>
      </c>
      <c r="H99" s="9" t="s">
        <v>34</v>
      </c>
      <c r="I99" s="9" t="s">
        <v>3</v>
      </c>
      <c r="J99" s="9" t="s">
        <v>2</v>
      </c>
    </row>
    <row r="100" spans="2:10" ht="15.6" hidden="1" customHeight="1" x14ac:dyDescent="0.3">
      <c r="C100" s="10">
        <v>2</v>
      </c>
      <c r="D100" s="10"/>
      <c r="E100" s="10">
        <v>1</v>
      </c>
      <c r="F100" s="10">
        <v>3.5</v>
      </c>
      <c r="G100" s="10"/>
      <c r="H100" s="10">
        <v>120</v>
      </c>
      <c r="I100" s="10">
        <v>80</v>
      </c>
      <c r="J100" s="10">
        <v>30</v>
      </c>
    </row>
    <row r="101" spans="2:10" ht="15.6" hidden="1" customHeight="1" x14ac:dyDescent="0.3">
      <c r="C101" s="11" t="b">
        <f>C100=0</f>
        <v>0</v>
      </c>
      <c r="D101" s="11" t="b">
        <f>E100=0</f>
        <v>0</v>
      </c>
      <c r="E101" s="3" t="b">
        <f>_xlfn.XOR(I100&lt;=50,E100=1)</f>
        <v>1</v>
      </c>
      <c r="F101" s="119" t="b">
        <f>NOT(AND(F100&gt;0,G100&gt;0))</f>
        <v>1</v>
      </c>
      <c r="G101" s="119"/>
      <c r="I101" s="3" t="b">
        <f>_xlfn.XOR(I100&lt;=50,C102=2)</f>
        <v>0</v>
      </c>
    </row>
    <row r="102" spans="2:10" ht="24" hidden="1" customHeight="1" x14ac:dyDescent="0.3">
      <c r="C102" s="119">
        <f>C100+E100</f>
        <v>3</v>
      </c>
      <c r="D102" s="119"/>
      <c r="E102" s="69"/>
      <c r="F102" s="123" t="str">
        <f>IF(F101,"المقابض مظبوطة","مينفعش مقبض مخفي مع بيلت ان")</f>
        <v>المقابض مظبوطة</v>
      </c>
      <c r="G102" s="123"/>
      <c r="H102" s="31"/>
      <c r="I102" s="69" t="str">
        <f>IF(I101,"عدد الدلف صحيح","عدد الدلف غير صحيح")</f>
        <v>عدد الدلف غير صحيح</v>
      </c>
      <c r="J102" s="67"/>
    </row>
    <row r="103" spans="2:10" ht="15.6" hidden="1" customHeight="1" x14ac:dyDescent="0.3">
      <c r="C103" s="119" t="b">
        <f>C102&lt;=2</f>
        <v>0</v>
      </c>
      <c r="D103" s="119"/>
      <c r="E103" s="1"/>
    </row>
    <row r="104" spans="2:10" ht="15.6" hidden="1" customHeight="1" x14ac:dyDescent="0.3">
      <c r="C104" s="7" t="s">
        <v>4</v>
      </c>
      <c r="D104" s="7" t="s">
        <v>9</v>
      </c>
      <c r="E104" s="7" t="s">
        <v>5</v>
      </c>
      <c r="F104" s="7" t="s">
        <v>7</v>
      </c>
      <c r="G104" s="7" t="s">
        <v>1</v>
      </c>
      <c r="H104" s="7" t="s">
        <v>6</v>
      </c>
      <c r="I104" s="7" t="s">
        <v>45</v>
      </c>
      <c r="J104" s="7" t="s">
        <v>8</v>
      </c>
    </row>
    <row r="105" spans="2:10" ht="15.6" hidden="1" customHeight="1" x14ac:dyDescent="0.3">
      <c r="C105" s="7"/>
      <c r="D105" s="7"/>
      <c r="E105" s="7"/>
      <c r="F105" s="7"/>
      <c r="G105" s="7"/>
      <c r="H105" s="7"/>
      <c r="I105" s="7"/>
      <c r="J105" s="7"/>
    </row>
    <row r="106" spans="2:10" ht="15.6" hidden="1" customHeight="1" x14ac:dyDescent="0.3">
      <c r="C106" s="7">
        <v>1</v>
      </c>
      <c r="D106" s="7">
        <f>H7</f>
        <v>0</v>
      </c>
      <c r="E106" s="7" t="s">
        <v>61</v>
      </c>
      <c r="F106" s="7">
        <f>H100-3.6</f>
        <v>116.4</v>
      </c>
      <c r="G106" s="7">
        <f>J100</f>
        <v>30</v>
      </c>
      <c r="H106" s="7">
        <f>1*C98</f>
        <v>2</v>
      </c>
      <c r="I106" s="7">
        <f>F7</f>
        <v>0</v>
      </c>
      <c r="J106" s="7"/>
    </row>
    <row r="107" spans="2:10" ht="15.6" hidden="1" customHeight="1" x14ac:dyDescent="0.3">
      <c r="C107" s="7">
        <f t="shared" ref="C107:C110" si="4">C106+1</f>
        <v>2</v>
      </c>
      <c r="D107" s="7">
        <f>D106</f>
        <v>0</v>
      </c>
      <c r="E107" s="7" t="s">
        <v>10</v>
      </c>
      <c r="F107" s="7">
        <f>H100-3.6</f>
        <v>116.4</v>
      </c>
      <c r="G107" s="7">
        <f>J100-G100</f>
        <v>30</v>
      </c>
      <c r="H107" s="7">
        <f>1*C98</f>
        <v>2</v>
      </c>
      <c r="I107" s="7">
        <f>I106</f>
        <v>0</v>
      </c>
      <c r="J107" s="7"/>
    </row>
    <row r="108" spans="2:10" ht="15.6" hidden="1" customHeight="1" x14ac:dyDescent="0.3">
      <c r="C108" s="7">
        <f t="shared" si="4"/>
        <v>3</v>
      </c>
      <c r="D108" s="7">
        <f>D106</f>
        <v>0</v>
      </c>
      <c r="E108" s="7" t="s">
        <v>11</v>
      </c>
      <c r="F108" s="7">
        <f>I100</f>
        <v>80</v>
      </c>
      <c r="G108" s="7">
        <f>J100</f>
        <v>30</v>
      </c>
      <c r="H108" s="7">
        <f>2*C98</f>
        <v>4</v>
      </c>
      <c r="I108" s="7">
        <f>I106</f>
        <v>0</v>
      </c>
      <c r="J108" s="7"/>
    </row>
    <row r="109" spans="2:10" ht="15.6" hidden="1" customHeight="1" x14ac:dyDescent="0.3">
      <c r="C109" s="7">
        <f t="shared" si="4"/>
        <v>4</v>
      </c>
      <c r="D109" s="7">
        <f>D106</f>
        <v>0</v>
      </c>
      <c r="E109" s="7" t="s">
        <v>18</v>
      </c>
      <c r="F109" s="7">
        <f>H100-3.8</f>
        <v>116.2</v>
      </c>
      <c r="G109" s="7">
        <f>J100-6</f>
        <v>24</v>
      </c>
      <c r="H109" s="7">
        <f>E100*C98</f>
        <v>2</v>
      </c>
      <c r="I109" s="7">
        <f>I106</f>
        <v>0</v>
      </c>
      <c r="J109" s="7"/>
    </row>
    <row r="110" spans="2:10" ht="15.6" hidden="1" customHeight="1" x14ac:dyDescent="0.3">
      <c r="C110" s="7">
        <f t="shared" si="4"/>
        <v>5</v>
      </c>
      <c r="D110" s="7">
        <f>D106</f>
        <v>0</v>
      </c>
      <c r="E110" s="7" t="s">
        <v>36</v>
      </c>
      <c r="F110" s="7">
        <f>I100</f>
        <v>80</v>
      </c>
      <c r="G110" s="7">
        <f>J100</f>
        <v>30</v>
      </c>
      <c r="H110" s="7">
        <f>1*C98</f>
        <v>2</v>
      </c>
      <c r="I110" s="7">
        <f>I106</f>
        <v>0</v>
      </c>
      <c r="J110" s="7"/>
    </row>
    <row r="111" spans="2:10" ht="15.6" hidden="1" customHeight="1" x14ac:dyDescent="0.3">
      <c r="C111" s="7"/>
      <c r="D111" s="7"/>
      <c r="E111" s="7"/>
      <c r="F111" s="7"/>
      <c r="G111" s="7"/>
      <c r="H111" s="7"/>
      <c r="I111" s="7"/>
      <c r="J111" s="7"/>
    </row>
    <row r="112" spans="2:10" ht="15.6" hidden="1" customHeight="1" x14ac:dyDescent="0.3">
      <c r="C112" s="11">
        <f>C110+1</f>
        <v>6</v>
      </c>
      <c r="D112" s="11">
        <f>H8</f>
        <v>0</v>
      </c>
      <c r="E112" s="11" t="s">
        <v>15</v>
      </c>
      <c r="F112" s="11">
        <f>I100-0.5-F100</f>
        <v>76</v>
      </c>
      <c r="G112" s="11">
        <f>(H100-J100-G113)/C100-0.5</f>
        <v>42.5</v>
      </c>
      <c r="H112" s="11">
        <f>C100*C98</f>
        <v>4</v>
      </c>
      <c r="I112" s="11">
        <f>F8</f>
        <v>0</v>
      </c>
      <c r="J112" s="11"/>
    </row>
    <row r="113" spans="2:10" ht="15.6" hidden="1" customHeight="1" x14ac:dyDescent="0.3">
      <c r="C113" s="11">
        <f t="shared" ref="C113:C114" si="5">C112+1</f>
        <v>7</v>
      </c>
      <c r="D113" s="11">
        <f>D112</f>
        <v>0</v>
      </c>
      <c r="E113" s="11" t="s">
        <v>37</v>
      </c>
      <c r="F113" s="11">
        <f>I100</f>
        <v>80</v>
      </c>
      <c r="G113" s="11">
        <v>4</v>
      </c>
      <c r="H113" s="11">
        <f>1*C98</f>
        <v>2</v>
      </c>
      <c r="I113" s="11">
        <f>I112</f>
        <v>0</v>
      </c>
      <c r="J113" s="11"/>
    </row>
    <row r="114" spans="2:10" ht="15.6" hidden="1" customHeight="1" x14ac:dyDescent="0.3">
      <c r="C114" s="11">
        <f t="shared" si="5"/>
        <v>8</v>
      </c>
      <c r="D114" s="11">
        <f>D113</f>
        <v>0</v>
      </c>
      <c r="E114" s="11"/>
      <c r="F114" s="11"/>
      <c r="G114" s="11"/>
      <c r="H114" s="11"/>
      <c r="I114" s="11"/>
      <c r="J114" s="11"/>
    </row>
    <row r="115" spans="2:10" ht="15.6" hidden="1" customHeight="1" x14ac:dyDescent="0.3">
      <c r="C115" s="7"/>
      <c r="D115" s="7"/>
      <c r="E115" s="7"/>
      <c r="F115" s="7"/>
      <c r="G115" s="7"/>
      <c r="H115" s="7"/>
      <c r="I115" s="7"/>
      <c r="J115" s="7"/>
    </row>
    <row r="116" spans="2:10" ht="15.6" hidden="1" customHeight="1" x14ac:dyDescent="0.3">
      <c r="C116" s="24">
        <f>C114+1</f>
        <v>9</v>
      </c>
      <c r="D116" s="24" t="s">
        <v>70</v>
      </c>
      <c r="E116" s="24" t="s">
        <v>70</v>
      </c>
      <c r="F116" s="24">
        <f>I100-2</f>
        <v>78</v>
      </c>
      <c r="G116" s="24">
        <f>H100-2</f>
        <v>118</v>
      </c>
      <c r="H116" s="24">
        <f>1*C98</f>
        <v>2</v>
      </c>
      <c r="I116" s="24">
        <f>F9</f>
        <v>0</v>
      </c>
      <c r="J116" s="24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6">
        <v>1</v>
      </c>
      <c r="D118" s="30" t="s">
        <v>71</v>
      </c>
      <c r="E118" s="110" t="s">
        <v>79</v>
      </c>
      <c r="F118" s="111"/>
      <c r="G118" s="111"/>
      <c r="H118" s="112"/>
      <c r="I118" s="2" t="s">
        <v>42</v>
      </c>
      <c r="J118" s="2">
        <f>J98+1</f>
        <v>4</v>
      </c>
    </row>
    <row r="119" spans="2:10" ht="31.2" hidden="1" customHeight="1" x14ac:dyDescent="0.3">
      <c r="C119" s="9"/>
      <c r="D119" s="9" t="s">
        <v>19</v>
      </c>
      <c r="E119" s="9"/>
      <c r="F119" s="9" t="s">
        <v>17</v>
      </c>
      <c r="G119" s="9" t="s">
        <v>60</v>
      </c>
      <c r="H119" s="9" t="s">
        <v>34</v>
      </c>
      <c r="I119" s="9" t="s">
        <v>3</v>
      </c>
      <c r="J119" s="9" t="s">
        <v>2</v>
      </c>
    </row>
    <row r="120" spans="2:10" ht="15.6" hidden="1" customHeight="1" x14ac:dyDescent="0.3">
      <c r="C120" s="10"/>
      <c r="D120" s="10">
        <v>2</v>
      </c>
      <c r="E120" s="10"/>
      <c r="F120" s="10">
        <v>3.5</v>
      </c>
      <c r="G120" s="10"/>
      <c r="H120" s="10">
        <v>70</v>
      </c>
      <c r="I120" s="10">
        <v>80</v>
      </c>
      <c r="J120" s="10">
        <v>30</v>
      </c>
    </row>
    <row r="121" spans="2:10" ht="15.6" hidden="1" customHeight="1" x14ac:dyDescent="0.3">
      <c r="C121" s="14"/>
      <c r="D121" s="14"/>
      <c r="E121" s="14"/>
      <c r="F121" s="119" t="b">
        <f>NOT(AND(F120&gt;0,G120&gt;0))</f>
        <v>1</v>
      </c>
      <c r="G121" s="119"/>
      <c r="H121" s="10">
        <v>70</v>
      </c>
      <c r="I121" s="10">
        <v>80</v>
      </c>
      <c r="J121" s="10">
        <v>30</v>
      </c>
    </row>
    <row r="122" spans="2:10" ht="15.6" hidden="1" customHeight="1" x14ac:dyDescent="0.3">
      <c r="F122" s="123" t="str">
        <f>IF(F121,"المقابض مظبوطة","مينفعش مقبض مخفي مع بيلت ان")</f>
        <v>المقابض مظبوطة</v>
      </c>
      <c r="G122" s="123"/>
    </row>
    <row r="123" spans="2:10" ht="15.6" hidden="1" customHeight="1" x14ac:dyDescent="0.3"/>
    <row r="124" spans="2:10" ht="15.6" hidden="1" customHeight="1" x14ac:dyDescent="0.3">
      <c r="C124" s="7" t="s">
        <v>4</v>
      </c>
      <c r="D124" s="7" t="s">
        <v>9</v>
      </c>
      <c r="E124" s="7" t="s">
        <v>5</v>
      </c>
      <c r="F124" s="7" t="s">
        <v>7</v>
      </c>
      <c r="G124" s="7" t="s">
        <v>1</v>
      </c>
      <c r="H124" s="7" t="s">
        <v>6</v>
      </c>
      <c r="I124" s="7" t="s">
        <v>45</v>
      </c>
      <c r="J124" s="7" t="s">
        <v>8</v>
      </c>
    </row>
    <row r="125" spans="2:10" ht="15.6" hidden="1" customHeight="1" x14ac:dyDescent="0.3">
      <c r="C125" s="7"/>
      <c r="D125" s="7"/>
      <c r="E125" s="7"/>
      <c r="F125" s="7"/>
      <c r="G125" s="7"/>
      <c r="H125" s="7"/>
      <c r="I125" s="7"/>
      <c r="J125" s="7"/>
    </row>
    <row r="126" spans="2:10" ht="15.6" hidden="1" customHeight="1" x14ac:dyDescent="0.3">
      <c r="C126" s="7">
        <v>1</v>
      </c>
      <c r="D126" s="7">
        <f>H7</f>
        <v>0</v>
      </c>
      <c r="E126" s="7" t="s">
        <v>61</v>
      </c>
      <c r="F126" s="7">
        <f>H120-1.8</f>
        <v>68.2</v>
      </c>
      <c r="G126" s="7">
        <f>H121-1.8</f>
        <v>68.2</v>
      </c>
      <c r="H126" s="7">
        <f>1*C118</f>
        <v>1</v>
      </c>
      <c r="I126" s="7">
        <f>F7</f>
        <v>0</v>
      </c>
      <c r="J126" s="7"/>
    </row>
    <row r="127" spans="2:10" ht="15.6" hidden="1" customHeight="1" x14ac:dyDescent="0.3">
      <c r="C127" s="7">
        <f>C126+1</f>
        <v>2</v>
      </c>
      <c r="D127" s="7">
        <f>D126</f>
        <v>0</v>
      </c>
      <c r="E127" s="7" t="s">
        <v>10</v>
      </c>
      <c r="F127" s="7">
        <f>H120-1.8</f>
        <v>68.2</v>
      </c>
      <c r="G127" s="7">
        <f>H121-1.8</f>
        <v>68.2</v>
      </c>
      <c r="H127" s="7">
        <f>1*C118</f>
        <v>1</v>
      </c>
      <c r="I127" s="7">
        <f>I126</f>
        <v>0</v>
      </c>
      <c r="J127" s="7"/>
    </row>
    <row r="128" spans="2:10" ht="15.6" hidden="1" customHeight="1" x14ac:dyDescent="0.3">
      <c r="C128" s="7">
        <f>C127+1</f>
        <v>3</v>
      </c>
      <c r="D128" s="7">
        <f>D126</f>
        <v>0</v>
      </c>
      <c r="E128" s="7" t="s">
        <v>74</v>
      </c>
      <c r="F128" s="7">
        <f>I120</f>
        <v>80</v>
      </c>
      <c r="G128" s="7">
        <f>J120</f>
        <v>30</v>
      </c>
      <c r="H128" s="7">
        <f>1*C118</f>
        <v>1</v>
      </c>
      <c r="I128" s="7">
        <f>I126</f>
        <v>0</v>
      </c>
      <c r="J128" s="7"/>
    </row>
    <row r="129" spans="2:10" ht="15.6" hidden="1" customHeight="1" x14ac:dyDescent="0.3">
      <c r="C129" s="7">
        <f>C128+1</f>
        <v>4</v>
      </c>
      <c r="D129" s="7">
        <f>D126</f>
        <v>0</v>
      </c>
      <c r="E129" s="7" t="s">
        <v>75</v>
      </c>
      <c r="F129" s="7">
        <f>I121</f>
        <v>80</v>
      </c>
      <c r="G129" s="7">
        <f>J121</f>
        <v>30</v>
      </c>
      <c r="H129" s="7">
        <f>1*C118</f>
        <v>1</v>
      </c>
      <c r="I129" s="7">
        <f>I126</f>
        <v>0</v>
      </c>
      <c r="J129" s="7"/>
    </row>
    <row r="130" spans="2:10" ht="15.6" hidden="1" customHeight="1" x14ac:dyDescent="0.3">
      <c r="C130" s="7">
        <f>C129+1</f>
        <v>5</v>
      </c>
      <c r="D130" s="7">
        <f>D126</f>
        <v>0</v>
      </c>
      <c r="E130" s="7" t="s">
        <v>39</v>
      </c>
      <c r="F130" s="7">
        <f>I120</f>
        <v>80</v>
      </c>
      <c r="G130" s="7">
        <v>10</v>
      </c>
      <c r="H130" s="7">
        <f>1*C118</f>
        <v>1</v>
      </c>
      <c r="I130" s="7">
        <f>I126</f>
        <v>0</v>
      </c>
      <c r="J130" s="7"/>
    </row>
    <row r="131" spans="2:10" ht="15.6" hidden="1" customHeight="1" x14ac:dyDescent="0.3">
      <c r="C131" s="7">
        <f t="shared" ref="C131" si="6">C130+1</f>
        <v>6</v>
      </c>
      <c r="D131" s="7">
        <f>D126</f>
        <v>0</v>
      </c>
      <c r="E131" s="7" t="s">
        <v>18</v>
      </c>
      <c r="F131" s="7">
        <f>H120-3.8</f>
        <v>66.2</v>
      </c>
      <c r="G131" s="7">
        <f>H121-3.8</f>
        <v>66.2</v>
      </c>
      <c r="H131" s="7">
        <f>D120*C118</f>
        <v>2</v>
      </c>
      <c r="I131" s="7">
        <f>I126</f>
        <v>0</v>
      </c>
      <c r="J131" s="7"/>
    </row>
    <row r="132" spans="2:10" ht="15.6" hidden="1" customHeight="1" x14ac:dyDescent="0.3">
      <c r="C132" s="7"/>
      <c r="D132" s="7"/>
      <c r="E132" s="7"/>
      <c r="F132" s="7"/>
      <c r="G132" s="7"/>
      <c r="H132" s="7"/>
      <c r="I132" s="7"/>
      <c r="J132" s="7"/>
    </row>
    <row r="133" spans="2:10" ht="15.6" hidden="1" customHeight="1" x14ac:dyDescent="0.3">
      <c r="C133" s="11">
        <f>C131+1</f>
        <v>7</v>
      </c>
      <c r="D133" s="11">
        <f>H8</f>
        <v>0</v>
      </c>
      <c r="E133" s="11" t="s">
        <v>40</v>
      </c>
      <c r="F133" s="11">
        <f>I120-0.5-F120</f>
        <v>76</v>
      </c>
      <c r="G133" s="11">
        <f>H120-J120-3</f>
        <v>37</v>
      </c>
      <c r="H133" s="11">
        <f>1*C118</f>
        <v>1</v>
      </c>
      <c r="I133" s="11">
        <f>F8</f>
        <v>0</v>
      </c>
      <c r="J133" s="11"/>
    </row>
    <row r="134" spans="2:10" ht="15.6" hidden="1" customHeight="1" x14ac:dyDescent="0.3">
      <c r="C134" s="11">
        <f t="shared" ref="C134" si="7">C133+1</f>
        <v>8</v>
      </c>
      <c r="D134" s="11">
        <f>D133</f>
        <v>0</v>
      </c>
      <c r="E134" s="11" t="s">
        <v>53</v>
      </c>
      <c r="F134" s="11">
        <f>I121-0.5-F120</f>
        <v>76</v>
      </c>
      <c r="G134" s="11">
        <f>H121-J121-3</f>
        <v>37</v>
      </c>
      <c r="H134" s="11">
        <f>1*C118</f>
        <v>1</v>
      </c>
      <c r="I134" s="11">
        <f>I133</f>
        <v>0</v>
      </c>
      <c r="J134" s="11"/>
    </row>
    <row r="135" spans="2:10" ht="15.6" hidden="1" customHeight="1" x14ac:dyDescent="0.3">
      <c r="C135" s="7"/>
      <c r="D135" s="7"/>
      <c r="E135" s="7"/>
      <c r="F135" s="7"/>
      <c r="G135" s="7"/>
      <c r="H135" s="7"/>
      <c r="I135" s="7"/>
      <c r="J135" s="7"/>
    </row>
    <row r="136" spans="2:10" ht="15.6" hidden="1" customHeight="1" x14ac:dyDescent="0.3">
      <c r="C136" s="24">
        <f>C134+1</f>
        <v>9</v>
      </c>
      <c r="D136" s="24" t="s">
        <v>70</v>
      </c>
      <c r="E136" s="24" t="s">
        <v>70</v>
      </c>
      <c r="F136" s="24">
        <f>I120-2</f>
        <v>78</v>
      </c>
      <c r="G136" s="24">
        <f>H120-2</f>
        <v>68</v>
      </c>
      <c r="H136" s="24">
        <f>2*C118</f>
        <v>2</v>
      </c>
      <c r="I136" s="24">
        <f>F9</f>
        <v>0</v>
      </c>
      <c r="J136" s="24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6">
        <v>2</v>
      </c>
      <c r="D138" s="30" t="s">
        <v>71</v>
      </c>
      <c r="E138" s="110" t="s">
        <v>80</v>
      </c>
      <c r="F138" s="111"/>
      <c r="G138" s="111"/>
      <c r="H138" s="112"/>
      <c r="I138" s="2" t="s">
        <v>42</v>
      </c>
      <c r="J138" s="2">
        <f>J118+1</f>
        <v>5</v>
      </c>
    </row>
    <row r="139" spans="2:10" ht="31.2" hidden="1" customHeight="1" x14ac:dyDescent="0.3">
      <c r="C139" s="9"/>
      <c r="D139" s="9" t="s">
        <v>19</v>
      </c>
      <c r="E139" s="9"/>
      <c r="F139" s="9" t="s">
        <v>17</v>
      </c>
      <c r="G139" s="9" t="s">
        <v>60</v>
      </c>
      <c r="H139" s="9" t="s">
        <v>34</v>
      </c>
      <c r="I139" s="9" t="s">
        <v>3</v>
      </c>
      <c r="J139" s="9" t="s">
        <v>2</v>
      </c>
    </row>
    <row r="140" spans="2:10" ht="15.6" hidden="1" customHeight="1" x14ac:dyDescent="0.3">
      <c r="C140" s="10"/>
      <c r="D140" s="10">
        <v>1</v>
      </c>
      <c r="E140" s="10"/>
      <c r="F140" s="10">
        <v>3.5</v>
      </c>
      <c r="G140" s="10"/>
      <c r="H140" s="10">
        <v>60</v>
      </c>
      <c r="I140" s="10">
        <v>80</v>
      </c>
      <c r="J140" s="10">
        <v>30</v>
      </c>
    </row>
    <row r="141" spans="2:10" ht="15.6" hidden="1" customHeight="1" x14ac:dyDescent="0.3">
      <c r="C141" s="14"/>
      <c r="D141" s="14"/>
      <c r="E141" s="14"/>
      <c r="F141" s="119" t="b">
        <f>NOT(AND(F140&gt;0,G140&gt;0))</f>
        <v>1</v>
      </c>
      <c r="G141" s="119"/>
      <c r="H141" s="10">
        <v>60</v>
      </c>
      <c r="I141" s="10">
        <v>80</v>
      </c>
      <c r="J141" s="10">
        <v>30</v>
      </c>
    </row>
    <row r="142" spans="2:10" ht="15.6" hidden="1" customHeight="1" x14ac:dyDescent="0.3">
      <c r="F142" s="123" t="str">
        <f>IF(F141,"المقابض مظبوطة","مينفعش مقبض مخفي مع بيلت ان")</f>
        <v>المقابض مظبوطة</v>
      </c>
      <c r="G142" s="123"/>
    </row>
    <row r="143" spans="2:10" ht="15.6" hidden="1" customHeight="1" x14ac:dyDescent="0.3"/>
    <row r="144" spans="2:10" ht="15.6" hidden="1" customHeight="1" x14ac:dyDescent="0.3">
      <c r="C144" s="7" t="s">
        <v>4</v>
      </c>
      <c r="D144" s="7" t="s">
        <v>9</v>
      </c>
      <c r="E144" s="7" t="s">
        <v>5</v>
      </c>
      <c r="F144" s="7" t="s">
        <v>7</v>
      </c>
      <c r="G144" s="7" t="s">
        <v>1</v>
      </c>
      <c r="H144" s="7" t="s">
        <v>6</v>
      </c>
      <c r="I144" s="7" t="s">
        <v>45</v>
      </c>
      <c r="J144" s="7" t="s">
        <v>8</v>
      </c>
    </row>
    <row r="145" spans="3:14" ht="15.6" hidden="1" customHeight="1" x14ac:dyDescent="0.3">
      <c r="C145" s="7"/>
      <c r="D145" s="7"/>
      <c r="E145" s="7"/>
      <c r="F145" s="7"/>
      <c r="G145" s="7"/>
      <c r="H145" s="7"/>
      <c r="I145" s="7"/>
      <c r="J145" s="7"/>
    </row>
    <row r="146" spans="3:14" ht="15.6" hidden="1" customHeight="1" x14ac:dyDescent="0.3">
      <c r="C146" s="7">
        <v>1</v>
      </c>
      <c r="D146" s="7">
        <f>H7</f>
        <v>0</v>
      </c>
      <c r="E146" s="7" t="s">
        <v>61</v>
      </c>
      <c r="F146" s="7">
        <f>H140-1.8</f>
        <v>58.2</v>
      </c>
      <c r="G146" s="7">
        <f>H141-1.8</f>
        <v>58.2</v>
      </c>
      <c r="H146" s="7">
        <f>1*C138</f>
        <v>2</v>
      </c>
      <c r="I146" s="7">
        <f>F7</f>
        <v>0</v>
      </c>
      <c r="J146" s="7"/>
    </row>
    <row r="147" spans="3:14" ht="15.6" hidden="1" customHeight="1" x14ac:dyDescent="0.3">
      <c r="C147" s="7">
        <f>C146+1</f>
        <v>2</v>
      </c>
      <c r="D147" s="7">
        <f>D146</f>
        <v>0</v>
      </c>
      <c r="E147" s="7" t="s">
        <v>10</v>
      </c>
      <c r="F147" s="7">
        <f>H140-1.8</f>
        <v>58.2</v>
      </c>
      <c r="G147" s="7">
        <f>H141-1.8</f>
        <v>58.2</v>
      </c>
      <c r="H147" s="7">
        <f>1*C138</f>
        <v>2</v>
      </c>
      <c r="I147" s="7">
        <f>I146</f>
        <v>0</v>
      </c>
      <c r="J147" s="7"/>
    </row>
    <row r="148" spans="3:14" ht="15.6" hidden="1" customHeight="1" x14ac:dyDescent="0.3">
      <c r="C148" s="7">
        <f>C147+1</f>
        <v>3</v>
      </c>
      <c r="D148" s="7">
        <f>D146</f>
        <v>0</v>
      </c>
      <c r="E148" s="7" t="s">
        <v>74</v>
      </c>
      <c r="F148" s="7">
        <f>I140</f>
        <v>80</v>
      </c>
      <c r="G148" s="7">
        <f>J140</f>
        <v>30</v>
      </c>
      <c r="H148" s="7">
        <f>1*C138</f>
        <v>2</v>
      </c>
      <c r="I148" s="7">
        <f>I146</f>
        <v>0</v>
      </c>
      <c r="J148" s="7"/>
    </row>
    <row r="149" spans="3:14" ht="15.6" hidden="1" customHeight="1" x14ac:dyDescent="0.3">
      <c r="C149" s="7">
        <f>C148+1</f>
        <v>4</v>
      </c>
      <c r="D149" s="7">
        <f>D146</f>
        <v>0</v>
      </c>
      <c r="E149" s="7" t="s">
        <v>75</v>
      </c>
      <c r="F149" s="7">
        <f>I141</f>
        <v>80</v>
      </c>
      <c r="G149" s="7">
        <f>J141</f>
        <v>30</v>
      </c>
      <c r="H149" s="7">
        <f>1*C138</f>
        <v>2</v>
      </c>
      <c r="I149" s="7">
        <f>I146</f>
        <v>0</v>
      </c>
      <c r="J149" s="7"/>
    </row>
    <row r="150" spans="3:14" ht="15.6" hidden="1" customHeight="1" x14ac:dyDescent="0.3">
      <c r="C150" s="7">
        <f>C149+1</f>
        <v>5</v>
      </c>
      <c r="D150" s="7">
        <f>D146</f>
        <v>0</v>
      </c>
      <c r="E150" s="7" t="s">
        <v>39</v>
      </c>
      <c r="F150" s="7">
        <f>I140</f>
        <v>80</v>
      </c>
      <c r="G150" s="7">
        <v>10</v>
      </c>
      <c r="H150" s="7">
        <f>1*C138</f>
        <v>2</v>
      </c>
      <c r="I150" s="7">
        <f>I146</f>
        <v>0</v>
      </c>
      <c r="J150" s="7"/>
    </row>
    <row r="151" spans="3:14" ht="15.6" hidden="1" customHeight="1" x14ac:dyDescent="0.3">
      <c r="C151" s="7">
        <f t="shared" ref="C151" si="8">C150+1</f>
        <v>6</v>
      </c>
      <c r="D151" s="7">
        <f>D146</f>
        <v>0</v>
      </c>
      <c r="E151" s="7" t="s">
        <v>18</v>
      </c>
      <c r="F151" s="7">
        <f>H140-3.8</f>
        <v>56.2</v>
      </c>
      <c r="G151" s="7">
        <f>H141-3.8</f>
        <v>56.2</v>
      </c>
      <c r="H151" s="7">
        <f>D140*C138</f>
        <v>2</v>
      </c>
      <c r="I151" s="7">
        <f>I146</f>
        <v>0</v>
      </c>
      <c r="J151" s="7"/>
    </row>
    <row r="152" spans="3:14" ht="15.6" hidden="1" customHeight="1" x14ac:dyDescent="0.3">
      <c r="C152" s="7"/>
      <c r="D152" s="7"/>
      <c r="E152" s="7"/>
      <c r="F152" s="7"/>
      <c r="G152" s="7"/>
      <c r="H152" s="7"/>
      <c r="I152" s="7"/>
      <c r="J152" s="7"/>
    </row>
    <row r="153" spans="3:14" ht="15.6" hidden="1" customHeight="1" x14ac:dyDescent="0.3">
      <c r="C153" s="11">
        <f>C151+1</f>
        <v>7</v>
      </c>
      <c r="D153" s="11">
        <f>H8</f>
        <v>0</v>
      </c>
      <c r="E153" s="11" t="s">
        <v>40</v>
      </c>
      <c r="F153" s="11">
        <f>I140-0.5-F140</f>
        <v>76</v>
      </c>
      <c r="G153" s="22">
        <f>(SQRT((H140-J140)^2+(H141-J141)^2))-2</f>
        <v>40.426406871192853</v>
      </c>
      <c r="H153" s="11">
        <f>1*C138</f>
        <v>2</v>
      </c>
      <c r="I153" s="11">
        <f>F8</f>
        <v>0</v>
      </c>
      <c r="J153" s="11"/>
    </row>
    <row r="154" spans="3:14" ht="15.6" hidden="1" customHeight="1" x14ac:dyDescent="0.3">
      <c r="C154" s="11">
        <f t="shared" ref="C154" si="9">C153+1</f>
        <v>8</v>
      </c>
      <c r="D154" s="11">
        <f>D153</f>
        <v>0</v>
      </c>
      <c r="E154" s="11"/>
      <c r="F154" s="11"/>
      <c r="G154" s="11"/>
      <c r="H154" s="11"/>
      <c r="I154" s="11"/>
      <c r="J154" s="11"/>
    </row>
    <row r="155" spans="3:14" ht="15.6" hidden="1" customHeight="1" x14ac:dyDescent="0.3">
      <c r="C155" s="7"/>
      <c r="D155" s="7"/>
      <c r="E155" s="7"/>
      <c r="F155" s="7"/>
      <c r="G155" s="7"/>
      <c r="H155" s="7"/>
      <c r="I155" s="7"/>
      <c r="J155" s="7"/>
    </row>
    <row r="156" spans="3:14" ht="15.6" hidden="1" customHeight="1" x14ac:dyDescent="0.3">
      <c r="C156" s="24">
        <f>C154+1</f>
        <v>9</v>
      </c>
      <c r="D156" s="24" t="s">
        <v>70</v>
      </c>
      <c r="E156" s="24" t="s">
        <v>70</v>
      </c>
      <c r="F156" s="24">
        <f>I140-2</f>
        <v>78</v>
      </c>
      <c r="G156" s="24">
        <f>H140-2</f>
        <v>58</v>
      </c>
      <c r="H156" s="24">
        <f>1*C138</f>
        <v>2</v>
      </c>
      <c r="I156" s="24">
        <f>F9</f>
        <v>0</v>
      </c>
      <c r="J156" s="24"/>
      <c r="L156" s="3">
        <v>30</v>
      </c>
    </row>
    <row r="160" spans="3:14" ht="21" customHeight="1" x14ac:dyDescent="0.3">
      <c r="C160" s="109" t="s">
        <v>43</v>
      </c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</row>
    <row r="162" spans="1:14" s="5" customFormat="1" ht="18" x14ac:dyDescent="0.3">
      <c r="A162" s="71" t="s">
        <v>123</v>
      </c>
      <c r="B162" s="3" t="s">
        <v>124</v>
      </c>
      <c r="C162" s="16" t="s">
        <v>4</v>
      </c>
      <c r="D162" s="16" t="s">
        <v>9</v>
      </c>
      <c r="E162" s="16" t="s">
        <v>5</v>
      </c>
      <c r="F162" s="17" t="s">
        <v>7</v>
      </c>
      <c r="G162" s="17" t="s">
        <v>1</v>
      </c>
      <c r="H162" s="17" t="s">
        <v>6</v>
      </c>
      <c r="I162" s="17" t="s">
        <v>45</v>
      </c>
      <c r="J162" s="17" t="s">
        <v>8</v>
      </c>
      <c r="K162" s="2" t="s">
        <v>34</v>
      </c>
      <c r="L162" s="2" t="s">
        <v>3</v>
      </c>
      <c r="M162" s="2" t="s">
        <v>2</v>
      </c>
      <c r="N162" s="2" t="s">
        <v>42</v>
      </c>
    </row>
    <row r="164" spans="1:14" ht="15.6" customHeight="1" x14ac:dyDescent="0.3">
      <c r="A164" s="71">
        <v>1001</v>
      </c>
      <c r="B164" s="3" t="str">
        <f t="shared" ref="B164:E165" si="10">B25</f>
        <v xml:space="preserve">دواليب دلفة /دلفتين </v>
      </c>
      <c r="C164" s="18">
        <f t="shared" si="10"/>
        <v>1</v>
      </c>
      <c r="D164" s="18" t="str">
        <f t="shared" si="10"/>
        <v>HPL</v>
      </c>
      <c r="E164" s="18" t="str">
        <f t="shared" si="10"/>
        <v>قرصة</v>
      </c>
      <c r="F164" s="7" t="str">
        <f>IF(K164=0, "",F25)</f>
        <v/>
      </c>
      <c r="G164" s="7" t="str">
        <f>IF(K164=0, "",G25)</f>
        <v/>
      </c>
      <c r="H164" s="7" t="str">
        <f>IF(K164=0, "",H25)</f>
        <v/>
      </c>
      <c r="I164" s="7" t="str">
        <f>IF(K164=0, "",I25)</f>
        <v/>
      </c>
      <c r="J164" s="7" t="str">
        <f>IF(K164=0, "",J25)</f>
        <v/>
      </c>
      <c r="K164" s="10">
        <f>H15</f>
        <v>0</v>
      </c>
      <c r="L164" s="10">
        <f>I15</f>
        <v>210</v>
      </c>
      <c r="M164" s="10">
        <f>J15</f>
        <v>56</v>
      </c>
      <c r="N164" s="9">
        <f>J13</f>
        <v>1</v>
      </c>
    </row>
    <row r="165" spans="1:14" ht="15.6" customHeight="1" x14ac:dyDescent="0.3">
      <c r="A165" s="71">
        <f>A164+1</f>
        <v>1002</v>
      </c>
      <c r="B165" s="3" t="str">
        <f t="shared" si="10"/>
        <v xml:space="preserve">دواليب دلفة /دلفتين </v>
      </c>
      <c r="C165" s="18">
        <f t="shared" si="10"/>
        <v>2</v>
      </c>
      <c r="D165" s="18" t="str">
        <f t="shared" si="10"/>
        <v>HPL</v>
      </c>
      <c r="E165" s="18" t="str">
        <f t="shared" si="10"/>
        <v>قاعدة</v>
      </c>
      <c r="F165" s="7" t="str">
        <f>IF(K165=0, "",F26)</f>
        <v/>
      </c>
      <c r="G165" s="7" t="str">
        <f>IF(K165=0, "",G26)</f>
        <v/>
      </c>
      <c r="H165" s="7" t="str">
        <f>IF(K165=0, "",H26)</f>
        <v/>
      </c>
      <c r="I165" s="7" t="str">
        <f>IF(K165=0, "",I26)</f>
        <v/>
      </c>
      <c r="J165" s="7" t="str">
        <f>IF(K165=0, "",J26)</f>
        <v/>
      </c>
      <c r="K165" s="10">
        <f t="shared" ref="K165:M165" si="11">K164</f>
        <v>0</v>
      </c>
      <c r="L165" s="10">
        <f t="shared" si="11"/>
        <v>210</v>
      </c>
      <c r="M165" s="10">
        <f t="shared" si="11"/>
        <v>56</v>
      </c>
      <c r="N165" s="9">
        <f>N164</f>
        <v>1</v>
      </c>
    </row>
    <row r="166" spans="1:14" ht="15.6" customHeight="1" x14ac:dyDescent="0.3">
      <c r="A166" s="71">
        <f t="shared" ref="A166:A168" si="12">A165+1</f>
        <v>1003</v>
      </c>
      <c r="B166" s="3" t="str">
        <f t="shared" ref="B166:E167" si="13">B28</f>
        <v xml:space="preserve">دواليب دلفة /دلفتين </v>
      </c>
      <c r="C166" s="18">
        <f t="shared" si="13"/>
        <v>4</v>
      </c>
      <c r="D166" s="18" t="str">
        <f t="shared" si="13"/>
        <v>HPL</v>
      </c>
      <c r="E166" s="18" t="str">
        <f t="shared" si="13"/>
        <v>أجناب</v>
      </c>
      <c r="F166" s="7" t="str">
        <f>IF(K166=0, "",F28)</f>
        <v/>
      </c>
      <c r="G166" s="7" t="str">
        <f>IF(K166=0, "",G28)</f>
        <v/>
      </c>
      <c r="H166" s="7" t="str">
        <f>IF(K166=0, "",H28)</f>
        <v/>
      </c>
      <c r="I166" s="7" t="str">
        <f>IF(K166=0, "",I28)</f>
        <v/>
      </c>
      <c r="J166" s="7" t="str">
        <f>IF(K166=0, "",J28)</f>
        <v/>
      </c>
      <c r="K166" s="10">
        <f t="shared" ref="K166:M166" si="14">K164</f>
        <v>0</v>
      </c>
      <c r="L166" s="10">
        <f t="shared" si="14"/>
        <v>210</v>
      </c>
      <c r="M166" s="10">
        <f t="shared" si="14"/>
        <v>56</v>
      </c>
      <c r="N166" s="9">
        <f>N164</f>
        <v>1</v>
      </c>
    </row>
    <row r="167" spans="1:14" ht="15.6" customHeight="1" x14ac:dyDescent="0.3">
      <c r="A167" s="71">
        <f t="shared" si="12"/>
        <v>1004</v>
      </c>
      <c r="B167" s="3" t="str">
        <f t="shared" si="13"/>
        <v xml:space="preserve">دواليب دلفة /دلفتين </v>
      </c>
      <c r="C167" s="18">
        <f t="shared" si="13"/>
        <v>5</v>
      </c>
      <c r="D167" s="18" t="str">
        <f t="shared" si="13"/>
        <v>HPL</v>
      </c>
      <c r="E167" s="18" t="str">
        <f t="shared" si="13"/>
        <v>رف</v>
      </c>
      <c r="F167" s="7" t="str">
        <f>IF(K167=0, "",F29)</f>
        <v/>
      </c>
      <c r="G167" s="7" t="str">
        <f>IF(K167=0, "",G29)</f>
        <v/>
      </c>
      <c r="H167" s="7" t="str">
        <f>IF(K167=0, "",H29)</f>
        <v/>
      </c>
      <c r="I167" s="7" t="str">
        <f>IF(K167=0, "",I29)</f>
        <v/>
      </c>
      <c r="J167" s="7" t="str">
        <f>IF(K167=0, "",J29)</f>
        <v/>
      </c>
      <c r="K167" s="10">
        <f t="shared" ref="K167:M167" si="15">K164</f>
        <v>0</v>
      </c>
      <c r="L167" s="10">
        <f t="shared" si="15"/>
        <v>210</v>
      </c>
      <c r="M167" s="10">
        <f t="shared" si="15"/>
        <v>56</v>
      </c>
      <c r="N167" s="9">
        <f>N164</f>
        <v>1</v>
      </c>
    </row>
    <row r="168" spans="1:14" ht="15.6" customHeight="1" x14ac:dyDescent="0.3">
      <c r="A168" s="71">
        <f t="shared" si="12"/>
        <v>1005</v>
      </c>
      <c r="B168" s="3" t="str">
        <f>B29</f>
        <v xml:space="preserve">دواليب دلفة /دلفتين </v>
      </c>
      <c r="C168" s="18">
        <f>C29</f>
        <v>5</v>
      </c>
      <c r="D168" s="18" t="str">
        <f>D29</f>
        <v>HPL</v>
      </c>
      <c r="E168" s="18" t="str">
        <f>E29</f>
        <v>رف</v>
      </c>
      <c r="F168" s="7" t="str">
        <f>IF(K168=0, "",F29)</f>
        <v/>
      </c>
      <c r="G168" s="7" t="str">
        <f>IF(K168=0, "",G29)</f>
        <v/>
      </c>
      <c r="H168" s="7" t="str">
        <f>IF(K168=0, "",H29)</f>
        <v/>
      </c>
      <c r="I168" s="7" t="str">
        <f>IF(K168=0, "",I29)</f>
        <v/>
      </c>
      <c r="J168" s="7" t="str">
        <f>IF(K168=0, "",J29)</f>
        <v/>
      </c>
      <c r="K168" s="10">
        <f t="shared" ref="K168:M168" si="16">K164</f>
        <v>0</v>
      </c>
      <c r="L168" s="10">
        <f t="shared" si="16"/>
        <v>210</v>
      </c>
      <c r="M168" s="10">
        <f t="shared" si="16"/>
        <v>56</v>
      </c>
      <c r="N168" s="9">
        <f>N164</f>
        <v>1</v>
      </c>
    </row>
    <row r="169" spans="1:14" ht="15.6" x14ac:dyDescent="0.3">
      <c r="N169" s="4"/>
    </row>
    <row r="170" spans="1:14" ht="15.6" customHeight="1" x14ac:dyDescent="0.3">
      <c r="A170" s="71">
        <f>A168+1</f>
        <v>1006</v>
      </c>
      <c r="B170" s="3" t="str">
        <f t="shared" ref="B170:E174" si="17">B58</f>
        <v>دواليب منوع /فرن /أدراج</v>
      </c>
      <c r="C170" s="18">
        <f t="shared" si="17"/>
        <v>1</v>
      </c>
      <c r="D170" s="18" t="str">
        <f t="shared" si="17"/>
        <v>HPL</v>
      </c>
      <c r="E170" s="18" t="str">
        <f t="shared" si="17"/>
        <v>قرصة</v>
      </c>
      <c r="F170" s="7" t="str">
        <f>IF(K170=0, "",F58)</f>
        <v/>
      </c>
      <c r="G170" s="7" t="str">
        <f>IF(K170=0, "",G58)</f>
        <v/>
      </c>
      <c r="H170" s="7" t="str">
        <f>IF(K170=0, "",H58)</f>
        <v/>
      </c>
      <c r="I170" s="7" t="str">
        <f>IF(K170=0, "",I58)</f>
        <v/>
      </c>
      <c r="J170" s="7" t="str">
        <f>IF(K170=0, "",J58)</f>
        <v/>
      </c>
      <c r="K170" s="10">
        <f>H42</f>
        <v>0</v>
      </c>
      <c r="L170" s="10">
        <f>I42</f>
        <v>78</v>
      </c>
      <c r="M170" s="10">
        <f>J42</f>
        <v>56</v>
      </c>
      <c r="N170" s="9">
        <f>J40</f>
        <v>2</v>
      </c>
    </row>
    <row r="171" spans="1:14" ht="15.6" customHeight="1" x14ac:dyDescent="0.3">
      <c r="A171" s="71">
        <f t="shared" ref="A171:A183" si="18">A170+1</f>
        <v>1007</v>
      </c>
      <c r="B171" s="3" t="str">
        <f t="shared" si="17"/>
        <v>دواليب منوع /فرن /أدراج</v>
      </c>
      <c r="C171" s="18">
        <f t="shared" si="17"/>
        <v>2</v>
      </c>
      <c r="D171" s="18" t="str">
        <f t="shared" si="17"/>
        <v>HPL</v>
      </c>
      <c r="E171" s="18" t="str">
        <f t="shared" si="17"/>
        <v>قاعدة</v>
      </c>
      <c r="F171" s="7" t="str">
        <f>IF(K171=0, "",F59)</f>
        <v/>
      </c>
      <c r="G171" s="7" t="str">
        <f>IF(K171=0, "",G59)</f>
        <v/>
      </c>
      <c r="H171" s="7" t="str">
        <f>IF(K171=0, "",H59)</f>
        <v/>
      </c>
      <c r="I171" s="7" t="str">
        <f>IF(K171=0, "",I59)</f>
        <v/>
      </c>
      <c r="J171" s="7" t="str">
        <f>IF(K171=0, "",J59)</f>
        <v/>
      </c>
      <c r="K171" s="10">
        <f>K170</f>
        <v>0</v>
      </c>
      <c r="L171" s="10">
        <f>L170</f>
        <v>78</v>
      </c>
      <c r="M171" s="10">
        <f>M170</f>
        <v>56</v>
      </c>
      <c r="N171" s="9">
        <f>N170</f>
        <v>2</v>
      </c>
    </row>
    <row r="172" spans="1:14" ht="15.6" customHeight="1" x14ac:dyDescent="0.3">
      <c r="A172" s="71">
        <f t="shared" si="18"/>
        <v>1008</v>
      </c>
      <c r="B172" s="3" t="str">
        <f t="shared" si="17"/>
        <v>دواليب منوع /فرن /أدراج</v>
      </c>
      <c r="C172" s="18">
        <f t="shared" si="17"/>
        <v>3</v>
      </c>
      <c r="D172" s="18" t="str">
        <f t="shared" si="17"/>
        <v>HPL</v>
      </c>
      <c r="E172" s="18" t="str">
        <f t="shared" si="17"/>
        <v>قاطوع</v>
      </c>
      <c r="F172" s="7" t="str">
        <f>IF(K172=0, "",F60)</f>
        <v/>
      </c>
      <c r="G172" s="7" t="str">
        <f>IF(K172=0, "",G60)</f>
        <v/>
      </c>
      <c r="H172" s="7" t="str">
        <f>IF(K172=0, "",H60)</f>
        <v/>
      </c>
      <c r="I172" s="7" t="str">
        <f>IF(K172=0, "",I60)</f>
        <v/>
      </c>
      <c r="J172" s="7" t="str">
        <f>IF(K172=0, "",J60)</f>
        <v/>
      </c>
      <c r="K172" s="10">
        <f>K170</f>
        <v>0</v>
      </c>
      <c r="L172" s="10">
        <f>L170</f>
        <v>78</v>
      </c>
      <c r="M172" s="10">
        <f>M170</f>
        <v>56</v>
      </c>
      <c r="N172" s="9">
        <f>N170</f>
        <v>2</v>
      </c>
    </row>
    <row r="173" spans="1:14" ht="15.6" customHeight="1" x14ac:dyDescent="0.3">
      <c r="A173" s="71">
        <f t="shared" si="18"/>
        <v>1009</v>
      </c>
      <c r="B173" s="3" t="str">
        <f t="shared" si="17"/>
        <v>دواليب منوع /فرن /أدراج</v>
      </c>
      <c r="C173" s="18">
        <f t="shared" si="17"/>
        <v>4</v>
      </c>
      <c r="D173" s="18" t="str">
        <f t="shared" si="17"/>
        <v>HPL</v>
      </c>
      <c r="E173" s="18" t="str">
        <f t="shared" si="17"/>
        <v>أجناب</v>
      </c>
      <c r="F173" s="7" t="str">
        <f>IF(K173=0, "",F61)</f>
        <v/>
      </c>
      <c r="G173" s="7" t="str">
        <f>IF(K173=0, "",G61)</f>
        <v/>
      </c>
      <c r="H173" s="7" t="str">
        <f>IF(K173=0, "",H61)</f>
        <v/>
      </c>
      <c r="I173" s="7" t="str">
        <f>IF(K173=0, "",I61)</f>
        <v/>
      </c>
      <c r="J173" s="7" t="str">
        <f>IF(K173=0, "",J61)</f>
        <v/>
      </c>
      <c r="K173" s="10">
        <f>K170</f>
        <v>0</v>
      </c>
      <c r="L173" s="10">
        <f>L170</f>
        <v>78</v>
      </c>
      <c r="M173" s="10">
        <f>M170</f>
        <v>56</v>
      </c>
      <c r="N173" s="9">
        <f>N170</f>
        <v>2</v>
      </c>
    </row>
    <row r="174" spans="1:14" ht="15.6" customHeight="1" x14ac:dyDescent="0.3">
      <c r="A174" s="71">
        <f t="shared" si="18"/>
        <v>1010</v>
      </c>
      <c r="B174" s="3" t="str">
        <f t="shared" si="17"/>
        <v>دواليب منوع /فرن /أدراج</v>
      </c>
      <c r="C174" s="18">
        <f t="shared" si="17"/>
        <v>5</v>
      </c>
      <c r="D174" s="18" t="str">
        <f t="shared" si="17"/>
        <v>HPL</v>
      </c>
      <c r="E174" s="18" t="str">
        <f t="shared" si="17"/>
        <v>رف</v>
      </c>
      <c r="F174" s="7" t="str">
        <f>IF(K174=0, "",F62)</f>
        <v/>
      </c>
      <c r="G174" s="7" t="str">
        <f>IF(K174=0, "",G62)</f>
        <v/>
      </c>
      <c r="H174" s="7" t="str">
        <f>IF(K174=0, "",H62)</f>
        <v/>
      </c>
      <c r="I174" s="7" t="str">
        <f>IF(K174=0, "",I62)</f>
        <v/>
      </c>
      <c r="J174" s="7" t="str">
        <f>IF(K174=0, "",J62)</f>
        <v/>
      </c>
      <c r="K174" s="10">
        <f>K170</f>
        <v>0</v>
      </c>
      <c r="L174" s="10">
        <f>L170</f>
        <v>78</v>
      </c>
      <c r="M174" s="10">
        <f>M170</f>
        <v>56</v>
      </c>
      <c r="N174" s="9">
        <f>N170</f>
        <v>2</v>
      </c>
    </row>
    <row r="175" spans="1:14" ht="15.6" customHeight="1" x14ac:dyDescent="0.3">
      <c r="A175" s="71">
        <f>A174+1</f>
        <v>1011</v>
      </c>
      <c r="B175" s="3" t="str">
        <f t="shared" ref="B175:E183" si="19">B64</f>
        <v>دواليب منوع /فرن /أدراج</v>
      </c>
      <c r="C175" s="18">
        <f t="shared" si="19"/>
        <v>6</v>
      </c>
      <c r="D175" s="18" t="str">
        <f t="shared" si="19"/>
        <v>HPL</v>
      </c>
      <c r="E175" s="18" t="str">
        <f t="shared" si="19"/>
        <v>وش درج 1 داخلى</v>
      </c>
      <c r="F175" s="7" t="str">
        <f t="shared" ref="F175:F183" si="20">IF(K175=0, "",F64)</f>
        <v/>
      </c>
      <c r="G175" s="7" t="str">
        <f t="shared" ref="G175:G183" si="21">IF(K175=0, "",G64)</f>
        <v/>
      </c>
      <c r="H175" s="7" t="str">
        <f t="shared" ref="H175:H183" si="22">IF(K175=0, "",H64)</f>
        <v/>
      </c>
      <c r="I175" s="7" t="str">
        <f t="shared" ref="I175:I183" si="23">IF(K175=0, "",I64)</f>
        <v/>
      </c>
      <c r="J175" s="7" t="str">
        <f t="shared" ref="J175:J183" si="24">IF(K175=0, "",J64)</f>
        <v/>
      </c>
      <c r="K175" s="10">
        <f>K170</f>
        <v>0</v>
      </c>
      <c r="L175" s="10">
        <f>I42</f>
        <v>78</v>
      </c>
      <c r="M175" s="10">
        <f>M170</f>
        <v>56</v>
      </c>
      <c r="N175" s="9">
        <f>N171</f>
        <v>2</v>
      </c>
    </row>
    <row r="176" spans="1:14" ht="15.6" customHeight="1" x14ac:dyDescent="0.3">
      <c r="A176" s="71">
        <f t="shared" si="18"/>
        <v>1012</v>
      </c>
      <c r="B176" s="3" t="str">
        <f t="shared" si="19"/>
        <v>دواليب منوع /فرن /أدراج</v>
      </c>
      <c r="C176" s="18">
        <f t="shared" si="19"/>
        <v>7</v>
      </c>
      <c r="D176" s="18" t="str">
        <f t="shared" si="19"/>
        <v>HPL</v>
      </c>
      <c r="E176" s="18" t="str">
        <f t="shared" si="19"/>
        <v>جنب درج 1 داخلى</v>
      </c>
      <c r="F176" s="7" t="str">
        <f t="shared" si="20"/>
        <v/>
      </c>
      <c r="G176" s="7" t="str">
        <f t="shared" si="21"/>
        <v/>
      </c>
      <c r="H176" s="7" t="str">
        <f t="shared" si="22"/>
        <v/>
      </c>
      <c r="I176" s="7" t="str">
        <f t="shared" si="23"/>
        <v/>
      </c>
      <c r="J176" s="7" t="str">
        <f t="shared" si="24"/>
        <v/>
      </c>
      <c r="K176" s="10">
        <f>K170</f>
        <v>0</v>
      </c>
      <c r="L176" s="10">
        <f>I42</f>
        <v>78</v>
      </c>
      <c r="M176" s="10">
        <f>M170</f>
        <v>56</v>
      </c>
      <c r="N176" s="9">
        <f>N171</f>
        <v>2</v>
      </c>
    </row>
    <row r="177" spans="1:14" ht="15.6" customHeight="1" x14ac:dyDescent="0.3">
      <c r="A177" s="71">
        <f t="shared" si="18"/>
        <v>1013</v>
      </c>
      <c r="B177" s="3" t="str">
        <f t="shared" si="19"/>
        <v>دواليب منوع /فرن /أدراج</v>
      </c>
      <c r="C177" s="18">
        <f t="shared" si="19"/>
        <v>8</v>
      </c>
      <c r="D177" s="18" t="str">
        <f t="shared" si="19"/>
        <v>HPL</v>
      </c>
      <c r="E177" s="18" t="str">
        <f t="shared" si="19"/>
        <v>ظهر درج 1 داخلى</v>
      </c>
      <c r="F177" s="7" t="str">
        <f t="shared" si="20"/>
        <v/>
      </c>
      <c r="G177" s="7" t="str">
        <f t="shared" si="21"/>
        <v/>
      </c>
      <c r="H177" s="7" t="str">
        <f t="shared" si="22"/>
        <v/>
      </c>
      <c r="I177" s="7" t="str">
        <f t="shared" si="23"/>
        <v/>
      </c>
      <c r="J177" s="7" t="str">
        <f t="shared" si="24"/>
        <v/>
      </c>
      <c r="K177" s="10">
        <f>K170</f>
        <v>0</v>
      </c>
      <c r="L177" s="10">
        <f>I42</f>
        <v>78</v>
      </c>
      <c r="M177" s="10">
        <f>M170</f>
        <v>56</v>
      </c>
      <c r="N177" s="9">
        <f>N171</f>
        <v>2</v>
      </c>
    </row>
    <row r="178" spans="1:14" ht="15.6" customHeight="1" x14ac:dyDescent="0.3">
      <c r="A178" s="71">
        <f t="shared" si="18"/>
        <v>1014</v>
      </c>
      <c r="B178" s="3" t="str">
        <f t="shared" si="19"/>
        <v>دواليب منوع /فرن /أدراج</v>
      </c>
      <c r="C178" s="18">
        <f t="shared" si="19"/>
        <v>9</v>
      </c>
      <c r="D178" s="18" t="str">
        <f t="shared" si="19"/>
        <v>HPL</v>
      </c>
      <c r="E178" s="18" t="str">
        <f t="shared" si="19"/>
        <v>وش درج 2 داخلى</v>
      </c>
      <c r="F178" s="7" t="str">
        <f t="shared" si="20"/>
        <v/>
      </c>
      <c r="G178" s="7" t="str">
        <f t="shared" si="21"/>
        <v/>
      </c>
      <c r="H178" s="7" t="str">
        <f t="shared" si="22"/>
        <v/>
      </c>
      <c r="I178" s="7" t="str">
        <f t="shared" si="23"/>
        <v/>
      </c>
      <c r="J178" s="7" t="str">
        <f t="shared" si="24"/>
        <v/>
      </c>
      <c r="K178" s="10">
        <f>K170</f>
        <v>0</v>
      </c>
      <c r="L178" s="10">
        <f>I42</f>
        <v>78</v>
      </c>
      <c r="M178" s="10">
        <f>M170</f>
        <v>56</v>
      </c>
      <c r="N178" s="9">
        <f>N171</f>
        <v>2</v>
      </c>
    </row>
    <row r="179" spans="1:14" ht="15.6" customHeight="1" x14ac:dyDescent="0.3">
      <c r="A179" s="71">
        <f t="shared" si="18"/>
        <v>1015</v>
      </c>
      <c r="B179" s="3" t="str">
        <f t="shared" si="19"/>
        <v>دواليب منوع /فرن /أدراج</v>
      </c>
      <c r="C179" s="18">
        <f t="shared" si="19"/>
        <v>10</v>
      </c>
      <c r="D179" s="18" t="str">
        <f t="shared" si="19"/>
        <v>HPL</v>
      </c>
      <c r="E179" s="18" t="str">
        <f t="shared" si="19"/>
        <v>جنب درج 2 داخلى</v>
      </c>
      <c r="F179" s="7" t="str">
        <f t="shared" si="20"/>
        <v/>
      </c>
      <c r="G179" s="7" t="str">
        <f t="shared" si="21"/>
        <v/>
      </c>
      <c r="H179" s="7" t="str">
        <f t="shared" si="22"/>
        <v/>
      </c>
      <c r="I179" s="7" t="str">
        <f t="shared" si="23"/>
        <v/>
      </c>
      <c r="J179" s="7" t="str">
        <f t="shared" si="24"/>
        <v/>
      </c>
      <c r="K179" s="10">
        <f>K170</f>
        <v>0</v>
      </c>
      <c r="L179" s="10">
        <f>I42</f>
        <v>78</v>
      </c>
      <c r="M179" s="10">
        <f>M170</f>
        <v>56</v>
      </c>
      <c r="N179" s="9">
        <f>N171</f>
        <v>2</v>
      </c>
    </row>
    <row r="180" spans="1:14" ht="15.6" customHeight="1" x14ac:dyDescent="0.3">
      <c r="A180" s="71">
        <f t="shared" si="18"/>
        <v>1016</v>
      </c>
      <c r="B180" s="3" t="str">
        <f t="shared" si="19"/>
        <v>دواليب منوع /فرن /أدراج</v>
      </c>
      <c r="C180" s="18">
        <f t="shared" si="19"/>
        <v>11</v>
      </c>
      <c r="D180" s="18" t="str">
        <f t="shared" si="19"/>
        <v>HPL</v>
      </c>
      <c r="E180" s="18" t="str">
        <f t="shared" si="19"/>
        <v>ظهر درج 2 داخلى</v>
      </c>
      <c r="F180" s="7" t="str">
        <f t="shared" si="20"/>
        <v/>
      </c>
      <c r="G180" s="7" t="str">
        <f t="shared" si="21"/>
        <v/>
      </c>
      <c r="H180" s="7" t="str">
        <f t="shared" si="22"/>
        <v/>
      </c>
      <c r="I180" s="7" t="str">
        <f t="shared" si="23"/>
        <v/>
      </c>
      <c r="J180" s="7" t="str">
        <f t="shared" si="24"/>
        <v/>
      </c>
      <c r="K180" s="10">
        <f>K170</f>
        <v>0</v>
      </c>
      <c r="L180" s="10">
        <f>I42</f>
        <v>78</v>
      </c>
      <c r="M180" s="10">
        <f>M170</f>
        <v>56</v>
      </c>
      <c r="N180" s="9">
        <f>N171</f>
        <v>2</v>
      </c>
    </row>
    <row r="181" spans="1:14" ht="15.6" customHeight="1" x14ac:dyDescent="0.3">
      <c r="A181" s="71">
        <f t="shared" si="18"/>
        <v>1017</v>
      </c>
      <c r="B181" s="3" t="str">
        <f t="shared" si="19"/>
        <v>دواليب منوع /فرن /أدراج</v>
      </c>
      <c r="C181" s="18">
        <f t="shared" si="19"/>
        <v>12</v>
      </c>
      <c r="D181" s="18" t="str">
        <f t="shared" si="19"/>
        <v>HPL</v>
      </c>
      <c r="E181" s="18" t="str">
        <f t="shared" si="19"/>
        <v>وش درج 3 داخلى</v>
      </c>
      <c r="F181" s="7" t="str">
        <f t="shared" si="20"/>
        <v/>
      </c>
      <c r="G181" s="7" t="str">
        <f t="shared" si="21"/>
        <v/>
      </c>
      <c r="H181" s="7" t="str">
        <f t="shared" si="22"/>
        <v/>
      </c>
      <c r="I181" s="7" t="str">
        <f t="shared" si="23"/>
        <v/>
      </c>
      <c r="J181" s="7" t="str">
        <f t="shared" si="24"/>
        <v/>
      </c>
      <c r="K181" s="10">
        <f>K170</f>
        <v>0</v>
      </c>
      <c r="L181" s="10">
        <f>I42</f>
        <v>78</v>
      </c>
      <c r="M181" s="10">
        <f>M170</f>
        <v>56</v>
      </c>
      <c r="N181" s="9">
        <f>N171</f>
        <v>2</v>
      </c>
    </row>
    <row r="182" spans="1:14" ht="15.6" customHeight="1" x14ac:dyDescent="0.3">
      <c r="A182" s="71">
        <f t="shared" si="18"/>
        <v>1018</v>
      </c>
      <c r="B182" s="3" t="str">
        <f t="shared" si="19"/>
        <v>دواليب منوع /فرن /أدراج</v>
      </c>
      <c r="C182" s="18">
        <f t="shared" si="19"/>
        <v>13</v>
      </c>
      <c r="D182" s="18" t="str">
        <f t="shared" si="19"/>
        <v>HPL</v>
      </c>
      <c r="E182" s="18" t="str">
        <f t="shared" si="19"/>
        <v>جنب درج 3 داخلى</v>
      </c>
      <c r="F182" s="7" t="str">
        <f t="shared" si="20"/>
        <v/>
      </c>
      <c r="G182" s="7" t="str">
        <f t="shared" si="21"/>
        <v/>
      </c>
      <c r="H182" s="7" t="str">
        <f t="shared" si="22"/>
        <v/>
      </c>
      <c r="I182" s="7" t="str">
        <f t="shared" si="23"/>
        <v/>
      </c>
      <c r="J182" s="7" t="str">
        <f t="shared" si="24"/>
        <v/>
      </c>
      <c r="K182" s="10">
        <f>K170</f>
        <v>0</v>
      </c>
      <c r="L182" s="10">
        <f>I42</f>
        <v>78</v>
      </c>
      <c r="M182" s="10">
        <f>M170</f>
        <v>56</v>
      </c>
      <c r="N182" s="9">
        <f>N171</f>
        <v>2</v>
      </c>
    </row>
    <row r="183" spans="1:14" ht="15.6" customHeight="1" x14ac:dyDescent="0.3">
      <c r="A183" s="71">
        <f t="shared" si="18"/>
        <v>1019</v>
      </c>
      <c r="B183" s="3" t="str">
        <f t="shared" si="19"/>
        <v>دواليب منوع /فرن /أدراج</v>
      </c>
      <c r="C183" s="18">
        <f t="shared" si="19"/>
        <v>14</v>
      </c>
      <c r="D183" s="18" t="str">
        <f t="shared" si="19"/>
        <v>HPL</v>
      </c>
      <c r="E183" s="18" t="str">
        <f t="shared" si="19"/>
        <v>ظهر درج 3 داخلى</v>
      </c>
      <c r="F183" s="7" t="str">
        <f t="shared" si="20"/>
        <v/>
      </c>
      <c r="G183" s="7" t="str">
        <f t="shared" si="21"/>
        <v/>
      </c>
      <c r="H183" s="7" t="str">
        <f t="shared" si="22"/>
        <v/>
      </c>
      <c r="I183" s="7" t="str">
        <f t="shared" si="23"/>
        <v/>
      </c>
      <c r="J183" s="7" t="str">
        <f t="shared" si="24"/>
        <v/>
      </c>
      <c r="K183" s="10">
        <f>K170</f>
        <v>0</v>
      </c>
      <c r="L183" s="10">
        <f>I42</f>
        <v>78</v>
      </c>
      <c r="M183" s="10">
        <f>M170</f>
        <v>56</v>
      </c>
      <c r="N183" s="9">
        <f>N171</f>
        <v>2</v>
      </c>
    </row>
    <row r="184" spans="1:14" ht="15.6" customHeight="1" x14ac:dyDescent="0.3">
      <c r="C184" s="33"/>
      <c r="D184" s="33"/>
      <c r="E184" s="33"/>
      <c r="K184" s="14"/>
      <c r="L184" s="14"/>
      <c r="M184" s="14"/>
      <c r="N184" s="15"/>
    </row>
    <row r="185" spans="1:14" ht="15.6" customHeight="1" x14ac:dyDescent="0.3">
      <c r="C185" s="33"/>
      <c r="D185" s="33"/>
      <c r="E185" s="33"/>
      <c r="K185" s="14"/>
      <c r="L185" s="14"/>
      <c r="M185" s="14"/>
      <c r="N185" s="15"/>
    </row>
    <row r="186" spans="1:14" ht="15.6" customHeight="1" x14ac:dyDescent="0.3">
      <c r="C186" s="33"/>
      <c r="D186" s="33"/>
      <c r="E186" s="33"/>
      <c r="K186" s="14"/>
      <c r="L186" s="14"/>
      <c r="M186" s="14"/>
      <c r="N186" s="15"/>
    </row>
    <row r="188" spans="1:14" ht="15.6" hidden="1" customHeight="1" x14ac:dyDescent="0.3">
      <c r="A188" s="71" t="e">
        <f>#REF!+1</f>
        <v>#REF!</v>
      </c>
      <c r="C188" s="18">
        <f t="shared" ref="C188:E193" si="25">C106</f>
        <v>1</v>
      </c>
      <c r="D188" s="18">
        <f t="shared" si="25"/>
        <v>0</v>
      </c>
      <c r="E188" s="18" t="str">
        <f t="shared" si="25"/>
        <v>قرصة</v>
      </c>
      <c r="F188" s="7">
        <f t="shared" ref="F188:F193" si="26">IF(K188=0, "",F106)</f>
        <v>116.4</v>
      </c>
      <c r="G188" s="7">
        <f t="shared" ref="G188:G193" si="27">IF(K188=0, "",G106)</f>
        <v>30</v>
      </c>
      <c r="H188" s="7">
        <f t="shared" ref="H188:H193" si="28">IF(K188=0, "",H106)</f>
        <v>2</v>
      </c>
      <c r="I188" s="7">
        <f t="shared" ref="I188:I193" si="29">IF(K188=0, "",I106)</f>
        <v>0</v>
      </c>
      <c r="J188" s="7">
        <f t="shared" ref="J188:J193" si="30">IF(K188=0, "",J106)</f>
        <v>0</v>
      </c>
      <c r="K188" s="10">
        <f>H100</f>
        <v>120</v>
      </c>
      <c r="L188" s="10">
        <f>I100</f>
        <v>80</v>
      </c>
      <c r="M188" s="10">
        <f>J100</f>
        <v>30</v>
      </c>
      <c r="N188" s="9">
        <f>J98</f>
        <v>3</v>
      </c>
    </row>
    <row r="189" spans="1:14" ht="15.6" hidden="1" customHeight="1" x14ac:dyDescent="0.3">
      <c r="A189" s="71" t="e">
        <f>A188+1</f>
        <v>#REF!</v>
      </c>
      <c r="C189" s="18">
        <f t="shared" si="25"/>
        <v>2</v>
      </c>
      <c r="D189" s="18">
        <f t="shared" si="25"/>
        <v>0</v>
      </c>
      <c r="E189" s="18" t="str">
        <f t="shared" si="25"/>
        <v>قاعدة</v>
      </c>
      <c r="F189" s="7">
        <f t="shared" si="26"/>
        <v>116.4</v>
      </c>
      <c r="G189" s="7">
        <f t="shared" si="27"/>
        <v>30</v>
      </c>
      <c r="H189" s="7">
        <f t="shared" si="28"/>
        <v>2</v>
      </c>
      <c r="I189" s="7">
        <f t="shared" si="29"/>
        <v>0</v>
      </c>
      <c r="J189" s="7">
        <f t="shared" si="30"/>
        <v>0</v>
      </c>
      <c r="K189" s="10">
        <f t="shared" ref="K189:M189" si="31">K188</f>
        <v>120</v>
      </c>
      <c r="L189" s="10">
        <f t="shared" si="31"/>
        <v>80</v>
      </c>
      <c r="M189" s="10">
        <f t="shared" si="31"/>
        <v>30</v>
      </c>
      <c r="N189" s="9">
        <f>N188</f>
        <v>3</v>
      </c>
    </row>
    <row r="190" spans="1:14" ht="15.6" hidden="1" customHeight="1" x14ac:dyDescent="0.3">
      <c r="A190" s="71" t="e">
        <f>A189+1</f>
        <v>#REF!</v>
      </c>
      <c r="C190" s="18">
        <f t="shared" si="25"/>
        <v>3</v>
      </c>
      <c r="D190" s="18">
        <f t="shared" si="25"/>
        <v>0</v>
      </c>
      <c r="E190" s="18" t="str">
        <f t="shared" si="25"/>
        <v>أجناب</v>
      </c>
      <c r="F190" s="7">
        <f t="shared" si="26"/>
        <v>80</v>
      </c>
      <c r="G190" s="7">
        <f t="shared" si="27"/>
        <v>30</v>
      </c>
      <c r="H190" s="7">
        <f t="shared" si="28"/>
        <v>4</v>
      </c>
      <c r="I190" s="7">
        <f t="shared" si="29"/>
        <v>0</v>
      </c>
      <c r="J190" s="7">
        <f t="shared" si="30"/>
        <v>0</v>
      </c>
      <c r="K190" s="10">
        <f t="shared" ref="K190:M190" si="32">K188</f>
        <v>120</v>
      </c>
      <c r="L190" s="10">
        <f t="shared" si="32"/>
        <v>80</v>
      </c>
      <c r="M190" s="10">
        <f t="shared" si="32"/>
        <v>30</v>
      </c>
      <c r="N190" s="9">
        <f>N188</f>
        <v>3</v>
      </c>
    </row>
    <row r="191" spans="1:14" ht="15.6" hidden="1" customHeight="1" x14ac:dyDescent="0.3">
      <c r="A191" s="71" t="e">
        <f t="shared" ref="A191:A193" si="33">A190+1</f>
        <v>#REF!</v>
      </c>
      <c r="C191" s="18">
        <f t="shared" si="25"/>
        <v>4</v>
      </c>
      <c r="D191" s="18">
        <f t="shared" si="25"/>
        <v>0</v>
      </c>
      <c r="E191" s="18" t="str">
        <f t="shared" si="25"/>
        <v>رف</v>
      </c>
      <c r="F191" s="7">
        <f t="shared" si="26"/>
        <v>116.2</v>
      </c>
      <c r="G191" s="7">
        <f t="shared" si="27"/>
        <v>24</v>
      </c>
      <c r="H191" s="7">
        <f t="shared" si="28"/>
        <v>2</v>
      </c>
      <c r="I191" s="7">
        <f t="shared" si="29"/>
        <v>0</v>
      </c>
      <c r="J191" s="7">
        <f t="shared" si="30"/>
        <v>0</v>
      </c>
      <c r="K191" s="10">
        <f t="shared" ref="K191:L191" si="34">K188</f>
        <v>120</v>
      </c>
      <c r="L191" s="10">
        <f t="shared" si="34"/>
        <v>80</v>
      </c>
      <c r="M191" s="10">
        <f>M188</f>
        <v>30</v>
      </c>
      <c r="N191" s="9">
        <f>N188</f>
        <v>3</v>
      </c>
    </row>
    <row r="192" spans="1:14" ht="15.6" hidden="1" customHeight="1" x14ac:dyDescent="0.3">
      <c r="A192" s="71" t="e">
        <f t="shared" si="33"/>
        <v>#REF!</v>
      </c>
      <c r="C192" s="18">
        <f t="shared" si="25"/>
        <v>5</v>
      </c>
      <c r="D192" s="18">
        <f t="shared" si="25"/>
        <v>0</v>
      </c>
      <c r="E192" s="18" t="str">
        <f t="shared" si="25"/>
        <v>تلبيسة</v>
      </c>
      <c r="F192" s="7">
        <f t="shared" si="26"/>
        <v>80</v>
      </c>
      <c r="G192" s="7">
        <f t="shared" si="27"/>
        <v>30</v>
      </c>
      <c r="H192" s="7">
        <f t="shared" si="28"/>
        <v>2</v>
      </c>
      <c r="I192" s="7">
        <f t="shared" si="29"/>
        <v>0</v>
      </c>
      <c r="J192" s="7">
        <f t="shared" si="30"/>
        <v>0</v>
      </c>
      <c r="K192" s="10">
        <f t="shared" ref="K192:L192" si="35">K188</f>
        <v>120</v>
      </c>
      <c r="L192" s="10">
        <f t="shared" si="35"/>
        <v>80</v>
      </c>
      <c r="M192" s="10">
        <f>M188</f>
        <v>30</v>
      </c>
      <c r="N192" s="9">
        <f>N188</f>
        <v>3</v>
      </c>
    </row>
    <row r="193" spans="1:14" ht="15.6" hidden="1" customHeight="1" x14ac:dyDescent="0.3">
      <c r="A193" s="71" t="e">
        <f t="shared" si="33"/>
        <v>#REF!</v>
      </c>
      <c r="C193" s="18">
        <f t="shared" si="25"/>
        <v>0</v>
      </c>
      <c r="D193" s="18">
        <f t="shared" si="25"/>
        <v>0</v>
      </c>
      <c r="E193" s="18">
        <f t="shared" si="25"/>
        <v>0</v>
      </c>
      <c r="F193" s="7">
        <f t="shared" si="26"/>
        <v>0</v>
      </c>
      <c r="G193" s="7">
        <f t="shared" si="27"/>
        <v>0</v>
      </c>
      <c r="H193" s="7">
        <f t="shared" si="28"/>
        <v>0</v>
      </c>
      <c r="I193" s="7">
        <f t="shared" si="29"/>
        <v>0</v>
      </c>
      <c r="J193" s="7">
        <f t="shared" si="30"/>
        <v>0</v>
      </c>
      <c r="K193" s="10">
        <f t="shared" ref="K193:L193" si="36">K188</f>
        <v>120</v>
      </c>
      <c r="L193" s="10">
        <f t="shared" si="36"/>
        <v>80</v>
      </c>
      <c r="M193" s="10">
        <f>M188</f>
        <v>30</v>
      </c>
      <c r="N193" s="9">
        <f t="shared" ref="N193" si="37">N189</f>
        <v>3</v>
      </c>
    </row>
    <row r="194" spans="1:14" ht="15.6" hidden="1" customHeight="1" x14ac:dyDescent="0.3"/>
    <row r="195" spans="1:14" ht="15.6" hidden="1" customHeight="1" x14ac:dyDescent="0.3">
      <c r="A195" s="71" t="e">
        <f>A193+1</f>
        <v>#REF!</v>
      </c>
      <c r="C195" s="18">
        <f t="shared" ref="C195:E200" si="38">C126</f>
        <v>1</v>
      </c>
      <c r="D195" s="18">
        <f t="shared" si="38"/>
        <v>0</v>
      </c>
      <c r="E195" s="18" t="str">
        <f t="shared" si="38"/>
        <v>قرصة</v>
      </c>
      <c r="F195" s="7">
        <f t="shared" ref="F195:F200" si="39">IF(K195=0, "",F126)</f>
        <v>68.2</v>
      </c>
      <c r="G195" s="7">
        <f t="shared" ref="G195:G200" si="40">IF(K195=0, "",G126)</f>
        <v>68.2</v>
      </c>
      <c r="H195" s="7">
        <f t="shared" ref="H195:H200" si="41">IF(K195=0, "",H126)</f>
        <v>1</v>
      </c>
      <c r="I195" s="7">
        <f t="shared" ref="I195:I200" si="42">IF(K195=0, "",I126)</f>
        <v>0</v>
      </c>
      <c r="J195" s="7">
        <f t="shared" ref="J195:J200" si="43">IF(K195=0, "",J126)</f>
        <v>0</v>
      </c>
      <c r="K195" s="10">
        <f>H120</f>
        <v>70</v>
      </c>
      <c r="L195" s="10">
        <f>I120</f>
        <v>80</v>
      </c>
      <c r="M195" s="10">
        <f>J120</f>
        <v>30</v>
      </c>
      <c r="N195" s="9">
        <f>J118</f>
        <v>4</v>
      </c>
    </row>
    <row r="196" spans="1:14" ht="15.6" hidden="1" customHeight="1" x14ac:dyDescent="0.3">
      <c r="A196" s="71" t="e">
        <f>A195+1</f>
        <v>#REF!</v>
      </c>
      <c r="C196" s="18">
        <f t="shared" si="38"/>
        <v>2</v>
      </c>
      <c r="D196" s="18">
        <f t="shared" si="38"/>
        <v>0</v>
      </c>
      <c r="E196" s="18" t="str">
        <f t="shared" si="38"/>
        <v>قاعدة</v>
      </c>
      <c r="F196" s="7">
        <f t="shared" si="39"/>
        <v>68.2</v>
      </c>
      <c r="G196" s="7">
        <f t="shared" si="40"/>
        <v>68.2</v>
      </c>
      <c r="H196" s="7">
        <f t="shared" si="41"/>
        <v>1</v>
      </c>
      <c r="I196" s="7">
        <f t="shared" si="42"/>
        <v>0</v>
      </c>
      <c r="J196" s="7">
        <f t="shared" si="43"/>
        <v>0</v>
      </c>
      <c r="K196" s="10">
        <f t="shared" ref="K196:M196" si="44">K195</f>
        <v>70</v>
      </c>
      <c r="L196" s="10">
        <f t="shared" si="44"/>
        <v>80</v>
      </c>
      <c r="M196" s="10">
        <f t="shared" si="44"/>
        <v>30</v>
      </c>
      <c r="N196" s="9">
        <f>N195</f>
        <v>4</v>
      </c>
    </row>
    <row r="197" spans="1:14" ht="15.6" hidden="1" customHeight="1" x14ac:dyDescent="0.3">
      <c r="A197" s="71" t="e">
        <f>A196+1</f>
        <v>#REF!</v>
      </c>
      <c r="C197" s="18">
        <f t="shared" si="38"/>
        <v>3</v>
      </c>
      <c r="D197" s="18">
        <f t="shared" si="38"/>
        <v>0</v>
      </c>
      <c r="E197" s="18" t="str">
        <f t="shared" si="38"/>
        <v>جنب 1</v>
      </c>
      <c r="F197" s="7">
        <f t="shared" si="39"/>
        <v>80</v>
      </c>
      <c r="G197" s="7">
        <f t="shared" si="40"/>
        <v>30</v>
      </c>
      <c r="H197" s="7">
        <f t="shared" si="41"/>
        <v>1</v>
      </c>
      <c r="I197" s="7">
        <f t="shared" si="42"/>
        <v>0</v>
      </c>
      <c r="J197" s="7">
        <f t="shared" si="43"/>
        <v>0</v>
      </c>
      <c r="K197" s="10">
        <f t="shared" ref="K197:M197" si="45">K195</f>
        <v>70</v>
      </c>
      <c r="L197" s="10">
        <f t="shared" si="45"/>
        <v>80</v>
      </c>
      <c r="M197" s="10">
        <f t="shared" si="45"/>
        <v>30</v>
      </c>
      <c r="N197" s="9">
        <f>N195</f>
        <v>4</v>
      </c>
    </row>
    <row r="198" spans="1:14" ht="15.6" hidden="1" customHeight="1" x14ac:dyDescent="0.3">
      <c r="A198" s="71" t="e">
        <f t="shared" ref="A198:A200" si="46">A197+1</f>
        <v>#REF!</v>
      </c>
      <c r="C198" s="18">
        <f t="shared" si="38"/>
        <v>4</v>
      </c>
      <c r="D198" s="18">
        <f t="shared" si="38"/>
        <v>0</v>
      </c>
      <c r="E198" s="18" t="str">
        <f t="shared" si="38"/>
        <v>جنب 2</v>
      </c>
      <c r="F198" s="7">
        <f t="shared" si="39"/>
        <v>80</v>
      </c>
      <c r="G198" s="7">
        <f t="shared" si="40"/>
        <v>30</v>
      </c>
      <c r="H198" s="7">
        <f t="shared" si="41"/>
        <v>1</v>
      </c>
      <c r="I198" s="7">
        <f t="shared" si="42"/>
        <v>0</v>
      </c>
      <c r="J198" s="7">
        <f t="shared" si="43"/>
        <v>0</v>
      </c>
      <c r="K198" s="10">
        <f t="shared" ref="K198:L198" si="47">K195</f>
        <v>70</v>
      </c>
      <c r="L198" s="10">
        <f t="shared" si="47"/>
        <v>80</v>
      </c>
      <c r="M198" s="10">
        <f>M195</f>
        <v>30</v>
      </c>
      <c r="N198" s="9">
        <f>N195</f>
        <v>4</v>
      </c>
    </row>
    <row r="199" spans="1:14" ht="15.6" hidden="1" customHeight="1" x14ac:dyDescent="0.3">
      <c r="A199" s="71" t="e">
        <f t="shared" si="46"/>
        <v>#REF!</v>
      </c>
      <c r="C199" s="18">
        <f t="shared" si="38"/>
        <v>5</v>
      </c>
      <c r="D199" s="18">
        <f t="shared" si="38"/>
        <v>0</v>
      </c>
      <c r="E199" s="18" t="str">
        <f t="shared" si="38"/>
        <v>قائم خلفى</v>
      </c>
      <c r="F199" s="7">
        <f t="shared" si="39"/>
        <v>80</v>
      </c>
      <c r="G199" s="7">
        <f t="shared" si="40"/>
        <v>10</v>
      </c>
      <c r="H199" s="7">
        <f t="shared" si="41"/>
        <v>1</v>
      </c>
      <c r="I199" s="7">
        <f t="shared" si="42"/>
        <v>0</v>
      </c>
      <c r="J199" s="7">
        <f t="shared" si="43"/>
        <v>0</v>
      </c>
      <c r="K199" s="10">
        <f t="shared" ref="K199:L199" si="48">K195</f>
        <v>70</v>
      </c>
      <c r="L199" s="10">
        <f t="shared" si="48"/>
        <v>80</v>
      </c>
      <c r="M199" s="10">
        <f>M195</f>
        <v>30</v>
      </c>
      <c r="N199" s="9">
        <f>N195</f>
        <v>4</v>
      </c>
    </row>
    <row r="200" spans="1:14" ht="15.6" hidden="1" customHeight="1" x14ac:dyDescent="0.3">
      <c r="A200" s="71" t="e">
        <f t="shared" si="46"/>
        <v>#REF!</v>
      </c>
      <c r="C200" s="18">
        <f t="shared" si="38"/>
        <v>6</v>
      </c>
      <c r="D200" s="18">
        <f t="shared" si="38"/>
        <v>0</v>
      </c>
      <c r="E200" s="18" t="str">
        <f t="shared" si="38"/>
        <v>رف</v>
      </c>
      <c r="F200" s="7">
        <f t="shared" si="39"/>
        <v>66.2</v>
      </c>
      <c r="G200" s="7">
        <f t="shared" si="40"/>
        <v>66.2</v>
      </c>
      <c r="H200" s="7">
        <f t="shared" si="41"/>
        <v>2</v>
      </c>
      <c r="I200" s="7">
        <f t="shared" si="42"/>
        <v>0</v>
      </c>
      <c r="J200" s="7">
        <f t="shared" si="43"/>
        <v>0</v>
      </c>
      <c r="K200" s="10">
        <f t="shared" ref="K200:L200" si="49">K195</f>
        <v>70</v>
      </c>
      <c r="L200" s="10">
        <f t="shared" si="49"/>
        <v>80</v>
      </c>
      <c r="M200" s="10">
        <f>M195</f>
        <v>30</v>
      </c>
      <c r="N200" s="9">
        <f t="shared" ref="N200" si="50">N196</f>
        <v>4</v>
      </c>
    </row>
    <row r="201" spans="1:14" ht="15.6" hidden="1" customHeight="1" x14ac:dyDescent="0.3"/>
    <row r="202" spans="1:14" ht="15.6" hidden="1" customHeight="1" x14ac:dyDescent="0.3">
      <c r="A202" s="71" t="e">
        <f>A200+1</f>
        <v>#REF!</v>
      </c>
      <c r="C202" s="18">
        <f t="shared" ref="C202:E207" si="51">C146</f>
        <v>1</v>
      </c>
      <c r="D202" s="18">
        <f t="shared" si="51"/>
        <v>0</v>
      </c>
      <c r="E202" s="18" t="str">
        <f t="shared" si="51"/>
        <v>قرصة</v>
      </c>
      <c r="F202" s="7">
        <f t="shared" ref="F202:F207" si="52">IF(K202=0, "",F146)</f>
        <v>58.2</v>
      </c>
      <c r="G202" s="7">
        <f t="shared" ref="G202:G207" si="53">IF(K202=0, "",G146)</f>
        <v>58.2</v>
      </c>
      <c r="H202" s="7">
        <f t="shared" ref="H202:H207" si="54">IF(K202=0, "",H146)</f>
        <v>2</v>
      </c>
      <c r="I202" s="7">
        <f t="shared" ref="I202:I207" si="55">IF(K202=0, "",I146)</f>
        <v>0</v>
      </c>
      <c r="J202" s="7">
        <f t="shared" ref="J202:J207" si="56">IF(K202=0, "",J146)</f>
        <v>0</v>
      </c>
      <c r="K202" s="10">
        <f>H140</f>
        <v>60</v>
      </c>
      <c r="L202" s="10">
        <f>I140</f>
        <v>80</v>
      </c>
      <c r="M202" s="10">
        <f>J140</f>
        <v>30</v>
      </c>
      <c r="N202" s="9">
        <f>J138</f>
        <v>5</v>
      </c>
    </row>
    <row r="203" spans="1:14" ht="15.6" hidden="1" customHeight="1" x14ac:dyDescent="0.3">
      <c r="A203" s="71" t="e">
        <f>A202+1</f>
        <v>#REF!</v>
      </c>
      <c r="C203" s="18">
        <f t="shared" si="51"/>
        <v>2</v>
      </c>
      <c r="D203" s="18">
        <f t="shared" si="51"/>
        <v>0</v>
      </c>
      <c r="E203" s="18" t="str">
        <f t="shared" si="51"/>
        <v>قاعدة</v>
      </c>
      <c r="F203" s="7">
        <f t="shared" si="52"/>
        <v>58.2</v>
      </c>
      <c r="G203" s="7">
        <f t="shared" si="53"/>
        <v>58.2</v>
      </c>
      <c r="H203" s="7">
        <f t="shared" si="54"/>
        <v>2</v>
      </c>
      <c r="I203" s="7">
        <f t="shared" si="55"/>
        <v>0</v>
      </c>
      <c r="J203" s="7">
        <f t="shared" si="56"/>
        <v>0</v>
      </c>
      <c r="K203" s="10">
        <f t="shared" ref="K203:M203" si="57">K202</f>
        <v>60</v>
      </c>
      <c r="L203" s="10">
        <f t="shared" si="57"/>
        <v>80</v>
      </c>
      <c r="M203" s="10">
        <f t="shared" si="57"/>
        <v>30</v>
      </c>
      <c r="N203" s="9">
        <f>N202</f>
        <v>5</v>
      </c>
    </row>
    <row r="204" spans="1:14" ht="15.6" hidden="1" customHeight="1" x14ac:dyDescent="0.3">
      <c r="A204" s="71" t="e">
        <f>A203+1</f>
        <v>#REF!</v>
      </c>
      <c r="C204" s="18">
        <f t="shared" si="51"/>
        <v>3</v>
      </c>
      <c r="D204" s="18">
        <f t="shared" si="51"/>
        <v>0</v>
      </c>
      <c r="E204" s="18" t="str">
        <f t="shared" si="51"/>
        <v>جنب 1</v>
      </c>
      <c r="F204" s="7">
        <f t="shared" si="52"/>
        <v>80</v>
      </c>
      <c r="G204" s="7">
        <f t="shared" si="53"/>
        <v>30</v>
      </c>
      <c r="H204" s="7">
        <f t="shared" si="54"/>
        <v>2</v>
      </c>
      <c r="I204" s="7">
        <f t="shared" si="55"/>
        <v>0</v>
      </c>
      <c r="J204" s="7">
        <f t="shared" si="56"/>
        <v>0</v>
      </c>
      <c r="K204" s="10">
        <f t="shared" ref="K204:M204" si="58">K202</f>
        <v>60</v>
      </c>
      <c r="L204" s="10">
        <f t="shared" si="58"/>
        <v>80</v>
      </c>
      <c r="M204" s="10">
        <f t="shared" si="58"/>
        <v>30</v>
      </c>
      <c r="N204" s="9">
        <f>N202</f>
        <v>5</v>
      </c>
    </row>
    <row r="205" spans="1:14" ht="15.6" hidden="1" customHeight="1" x14ac:dyDescent="0.3">
      <c r="A205" s="71" t="e">
        <f t="shared" ref="A205:A207" si="59">A204+1</f>
        <v>#REF!</v>
      </c>
      <c r="C205" s="18">
        <f t="shared" si="51"/>
        <v>4</v>
      </c>
      <c r="D205" s="18">
        <f t="shared" si="51"/>
        <v>0</v>
      </c>
      <c r="E205" s="18" t="str">
        <f t="shared" si="51"/>
        <v>جنب 2</v>
      </c>
      <c r="F205" s="7">
        <f t="shared" si="52"/>
        <v>80</v>
      </c>
      <c r="G205" s="7">
        <f t="shared" si="53"/>
        <v>30</v>
      </c>
      <c r="H205" s="7">
        <f t="shared" si="54"/>
        <v>2</v>
      </c>
      <c r="I205" s="7">
        <f t="shared" si="55"/>
        <v>0</v>
      </c>
      <c r="J205" s="7">
        <f t="shared" si="56"/>
        <v>0</v>
      </c>
      <c r="K205" s="10">
        <f t="shared" ref="K205:L205" si="60">K202</f>
        <v>60</v>
      </c>
      <c r="L205" s="10">
        <f t="shared" si="60"/>
        <v>80</v>
      </c>
      <c r="M205" s="10">
        <f>M202</f>
        <v>30</v>
      </c>
      <c r="N205" s="9">
        <f>N202</f>
        <v>5</v>
      </c>
    </row>
    <row r="206" spans="1:14" ht="15.6" hidden="1" customHeight="1" x14ac:dyDescent="0.3">
      <c r="A206" s="71" t="e">
        <f t="shared" si="59"/>
        <v>#REF!</v>
      </c>
      <c r="C206" s="18">
        <f t="shared" si="51"/>
        <v>5</v>
      </c>
      <c r="D206" s="18">
        <f t="shared" si="51"/>
        <v>0</v>
      </c>
      <c r="E206" s="18" t="str">
        <f t="shared" si="51"/>
        <v>قائم خلفى</v>
      </c>
      <c r="F206" s="7">
        <f t="shared" si="52"/>
        <v>80</v>
      </c>
      <c r="G206" s="7">
        <f t="shared" si="53"/>
        <v>10</v>
      </c>
      <c r="H206" s="7">
        <f t="shared" si="54"/>
        <v>2</v>
      </c>
      <c r="I206" s="7">
        <f t="shared" si="55"/>
        <v>0</v>
      </c>
      <c r="J206" s="7">
        <f t="shared" si="56"/>
        <v>0</v>
      </c>
      <c r="K206" s="10">
        <f t="shared" ref="K206:L206" si="61">K202</f>
        <v>60</v>
      </c>
      <c r="L206" s="10">
        <f t="shared" si="61"/>
        <v>80</v>
      </c>
      <c r="M206" s="10">
        <f>M202</f>
        <v>30</v>
      </c>
      <c r="N206" s="9">
        <f>N202</f>
        <v>5</v>
      </c>
    </row>
    <row r="207" spans="1:14" ht="15.6" hidden="1" customHeight="1" x14ac:dyDescent="0.3">
      <c r="A207" s="71" t="e">
        <f t="shared" si="59"/>
        <v>#REF!</v>
      </c>
      <c r="C207" s="18">
        <f t="shared" si="51"/>
        <v>6</v>
      </c>
      <c r="D207" s="18">
        <f t="shared" si="51"/>
        <v>0</v>
      </c>
      <c r="E207" s="18" t="str">
        <f t="shared" si="51"/>
        <v>رف</v>
      </c>
      <c r="F207" s="7">
        <f t="shared" si="52"/>
        <v>56.2</v>
      </c>
      <c r="G207" s="7">
        <f t="shared" si="53"/>
        <v>56.2</v>
      </c>
      <c r="H207" s="7">
        <f t="shared" si="54"/>
        <v>2</v>
      </c>
      <c r="I207" s="7">
        <f t="shared" si="55"/>
        <v>0</v>
      </c>
      <c r="J207" s="7">
        <f t="shared" si="56"/>
        <v>0</v>
      </c>
      <c r="K207" s="10">
        <f t="shared" ref="K207:L207" si="62">K202</f>
        <v>60</v>
      </c>
      <c r="L207" s="10">
        <f t="shared" si="62"/>
        <v>80</v>
      </c>
      <c r="M207" s="10">
        <f>M202</f>
        <v>30</v>
      </c>
      <c r="N207" s="9">
        <f t="shared" ref="N207" si="63">N203</f>
        <v>5</v>
      </c>
    </row>
    <row r="210" spans="1:14" ht="21" customHeight="1" x14ac:dyDescent="0.3">
      <c r="C210" s="109" t="s">
        <v>44</v>
      </c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</row>
    <row r="212" spans="1:14" ht="18" x14ac:dyDescent="0.3">
      <c r="A212" s="71" t="s">
        <v>123</v>
      </c>
      <c r="B212" s="3" t="s">
        <v>124</v>
      </c>
      <c r="C212" s="16" t="s">
        <v>4</v>
      </c>
      <c r="D212" s="16" t="s">
        <v>9</v>
      </c>
      <c r="E212" s="16" t="s">
        <v>5</v>
      </c>
      <c r="F212" s="17" t="s">
        <v>7</v>
      </c>
      <c r="G212" s="17" t="s">
        <v>1</v>
      </c>
      <c r="H212" s="17" t="s">
        <v>6</v>
      </c>
      <c r="I212" s="17" t="s">
        <v>45</v>
      </c>
      <c r="J212" s="17" t="s">
        <v>8</v>
      </c>
      <c r="K212" s="2" t="s">
        <v>34</v>
      </c>
      <c r="L212" s="2" t="s">
        <v>3</v>
      </c>
      <c r="M212" s="2" t="s">
        <v>2</v>
      </c>
      <c r="N212" s="2" t="s">
        <v>42</v>
      </c>
    </row>
    <row r="214" spans="1:14" ht="15.6" x14ac:dyDescent="0.3">
      <c r="A214" s="71">
        <v>1001</v>
      </c>
      <c r="B214" s="3" t="str">
        <f t="shared" ref="B214:E215" si="64">B31</f>
        <v xml:space="preserve">دواليب دلفة /دلفتين </v>
      </c>
      <c r="C214" s="18">
        <f t="shared" si="64"/>
        <v>6</v>
      </c>
      <c r="D214" s="18" t="str">
        <f t="shared" si="64"/>
        <v>يوفيلاك</v>
      </c>
      <c r="E214" s="18" t="str">
        <f t="shared" si="64"/>
        <v>دلف دولاب سفلية</v>
      </c>
      <c r="F214" s="7" t="str">
        <f>IF(K214=0, "",F31)</f>
        <v/>
      </c>
      <c r="G214" s="7" t="str">
        <f>IF(K214=0, "",G31)</f>
        <v/>
      </c>
      <c r="H214" s="7" t="str">
        <f>IF(K214=0, "",H31)</f>
        <v/>
      </c>
      <c r="I214" s="7" t="str">
        <f>IF(K214=0, "",I31)</f>
        <v/>
      </c>
      <c r="J214" s="7" t="str">
        <f>IF(K214=0, "",J31)</f>
        <v/>
      </c>
      <c r="K214" s="10">
        <f>H15</f>
        <v>0</v>
      </c>
      <c r="L214" s="10">
        <f>I15</f>
        <v>210</v>
      </c>
      <c r="M214" s="10">
        <f>J15</f>
        <v>56</v>
      </c>
      <c r="N214" s="9">
        <f>J13</f>
        <v>1</v>
      </c>
    </row>
    <row r="215" spans="1:14" ht="15.6" x14ac:dyDescent="0.3">
      <c r="A215" s="71">
        <f t="shared" ref="A215:A224" si="65">A214+1</f>
        <v>1002</v>
      </c>
      <c r="B215" s="3" t="str">
        <f t="shared" si="64"/>
        <v xml:space="preserve">دواليب دلفة /دلفتين </v>
      </c>
      <c r="C215" s="18">
        <f t="shared" si="64"/>
        <v>7</v>
      </c>
      <c r="D215" s="18" t="str">
        <f t="shared" si="64"/>
        <v>يوفيلاك</v>
      </c>
      <c r="E215" s="18" t="str">
        <f t="shared" si="64"/>
        <v>دلف دولاب علوية</v>
      </c>
      <c r="F215" s="7" t="str">
        <f>IF(K215=0, "",F32)</f>
        <v/>
      </c>
      <c r="G215" s="7" t="str">
        <f>IF(K215=0, "",G32)</f>
        <v/>
      </c>
      <c r="H215" s="7" t="str">
        <f>IF(K215=0, "",H32)</f>
        <v/>
      </c>
      <c r="I215" s="7" t="str">
        <f>IF(K215=0, "",I32)</f>
        <v/>
      </c>
      <c r="J215" s="7" t="str">
        <f>IF(K215=0, "",J32)</f>
        <v/>
      </c>
      <c r="K215" s="10">
        <f>K214</f>
        <v>0</v>
      </c>
      <c r="L215" s="10">
        <f t="shared" ref="L215:N215" si="66">L214</f>
        <v>210</v>
      </c>
      <c r="M215" s="10">
        <f t="shared" si="66"/>
        <v>56</v>
      </c>
      <c r="N215" s="9">
        <f t="shared" si="66"/>
        <v>1</v>
      </c>
    </row>
    <row r="216" spans="1:14" ht="15.6" x14ac:dyDescent="0.3">
      <c r="A216" s="71">
        <f t="shared" si="65"/>
        <v>1003</v>
      </c>
      <c r="B216" s="3" t="str">
        <f t="shared" ref="B216:E224" si="67">B74</f>
        <v>دواليب منوع /فرن /أدراج</v>
      </c>
      <c r="C216" s="18">
        <f t="shared" si="67"/>
        <v>15</v>
      </c>
      <c r="D216" s="18" t="str">
        <f t="shared" si="67"/>
        <v>يوفيلاك</v>
      </c>
      <c r="E216" s="18" t="str">
        <f t="shared" si="67"/>
        <v xml:space="preserve"> وش درج 1</v>
      </c>
      <c r="F216" s="7" t="str">
        <f t="shared" ref="F216:F224" si="68">IF(K216=0, "",F74)</f>
        <v/>
      </c>
      <c r="G216" s="7" t="str">
        <f t="shared" ref="G216:G224" si="69">IF(K216=0, "",G74)</f>
        <v/>
      </c>
      <c r="H216" s="7" t="str">
        <f t="shared" ref="H216:H224" si="70">IF(K216=0, "",H74)</f>
        <v/>
      </c>
      <c r="I216" s="7" t="str">
        <f t="shared" ref="I216:I224" si="71">IF(K216=0, "",I74)</f>
        <v/>
      </c>
      <c r="J216" s="7" t="str">
        <f t="shared" ref="J216:J224" si="72">IF(K216=0, "",J74)</f>
        <v/>
      </c>
      <c r="K216" s="10">
        <f>H42</f>
        <v>0</v>
      </c>
      <c r="L216" s="10">
        <f>I42</f>
        <v>78</v>
      </c>
      <c r="M216" s="10">
        <f>J42</f>
        <v>56</v>
      </c>
      <c r="N216" s="9">
        <f>J40</f>
        <v>2</v>
      </c>
    </row>
    <row r="217" spans="1:14" ht="15.6" x14ac:dyDescent="0.3">
      <c r="A217" s="71">
        <f t="shared" si="65"/>
        <v>1004</v>
      </c>
      <c r="B217" s="3" t="str">
        <f t="shared" si="67"/>
        <v>دواليب منوع /فرن /أدراج</v>
      </c>
      <c r="C217" s="18">
        <f t="shared" si="67"/>
        <v>16</v>
      </c>
      <c r="D217" s="18" t="str">
        <f t="shared" si="67"/>
        <v>يوفيلاك</v>
      </c>
      <c r="E217" s="18" t="str">
        <f t="shared" si="67"/>
        <v xml:space="preserve"> وش درج 2</v>
      </c>
      <c r="F217" s="7" t="str">
        <f t="shared" si="68"/>
        <v/>
      </c>
      <c r="G217" s="7" t="str">
        <f t="shared" si="69"/>
        <v/>
      </c>
      <c r="H217" s="7" t="str">
        <f t="shared" si="70"/>
        <v/>
      </c>
      <c r="I217" s="7" t="str">
        <f t="shared" si="71"/>
        <v/>
      </c>
      <c r="J217" s="7" t="str">
        <f t="shared" si="72"/>
        <v/>
      </c>
      <c r="K217" s="10">
        <f>K216</f>
        <v>0</v>
      </c>
      <c r="L217" s="10">
        <f t="shared" ref="L217:N217" si="73">L216</f>
        <v>78</v>
      </c>
      <c r="M217" s="10">
        <f t="shared" si="73"/>
        <v>56</v>
      </c>
      <c r="N217" s="9">
        <f t="shared" si="73"/>
        <v>2</v>
      </c>
    </row>
    <row r="218" spans="1:14" ht="15.6" x14ac:dyDescent="0.3">
      <c r="A218" s="71">
        <f t="shared" si="65"/>
        <v>1005</v>
      </c>
      <c r="B218" s="3" t="str">
        <f t="shared" si="67"/>
        <v>دواليب منوع /فرن /أدراج</v>
      </c>
      <c r="C218" s="18">
        <f t="shared" si="67"/>
        <v>17</v>
      </c>
      <c r="D218" s="18" t="str">
        <f t="shared" si="67"/>
        <v>يوفيلاك</v>
      </c>
      <c r="E218" s="18" t="str">
        <f t="shared" si="67"/>
        <v xml:space="preserve"> وش درج 3</v>
      </c>
      <c r="F218" s="7" t="str">
        <f t="shared" si="68"/>
        <v/>
      </c>
      <c r="G218" s="7" t="str">
        <f t="shared" si="69"/>
        <v/>
      </c>
      <c r="H218" s="7" t="str">
        <f t="shared" si="70"/>
        <v/>
      </c>
      <c r="I218" s="7" t="str">
        <f t="shared" si="71"/>
        <v/>
      </c>
      <c r="J218" s="7" t="str">
        <f t="shared" si="72"/>
        <v/>
      </c>
      <c r="K218" s="10">
        <f>K216</f>
        <v>0</v>
      </c>
      <c r="L218" s="10">
        <f t="shared" ref="L218:N218" si="74">L216</f>
        <v>78</v>
      </c>
      <c r="M218" s="10">
        <f t="shared" si="74"/>
        <v>56</v>
      </c>
      <c r="N218" s="9">
        <f t="shared" si="74"/>
        <v>2</v>
      </c>
    </row>
    <row r="219" spans="1:14" ht="15.6" x14ac:dyDescent="0.3">
      <c r="A219" s="71">
        <f t="shared" si="65"/>
        <v>1006</v>
      </c>
      <c r="B219" s="3" t="str">
        <f t="shared" si="67"/>
        <v>دواليب منوع /فرن /أدراج</v>
      </c>
      <c r="C219" s="18">
        <f t="shared" si="67"/>
        <v>18</v>
      </c>
      <c r="D219" s="18" t="str">
        <f t="shared" si="67"/>
        <v>يوفيلاك</v>
      </c>
      <c r="E219" s="18" t="str">
        <f t="shared" si="67"/>
        <v>دلف دولاب سفلية</v>
      </c>
      <c r="F219" s="7" t="str">
        <f t="shared" si="68"/>
        <v/>
      </c>
      <c r="G219" s="7" t="str">
        <f t="shared" si="69"/>
        <v/>
      </c>
      <c r="H219" s="7" t="str">
        <f t="shared" si="70"/>
        <v/>
      </c>
      <c r="I219" s="7" t="str">
        <f t="shared" si="71"/>
        <v/>
      </c>
      <c r="J219" s="7" t="str">
        <f t="shared" si="72"/>
        <v/>
      </c>
      <c r="K219" s="10">
        <f>K216</f>
        <v>0</v>
      </c>
      <c r="L219" s="10">
        <f t="shared" ref="L219:N219" si="75">L216</f>
        <v>78</v>
      </c>
      <c r="M219" s="10">
        <f t="shared" si="75"/>
        <v>56</v>
      </c>
      <c r="N219" s="9">
        <f t="shared" si="75"/>
        <v>2</v>
      </c>
    </row>
    <row r="220" spans="1:14" ht="15.6" x14ac:dyDescent="0.3">
      <c r="A220" s="71">
        <f t="shared" si="65"/>
        <v>1007</v>
      </c>
      <c r="B220" s="3" t="str">
        <f t="shared" si="67"/>
        <v>دواليب منوع /فرن /أدراج</v>
      </c>
      <c r="C220" s="18">
        <f t="shared" si="67"/>
        <v>19</v>
      </c>
      <c r="D220" s="18" t="str">
        <f t="shared" si="67"/>
        <v>يوفيلاك</v>
      </c>
      <c r="E220" s="18" t="str">
        <f t="shared" si="67"/>
        <v>وش فرن</v>
      </c>
      <c r="F220" s="7" t="str">
        <f t="shared" si="68"/>
        <v/>
      </c>
      <c r="G220" s="7" t="str">
        <f t="shared" si="69"/>
        <v/>
      </c>
      <c r="H220" s="7" t="str">
        <f t="shared" si="70"/>
        <v/>
      </c>
      <c r="I220" s="7" t="str">
        <f t="shared" si="71"/>
        <v/>
      </c>
      <c r="J220" s="7" t="str">
        <f t="shared" si="72"/>
        <v/>
      </c>
      <c r="K220" s="10">
        <f>K216</f>
        <v>0</v>
      </c>
      <c r="L220" s="10">
        <f t="shared" ref="L220:N220" si="76">L216</f>
        <v>78</v>
      </c>
      <c r="M220" s="10">
        <f t="shared" si="76"/>
        <v>56</v>
      </c>
      <c r="N220" s="9">
        <f t="shared" si="76"/>
        <v>2</v>
      </c>
    </row>
    <row r="221" spans="1:14" ht="15.6" x14ac:dyDescent="0.3">
      <c r="A221" s="71">
        <f t="shared" si="65"/>
        <v>1008</v>
      </c>
      <c r="B221" s="3" t="str">
        <f t="shared" si="67"/>
        <v>دواليب منوع /فرن /أدراج</v>
      </c>
      <c r="C221" s="18">
        <f t="shared" si="67"/>
        <v>20</v>
      </c>
      <c r="D221" s="18" t="str">
        <f t="shared" si="67"/>
        <v>يوفيلاك</v>
      </c>
      <c r="E221" s="18" t="str">
        <f t="shared" si="67"/>
        <v>تجاليد مايكروويف 1</v>
      </c>
      <c r="F221" s="7" t="str">
        <f t="shared" si="68"/>
        <v/>
      </c>
      <c r="G221" s="7" t="str">
        <f t="shared" si="69"/>
        <v/>
      </c>
      <c r="H221" s="7" t="str">
        <f t="shared" si="70"/>
        <v/>
      </c>
      <c r="I221" s="7" t="str">
        <f t="shared" si="71"/>
        <v/>
      </c>
      <c r="J221" s="7" t="str">
        <f t="shared" si="72"/>
        <v/>
      </c>
      <c r="K221" s="10">
        <f>K216</f>
        <v>0</v>
      </c>
      <c r="L221" s="10">
        <f t="shared" ref="L221:N221" si="77">L216</f>
        <v>78</v>
      </c>
      <c r="M221" s="10">
        <f t="shared" si="77"/>
        <v>56</v>
      </c>
      <c r="N221" s="9">
        <f t="shared" si="77"/>
        <v>2</v>
      </c>
    </row>
    <row r="222" spans="1:14" ht="15.6" x14ac:dyDescent="0.3">
      <c r="A222" s="71">
        <f t="shared" si="65"/>
        <v>1009</v>
      </c>
      <c r="B222" s="3" t="str">
        <f t="shared" si="67"/>
        <v>دواليب منوع /فرن /أدراج</v>
      </c>
      <c r="C222" s="18">
        <f t="shared" si="67"/>
        <v>21</v>
      </c>
      <c r="D222" s="18" t="str">
        <f t="shared" si="67"/>
        <v>يوفيلاك</v>
      </c>
      <c r="E222" s="18" t="str">
        <f t="shared" si="67"/>
        <v>تجاليد مايكروويف 2</v>
      </c>
      <c r="F222" s="7" t="str">
        <f t="shared" si="68"/>
        <v/>
      </c>
      <c r="G222" s="7" t="str">
        <f t="shared" si="69"/>
        <v/>
      </c>
      <c r="H222" s="7" t="str">
        <f t="shared" si="70"/>
        <v/>
      </c>
      <c r="I222" s="7" t="str">
        <f t="shared" si="71"/>
        <v/>
      </c>
      <c r="J222" s="7" t="str">
        <f t="shared" si="72"/>
        <v/>
      </c>
      <c r="K222" s="10">
        <f>K216</f>
        <v>0</v>
      </c>
      <c r="L222" s="10">
        <f t="shared" ref="L222:N222" si="78">L216</f>
        <v>78</v>
      </c>
      <c r="M222" s="10">
        <f t="shared" si="78"/>
        <v>56</v>
      </c>
      <c r="N222" s="9">
        <f t="shared" si="78"/>
        <v>2</v>
      </c>
    </row>
    <row r="223" spans="1:14" ht="15.6" x14ac:dyDescent="0.3">
      <c r="A223" s="71">
        <f t="shared" si="65"/>
        <v>1010</v>
      </c>
      <c r="B223" s="3" t="str">
        <f t="shared" si="67"/>
        <v>دواليب منوع /فرن /أدراج</v>
      </c>
      <c r="C223" s="18">
        <f t="shared" si="67"/>
        <v>22</v>
      </c>
      <c r="D223" s="18" t="str">
        <f t="shared" si="67"/>
        <v>يوفيلاك</v>
      </c>
      <c r="E223" s="18" t="str">
        <f t="shared" si="67"/>
        <v>دلف دولاب علوية 1</v>
      </c>
      <c r="F223" s="7" t="str">
        <f t="shared" si="68"/>
        <v/>
      </c>
      <c r="G223" s="7" t="str">
        <f t="shared" si="69"/>
        <v/>
      </c>
      <c r="H223" s="7" t="str">
        <f t="shared" si="70"/>
        <v/>
      </c>
      <c r="I223" s="7" t="str">
        <f t="shared" si="71"/>
        <v/>
      </c>
      <c r="J223" s="7" t="str">
        <f t="shared" si="72"/>
        <v/>
      </c>
      <c r="K223" s="10">
        <f>K216</f>
        <v>0</v>
      </c>
      <c r="L223" s="10">
        <f t="shared" ref="L223:N223" si="79">L216</f>
        <v>78</v>
      </c>
      <c r="M223" s="10">
        <f t="shared" si="79"/>
        <v>56</v>
      </c>
      <c r="N223" s="9">
        <f t="shared" si="79"/>
        <v>2</v>
      </c>
    </row>
    <row r="224" spans="1:14" ht="15.6" x14ac:dyDescent="0.3">
      <c r="A224" s="71">
        <f t="shared" si="65"/>
        <v>1011</v>
      </c>
      <c r="B224" s="3" t="str">
        <f t="shared" si="67"/>
        <v>دواليب منوع /فرن /أدراج</v>
      </c>
      <c r="C224" s="18">
        <f t="shared" si="67"/>
        <v>23</v>
      </c>
      <c r="D224" s="18" t="str">
        <f t="shared" si="67"/>
        <v>يوفيلاك</v>
      </c>
      <c r="E224" s="18" t="str">
        <f t="shared" si="67"/>
        <v>دلف دولاب علوية 2</v>
      </c>
      <c r="F224" s="7" t="str">
        <f t="shared" si="68"/>
        <v/>
      </c>
      <c r="G224" s="7" t="str">
        <f t="shared" si="69"/>
        <v/>
      </c>
      <c r="H224" s="7" t="str">
        <f t="shared" si="70"/>
        <v/>
      </c>
      <c r="I224" s="7" t="str">
        <f t="shared" si="71"/>
        <v/>
      </c>
      <c r="J224" s="7" t="str">
        <f t="shared" si="72"/>
        <v/>
      </c>
      <c r="K224" s="10">
        <f>K216</f>
        <v>0</v>
      </c>
      <c r="L224" s="10">
        <f t="shared" ref="L224:N224" si="80">L216</f>
        <v>78</v>
      </c>
      <c r="M224" s="10">
        <f t="shared" si="80"/>
        <v>56</v>
      </c>
      <c r="N224" s="9">
        <f t="shared" si="80"/>
        <v>2</v>
      </c>
    </row>
    <row r="225" spans="2:14" ht="15.6" x14ac:dyDescent="0.3">
      <c r="C225" s="18"/>
      <c r="D225" s="18"/>
      <c r="E225" s="18"/>
      <c r="F225" s="7"/>
      <c r="G225" s="7"/>
      <c r="H225" s="7"/>
      <c r="I225" s="7"/>
      <c r="J225" s="7"/>
      <c r="K225" s="10"/>
      <c r="L225" s="10"/>
      <c r="M225" s="10"/>
      <c r="N225" s="9"/>
    </row>
    <row r="226" spans="2:14" ht="15.6" hidden="1" customHeight="1" x14ac:dyDescent="0.3">
      <c r="B226" s="3">
        <f>A224+1</f>
        <v>1012</v>
      </c>
      <c r="C226" s="18">
        <f t="shared" ref="C226:E227" si="81">C112</f>
        <v>6</v>
      </c>
      <c r="D226" s="18">
        <f t="shared" si="81"/>
        <v>0</v>
      </c>
      <c r="E226" s="18" t="str">
        <f t="shared" si="81"/>
        <v xml:space="preserve">دلف </v>
      </c>
      <c r="F226" s="7">
        <f>IF(K226=0, "",F112)</f>
        <v>76</v>
      </c>
      <c r="G226" s="7">
        <f>IF(K226=0, "",G112)</f>
        <v>42.5</v>
      </c>
      <c r="H226" s="7">
        <f>IF(K226=0, "",H112)</f>
        <v>4</v>
      </c>
      <c r="I226" s="7">
        <f>IF(K226=0, "",I112)</f>
        <v>0</v>
      </c>
      <c r="J226" s="7">
        <f>IF(K226=0, "",J112)</f>
        <v>0</v>
      </c>
      <c r="K226" s="10">
        <f>H100</f>
        <v>120</v>
      </c>
      <c r="L226" s="10">
        <f>I100</f>
        <v>80</v>
      </c>
      <c r="M226" s="10">
        <f>J100</f>
        <v>30</v>
      </c>
      <c r="N226" s="9">
        <f>J98</f>
        <v>3</v>
      </c>
    </row>
    <row r="227" spans="2:14" ht="15.6" hidden="1" customHeight="1" x14ac:dyDescent="0.3">
      <c r="B227" s="3">
        <f t="shared" ref="B227:B230" si="82">B226+1</f>
        <v>1013</v>
      </c>
      <c r="C227" s="18">
        <f t="shared" si="81"/>
        <v>7</v>
      </c>
      <c r="D227" s="18">
        <f t="shared" si="81"/>
        <v>0</v>
      </c>
      <c r="E227" s="18" t="str">
        <f t="shared" si="81"/>
        <v>تلبييسة ثابتة</v>
      </c>
      <c r="F227" s="7">
        <f>IF(K227=0, "",F113)</f>
        <v>80</v>
      </c>
      <c r="G227" s="7">
        <f>IF(K227=0, "",G113)</f>
        <v>4</v>
      </c>
      <c r="H227" s="7">
        <f>IF(K227=0, "",H113)</f>
        <v>2</v>
      </c>
      <c r="I227" s="7">
        <f>IF(K227=0, "",I113)</f>
        <v>0</v>
      </c>
      <c r="J227" s="7">
        <f>IF(K227=0, "",J113)</f>
        <v>0</v>
      </c>
      <c r="K227" s="10">
        <f>H100</f>
        <v>120</v>
      </c>
      <c r="L227" s="10">
        <f>I100</f>
        <v>80</v>
      </c>
      <c r="M227" s="10">
        <f>J100</f>
        <v>30</v>
      </c>
      <c r="N227" s="9">
        <f>J98</f>
        <v>3</v>
      </c>
    </row>
    <row r="228" spans="2:14" ht="15.6" hidden="1" customHeight="1" x14ac:dyDescent="0.3">
      <c r="B228" s="3">
        <f t="shared" si="82"/>
        <v>1014</v>
      </c>
      <c r="C228" s="18">
        <f t="shared" ref="C228:E229" si="83">C133</f>
        <v>7</v>
      </c>
      <c r="D228" s="18">
        <f t="shared" si="83"/>
        <v>0</v>
      </c>
      <c r="E228" s="18" t="str">
        <f t="shared" si="83"/>
        <v>دلف 1</v>
      </c>
      <c r="F228" s="7">
        <f>IF(K228=0, "",F133)</f>
        <v>76</v>
      </c>
      <c r="G228" s="7">
        <f>IF(K228=0, "",G133)</f>
        <v>37</v>
      </c>
      <c r="H228" s="7">
        <f>IF(K228=0, "",H133)</f>
        <v>1</v>
      </c>
      <c r="I228" s="7">
        <f>IF(K228=0, "",I133)</f>
        <v>0</v>
      </c>
      <c r="J228" s="7">
        <f>IF(K228=0, "",J133)</f>
        <v>0</v>
      </c>
      <c r="K228" s="10">
        <f t="shared" ref="K228:M229" si="84">H120</f>
        <v>70</v>
      </c>
      <c r="L228" s="10">
        <f t="shared" si="84"/>
        <v>80</v>
      </c>
      <c r="M228" s="10">
        <f t="shared" si="84"/>
        <v>30</v>
      </c>
      <c r="N228" s="9">
        <f>J118</f>
        <v>4</v>
      </c>
    </row>
    <row r="229" spans="2:14" ht="15.6" hidden="1" customHeight="1" x14ac:dyDescent="0.3">
      <c r="B229" s="3">
        <f t="shared" si="82"/>
        <v>1015</v>
      </c>
      <c r="C229" s="18">
        <f t="shared" si="83"/>
        <v>8</v>
      </c>
      <c r="D229" s="18">
        <f t="shared" si="83"/>
        <v>0</v>
      </c>
      <c r="E229" s="18" t="str">
        <f t="shared" si="83"/>
        <v>دلف 2</v>
      </c>
      <c r="F229" s="7">
        <f>IF(K229=0, "",F134)</f>
        <v>76</v>
      </c>
      <c r="G229" s="7">
        <f>IF(K229=0, "",G134)</f>
        <v>37</v>
      </c>
      <c r="H229" s="7">
        <f>IF(K229=0, "",H134)</f>
        <v>1</v>
      </c>
      <c r="I229" s="7">
        <f>IF(K229=0, "",I134)</f>
        <v>0</v>
      </c>
      <c r="J229" s="7">
        <f>IF(K229=0, "",J134)</f>
        <v>0</v>
      </c>
      <c r="K229" s="10">
        <f t="shared" si="84"/>
        <v>70</v>
      </c>
      <c r="L229" s="10">
        <f t="shared" si="84"/>
        <v>80</v>
      </c>
      <c r="M229" s="10">
        <f t="shared" si="84"/>
        <v>30</v>
      </c>
      <c r="N229" s="9">
        <f>J118</f>
        <v>4</v>
      </c>
    </row>
    <row r="230" spans="2:14" ht="15.6" hidden="1" customHeight="1" x14ac:dyDescent="0.3">
      <c r="B230" s="3">
        <f t="shared" si="82"/>
        <v>1016</v>
      </c>
      <c r="C230" s="18">
        <f>C153</f>
        <v>7</v>
      </c>
      <c r="D230" s="18">
        <f>D153</f>
        <v>0</v>
      </c>
      <c r="E230" s="18" t="str">
        <f>E153</f>
        <v>دلف 1</v>
      </c>
      <c r="F230" s="7">
        <f>IF(K230=0, "",F153)</f>
        <v>76</v>
      </c>
      <c r="G230" s="21">
        <f>IF(K230=0, "",G153)</f>
        <v>40.426406871192853</v>
      </c>
      <c r="H230" s="7">
        <f>IF(K230=0, "",H153)</f>
        <v>2</v>
      </c>
      <c r="I230" s="7">
        <f>IF(K230=0, "",I153)</f>
        <v>0</v>
      </c>
      <c r="J230" s="7">
        <f>IF(K230=0, "",J153)</f>
        <v>0</v>
      </c>
      <c r="K230" s="10">
        <f>H140</f>
        <v>60</v>
      </c>
      <c r="L230" s="10">
        <f>I140</f>
        <v>80</v>
      </c>
      <c r="M230" s="10">
        <f>J140</f>
        <v>30</v>
      </c>
      <c r="N230" s="9">
        <f>J138</f>
        <v>5</v>
      </c>
    </row>
    <row r="273" spans="3:14" ht="21" x14ac:dyDescent="0.3">
      <c r="C273" s="109" t="s">
        <v>54</v>
      </c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</row>
  </sheetData>
  <mergeCells count="23">
    <mergeCell ref="C210:N210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C160:N160"/>
    <mergeCell ref="E118:H118"/>
    <mergeCell ref="F121:G121"/>
    <mergeCell ref="F122:G122"/>
    <mergeCell ref="E138:H138"/>
    <mergeCell ref="E13:H13"/>
  </mergeCells>
  <conditionalFormatting sqref="C20">
    <cfRule type="cellIs" dxfId="62" priority="19" operator="equal">
      <formula>TRUE</formula>
    </cfRule>
    <cfRule type="cellIs" dxfId="61" priority="20" operator="equal">
      <formula>FALSE</formula>
    </cfRule>
  </conditionalFormatting>
  <conditionalFormatting sqref="C53">
    <cfRule type="cellIs" dxfId="60" priority="3" operator="equal">
      <formula>TRUE</formula>
    </cfRule>
    <cfRule type="cellIs" dxfId="59" priority="4" operator="equal">
      <formula>FALSE</formula>
    </cfRule>
  </conditionalFormatting>
  <conditionalFormatting sqref="E101:F101">
    <cfRule type="cellIs" dxfId="58" priority="11" operator="equal">
      <formula>TRUE</formula>
    </cfRule>
    <cfRule type="cellIs" dxfId="57" priority="12" operator="equal">
      <formula>FALSE</formula>
    </cfRule>
  </conditionalFormatting>
  <conditionalFormatting sqref="F121">
    <cfRule type="cellIs" dxfId="56" priority="9" operator="equal">
      <formula>TRUE</formula>
    </cfRule>
    <cfRule type="cellIs" dxfId="55" priority="10" operator="equal">
      <formula>FALSE</formula>
    </cfRule>
  </conditionalFormatting>
  <conditionalFormatting sqref="F141">
    <cfRule type="cellIs" dxfId="54" priority="7" operator="equal">
      <formula>TRUE</formula>
    </cfRule>
    <cfRule type="cellIs" dxfId="53" priority="8" operator="equal">
      <formula>FALSE</formula>
    </cfRule>
  </conditionalFormatting>
  <conditionalFormatting sqref="I20">
    <cfRule type="cellIs" dxfId="52" priority="5" operator="equal">
      <formula>TRUE</formula>
    </cfRule>
    <cfRule type="cellIs" dxfId="51" priority="6" operator="equal">
      <formula>FALSE</formula>
    </cfRule>
  </conditionalFormatting>
  <conditionalFormatting sqref="I53">
    <cfRule type="cellIs" dxfId="50" priority="1" operator="equal">
      <formula>TRUE</formula>
    </cfRule>
    <cfRule type="cellIs" dxfId="49" priority="2" operator="equal">
      <formula>FALSE</formula>
    </cfRule>
  </conditionalFormatting>
  <conditionalFormatting sqref="I101 C103">
    <cfRule type="cellIs" dxfId="48" priority="13" operator="equal">
      <formula>TRUE</formula>
    </cfRule>
    <cfRule type="cellIs" dxfId="47" priority="14" operator="equal">
      <formula>FALSE</formula>
    </cfRule>
  </conditionalFormatting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W60"/>
  <sheetViews>
    <sheetView topLeftCell="B1" zoomScale="70" zoomScaleNormal="70" workbookViewId="0"/>
  </sheetViews>
  <sheetFormatPr defaultRowHeight="15.6" x14ac:dyDescent="0.3"/>
  <cols>
    <col min="1" max="1" width="9" style="72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1" width="8.88671875" style="3" customWidth="1"/>
    <col min="12" max="17" width="8.88671875" style="3" hidden="1" customWidth="1"/>
    <col min="18" max="18" width="11.5546875" style="3" hidden="1" customWidth="1"/>
    <col min="19" max="19" width="8.88671875" style="3" hidden="1" customWidth="1"/>
    <col min="20" max="52" width="0" style="3" hidden="1" customWidth="1"/>
    <col min="53" max="16384" width="8.88671875" style="3"/>
  </cols>
  <sheetData>
    <row r="1" spans="1:23" s="71" customFormat="1" x14ac:dyDescent="0.3">
      <c r="A1" s="72">
        <v>13</v>
      </c>
      <c r="B1" s="94"/>
    </row>
    <row r="2" spans="1:23" s="71" customFormat="1" ht="31.2" x14ac:dyDescent="0.3">
      <c r="A2" s="72">
        <v>20</v>
      </c>
      <c r="B2" s="94"/>
      <c r="C2" s="125" t="s">
        <v>115</v>
      </c>
      <c r="D2" s="126"/>
      <c r="E2" s="126"/>
      <c r="F2" s="126"/>
      <c r="G2" s="126"/>
      <c r="H2" s="126"/>
      <c r="I2" s="126"/>
      <c r="J2" s="127"/>
      <c r="R2" s="87" t="s">
        <v>148</v>
      </c>
    </row>
    <row r="3" spans="1:23" s="71" customFormat="1" x14ac:dyDescent="0.3">
      <c r="A3" s="72"/>
      <c r="B3" s="94"/>
      <c r="R3" s="70" t="s">
        <v>142</v>
      </c>
      <c r="S3" s="70"/>
      <c r="T3" s="70"/>
      <c r="U3" s="70"/>
      <c r="V3" s="77"/>
      <c r="W3" s="77"/>
    </row>
    <row r="4" spans="1:23" s="71" customFormat="1" x14ac:dyDescent="0.3">
      <c r="A4" s="72"/>
      <c r="B4" s="94"/>
      <c r="R4" s="70">
        <v>1</v>
      </c>
      <c r="S4" s="70"/>
      <c r="T4" s="70"/>
      <c r="U4" s="70"/>
      <c r="V4" s="70"/>
      <c r="W4" s="70"/>
    </row>
    <row r="5" spans="1:23" s="71" customFormat="1" x14ac:dyDescent="0.3">
      <c r="A5" s="72"/>
      <c r="B5" s="94"/>
    </row>
    <row r="6" spans="1:23" s="71" customFormat="1" x14ac:dyDescent="0.3">
      <c r="A6" s="72"/>
      <c r="B6" s="94"/>
    </row>
    <row r="7" spans="1:23" s="71" customFormat="1" ht="18" x14ac:dyDescent="0.3">
      <c r="A7" s="73"/>
      <c r="B7" s="95"/>
      <c r="C7" s="73"/>
      <c r="D7" s="73"/>
      <c r="E7" s="74"/>
      <c r="F7" s="74"/>
      <c r="G7" s="74"/>
      <c r="H7" s="74"/>
      <c r="I7" s="73"/>
      <c r="J7" s="73"/>
      <c r="K7" s="73"/>
      <c r="L7" s="73"/>
      <c r="M7" s="73"/>
    </row>
    <row r="8" spans="1:23" s="74" customFormat="1" ht="18" x14ac:dyDescent="0.3">
      <c r="A8" s="75"/>
      <c r="B8" s="96"/>
    </row>
    <row r="9" spans="1:23" s="71" customFormat="1" ht="21" x14ac:dyDescent="0.3">
      <c r="A9" s="72"/>
      <c r="B9" s="94"/>
      <c r="E9" s="74"/>
      <c r="F9" s="76"/>
      <c r="G9" s="76"/>
      <c r="H9" s="76"/>
    </row>
    <row r="10" spans="1:23" s="71" customFormat="1" x14ac:dyDescent="0.3">
      <c r="A10" s="72"/>
      <c r="B10" s="94"/>
    </row>
    <row r="13" spans="1:23" ht="18" x14ac:dyDescent="0.3">
      <c r="A13" s="72" cm="1">
        <f t="array" ref="A13">segmantsBlockTypes[تجليدة]</f>
        <v>1</v>
      </c>
      <c r="B13" s="19"/>
      <c r="C13" s="16">
        <v>1</v>
      </c>
      <c r="D13" s="30" t="s">
        <v>71</v>
      </c>
      <c r="E13" s="110" t="str">
        <f>segmantsBlockTypes[[#Headers],[تجليدة]]</f>
        <v>تجليدة</v>
      </c>
      <c r="F13" s="111"/>
      <c r="G13" s="111"/>
      <c r="H13" s="112"/>
      <c r="I13" s="2" t="s">
        <v>42</v>
      </c>
      <c r="J13" s="2">
        <f>A13</f>
        <v>1</v>
      </c>
    </row>
    <row r="14" spans="1:23" x14ac:dyDescent="0.3">
      <c r="A14" s="72" t="s">
        <v>151</v>
      </c>
      <c r="B14" s="19"/>
      <c r="C14" s="9"/>
      <c r="D14" s="23"/>
      <c r="E14" s="43" t="str">
        <f>INDEX(segmantsCommon[[#All],[Column1]],MATCH(F14,segmantsCommon[[#All],[Column2]],0))</f>
        <v>يوفيلاك</v>
      </c>
      <c r="F14" s="9" t="s">
        <v>9</v>
      </c>
      <c r="G14" s="9"/>
      <c r="H14" s="9" t="s">
        <v>1</v>
      </c>
      <c r="I14" s="10"/>
      <c r="J14" s="9" t="s">
        <v>34</v>
      </c>
    </row>
    <row r="15" spans="1:23" ht="15.6" customHeight="1" x14ac:dyDescent="0.3">
      <c r="A15" s="72" t="s">
        <v>155</v>
      </c>
      <c r="B15" s="19"/>
    </row>
    <row r="16" spans="1:23" ht="15.6" customHeight="1" x14ac:dyDescent="0.3">
      <c r="A16" s="72" t="s">
        <v>152</v>
      </c>
      <c r="B16" s="19"/>
      <c r="C16" s="7" t="s">
        <v>4</v>
      </c>
      <c r="D16" s="7" t="s">
        <v>9</v>
      </c>
      <c r="E16" s="7" t="s">
        <v>5</v>
      </c>
      <c r="F16" s="7" t="s">
        <v>7</v>
      </c>
      <c r="G16" s="7" t="s">
        <v>1</v>
      </c>
      <c r="H16" s="7" t="s">
        <v>6</v>
      </c>
      <c r="I16" s="7" t="s">
        <v>45</v>
      </c>
      <c r="J16" s="7" t="s">
        <v>8</v>
      </c>
    </row>
    <row r="17" spans="1:11" x14ac:dyDescent="0.3">
      <c r="A17" s="72" t="s">
        <v>155</v>
      </c>
      <c r="B17" s="19"/>
      <c r="C17" s="7"/>
      <c r="D17" s="7"/>
      <c r="E17" s="7"/>
      <c r="F17" s="7"/>
      <c r="G17" s="7"/>
      <c r="H17" s="7"/>
      <c r="I17" s="7"/>
      <c r="J17" s="7"/>
    </row>
    <row r="18" spans="1:11" x14ac:dyDescent="0.3">
      <c r="A18" s="71" t="s">
        <v>153</v>
      </c>
      <c r="B18" s="19" t="str">
        <f>E13</f>
        <v>تجليدة</v>
      </c>
      <c r="C18" s="11">
        <v>1</v>
      </c>
      <c r="D18" s="11" t="str">
        <f>E14</f>
        <v>يوفيلاك</v>
      </c>
      <c r="E18" s="11" t="s">
        <v>142</v>
      </c>
      <c r="F18" s="11">
        <f>I14</f>
        <v>0</v>
      </c>
      <c r="G18" s="11">
        <f>G14</f>
        <v>0</v>
      </c>
      <c r="H18" s="11">
        <f>C13</f>
        <v>1</v>
      </c>
      <c r="I18" s="11">
        <f>HLOOKUP(D18, materials[], 2,FALSE)</f>
        <v>6</v>
      </c>
      <c r="J18" s="11"/>
    </row>
    <row r="19" spans="1:11" customFormat="1" ht="14.4" x14ac:dyDescent="0.3">
      <c r="A19" s="82" t="s">
        <v>150</v>
      </c>
    </row>
    <row r="20" spans="1:11" customFormat="1" ht="14.4" x14ac:dyDescent="0.3">
      <c r="A20" s="82" t="s">
        <v>150</v>
      </c>
    </row>
    <row r="21" spans="1:11" customFormat="1" ht="14.4" x14ac:dyDescent="0.3">
      <c r="A21" s="82"/>
    </row>
    <row r="22" spans="1:11" ht="14.4" x14ac:dyDescent="0.3">
      <c r="A22" s="82"/>
      <c r="B22"/>
      <c r="C22"/>
      <c r="D22"/>
      <c r="E22"/>
      <c r="F22"/>
      <c r="G22"/>
      <c r="H22"/>
      <c r="I22"/>
      <c r="J22"/>
      <c r="K22"/>
    </row>
    <row r="23" spans="1:11" ht="14.4" x14ac:dyDescent="0.3">
      <c r="A23" s="82"/>
      <c r="B23"/>
      <c r="C23"/>
      <c r="D23"/>
      <c r="E23"/>
      <c r="F23"/>
      <c r="G23"/>
      <c r="H23"/>
      <c r="I23"/>
      <c r="J23"/>
      <c r="K23"/>
    </row>
    <row r="24" spans="1:11" ht="14.4" x14ac:dyDescent="0.3">
      <c r="A24" s="82"/>
      <c r="B24"/>
      <c r="C24"/>
      <c r="D24"/>
      <c r="E24"/>
      <c r="F24"/>
      <c r="G24"/>
      <c r="H24"/>
      <c r="I24"/>
      <c r="J24"/>
      <c r="K24"/>
    </row>
    <row r="25" spans="1:11" ht="14.4" x14ac:dyDescent="0.3">
      <c r="A25" s="82"/>
      <c r="B25"/>
      <c r="C25"/>
      <c r="D25"/>
      <c r="E25"/>
      <c r="F25"/>
      <c r="G25"/>
      <c r="H25"/>
      <c r="I25"/>
      <c r="J25"/>
      <c r="K25"/>
    </row>
    <row r="26" spans="1:11" ht="14.4" x14ac:dyDescent="0.3">
      <c r="A26" s="82"/>
      <c r="B26"/>
      <c r="C26"/>
      <c r="D26"/>
      <c r="E26"/>
      <c r="F26"/>
      <c r="G26"/>
      <c r="H26"/>
      <c r="I26"/>
      <c r="J26"/>
      <c r="K26"/>
    </row>
    <row r="27" spans="1:11" ht="14.4" x14ac:dyDescent="0.3">
      <c r="A27" s="82"/>
      <c r="B27"/>
      <c r="C27"/>
      <c r="D27"/>
      <c r="E27"/>
      <c r="F27"/>
      <c r="G27"/>
      <c r="H27"/>
      <c r="I27"/>
      <c r="J27"/>
      <c r="K27"/>
    </row>
    <row r="28" spans="1:11" ht="14.4" x14ac:dyDescent="0.3">
      <c r="A28" s="82"/>
      <c r="B28"/>
      <c r="C28"/>
      <c r="D28"/>
      <c r="E28"/>
      <c r="F28"/>
      <c r="G28"/>
      <c r="H28"/>
      <c r="I28"/>
      <c r="J28"/>
      <c r="K28"/>
    </row>
    <row r="29" spans="1:11" ht="14.4" x14ac:dyDescent="0.3">
      <c r="A29" s="82"/>
      <c r="B29"/>
      <c r="C29"/>
      <c r="D29"/>
      <c r="E29"/>
      <c r="F29"/>
      <c r="G29"/>
      <c r="H29"/>
      <c r="I29"/>
      <c r="J29"/>
      <c r="K29"/>
    </row>
    <row r="30" spans="1:11" ht="14.4" x14ac:dyDescent="0.3">
      <c r="A30" s="82"/>
      <c r="B30"/>
      <c r="C30"/>
      <c r="D30"/>
      <c r="E30"/>
      <c r="F30"/>
      <c r="G30"/>
      <c r="H30"/>
      <c r="I30"/>
      <c r="J30"/>
      <c r="K30"/>
    </row>
    <row r="31" spans="1:11" ht="14.4" x14ac:dyDescent="0.3">
      <c r="A31" s="82"/>
      <c r="B31"/>
      <c r="C31"/>
      <c r="D31"/>
      <c r="E31"/>
      <c r="F31"/>
      <c r="G31"/>
      <c r="H31"/>
      <c r="I31"/>
      <c r="J31"/>
      <c r="K31"/>
    </row>
    <row r="32" spans="1:11" ht="14.4" x14ac:dyDescent="0.3">
      <c r="A32" s="82"/>
      <c r="B32"/>
      <c r="C32"/>
      <c r="D32"/>
      <c r="E32"/>
      <c r="F32"/>
      <c r="G32"/>
      <c r="H32"/>
      <c r="I32"/>
      <c r="J32"/>
      <c r="K32"/>
    </row>
    <row r="33" spans="1:11" ht="14.4" x14ac:dyDescent="0.3">
      <c r="A33" s="82"/>
      <c r="B33"/>
      <c r="C33"/>
      <c r="D33"/>
      <c r="E33"/>
      <c r="F33"/>
      <c r="G33"/>
      <c r="H33"/>
      <c r="I33"/>
      <c r="J33"/>
      <c r="K33"/>
    </row>
    <row r="34" spans="1:11" ht="14.4" x14ac:dyDescent="0.3">
      <c r="A34" s="82"/>
      <c r="B34"/>
      <c r="C34"/>
      <c r="D34"/>
      <c r="E34"/>
      <c r="F34"/>
      <c r="G34"/>
      <c r="H34"/>
      <c r="I34"/>
      <c r="J34"/>
      <c r="K34"/>
    </row>
    <row r="35" spans="1:11" ht="14.4" x14ac:dyDescent="0.3">
      <c r="A35" s="82"/>
      <c r="B35"/>
      <c r="C35"/>
      <c r="D35"/>
      <c r="E35"/>
      <c r="F35"/>
      <c r="G35"/>
      <c r="H35"/>
      <c r="I35"/>
      <c r="J35"/>
      <c r="K35"/>
    </row>
    <row r="36" spans="1:11" ht="14.4" x14ac:dyDescent="0.3">
      <c r="A36" s="82"/>
      <c r="B36"/>
      <c r="C36"/>
      <c r="D36"/>
      <c r="E36"/>
      <c r="F36"/>
      <c r="G36"/>
      <c r="H36"/>
      <c r="I36"/>
      <c r="J36"/>
      <c r="K36"/>
    </row>
    <row r="37" spans="1:11" ht="14.4" x14ac:dyDescent="0.3">
      <c r="A37" s="82"/>
      <c r="B37"/>
      <c r="C37"/>
      <c r="D37"/>
      <c r="E37"/>
      <c r="F37"/>
      <c r="G37"/>
      <c r="H37"/>
      <c r="I37"/>
      <c r="J37"/>
      <c r="K37"/>
    </row>
    <row r="38" spans="1:11" ht="14.4" x14ac:dyDescent="0.3">
      <c r="A38" s="82"/>
      <c r="B38"/>
      <c r="C38"/>
      <c r="D38"/>
      <c r="E38"/>
      <c r="F38"/>
      <c r="G38"/>
      <c r="H38"/>
      <c r="I38"/>
      <c r="J38"/>
      <c r="K38"/>
    </row>
    <row r="39" spans="1:11" ht="14.4" x14ac:dyDescent="0.3">
      <c r="A39" s="82"/>
      <c r="B39"/>
      <c r="C39"/>
      <c r="D39"/>
      <c r="E39"/>
      <c r="F39"/>
      <c r="G39"/>
      <c r="H39"/>
      <c r="I39"/>
      <c r="J39"/>
      <c r="K39"/>
    </row>
    <row r="40" spans="1:11" ht="14.4" x14ac:dyDescent="0.3">
      <c r="A40" s="82"/>
      <c r="B40"/>
      <c r="C40"/>
      <c r="D40"/>
      <c r="E40"/>
      <c r="F40"/>
      <c r="G40"/>
      <c r="H40"/>
      <c r="I40"/>
      <c r="J40"/>
      <c r="K40"/>
    </row>
    <row r="41" spans="1:11" ht="14.4" x14ac:dyDescent="0.3">
      <c r="A41" s="82"/>
      <c r="B41"/>
      <c r="C41"/>
      <c r="D41"/>
      <c r="E41"/>
      <c r="F41"/>
      <c r="G41"/>
      <c r="H41"/>
      <c r="I41"/>
      <c r="J41"/>
      <c r="K41"/>
    </row>
    <row r="42" spans="1:11" ht="14.4" x14ac:dyDescent="0.3">
      <c r="A42" s="82"/>
      <c r="B42"/>
      <c r="C42"/>
      <c r="D42"/>
      <c r="E42"/>
      <c r="F42"/>
      <c r="G42"/>
      <c r="H42"/>
      <c r="I42"/>
      <c r="J42"/>
      <c r="K42"/>
    </row>
    <row r="43" spans="1:11" ht="14.4" x14ac:dyDescent="0.3">
      <c r="A43" s="82"/>
      <c r="B43"/>
      <c r="C43"/>
      <c r="D43"/>
      <c r="E43"/>
      <c r="F43"/>
      <c r="G43"/>
      <c r="H43"/>
      <c r="I43"/>
      <c r="J43"/>
      <c r="K43"/>
    </row>
    <row r="44" spans="1:11" ht="14.4" x14ac:dyDescent="0.3">
      <c r="A44" s="82"/>
      <c r="B44"/>
      <c r="C44"/>
      <c r="D44"/>
      <c r="E44"/>
      <c r="F44"/>
      <c r="G44"/>
      <c r="H44"/>
      <c r="I44"/>
      <c r="J44"/>
      <c r="K44"/>
    </row>
    <row r="45" spans="1:11" ht="14.4" x14ac:dyDescent="0.3">
      <c r="A45" s="82"/>
      <c r="B45"/>
      <c r="C45"/>
      <c r="D45"/>
      <c r="E45"/>
      <c r="F45"/>
      <c r="G45"/>
      <c r="H45"/>
      <c r="I45"/>
      <c r="J45"/>
      <c r="K45"/>
    </row>
    <row r="46" spans="1:11" ht="14.4" x14ac:dyDescent="0.3">
      <c r="A46" s="82"/>
      <c r="B46"/>
      <c r="C46"/>
      <c r="D46"/>
      <c r="E46"/>
      <c r="F46"/>
      <c r="G46"/>
      <c r="H46"/>
      <c r="I46"/>
      <c r="J46"/>
      <c r="K46"/>
    </row>
    <row r="47" spans="1:11" ht="14.4" x14ac:dyDescent="0.3">
      <c r="A47" s="82"/>
      <c r="B47"/>
      <c r="C47"/>
      <c r="D47"/>
      <c r="E47"/>
      <c r="F47"/>
      <c r="G47"/>
      <c r="H47"/>
      <c r="I47"/>
      <c r="J47"/>
      <c r="K47"/>
    </row>
    <row r="48" spans="1:11" ht="14.4" x14ac:dyDescent="0.3">
      <c r="A48" s="82"/>
      <c r="B48"/>
      <c r="C48"/>
      <c r="D48"/>
      <c r="E48"/>
      <c r="F48"/>
      <c r="G48"/>
      <c r="H48"/>
      <c r="I48"/>
      <c r="J48"/>
      <c r="K48"/>
    </row>
    <row r="49" spans="1:11" ht="14.4" x14ac:dyDescent="0.3">
      <c r="A49" s="82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82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82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82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82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82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82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82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82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82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82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82"/>
      <c r="B60"/>
      <c r="C60"/>
      <c r="D60"/>
      <c r="E60"/>
      <c r="F60"/>
      <c r="G60"/>
      <c r="H60"/>
      <c r="I60"/>
      <c r="J60"/>
      <c r="K60"/>
    </row>
  </sheetData>
  <mergeCells count="2">
    <mergeCell ref="E13:H13"/>
    <mergeCell ref="C2:J2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2024-09-17T12:09:43Z</dcterms:modified>
</cp:coreProperties>
</file>